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rketing\Downloads\"/>
    </mc:Choice>
  </mc:AlternateContent>
  <bookViews>
    <workbookView xWindow="-105" yWindow="-105" windowWidth="23250" windowHeight="12570" activeTab="1"/>
  </bookViews>
  <sheets>
    <sheet name="Planejamento" sheetId="1" r:id="rId1"/>
    <sheet name="RECEITA" sheetId="3" r:id="rId2"/>
    <sheet name="PENDÊNCIA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5" i="3" l="1"/>
  <c r="E58" i="3"/>
  <c r="E60" i="3" s="1"/>
  <c r="R41" i="3" l="1"/>
  <c r="R42" i="3"/>
  <c r="R43" i="3"/>
  <c r="R44" i="3"/>
  <c r="R46" i="3"/>
  <c r="R47" i="3"/>
  <c r="R48" i="3"/>
  <c r="R49" i="3"/>
  <c r="R50" i="3"/>
  <c r="R51" i="3"/>
  <c r="R22" i="3" l="1"/>
  <c r="R18" i="3" l="1"/>
  <c r="R4" i="3" l="1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9" i="3"/>
  <c r="R20" i="3"/>
  <c r="R21" i="3"/>
  <c r="R23" i="3"/>
  <c r="R24" i="3"/>
  <c r="R34" i="3"/>
  <c r="R25" i="3"/>
  <c r="R26" i="3"/>
  <c r="R27" i="3"/>
  <c r="R28" i="3"/>
  <c r="R31" i="3"/>
  <c r="R40" i="3"/>
  <c r="R29" i="3"/>
  <c r="R30" i="3"/>
  <c r="R32" i="3"/>
  <c r="R33" i="3"/>
  <c r="R35" i="3"/>
  <c r="R36" i="3"/>
  <c r="R37" i="3"/>
  <c r="R38" i="3"/>
  <c r="R39" i="3"/>
  <c r="R3" i="3"/>
  <c r="G52" i="3"/>
  <c r="H52" i="3"/>
  <c r="I52" i="3"/>
  <c r="J52" i="3"/>
  <c r="K52" i="3"/>
  <c r="L52" i="3"/>
  <c r="M52" i="3"/>
  <c r="N52" i="3"/>
  <c r="O52" i="3"/>
  <c r="P52" i="3"/>
  <c r="Q52" i="3"/>
  <c r="F52" i="3"/>
  <c r="R52" i="3" l="1"/>
  <c r="M15" i="1" l="1"/>
  <c r="B37" i="3" l="1"/>
  <c r="B56" i="3" s="1"/>
  <c r="P15" i="1" l="1"/>
  <c r="O15" i="1"/>
  <c r="N15" i="1"/>
  <c r="L15" i="1"/>
  <c r="K15" i="1"/>
  <c r="J15" i="1"/>
  <c r="I15" i="1"/>
  <c r="H15" i="1"/>
  <c r="G15" i="1"/>
  <c r="F15" i="1"/>
  <c r="E15" i="1"/>
  <c r="D15" i="1"/>
  <c r="C15" i="1"/>
  <c r="B15" i="1"/>
  <c r="Q14" i="1"/>
  <c r="Q13" i="1"/>
  <c r="Q12" i="1"/>
  <c r="Q11" i="1"/>
  <c r="Q10" i="1"/>
  <c r="Q9" i="1"/>
  <c r="Q8" i="1"/>
  <c r="Q7" i="1"/>
  <c r="Q6" i="1"/>
  <c r="Q5" i="1"/>
  <c r="Q4" i="1"/>
  <c r="Q3" i="1"/>
  <c r="Q15" i="1" l="1"/>
</calcChain>
</file>

<file path=xl/sharedStrings.xml><?xml version="1.0" encoding="utf-8"?>
<sst xmlns="http://schemas.openxmlformats.org/spreadsheetml/2006/main" count="141" uniqueCount="140">
  <si>
    <t>Programação</t>
  </si>
  <si>
    <t>Promoções</t>
  </si>
  <si>
    <t>Catálogo/ fold</t>
  </si>
  <si>
    <t>PodCast</t>
  </si>
  <si>
    <t>Funcionário/mês</t>
  </si>
  <si>
    <t>Boletim</t>
  </si>
  <si>
    <t>Feiras/ eventos</t>
  </si>
  <si>
    <t>Google</t>
  </si>
  <si>
    <r>
      <t>EDM</t>
    </r>
    <r>
      <rPr>
        <sz val="11"/>
        <color theme="1"/>
        <rFont val="Calibri"/>
        <family val="2"/>
        <scheme val="minor"/>
      </rPr>
      <t>²</t>
    </r>
  </si>
  <si>
    <t>Vídeos  PMG</t>
  </si>
  <si>
    <t>Brindes</t>
  </si>
  <si>
    <t>GRAAC / AACD</t>
  </si>
  <si>
    <t>ABAD</t>
  </si>
  <si>
    <t>Diversos</t>
  </si>
  <si>
    <t>Convenção</t>
  </si>
  <si>
    <t>TOTAL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</si>
  <si>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</si>
  <si>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</si>
  <si>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</si>
  <si>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</si>
  <si>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</si>
  <si>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</si>
  <si>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</si>
  <si>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</si>
  <si>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</si>
  <si>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</si>
  <si>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</si>
  <si>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</si>
  <si>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</si>
  <si>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FORNECEDOR</t>
  </si>
  <si>
    <t>Ajinomoto</t>
  </si>
  <si>
    <t>Alfama</t>
  </si>
  <si>
    <t>Alibra</t>
  </si>
  <si>
    <t>Anaconda</t>
  </si>
  <si>
    <t xml:space="preserve">Aurora </t>
  </si>
  <si>
    <t>Bem Brasil</t>
  </si>
  <si>
    <t>Buquê</t>
  </si>
  <si>
    <t>Camil</t>
  </si>
  <si>
    <t>Canção</t>
  </si>
  <si>
    <t>Cepêra</t>
  </si>
  <si>
    <t xml:space="preserve">Ceratti </t>
  </si>
  <si>
    <t>Clara Milk</t>
  </si>
  <si>
    <t>Ekma</t>
  </si>
  <si>
    <t>Gomes da Costa</t>
  </si>
  <si>
    <t>Harald</t>
  </si>
  <si>
    <t xml:space="preserve">Heinz </t>
  </si>
  <si>
    <t>Italac</t>
  </si>
  <si>
    <t>J. Macêdo</t>
  </si>
  <si>
    <t>Lawbweston</t>
  </si>
  <si>
    <t>Mirella</t>
  </si>
  <si>
    <t>Penina</t>
  </si>
  <si>
    <t>Polenghi</t>
  </si>
  <si>
    <t>Scala</t>
  </si>
  <si>
    <t>Tirolez</t>
  </si>
  <si>
    <t>Yema</t>
  </si>
  <si>
    <t>Soma</t>
  </si>
  <si>
    <t xml:space="preserve"> </t>
  </si>
  <si>
    <t>Philadelphia</t>
  </si>
  <si>
    <t>Cargill</t>
  </si>
  <si>
    <t>Ipanema</t>
  </si>
  <si>
    <t>Coronata</t>
  </si>
  <si>
    <t>Pizza Cheese</t>
  </si>
  <si>
    <t>Bunge</t>
  </si>
  <si>
    <t>Podcast</t>
  </si>
  <si>
    <t>Previsão receita</t>
  </si>
  <si>
    <t>FECHADO</t>
  </si>
  <si>
    <t>GL Foods</t>
  </si>
  <si>
    <t xml:space="preserve">Venturelli </t>
  </si>
  <si>
    <t>Previsão de Verbas 2025</t>
  </si>
  <si>
    <t>IFB</t>
  </si>
  <si>
    <t>FORNECEDORES</t>
  </si>
  <si>
    <t>PREVISÃO</t>
  </si>
  <si>
    <t>AJINOMOTO</t>
  </si>
  <si>
    <t>ALFAMA</t>
  </si>
  <si>
    <t>ALIBRA</t>
  </si>
  <si>
    <t>ANACONDA</t>
  </si>
  <si>
    <t xml:space="preserve">AURORA </t>
  </si>
  <si>
    <t>BEM BRASIL</t>
  </si>
  <si>
    <t>BUNGE</t>
  </si>
  <si>
    <t>BUQUÊ</t>
  </si>
  <si>
    <t>CAMIL</t>
  </si>
  <si>
    <t>CANÇÃO</t>
  </si>
  <si>
    <t>CARGILL</t>
  </si>
  <si>
    <t>CEPÊRA</t>
  </si>
  <si>
    <t xml:space="preserve">CERATTI </t>
  </si>
  <si>
    <t>CLARA MILK</t>
  </si>
  <si>
    <t>CORONATA</t>
  </si>
  <si>
    <t>DOCEIRO</t>
  </si>
  <si>
    <t>EKMA</t>
  </si>
  <si>
    <t>FRIMESA</t>
  </si>
  <si>
    <t>GOMES DA COSTA</t>
  </si>
  <si>
    <t>HARALD</t>
  </si>
  <si>
    <t xml:space="preserve">HEINZ </t>
  </si>
  <si>
    <t>ITALAC</t>
  </si>
  <si>
    <t>J. MACÊDO</t>
  </si>
  <si>
    <t>MIRELLA</t>
  </si>
  <si>
    <t>MISTER BEEF</t>
  </si>
  <si>
    <t>MCCAIN</t>
  </si>
  <si>
    <t>PENINA</t>
  </si>
  <si>
    <t>POLENGHI</t>
  </si>
  <si>
    <t>PRIETO</t>
  </si>
  <si>
    <t>ROSA BRANCA</t>
  </si>
  <si>
    <t>SCALA</t>
  </si>
  <si>
    <t>TIROLEZ</t>
  </si>
  <si>
    <t>YEMA</t>
  </si>
  <si>
    <t>VENTURELLI</t>
  </si>
  <si>
    <t>PQ ALIMENTOS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</si>
  <si>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</si>
  <si>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</si>
  <si>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</si>
  <si>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</si>
  <si>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</si>
  <si>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</si>
  <si>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</si>
  <si>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</si>
  <si>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</si>
  <si>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</si>
  <si>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</si>
  <si>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</si>
  <si>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SOMA MENSAL</t>
  </si>
  <si>
    <t xml:space="preserve">GRANO </t>
  </si>
  <si>
    <t>PLANEJAMENTO PMG 2026</t>
  </si>
  <si>
    <t>PURANATA</t>
  </si>
  <si>
    <t>QUALIMAX</t>
  </si>
  <si>
    <t>PREVISÃO ORÇAMENTÁRIA</t>
  </si>
  <si>
    <t>LAMB WESTON</t>
  </si>
  <si>
    <t>QUATÁ</t>
  </si>
  <si>
    <t>COAMO</t>
  </si>
  <si>
    <t>PREV. INVESTIMENTO</t>
  </si>
  <si>
    <t>PREV.  RECEITA</t>
  </si>
  <si>
    <t>PREV.  SALDO</t>
  </si>
  <si>
    <t xml:space="preserve">NITA </t>
  </si>
  <si>
    <t>PAGAMENTOS FORNECEDORES 2026</t>
  </si>
  <si>
    <t>EDILSON</t>
  </si>
  <si>
    <t>HAVER</t>
  </si>
  <si>
    <t>SEARA</t>
  </si>
  <si>
    <t>PREDILECTA</t>
  </si>
  <si>
    <t>TOZZY</t>
  </si>
  <si>
    <t>DAUPHINE / FARM FRITES</t>
  </si>
  <si>
    <t>SIMPLOT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</si>
</sst>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sz val="9"/>
      <color indexed="8"/>
      <name val="Arial Narrow"/>
      <family val="2"/>
    </font>
    <font>
      <sz val="8"/>
      <name val="Calibri"/>
      <family val="2"/>
      <scheme val="minor"/>
    </font>
    <font>
      <sz val="11"/>
      <name val="Calibri"/>
      <family val="2"/>
    </font>
    <font>
      <sz val="11"/>
      <color rgb="FF00B05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10" fillId="0" borderId="0"/>
    <xf numFmtId="0" fontId="10" fillId="0" borderId="0"/>
    <xf numFmtId="49" fontId="11" fillId="6" borderId="0" applyBorder="0" applyProtection="0">
      <alignment horizontal="left" vertical="top" wrapText="1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85">
    <xf numFmtId="0" fontId="0" fillId="0" borderId="0" xfId="0"/>
    <xf numFmtId="0" fontId="3" fillId="3" borderId="4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4" xfId="0" applyFont="1" applyFill="1" applyBorder="1"/>
    <xf numFmtId="44" fontId="0" fillId="0" borderId="5" xfId="1" applyFont="1" applyBorder="1"/>
    <xf numFmtId="44" fontId="5" fillId="0" borderId="5" xfId="1" applyFont="1" applyBorder="1"/>
    <xf numFmtId="44" fontId="2" fillId="0" borderId="5" xfId="1" applyFont="1" applyBorder="1"/>
    <xf numFmtId="44" fontId="1" fillId="0" borderId="5" xfId="1" applyFont="1" applyBorder="1"/>
    <xf numFmtId="44" fontId="3" fillId="0" borderId="6" xfId="0" applyNumberFormat="1" applyFont="1" applyBorder="1"/>
    <xf numFmtId="0" fontId="0" fillId="4" borderId="0" xfId="0" applyFill="1"/>
    <xf numFmtId="44" fontId="0" fillId="0" borderId="0" xfId="1" applyFont="1"/>
    <xf numFmtId="0" fontId="8" fillId="4" borderId="4" xfId="0" applyFont="1" applyFill="1" applyBorder="1" applyAlignment="1">
      <alignment horizontal="left"/>
    </xf>
    <xf numFmtId="0" fontId="8" fillId="4" borderId="4" xfId="0" applyFont="1" applyFill="1" applyBorder="1"/>
    <xf numFmtId="44" fontId="8" fillId="4" borderId="6" xfId="1" applyFont="1" applyFill="1" applyBorder="1"/>
    <xf numFmtId="0" fontId="0" fillId="0" borderId="5" xfId="0" applyBorder="1"/>
    <xf numFmtId="0" fontId="7" fillId="4" borderId="18" xfId="0" applyFont="1" applyFill="1" applyBorder="1" applyAlignment="1">
      <alignment horizontal="center"/>
    </xf>
    <xf numFmtId="0" fontId="7" fillId="0" borderId="19" xfId="1" applyNumberFormat="1" applyFont="1" applyBorder="1" applyAlignment="1">
      <alignment horizontal="center"/>
    </xf>
    <xf numFmtId="44" fontId="7" fillId="0" borderId="5" xfId="1" applyFont="1" applyBorder="1"/>
    <xf numFmtId="0" fontId="7" fillId="4" borderId="5" xfId="0" applyFont="1" applyFill="1" applyBorder="1"/>
    <xf numFmtId="0" fontId="9" fillId="5" borderId="1" xfId="0" applyFont="1" applyFill="1" applyBorder="1"/>
    <xf numFmtId="44" fontId="9" fillId="5" borderId="3" xfId="1" applyFont="1" applyFill="1" applyBorder="1"/>
    <xf numFmtId="0" fontId="7" fillId="4" borderId="20" xfId="0" applyFont="1" applyFill="1" applyBorder="1"/>
    <xf numFmtId="44" fontId="7" fillId="0" borderId="12" xfId="1" applyFont="1" applyBorder="1"/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3" fillId="7" borderId="7" xfId="0" applyFont="1" applyFill="1" applyBorder="1"/>
    <xf numFmtId="44" fontId="3" fillId="7" borderId="8" xfId="0" applyNumberFormat="1" applyFont="1" applyFill="1" applyBorder="1"/>
    <xf numFmtId="44" fontId="3" fillId="7" borderId="9" xfId="0" applyNumberFormat="1" applyFont="1" applyFill="1" applyBorder="1"/>
    <xf numFmtId="0" fontId="3" fillId="5" borderId="5" xfId="0" applyFont="1" applyFill="1" applyBorder="1" applyAlignment="1">
      <alignment horizontal="center"/>
    </xf>
    <xf numFmtId="0" fontId="14" fillId="0" borderId="0" xfId="0" applyFont="1"/>
    <xf numFmtId="0" fontId="8" fillId="5" borderId="7" xfId="0" applyFont="1" applyFill="1" applyBorder="1"/>
    <xf numFmtId="44" fontId="8" fillId="5" borderId="9" xfId="1" applyFont="1" applyFill="1" applyBorder="1"/>
    <xf numFmtId="0" fontId="0" fillId="9" borderId="14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8" fillId="7" borderId="10" xfId="0" applyFont="1" applyFill="1" applyBorder="1"/>
    <xf numFmtId="44" fontId="8" fillId="7" borderId="13" xfId="1" applyFont="1" applyFill="1" applyBorder="1"/>
    <xf numFmtId="0" fontId="8" fillId="8" borderId="10" xfId="0" applyFont="1" applyFill="1" applyBorder="1"/>
    <xf numFmtId="44" fontId="8" fillId="8" borderId="13" xfId="1" applyFont="1" applyFill="1" applyBorder="1"/>
    <xf numFmtId="0" fontId="15" fillId="11" borderId="4" xfId="0" applyFont="1" applyFill="1" applyBorder="1" applyAlignment="1">
      <alignment horizontal="center"/>
    </xf>
    <xf numFmtId="0" fontId="15" fillId="11" borderId="5" xfId="1" applyNumberFormat="1" applyFont="1" applyFill="1" applyBorder="1" applyAlignment="1">
      <alignment horizontal="center"/>
    </xf>
    <xf numFmtId="0" fontId="15" fillId="10" borderId="5" xfId="1" applyNumberFormat="1" applyFont="1" applyFill="1" applyBorder="1" applyAlignment="1">
      <alignment horizontal="center"/>
    </xf>
    <xf numFmtId="0" fontId="16" fillId="4" borderId="4" xfId="0" applyFont="1" applyFill="1" applyBorder="1" applyAlignment="1">
      <alignment horizontal="left" vertical="center"/>
    </xf>
    <xf numFmtId="44" fontId="16" fillId="4" borderId="5" xfId="5" applyFont="1" applyFill="1" applyBorder="1" applyAlignment="1">
      <alignment horizontal="left"/>
    </xf>
    <xf numFmtId="44" fontId="16" fillId="4" borderId="16" xfId="5" applyFont="1" applyFill="1" applyBorder="1" applyAlignment="1">
      <alignment horizontal="left"/>
    </xf>
    <xf numFmtId="44" fontId="15" fillId="10" borderId="6" xfId="1" applyFont="1" applyFill="1" applyBorder="1"/>
    <xf numFmtId="0" fontId="16" fillId="4" borderId="4" xfId="0" applyFont="1" applyFill="1" applyBorder="1" applyAlignment="1">
      <alignment horizontal="left"/>
    </xf>
    <xf numFmtId="44" fontId="16" fillId="0" borderId="5" xfId="5" applyFont="1" applyBorder="1" applyAlignment="1">
      <alignment horizontal="left"/>
    </xf>
    <xf numFmtId="44" fontId="16" fillId="0" borderId="16" xfId="5" applyFont="1" applyBorder="1" applyAlignment="1">
      <alignment horizontal="left"/>
    </xf>
    <xf numFmtId="44" fontId="15" fillId="10" borderId="16" xfId="5" applyFont="1" applyFill="1" applyBorder="1" applyAlignment="1">
      <alignment horizontal="left"/>
    </xf>
    <xf numFmtId="8" fontId="0" fillId="0" borderId="5" xfId="0" applyNumberFormat="1" applyBorder="1"/>
    <xf numFmtId="44" fontId="1" fillId="0" borderId="5" xfId="1" applyFont="1" applyFill="1" applyBorder="1"/>
    <xf numFmtId="44" fontId="0" fillId="0" borderId="5" xfId="1" applyFont="1" applyFill="1" applyBorder="1"/>
    <xf numFmtId="44" fontId="6" fillId="0" borderId="5" xfId="1" applyFont="1" applyBorder="1"/>
    <xf numFmtId="44" fontId="2" fillId="4" borderId="5" xfId="1" applyFont="1" applyFill="1" applyBorder="1"/>
    <xf numFmtId="44" fontId="2" fillId="0" borderId="5" xfId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8" xfId="0" applyBorder="1" applyAlignment="1">
      <alignment horizontal="center"/>
    </xf>
    <xf numFmtId="0" fontId="9" fillId="4" borderId="17" xfId="0" applyFont="1" applyFill="1" applyBorder="1" applyAlignment="1">
      <alignment horizontal="center"/>
    </xf>
    <xf numFmtId="0" fontId="9" fillId="4" borderId="24" xfId="0" applyFont="1" applyFill="1" applyBorder="1" applyAlignment="1">
      <alignment horizontal="center"/>
    </xf>
    <xf numFmtId="0" fontId="9" fillId="4" borderId="25" xfId="0" applyFont="1" applyFill="1" applyBorder="1" applyAlignment="1">
      <alignment horizontal="center"/>
    </xf>
    <xf numFmtId="0" fontId="7" fillId="9" borderId="31" xfId="0" applyFont="1" applyFill="1" applyBorder="1" applyAlignment="1">
      <alignment horizontal="center"/>
    </xf>
    <xf numFmtId="0" fontId="7" fillId="9" borderId="32" xfId="0" applyFont="1" applyFill="1" applyBorder="1" applyAlignment="1">
      <alignment horizontal="center"/>
    </xf>
    <xf numFmtId="0" fontId="8" fillId="4" borderId="20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15" fillId="10" borderId="11" xfId="0" applyFont="1" applyFill="1" applyBorder="1" applyAlignment="1">
      <alignment horizontal="center" vertical="center"/>
    </xf>
    <xf numFmtId="0" fontId="15" fillId="10" borderId="23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8" fillId="4" borderId="30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44" fontId="8" fillId="0" borderId="20" xfId="5" applyFont="1" applyBorder="1" applyAlignment="1">
      <alignment horizontal="center"/>
    </xf>
    <xf numFmtId="44" fontId="8" fillId="0" borderId="22" xfId="5" applyFont="1" applyBorder="1" applyAlignment="1">
      <alignment horizontal="center"/>
    </xf>
    <xf numFmtId="44" fontId="8" fillId="0" borderId="26" xfId="5" applyFont="1" applyBorder="1" applyAlignment="1">
      <alignment horizontal="center"/>
    </xf>
    <xf numFmtId="44" fontId="8" fillId="0" borderId="0" xfId="5" applyFont="1" applyBorder="1" applyAlignment="1">
      <alignment horizontal="center"/>
    </xf>
    <xf numFmtId="44" fontId="8" fillId="0" borderId="27" xfId="5" applyFont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8" fillId="4" borderId="14" xfId="0" applyFont="1" applyFill="1" applyBorder="1" applyAlignment="1">
      <alignment horizontal="center"/>
    </xf>
    <xf numFmtId="0" fontId="8" fillId="4" borderId="15" xfId="0" applyFont="1" applyFill="1" applyBorder="1" applyAlignment="1">
      <alignment horizontal="center"/>
    </xf>
  </cellXfs>
  <cellStyles count="8">
    <cellStyle name="Moeda" xfId="1" builtinId="4"/>
    <cellStyle name="Moeda 2" xfId="6"/>
    <cellStyle name="Moeda 3" xfId="5"/>
    <cellStyle name="Normal" xfId="0" builtinId="0"/>
    <cellStyle name="Normal 2" xfId="2"/>
    <cellStyle name="Normal 3" xfId="3"/>
    <cellStyle name="Porcentagem 2" xfId="7"/>
    <cellStyle name="WinCalendar_BlankCells_39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workbookViewId="0">
      <selection activeCell="I23" sqref="I23"/>
    </sheetView>
  </sheetViews>
  <sheetFormatPr defaultRowHeight="15" x14ac:dyDescent="0.25"/>
  <cols>
    <col min="1" max="1" width="12.42578125" bestFit="1" customWidth="1"/>
    <col min="2" max="2" width="13.28515625" bestFit="1" customWidth="1"/>
    <col min="3" max="3" width="13.7109375" bestFit="1" customWidth="1"/>
    <col min="4" max="4" width="13.28515625" bestFit="1" customWidth="1"/>
    <col min="5" max="5" width="16.140625" bestFit="1" customWidth="1"/>
    <col min="6" max="6" width="13.28515625" bestFit="1" customWidth="1"/>
    <col min="7" max="7" width="15.85546875" bestFit="1" customWidth="1"/>
    <col min="8" max="11" width="13.28515625" bestFit="1" customWidth="1"/>
    <col min="12" max="12" width="14.28515625" bestFit="1" customWidth="1"/>
    <col min="13" max="13" width="14.28515625" customWidth="1"/>
    <col min="14" max="15" width="13.28515625" bestFit="1" customWidth="1"/>
    <col min="16" max="16" width="14.28515625" bestFit="1" customWidth="1"/>
    <col min="17" max="17" width="15.85546875" bestFit="1" customWidth="1"/>
  </cols>
  <sheetData>
    <row r="1" spans="1:17" ht="28.5" x14ac:dyDescent="0.45">
      <c r="A1" s="55" t="s">
        <v>121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</row>
    <row r="2" spans="1:17" x14ac:dyDescent="0.25">
      <c r="A2" s="1" t="s">
        <v>0</v>
      </c>
      <c r="B2" s="28" t="s">
        <v>1</v>
      </c>
      <c r="C2" s="28" t="s">
        <v>2</v>
      </c>
      <c r="D2" s="28" t="s">
        <v>3</v>
      </c>
      <c r="E2" s="28" t="s">
        <v>4</v>
      </c>
      <c r="F2" s="28" t="s">
        <v>5</v>
      </c>
      <c r="G2" s="28" t="s">
        <v>6</v>
      </c>
      <c r="H2" s="28" t="s">
        <v>7</v>
      </c>
      <c r="I2" s="28" t="s">
        <v>8</v>
      </c>
      <c r="J2" s="28" t="s">
        <v>9</v>
      </c>
      <c r="K2" s="28" t="s">
        <v>10</v>
      </c>
      <c r="L2" s="28" t="s">
        <v>11</v>
      </c>
      <c r="M2" s="28" t="s">
        <v>69</v>
      </c>
      <c r="N2" s="28" t="s">
        <v>12</v>
      </c>
      <c r="O2" s="28" t="s">
        <v>13</v>
      </c>
      <c r="P2" s="28" t="s">
        <v>14</v>
      </c>
      <c r="Q2" s="2" t="s">
        <v>15</v>
      </c>
    </row>
    <row r="3" spans="1:17" x14ac:dyDescent="0.25">
      <c r="A3" s="3" t="s">
        <v>16</v>
      </c>
      <c r="B3" s="4">
        <v>0</v>
      </c>
      <c r="C3" s="4"/>
      <c r="D3" s="4"/>
      <c r="E3" s="6">
        <v>2640</v>
      </c>
      <c r="F3" s="4"/>
      <c r="G3" s="4"/>
      <c r="H3" s="6">
        <v>6000</v>
      </c>
      <c r="I3" s="6">
        <v>1750</v>
      </c>
      <c r="J3" s="4"/>
      <c r="K3" s="4"/>
      <c r="L3" s="6">
        <v>14805.71</v>
      </c>
      <c r="M3" s="6">
        <v>6604</v>
      </c>
      <c r="N3" s="6">
        <v>440</v>
      </c>
      <c r="O3" s="6">
        <v>427.77</v>
      </c>
      <c r="P3" s="4"/>
      <c r="Q3" s="8">
        <f>SUM(B3:P3)</f>
        <v>32667.48</v>
      </c>
    </row>
    <row r="4" spans="1:17" x14ac:dyDescent="0.25">
      <c r="A4" s="3" t="s">
        <v>17</v>
      </c>
      <c r="B4" s="6">
        <v>3586.9</v>
      </c>
      <c r="C4" s="4"/>
      <c r="D4" s="4"/>
      <c r="E4" s="6">
        <v>2640</v>
      </c>
      <c r="F4" s="4"/>
      <c r="G4" s="4"/>
      <c r="H4" s="4"/>
      <c r="I4" s="6">
        <v>1750</v>
      </c>
      <c r="J4" s="4"/>
      <c r="K4" s="4"/>
      <c r="L4" s="6">
        <v>13245</v>
      </c>
      <c r="M4" s="6">
        <v>6604</v>
      </c>
      <c r="N4" s="6">
        <v>440</v>
      </c>
      <c r="O4" s="6">
        <v>1642.14</v>
      </c>
      <c r="P4" s="4"/>
      <c r="Q4" s="8">
        <f t="shared" ref="Q4:Q11" si="0">SUM(B4:L4)</f>
        <v>21221.9</v>
      </c>
    </row>
    <row r="5" spans="1:17" x14ac:dyDescent="0.25">
      <c r="A5" s="3" t="s">
        <v>18</v>
      </c>
      <c r="B5" s="6">
        <v>2449.35</v>
      </c>
      <c r="C5" s="4"/>
      <c r="D5" s="4"/>
      <c r="E5" s="6">
        <v>2640</v>
      </c>
      <c r="F5" s="6">
        <v>5000</v>
      </c>
      <c r="G5" s="5"/>
      <c r="H5" s="4"/>
      <c r="I5" s="6">
        <v>1750</v>
      </c>
      <c r="J5" s="6">
        <v>7000</v>
      </c>
      <c r="K5" s="4"/>
      <c r="L5" s="6">
        <v>15927.38</v>
      </c>
      <c r="M5" s="6">
        <v>6604</v>
      </c>
      <c r="N5" s="6">
        <v>440</v>
      </c>
      <c r="O5" s="6">
        <v>8464.2800000000007</v>
      </c>
      <c r="P5" s="6">
        <v>260869.18</v>
      </c>
      <c r="Q5" s="8">
        <f t="shared" si="0"/>
        <v>34766.729999999996</v>
      </c>
    </row>
    <row r="6" spans="1:17" x14ac:dyDescent="0.25">
      <c r="A6" s="3" t="s">
        <v>19</v>
      </c>
      <c r="B6" s="54">
        <v>57135</v>
      </c>
      <c r="C6" s="4">
        <v>5000</v>
      </c>
      <c r="D6" s="4"/>
      <c r="E6" s="6">
        <v>2639.4</v>
      </c>
      <c r="F6" s="4"/>
      <c r="G6" s="53">
        <v>239873.27</v>
      </c>
      <c r="H6" s="4"/>
      <c r="I6" s="6">
        <v>1750</v>
      </c>
      <c r="J6" s="4"/>
      <c r="K6" s="4">
        <v>9000</v>
      </c>
      <c r="L6" s="6">
        <v>15245</v>
      </c>
      <c r="M6" s="6">
        <v>6604</v>
      </c>
      <c r="N6" s="6">
        <v>17440</v>
      </c>
      <c r="O6" s="6">
        <v>1674.7</v>
      </c>
      <c r="P6" s="4"/>
      <c r="Q6" s="8">
        <f t="shared" si="0"/>
        <v>330642.67</v>
      </c>
    </row>
    <row r="7" spans="1:17" x14ac:dyDescent="0.25">
      <c r="A7" s="3" t="s">
        <v>20</v>
      </c>
      <c r="B7" s="6">
        <v>2103</v>
      </c>
      <c r="C7" s="4"/>
      <c r="D7" s="51">
        <v>32000</v>
      </c>
      <c r="E7" s="6">
        <v>2640</v>
      </c>
      <c r="F7" s="4"/>
      <c r="G7" s="6"/>
      <c r="H7" s="6">
        <v>6000</v>
      </c>
      <c r="I7" s="6">
        <v>1750</v>
      </c>
      <c r="J7" s="4"/>
      <c r="K7" s="4"/>
      <c r="L7" s="6">
        <v>16958.73</v>
      </c>
      <c r="M7" s="6">
        <v>6604</v>
      </c>
      <c r="N7" s="6">
        <v>440</v>
      </c>
      <c r="O7" s="6">
        <v>25038.36</v>
      </c>
      <c r="P7" s="4"/>
      <c r="Q7" s="8">
        <f t="shared" si="0"/>
        <v>61451.729999999996</v>
      </c>
    </row>
    <row r="8" spans="1:17" x14ac:dyDescent="0.25">
      <c r="A8" s="3" t="s">
        <v>21</v>
      </c>
      <c r="B8" s="4"/>
      <c r="C8" s="4">
        <v>5000</v>
      </c>
      <c r="D8" s="4"/>
      <c r="E8" s="6">
        <v>2640</v>
      </c>
      <c r="F8" s="6">
        <v>5200</v>
      </c>
      <c r="G8" s="6">
        <v>816400.56</v>
      </c>
      <c r="H8" s="4"/>
      <c r="I8" s="6">
        <v>1750</v>
      </c>
      <c r="J8" s="4"/>
      <c r="K8" s="4"/>
      <c r="L8" s="6">
        <v>14760.81</v>
      </c>
      <c r="M8" s="6">
        <v>6604</v>
      </c>
      <c r="N8" s="6">
        <v>440</v>
      </c>
      <c r="O8" s="6">
        <v>10134.459999999999</v>
      </c>
      <c r="P8" s="4"/>
      <c r="Q8" s="8">
        <f t="shared" si="0"/>
        <v>845751.37000000011</v>
      </c>
    </row>
    <row r="9" spans="1:17" x14ac:dyDescent="0.25">
      <c r="A9" s="3" t="s">
        <v>22</v>
      </c>
      <c r="B9" s="4"/>
      <c r="C9" s="4">
        <v>5000</v>
      </c>
      <c r="D9" s="4"/>
      <c r="E9" s="6">
        <v>2640</v>
      </c>
      <c r="F9" s="4"/>
      <c r="G9" s="7">
        <v>495000</v>
      </c>
      <c r="H9" s="4"/>
      <c r="I9" s="6">
        <v>1750</v>
      </c>
      <c r="J9" s="4"/>
      <c r="K9" s="4"/>
      <c r="L9" s="6">
        <v>15145.56</v>
      </c>
      <c r="M9" s="6">
        <v>6604</v>
      </c>
      <c r="N9" s="6">
        <v>440</v>
      </c>
      <c r="O9" s="6">
        <v>3348.37</v>
      </c>
      <c r="P9" s="4"/>
      <c r="Q9" s="8">
        <f t="shared" si="0"/>
        <v>519535.56</v>
      </c>
    </row>
    <row r="10" spans="1:17" x14ac:dyDescent="0.25">
      <c r="A10" s="3" t="s">
        <v>23</v>
      </c>
      <c r="B10" s="6">
        <v>3489.75</v>
      </c>
      <c r="C10" s="4"/>
      <c r="D10" s="4"/>
      <c r="E10" s="6">
        <v>2640</v>
      </c>
      <c r="F10" s="4">
        <v>7000</v>
      </c>
      <c r="G10" s="7"/>
      <c r="H10" s="4"/>
      <c r="I10" s="6">
        <v>1750</v>
      </c>
      <c r="J10" s="6">
        <v>7000</v>
      </c>
      <c r="K10" s="4">
        <v>20000</v>
      </c>
      <c r="L10" s="6">
        <v>13245</v>
      </c>
      <c r="M10" s="6">
        <v>6604</v>
      </c>
      <c r="N10" s="6">
        <v>440</v>
      </c>
      <c r="O10" s="4">
        <v>5000</v>
      </c>
      <c r="P10" s="4"/>
      <c r="Q10" s="8">
        <f t="shared" si="0"/>
        <v>55124.75</v>
      </c>
    </row>
    <row r="11" spans="1:17" x14ac:dyDescent="0.25">
      <c r="A11" s="3" t="s">
        <v>24</v>
      </c>
      <c r="B11" s="4"/>
      <c r="C11" s="4"/>
      <c r="D11" s="4"/>
      <c r="E11" s="4">
        <v>2640</v>
      </c>
      <c r="F11" s="4">
        <v>7000</v>
      </c>
      <c r="G11" s="50">
        <v>45000</v>
      </c>
      <c r="H11" s="4">
        <v>6000</v>
      </c>
      <c r="I11" s="52">
        <v>1750</v>
      </c>
      <c r="J11" s="4"/>
      <c r="K11" s="4"/>
      <c r="L11" s="6">
        <v>3000</v>
      </c>
      <c r="M11" s="6">
        <v>6604</v>
      </c>
      <c r="N11" s="6">
        <v>440</v>
      </c>
      <c r="O11" s="4">
        <v>5000</v>
      </c>
      <c r="P11" s="4"/>
      <c r="Q11" s="8">
        <f t="shared" si="0"/>
        <v>65390</v>
      </c>
    </row>
    <row r="12" spans="1:17" x14ac:dyDescent="0.25">
      <c r="A12" s="3" t="s">
        <v>25</v>
      </c>
      <c r="B12" s="4">
        <v>4000</v>
      </c>
      <c r="C12" s="4"/>
      <c r="D12" s="4"/>
      <c r="E12" s="4">
        <v>2640</v>
      </c>
      <c r="F12" s="4">
        <v>7000</v>
      </c>
      <c r="G12" s="7"/>
      <c r="H12" s="4"/>
      <c r="I12" s="52">
        <v>1750</v>
      </c>
      <c r="J12" s="4"/>
      <c r="K12" s="4"/>
      <c r="L12" s="6">
        <v>3000</v>
      </c>
      <c r="M12" s="6">
        <v>6604</v>
      </c>
      <c r="N12" s="6">
        <v>440</v>
      </c>
      <c r="O12" s="4">
        <v>5000</v>
      </c>
      <c r="P12" s="4"/>
      <c r="Q12" s="8">
        <f>SUM(B12:P12)</f>
        <v>30434</v>
      </c>
    </row>
    <row r="13" spans="1:17" x14ac:dyDescent="0.25">
      <c r="A13" s="3" t="s">
        <v>26</v>
      </c>
      <c r="B13" s="4"/>
      <c r="C13" s="4"/>
      <c r="D13" s="4"/>
      <c r="E13" s="4">
        <v>2640</v>
      </c>
      <c r="F13" s="4"/>
      <c r="G13" s="7"/>
      <c r="H13" s="4"/>
      <c r="I13" s="52">
        <v>1750</v>
      </c>
      <c r="J13" s="4">
        <v>4000</v>
      </c>
      <c r="K13" s="4"/>
      <c r="L13" s="6">
        <v>3000</v>
      </c>
      <c r="M13" s="6">
        <v>6604</v>
      </c>
      <c r="N13" s="6">
        <v>440</v>
      </c>
      <c r="O13" s="4">
        <v>5000</v>
      </c>
      <c r="P13" s="4">
        <v>160000</v>
      </c>
      <c r="Q13" s="8">
        <f>SUM(B13:L13)</f>
        <v>11390</v>
      </c>
    </row>
    <row r="14" spans="1:17" x14ac:dyDescent="0.25">
      <c r="A14" s="3" t="s">
        <v>27</v>
      </c>
      <c r="B14" s="4">
        <v>3000</v>
      </c>
      <c r="C14" s="4"/>
      <c r="D14" s="4"/>
      <c r="E14" s="4">
        <v>2640</v>
      </c>
      <c r="F14" s="4">
        <v>7000</v>
      </c>
      <c r="G14" s="4"/>
      <c r="H14" s="4">
        <v>6000</v>
      </c>
      <c r="I14" s="52">
        <v>1750</v>
      </c>
      <c r="J14" s="4"/>
      <c r="K14" s="4"/>
      <c r="L14" s="6">
        <v>3000</v>
      </c>
      <c r="M14" s="6">
        <v>6604</v>
      </c>
      <c r="N14" s="6">
        <v>440</v>
      </c>
      <c r="O14" s="4">
        <v>5000</v>
      </c>
      <c r="P14" s="4"/>
      <c r="Q14" s="8">
        <f>SUM(B14:L14)</f>
        <v>23390</v>
      </c>
    </row>
    <row r="15" spans="1:17" ht="15.75" thickBot="1" x14ac:dyDescent="0.3">
      <c r="A15" s="25" t="s">
        <v>28</v>
      </c>
      <c r="B15" s="26">
        <f>SUM(B3:B14)</f>
        <v>75764</v>
      </c>
      <c r="C15" s="26">
        <f>SUM(C3:C14)</f>
        <v>15000</v>
      </c>
      <c r="D15" s="26">
        <f t="shared" ref="D15:P15" si="1">SUM(D3:D14)</f>
        <v>32000</v>
      </c>
      <c r="E15" s="26">
        <f>SUM(E3:E14)</f>
        <v>31679.4</v>
      </c>
      <c r="F15" s="26">
        <f t="shared" si="1"/>
        <v>38200</v>
      </c>
      <c r="G15" s="26">
        <f t="shared" si="1"/>
        <v>1596273.83</v>
      </c>
      <c r="H15" s="26">
        <f t="shared" si="1"/>
        <v>24000</v>
      </c>
      <c r="I15" s="26">
        <f t="shared" si="1"/>
        <v>21000</v>
      </c>
      <c r="J15" s="26">
        <f>SUM(J3:J14)</f>
        <v>18000</v>
      </c>
      <c r="K15" s="26">
        <f t="shared" si="1"/>
        <v>29000</v>
      </c>
      <c r="L15" s="26">
        <f t="shared" si="1"/>
        <v>131333.19</v>
      </c>
      <c r="M15" s="26">
        <f>SUM(M3:M14)</f>
        <v>79248</v>
      </c>
      <c r="N15" s="26">
        <f t="shared" si="1"/>
        <v>22280</v>
      </c>
      <c r="O15" s="26">
        <f t="shared" si="1"/>
        <v>75730.080000000002</v>
      </c>
      <c r="P15" s="26">
        <f t="shared" si="1"/>
        <v>420869.18</v>
      </c>
      <c r="Q15" s="27">
        <f>SUM(B15:P15)</f>
        <v>2610377.6800000002</v>
      </c>
    </row>
    <row r="18" spans="2:7" x14ac:dyDescent="0.25">
      <c r="G18" t="s">
        <v>56</v>
      </c>
    </row>
    <row r="20" spans="2:7" x14ac:dyDescent="0.25">
      <c r="B20" s="29"/>
    </row>
  </sheetData>
  <mergeCells count="1">
    <mergeCell ref="A1:Q1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tabSelected="1" topLeftCell="D1" workbookViewId="0">
      <selection activeCell="E9" sqref="E9"/>
    </sheetView>
  </sheetViews>
  <sheetFormatPr defaultRowHeight="15" x14ac:dyDescent="0.25"/>
  <cols>
    <col min="1" max="1" width="23.85546875" style="9" hidden="1" customWidth="1"/>
    <col min="2" max="2" width="26.7109375" style="10" hidden="1" customWidth="1"/>
    <col min="3" max="3" width="0" hidden="1" customWidth="1"/>
    <col min="4" max="4" width="27" customWidth="1"/>
    <col min="5" max="5" width="21.7109375" bestFit="1" customWidth="1"/>
    <col min="6" max="6" width="16.28515625" customWidth="1"/>
    <col min="7" max="7" width="16.7109375" customWidth="1"/>
    <col min="8" max="8" width="17.42578125" customWidth="1"/>
    <col min="9" max="9" width="17" customWidth="1"/>
    <col min="10" max="10" width="18.85546875" customWidth="1"/>
    <col min="11" max="11" width="17.42578125" customWidth="1"/>
    <col min="12" max="12" width="18.140625" customWidth="1"/>
    <col min="13" max="17" width="13.7109375" customWidth="1"/>
    <col min="18" max="18" width="22.140625" style="14" customWidth="1"/>
  </cols>
  <sheetData>
    <row r="1" spans="1:18" ht="28.5" x14ac:dyDescent="0.45">
      <c r="A1" s="69" t="s">
        <v>68</v>
      </c>
      <c r="B1" s="69"/>
      <c r="D1" s="23"/>
      <c r="E1" s="24"/>
      <c r="F1" s="62" t="s">
        <v>132</v>
      </c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4"/>
    </row>
    <row r="2" spans="1:18" ht="15.75" x14ac:dyDescent="0.25">
      <c r="A2" s="15" t="s">
        <v>29</v>
      </c>
      <c r="B2" s="16" t="s">
        <v>65</v>
      </c>
      <c r="D2" s="38" t="s">
        <v>70</v>
      </c>
      <c r="E2" s="39" t="s">
        <v>71</v>
      </c>
      <c r="F2" s="39" t="s">
        <v>107</v>
      </c>
      <c r="G2" s="39" t="s">
        <v>108</v>
      </c>
      <c r="H2" s="39" t="s">
        <v>109</v>
      </c>
      <c r="I2" s="39" t="s">
        <v>110</v>
      </c>
      <c r="J2" s="39" t="s">
        <v>111</v>
      </c>
      <c r="K2" s="39" t="s">
        <v>112</v>
      </c>
      <c r="L2" s="39" t="s">
        <v>113</v>
      </c>
      <c r="M2" s="39" t="s">
        <v>114</v>
      </c>
      <c r="N2" s="39" t="s">
        <v>115</v>
      </c>
      <c r="O2" s="39" t="s">
        <v>116</v>
      </c>
      <c r="P2" s="39" t="s">
        <v>117</v>
      </c>
      <c r="Q2" s="39" t="s">
        <v>118</v>
      </c>
      <c r="R2" s="40" t="s">
        <v>15</v>
      </c>
    </row>
    <row r="3" spans="1:18" s="9" customFormat="1" ht="15.75" x14ac:dyDescent="0.25">
      <c r="A3" s="11" t="s">
        <v>30</v>
      </c>
      <c r="B3" s="13">
        <v>150000</v>
      </c>
      <c r="D3" s="41" t="s">
        <v>72</v>
      </c>
      <c r="E3" s="42">
        <v>155000</v>
      </c>
      <c r="F3" s="43">
        <v>1</v>
      </c>
      <c r="G3" s="43">
        <v>1</v>
      </c>
      <c r="H3" s="43">
        <v>1</v>
      </c>
      <c r="I3" s="43">
        <v>1</v>
      </c>
      <c r="J3" s="43">
        <v>51666.66</v>
      </c>
      <c r="K3" s="43">
        <v>1</v>
      </c>
      <c r="L3" s="43">
        <v>51666.64</v>
      </c>
      <c r="M3" s="43">
        <v>1</v>
      </c>
      <c r="N3" s="43">
        <v>1</v>
      </c>
      <c r="O3" s="43">
        <v>1</v>
      </c>
      <c r="P3" s="43">
        <v>1</v>
      </c>
      <c r="Q3" s="43">
        <v>1</v>
      </c>
      <c r="R3" s="44">
        <f t="shared" ref="R3:R22" si="0">SUM(F3:Q3)</f>
        <v>103343.3</v>
      </c>
    </row>
    <row r="4" spans="1:18" s="9" customFormat="1" ht="15.75" x14ac:dyDescent="0.25">
      <c r="A4" s="11" t="s">
        <v>31</v>
      </c>
      <c r="B4" s="13">
        <v>240000</v>
      </c>
      <c r="D4" s="41" t="s">
        <v>73</v>
      </c>
      <c r="E4" s="42">
        <v>390000</v>
      </c>
      <c r="F4" s="43">
        <v>27764.1</v>
      </c>
      <c r="G4" s="43">
        <v>21015</v>
      </c>
      <c r="H4" s="43">
        <v>32175</v>
      </c>
      <c r="I4" s="43">
        <v>64180.9</v>
      </c>
      <c r="J4" s="43"/>
      <c r="K4" s="43">
        <v>45361.75</v>
      </c>
      <c r="L4" s="43">
        <v>59731</v>
      </c>
      <c r="M4" s="43"/>
      <c r="N4" s="43"/>
      <c r="O4" s="43"/>
      <c r="P4" s="43"/>
      <c r="Q4" s="43"/>
      <c r="R4" s="44">
        <f t="shared" si="0"/>
        <v>250227.75</v>
      </c>
    </row>
    <row r="5" spans="1:18" s="9" customFormat="1" ht="15.75" x14ac:dyDescent="0.25">
      <c r="A5" s="11" t="s">
        <v>32</v>
      </c>
      <c r="B5" s="13">
        <v>45000</v>
      </c>
      <c r="D5" s="41" t="s">
        <v>74</v>
      </c>
      <c r="E5" s="42">
        <v>20000</v>
      </c>
      <c r="F5" s="43">
        <v>1</v>
      </c>
      <c r="G5" s="43">
        <v>4090.9</v>
      </c>
      <c r="H5" s="43">
        <v>8500.99</v>
      </c>
      <c r="I5" s="43">
        <v>9555.7099999999991</v>
      </c>
      <c r="J5" s="43">
        <v>9555.7000000000007</v>
      </c>
      <c r="K5" s="43">
        <v>9555.7000000000007</v>
      </c>
      <c r="L5" s="43">
        <v>4090</v>
      </c>
      <c r="M5" s="43"/>
      <c r="N5" s="43"/>
      <c r="O5" s="43"/>
      <c r="P5" s="43"/>
      <c r="Q5" s="43"/>
      <c r="R5" s="44">
        <f t="shared" si="0"/>
        <v>45350</v>
      </c>
    </row>
    <row r="6" spans="1:18" s="9" customFormat="1" ht="15.75" x14ac:dyDescent="0.25">
      <c r="A6" s="11" t="s">
        <v>33</v>
      </c>
      <c r="B6" s="13">
        <v>165000</v>
      </c>
      <c r="D6" s="41" t="s">
        <v>75</v>
      </c>
      <c r="E6" s="42">
        <v>215000</v>
      </c>
      <c r="F6" s="43">
        <v>10126.09</v>
      </c>
      <c r="G6" s="43">
        <v>6772.4</v>
      </c>
      <c r="H6" s="43">
        <v>14004.87</v>
      </c>
      <c r="I6" s="43">
        <v>10412.49</v>
      </c>
      <c r="J6" s="43">
        <v>7115.68</v>
      </c>
      <c r="K6" s="43">
        <v>11027.48</v>
      </c>
      <c r="L6" s="43">
        <v>10144.870000000001</v>
      </c>
      <c r="M6" s="43"/>
      <c r="N6" s="43"/>
      <c r="O6" s="43"/>
      <c r="P6" s="43"/>
      <c r="Q6" s="43"/>
      <c r="R6" s="44">
        <f t="shared" si="0"/>
        <v>69603.87999999999</v>
      </c>
    </row>
    <row r="7" spans="1:18" s="9" customFormat="1" ht="15.75" x14ac:dyDescent="0.25">
      <c r="A7" s="12" t="s">
        <v>34</v>
      </c>
      <c r="B7" s="13">
        <v>80000</v>
      </c>
      <c r="D7" s="41" t="s">
        <v>76</v>
      </c>
      <c r="E7" s="42">
        <v>115000</v>
      </c>
      <c r="F7" s="43">
        <v>1</v>
      </c>
      <c r="G7" s="43">
        <v>1917.21</v>
      </c>
      <c r="H7" s="43"/>
      <c r="I7" s="43">
        <v>3049.81</v>
      </c>
      <c r="J7" s="43">
        <v>4391.84</v>
      </c>
      <c r="K7" s="43">
        <v>9416.74</v>
      </c>
      <c r="L7" s="43">
        <v>6276.74</v>
      </c>
      <c r="M7" s="43"/>
      <c r="N7" s="43"/>
      <c r="O7" s="43"/>
      <c r="P7" s="43"/>
      <c r="Q7" s="43"/>
      <c r="R7" s="44">
        <f t="shared" si="0"/>
        <v>25053.339999999997</v>
      </c>
    </row>
    <row r="8" spans="1:18" s="9" customFormat="1" ht="15.75" x14ac:dyDescent="0.25">
      <c r="A8" s="12" t="s">
        <v>35</v>
      </c>
      <c r="B8" s="13">
        <v>115000</v>
      </c>
      <c r="D8" s="41" t="s">
        <v>77</v>
      </c>
      <c r="E8" s="42">
        <v>160000</v>
      </c>
      <c r="F8" s="43">
        <v>21798</v>
      </c>
      <c r="G8" s="43"/>
      <c r="H8" s="43">
        <v>5476.24</v>
      </c>
      <c r="I8" s="43">
        <v>21801.64</v>
      </c>
      <c r="J8" s="43"/>
      <c r="K8" s="43">
        <v>35371.699999999997</v>
      </c>
      <c r="L8" s="43">
        <v>12360.6</v>
      </c>
      <c r="M8" s="43"/>
      <c r="N8" s="43"/>
      <c r="O8" s="43"/>
      <c r="P8" s="43"/>
      <c r="Q8" s="43"/>
      <c r="R8" s="44">
        <f t="shared" si="0"/>
        <v>96808.18</v>
      </c>
    </row>
    <row r="9" spans="1:18" s="9" customFormat="1" ht="15.75" x14ac:dyDescent="0.25">
      <c r="A9" s="12" t="s">
        <v>36</v>
      </c>
      <c r="B9" s="13">
        <v>70000</v>
      </c>
      <c r="D9" s="41" t="s">
        <v>78</v>
      </c>
      <c r="E9" s="42">
        <v>310000</v>
      </c>
      <c r="F9" s="43">
        <v>16686.580000000002</v>
      </c>
      <c r="G9" s="43">
        <v>15680.45</v>
      </c>
      <c r="H9" s="43">
        <v>20321.36</v>
      </c>
      <c r="I9" s="43">
        <v>16701.78</v>
      </c>
      <c r="J9" s="43">
        <v>16368.03</v>
      </c>
      <c r="K9" s="43">
        <v>16355.37</v>
      </c>
      <c r="L9" s="43">
        <v>25143.46</v>
      </c>
      <c r="M9" s="43"/>
      <c r="N9" s="43"/>
      <c r="O9" s="43"/>
      <c r="P9" s="43"/>
      <c r="Q9" s="43"/>
      <c r="R9" s="44">
        <f t="shared" si="0"/>
        <v>127257.03</v>
      </c>
    </row>
    <row r="10" spans="1:18" s="9" customFormat="1" ht="15.75" x14ac:dyDescent="0.25">
      <c r="A10" s="12" t="s">
        <v>62</v>
      </c>
      <c r="B10" s="13">
        <v>180000</v>
      </c>
      <c r="D10" s="41" t="s">
        <v>79</v>
      </c>
      <c r="E10" s="42">
        <v>65000</v>
      </c>
      <c r="F10" s="43">
        <v>3491.55</v>
      </c>
      <c r="G10" s="43">
        <v>3521.83</v>
      </c>
      <c r="H10" s="43">
        <v>4627.8100000000004</v>
      </c>
      <c r="I10" s="43">
        <v>5822.82</v>
      </c>
      <c r="J10" s="43">
        <v>5923.99</v>
      </c>
      <c r="K10" s="43">
        <v>3705.34</v>
      </c>
      <c r="L10" s="43">
        <v>6240.68</v>
      </c>
      <c r="M10" s="43"/>
      <c r="N10" s="43"/>
      <c r="O10" s="43"/>
      <c r="P10" s="43"/>
      <c r="Q10" s="43"/>
      <c r="R10" s="44">
        <f t="shared" si="0"/>
        <v>33334.020000000004</v>
      </c>
    </row>
    <row r="11" spans="1:18" s="9" customFormat="1" ht="15.75" x14ac:dyDescent="0.25">
      <c r="A11" s="11" t="s">
        <v>37</v>
      </c>
      <c r="B11" s="13">
        <v>150000</v>
      </c>
      <c r="D11" s="41" t="s">
        <v>80</v>
      </c>
      <c r="E11" s="42">
        <v>170000</v>
      </c>
      <c r="F11" s="43">
        <v>7701.68</v>
      </c>
      <c r="G11" s="43">
        <v>1895.92</v>
      </c>
      <c r="H11" s="43">
        <v>62310.48</v>
      </c>
      <c r="I11" s="43">
        <v>12078.78</v>
      </c>
      <c r="J11" s="43">
        <v>9086.2900000000009</v>
      </c>
      <c r="K11" s="43">
        <v>18392.39</v>
      </c>
      <c r="L11" s="43">
        <v>10997.62</v>
      </c>
      <c r="M11" s="43"/>
      <c r="N11" s="43"/>
      <c r="O11" s="43"/>
      <c r="P11" s="43"/>
      <c r="Q11" s="43"/>
      <c r="R11" s="44">
        <f t="shared" si="0"/>
        <v>122463.15999999999</v>
      </c>
    </row>
    <row r="12" spans="1:18" s="9" customFormat="1" ht="15.75" x14ac:dyDescent="0.25">
      <c r="A12" s="11" t="s">
        <v>38</v>
      </c>
      <c r="B12" s="13">
        <v>85000</v>
      </c>
      <c r="D12" s="41" t="s">
        <v>81</v>
      </c>
      <c r="E12" s="42">
        <v>15000</v>
      </c>
      <c r="F12" s="43">
        <v>200.88</v>
      </c>
      <c r="G12" s="43">
        <v>713.16</v>
      </c>
      <c r="H12" s="43"/>
      <c r="I12" s="43">
        <v>458.03</v>
      </c>
      <c r="J12" s="43">
        <v>135</v>
      </c>
      <c r="K12" s="43">
        <v>967.41</v>
      </c>
      <c r="L12" s="43">
        <v>132.84</v>
      </c>
      <c r="M12" s="43"/>
      <c r="N12" s="43"/>
      <c r="O12" s="43"/>
      <c r="P12" s="43"/>
      <c r="Q12" s="43"/>
      <c r="R12" s="44">
        <f t="shared" si="0"/>
        <v>2607.3200000000002</v>
      </c>
    </row>
    <row r="13" spans="1:18" s="9" customFormat="1" ht="15.75" x14ac:dyDescent="0.25">
      <c r="A13" s="11" t="s">
        <v>58</v>
      </c>
      <c r="B13" s="13">
        <v>110000</v>
      </c>
      <c r="D13" s="41" t="s">
        <v>82</v>
      </c>
      <c r="E13" s="42">
        <v>120000</v>
      </c>
      <c r="F13" s="43">
        <v>10000</v>
      </c>
      <c r="G13" s="43">
        <v>10000</v>
      </c>
      <c r="H13" s="43">
        <v>10000</v>
      </c>
      <c r="I13" s="43">
        <v>10000</v>
      </c>
      <c r="J13" s="43">
        <v>10000</v>
      </c>
      <c r="K13" s="43">
        <v>10000</v>
      </c>
      <c r="L13" s="43">
        <v>10000</v>
      </c>
      <c r="M13" s="43"/>
      <c r="N13" s="43"/>
      <c r="O13" s="43"/>
      <c r="P13" s="43"/>
      <c r="Q13" s="43"/>
      <c r="R13" s="44">
        <f t="shared" si="0"/>
        <v>70000</v>
      </c>
    </row>
    <row r="14" spans="1:18" s="9" customFormat="1" ht="15.75" x14ac:dyDescent="0.25">
      <c r="A14" s="12" t="s">
        <v>39</v>
      </c>
      <c r="B14" s="13">
        <v>100000</v>
      </c>
      <c r="D14" s="41" t="s">
        <v>83</v>
      </c>
      <c r="E14" s="42">
        <v>190000</v>
      </c>
      <c r="F14" s="43">
        <v>16430.28</v>
      </c>
      <c r="G14" s="43">
        <v>4914.82</v>
      </c>
      <c r="H14" s="43">
        <v>7224.82</v>
      </c>
      <c r="I14" s="43">
        <v>23453.74</v>
      </c>
      <c r="J14" s="43">
        <v>12066.88</v>
      </c>
      <c r="K14" s="43">
        <v>46947.92</v>
      </c>
      <c r="L14" s="43">
        <v>36023.54</v>
      </c>
      <c r="M14" s="43"/>
      <c r="N14" s="43"/>
      <c r="O14" s="43"/>
      <c r="P14" s="43"/>
      <c r="Q14" s="43"/>
      <c r="R14" s="44">
        <f t="shared" si="0"/>
        <v>147062</v>
      </c>
    </row>
    <row r="15" spans="1:18" s="9" customFormat="1" ht="15.75" x14ac:dyDescent="0.25">
      <c r="A15" s="12" t="s">
        <v>40</v>
      </c>
      <c r="B15" s="13">
        <v>150000</v>
      </c>
      <c r="D15" s="41" t="s">
        <v>84</v>
      </c>
      <c r="E15" s="42">
        <v>145000</v>
      </c>
      <c r="F15" s="43">
        <v>12855.71</v>
      </c>
      <c r="G15" s="43">
        <v>27530.83</v>
      </c>
      <c r="H15" s="43">
        <v>25723.1</v>
      </c>
      <c r="I15" s="43">
        <v>13573.14</v>
      </c>
      <c r="J15" s="43">
        <v>14774.31</v>
      </c>
      <c r="K15" s="43">
        <v>18105.18</v>
      </c>
      <c r="L15" s="43">
        <v>9827.0300000000007</v>
      </c>
      <c r="M15" s="43"/>
      <c r="N15" s="43"/>
      <c r="O15" s="43"/>
      <c r="P15" s="43"/>
      <c r="Q15" s="43"/>
      <c r="R15" s="44">
        <f t="shared" si="0"/>
        <v>122389.29999999999</v>
      </c>
    </row>
    <row r="16" spans="1:18" s="9" customFormat="1" ht="15.75" x14ac:dyDescent="0.25">
      <c r="A16" s="11" t="s">
        <v>41</v>
      </c>
      <c r="B16" s="13">
        <v>92000</v>
      </c>
      <c r="D16" s="41" t="s">
        <v>85</v>
      </c>
      <c r="E16" s="42">
        <v>112000</v>
      </c>
      <c r="F16" s="43">
        <v>6459.27</v>
      </c>
      <c r="G16" s="43">
        <v>13801.15</v>
      </c>
      <c r="H16" s="43">
        <v>6187.57</v>
      </c>
      <c r="I16" s="43">
        <v>9977.4</v>
      </c>
      <c r="J16" s="43">
        <v>2388.25</v>
      </c>
      <c r="K16" s="43">
        <v>9569.2900000000009</v>
      </c>
      <c r="L16" s="43">
        <v>8232.2900000000009</v>
      </c>
      <c r="M16" s="43"/>
      <c r="N16" s="43"/>
      <c r="O16" s="43"/>
      <c r="P16" s="43"/>
      <c r="Q16" s="43"/>
      <c r="R16" s="44">
        <f t="shared" si="0"/>
        <v>56615.22</v>
      </c>
    </row>
    <row r="17" spans="1:18" s="9" customFormat="1" ht="15.75" x14ac:dyDescent="0.25">
      <c r="A17" s="11" t="s">
        <v>60</v>
      </c>
      <c r="B17" s="13">
        <v>185000</v>
      </c>
      <c r="D17" s="41" t="s">
        <v>86</v>
      </c>
      <c r="E17" s="42">
        <v>370000</v>
      </c>
      <c r="F17" s="43">
        <v>19991.189999999999</v>
      </c>
      <c r="G17" s="43">
        <v>48287.66</v>
      </c>
      <c r="H17" s="43">
        <v>49187.7</v>
      </c>
      <c r="I17" s="43">
        <v>46222.9</v>
      </c>
      <c r="J17" s="43">
        <v>23444.33</v>
      </c>
      <c r="K17" s="43">
        <v>40217.300000000003</v>
      </c>
      <c r="L17" s="43">
        <v>25928.3</v>
      </c>
      <c r="M17" s="43"/>
      <c r="N17" s="43"/>
      <c r="O17" s="43"/>
      <c r="P17" s="43"/>
      <c r="Q17" s="43"/>
      <c r="R17" s="44">
        <f t="shared" si="0"/>
        <v>253279.38</v>
      </c>
    </row>
    <row r="18" spans="1:18" s="9" customFormat="1" ht="15.75" x14ac:dyDescent="0.25">
      <c r="A18" s="12" t="s">
        <v>42</v>
      </c>
      <c r="B18" s="13">
        <v>100000</v>
      </c>
      <c r="D18" s="41" t="s">
        <v>87</v>
      </c>
      <c r="E18" s="42">
        <v>20000</v>
      </c>
      <c r="F18" s="43">
        <v>1</v>
      </c>
      <c r="G18" s="43">
        <v>14108.88</v>
      </c>
      <c r="H18" s="43">
        <v>10885.3</v>
      </c>
      <c r="I18" s="43"/>
      <c r="J18" s="43">
        <v>6046.66</v>
      </c>
      <c r="K18" s="43"/>
      <c r="L18" s="43"/>
      <c r="M18" s="43"/>
      <c r="N18" s="43"/>
      <c r="O18" s="43"/>
      <c r="P18" s="43"/>
      <c r="Q18" s="43"/>
      <c r="R18" s="44">
        <f t="shared" si="0"/>
        <v>31041.84</v>
      </c>
    </row>
    <row r="19" spans="1:18" s="9" customFormat="1" ht="15.75" x14ac:dyDescent="0.25">
      <c r="A19" s="12" t="s">
        <v>43</v>
      </c>
      <c r="B19" s="13">
        <v>90000</v>
      </c>
      <c r="D19" s="41" t="s">
        <v>88</v>
      </c>
      <c r="E19" s="42">
        <v>170000</v>
      </c>
      <c r="F19" s="43">
        <v>5056.71</v>
      </c>
      <c r="G19" s="43">
        <v>10937.88</v>
      </c>
      <c r="H19" s="43">
        <v>7879.47</v>
      </c>
      <c r="I19" s="43">
        <v>5521.52</v>
      </c>
      <c r="J19" s="43">
        <v>13010.39</v>
      </c>
      <c r="K19" s="43">
        <v>11836.55</v>
      </c>
      <c r="L19" s="43">
        <v>8738.61</v>
      </c>
      <c r="M19" s="43"/>
      <c r="N19" s="43"/>
      <c r="O19" s="43"/>
      <c r="P19" s="43"/>
      <c r="Q19" s="43"/>
      <c r="R19" s="44">
        <f t="shared" si="0"/>
        <v>62981.130000000005</v>
      </c>
    </row>
    <row r="20" spans="1:18" s="9" customFormat="1" ht="15.75" x14ac:dyDescent="0.25">
      <c r="A20" s="12"/>
      <c r="B20" s="13"/>
      <c r="D20" s="41" t="s">
        <v>89</v>
      </c>
      <c r="E20" s="42">
        <v>175000</v>
      </c>
      <c r="F20" s="43">
        <v>18152.009999999998</v>
      </c>
      <c r="G20" s="43">
        <v>19430.16</v>
      </c>
      <c r="H20" s="43">
        <v>18462.560000000001</v>
      </c>
      <c r="I20" s="43">
        <v>8910.16</v>
      </c>
      <c r="J20" s="43">
        <v>16327.2</v>
      </c>
      <c r="K20" s="43">
        <v>11151.99</v>
      </c>
      <c r="L20" s="43">
        <v>11427.24</v>
      </c>
      <c r="M20" s="43"/>
      <c r="N20" s="43"/>
      <c r="O20" s="43"/>
      <c r="P20" s="43"/>
      <c r="Q20" s="43"/>
      <c r="R20" s="44">
        <f t="shared" si="0"/>
        <v>103861.32</v>
      </c>
    </row>
    <row r="21" spans="1:18" s="9" customFormat="1" ht="15.75" x14ac:dyDescent="0.25">
      <c r="A21" s="11" t="s">
        <v>44</v>
      </c>
      <c r="B21" s="13">
        <v>95000</v>
      </c>
      <c r="D21" s="41" t="s">
        <v>90</v>
      </c>
      <c r="E21" s="42">
        <v>95000</v>
      </c>
      <c r="F21" s="43">
        <v>1</v>
      </c>
      <c r="G21" s="43">
        <v>4114.1099999999997</v>
      </c>
      <c r="H21" s="43">
        <v>8771.75</v>
      </c>
      <c r="I21" s="43">
        <v>9906.27</v>
      </c>
      <c r="J21" s="43">
        <v>5838.42</v>
      </c>
      <c r="K21" s="43"/>
      <c r="L21" s="43">
        <v>10101.700000000001</v>
      </c>
      <c r="M21" s="43"/>
      <c r="N21" s="43"/>
      <c r="O21" s="43"/>
      <c r="P21" s="43"/>
      <c r="Q21" s="43"/>
      <c r="R21" s="44">
        <f t="shared" si="0"/>
        <v>38733.25</v>
      </c>
    </row>
    <row r="22" spans="1:18" s="9" customFormat="1" ht="15.75" x14ac:dyDescent="0.25">
      <c r="A22" s="12" t="s">
        <v>45</v>
      </c>
      <c r="B22" s="13">
        <v>75000</v>
      </c>
      <c r="D22" s="41" t="s">
        <v>120</v>
      </c>
      <c r="E22" s="42">
        <v>120000</v>
      </c>
      <c r="F22" s="43">
        <v>1</v>
      </c>
      <c r="G22" s="43"/>
      <c r="H22" s="43">
        <v>31523.93</v>
      </c>
      <c r="I22" s="43"/>
      <c r="J22" s="43"/>
      <c r="K22" s="43"/>
      <c r="L22" s="43"/>
      <c r="M22" s="43"/>
      <c r="N22" s="43"/>
      <c r="O22" s="43"/>
      <c r="P22" s="43"/>
      <c r="Q22" s="43"/>
      <c r="R22" s="44">
        <f t="shared" si="0"/>
        <v>31524.93</v>
      </c>
    </row>
    <row r="23" spans="1:18" s="9" customFormat="1" ht="15.75" x14ac:dyDescent="0.25">
      <c r="A23" s="11" t="s">
        <v>59</v>
      </c>
      <c r="B23" s="13">
        <v>70000</v>
      </c>
      <c r="D23" s="41" t="s">
        <v>91</v>
      </c>
      <c r="E23" s="42">
        <v>185000</v>
      </c>
      <c r="F23" s="43">
        <v>17559.79</v>
      </c>
      <c r="G23" s="43">
        <v>18185.3</v>
      </c>
      <c r="H23" s="43">
        <v>27463.52</v>
      </c>
      <c r="I23" s="43">
        <v>17293.71</v>
      </c>
      <c r="J23" s="43">
        <v>400.93</v>
      </c>
      <c r="K23" s="43">
        <v>16726.57</v>
      </c>
      <c r="L23" s="43">
        <v>27673.99</v>
      </c>
      <c r="M23" s="43"/>
      <c r="N23" s="43"/>
      <c r="O23" s="43"/>
      <c r="P23" s="43"/>
      <c r="Q23" s="43"/>
      <c r="R23" s="44">
        <f t="shared" ref="R23:R27" si="1">SUM(F23:Q23)</f>
        <v>125303.81000000001</v>
      </c>
    </row>
    <row r="24" spans="1:18" s="9" customFormat="1" ht="15.75" x14ac:dyDescent="0.25">
      <c r="A24" s="12" t="s">
        <v>46</v>
      </c>
      <c r="B24" s="13">
        <v>72000</v>
      </c>
      <c r="D24" s="41" t="s">
        <v>92</v>
      </c>
      <c r="E24" s="42">
        <v>285000</v>
      </c>
      <c r="F24" s="43">
        <v>21154.6</v>
      </c>
      <c r="G24" s="43">
        <v>17397.88</v>
      </c>
      <c r="H24" s="43">
        <v>28902.97</v>
      </c>
      <c r="I24" s="43">
        <v>30737.16</v>
      </c>
      <c r="J24" s="43">
        <v>27147.5</v>
      </c>
      <c r="K24" s="43">
        <v>31062.53</v>
      </c>
      <c r="L24" s="43">
        <v>37454.71</v>
      </c>
      <c r="M24" s="43"/>
      <c r="N24" s="43"/>
      <c r="O24" s="43"/>
      <c r="P24" s="43"/>
      <c r="Q24" s="43"/>
      <c r="R24" s="44">
        <f t="shared" si="1"/>
        <v>193857.35</v>
      </c>
    </row>
    <row r="25" spans="1:18" s="9" customFormat="1" ht="15.75" x14ac:dyDescent="0.25">
      <c r="A25" s="11" t="s">
        <v>47</v>
      </c>
      <c r="B25" s="13">
        <v>195000</v>
      </c>
      <c r="D25" s="41" t="s">
        <v>93</v>
      </c>
      <c r="E25" s="42">
        <v>125000</v>
      </c>
      <c r="F25" s="43">
        <v>12701.16</v>
      </c>
      <c r="G25" s="43">
        <v>8936.93</v>
      </c>
      <c r="H25" s="43">
        <v>9047.84</v>
      </c>
      <c r="I25" s="43">
        <v>9481.4599999999991</v>
      </c>
      <c r="J25" s="43">
        <v>14038.78</v>
      </c>
      <c r="K25" s="43">
        <v>11006.07</v>
      </c>
      <c r="L25" s="43">
        <v>13811.38</v>
      </c>
      <c r="M25" s="43"/>
      <c r="N25" s="43"/>
      <c r="O25" s="43"/>
      <c r="P25" s="43"/>
      <c r="Q25" s="43"/>
      <c r="R25" s="44">
        <f t="shared" si="1"/>
        <v>79023.62</v>
      </c>
    </row>
    <row r="26" spans="1:18" s="9" customFormat="1" ht="15.75" x14ac:dyDescent="0.25">
      <c r="A26" s="12" t="s">
        <v>48</v>
      </c>
      <c r="B26" s="13">
        <v>150000</v>
      </c>
      <c r="D26" s="41" t="s">
        <v>94</v>
      </c>
      <c r="E26" s="42">
        <v>120000</v>
      </c>
      <c r="F26" s="43">
        <v>7784.36</v>
      </c>
      <c r="G26" s="43">
        <v>9027.41</v>
      </c>
      <c r="H26" s="43">
        <v>7263.51</v>
      </c>
      <c r="I26" s="43">
        <v>28343.86</v>
      </c>
      <c r="J26" s="43">
        <v>12539.23</v>
      </c>
      <c r="K26" s="43">
        <v>8562.31</v>
      </c>
      <c r="L26" s="43">
        <v>11410.45</v>
      </c>
      <c r="M26" s="43"/>
      <c r="N26" s="43"/>
      <c r="O26" s="43"/>
      <c r="P26" s="43"/>
      <c r="Q26" s="43"/>
      <c r="R26" s="44">
        <f t="shared" si="1"/>
        <v>84931.12999999999</v>
      </c>
    </row>
    <row r="27" spans="1:18" s="9" customFormat="1" ht="15.75" x14ac:dyDescent="0.25">
      <c r="A27" s="12" t="s">
        <v>49</v>
      </c>
      <c r="B27" s="13">
        <v>50000</v>
      </c>
      <c r="D27" s="41" t="s">
        <v>125</v>
      </c>
      <c r="E27" s="42">
        <v>120000</v>
      </c>
      <c r="F27" s="43">
        <v>7774.21</v>
      </c>
      <c r="G27" s="43">
        <v>4413.71</v>
      </c>
      <c r="H27" s="43">
        <v>13333.32</v>
      </c>
      <c r="I27" s="43">
        <v>17989.16</v>
      </c>
      <c r="J27" s="43">
        <v>16770.72</v>
      </c>
      <c r="K27" s="43">
        <v>11085.32</v>
      </c>
      <c r="L27" s="43">
        <v>16967.240000000002</v>
      </c>
      <c r="M27" s="43"/>
      <c r="N27" s="43"/>
      <c r="O27" s="43"/>
      <c r="P27" s="43"/>
      <c r="Q27" s="43"/>
      <c r="R27" s="44">
        <f t="shared" si="1"/>
        <v>88333.680000000008</v>
      </c>
    </row>
    <row r="28" spans="1:18" s="9" customFormat="1" ht="15.75" x14ac:dyDescent="0.25">
      <c r="A28" s="11" t="s">
        <v>50</v>
      </c>
      <c r="B28" s="13">
        <v>45000</v>
      </c>
      <c r="D28" s="41" t="s">
        <v>97</v>
      </c>
      <c r="E28" s="42">
        <v>410000</v>
      </c>
      <c r="F28" s="43">
        <v>1</v>
      </c>
      <c r="G28" s="43">
        <v>27265.200000000001</v>
      </c>
      <c r="H28" s="43">
        <v>11250</v>
      </c>
      <c r="I28" s="43">
        <v>55995.96</v>
      </c>
      <c r="J28" s="43">
        <v>34749.339999999997</v>
      </c>
      <c r="K28" s="43">
        <v>16780.75</v>
      </c>
      <c r="L28" s="43">
        <v>33750</v>
      </c>
      <c r="M28" s="43"/>
      <c r="N28" s="43"/>
      <c r="O28" s="43"/>
      <c r="P28" s="43"/>
      <c r="Q28" s="43"/>
      <c r="R28" s="44">
        <f t="shared" ref="R28:R38" si="2">SUM(F28:Q28)</f>
        <v>179792.25</v>
      </c>
    </row>
    <row r="29" spans="1:18" s="9" customFormat="1" ht="15.75" x14ac:dyDescent="0.25">
      <c r="A29" s="12" t="s">
        <v>57</v>
      </c>
      <c r="B29" s="13">
        <v>130000</v>
      </c>
      <c r="D29" s="41" t="s">
        <v>95</v>
      </c>
      <c r="E29" s="42">
        <v>70000</v>
      </c>
      <c r="F29" s="43">
        <v>4810</v>
      </c>
      <c r="G29" s="43">
        <v>3705</v>
      </c>
      <c r="H29" s="43"/>
      <c r="I29" s="43"/>
      <c r="J29" s="43">
        <v>5541.9</v>
      </c>
      <c r="K29" s="43"/>
      <c r="L29" s="43"/>
      <c r="M29" s="43"/>
      <c r="N29" s="43"/>
      <c r="O29" s="43"/>
      <c r="P29" s="43"/>
      <c r="Q29" s="43"/>
      <c r="R29" s="44">
        <f t="shared" si="2"/>
        <v>14056.9</v>
      </c>
    </row>
    <row r="30" spans="1:18" s="9" customFormat="1" ht="15.75" x14ac:dyDescent="0.25">
      <c r="A30" s="12" t="s">
        <v>61</v>
      </c>
      <c r="B30" s="13">
        <v>25000</v>
      </c>
      <c r="D30" s="41" t="s">
        <v>96</v>
      </c>
      <c r="E30" s="42">
        <v>85000</v>
      </c>
      <c r="F30" s="43">
        <v>4309.0370000000003</v>
      </c>
      <c r="G30" s="43">
        <v>4515.38</v>
      </c>
      <c r="H30" s="43">
        <v>5658.75</v>
      </c>
      <c r="I30" s="43">
        <v>3993.96</v>
      </c>
      <c r="J30" s="43">
        <v>4975.47</v>
      </c>
      <c r="K30" s="43">
        <v>7509.45</v>
      </c>
      <c r="L30" s="43">
        <v>4221.55</v>
      </c>
      <c r="M30" s="43"/>
      <c r="N30" s="43"/>
      <c r="O30" s="43"/>
      <c r="P30" s="43"/>
      <c r="Q30" s="43"/>
      <c r="R30" s="44">
        <f t="shared" si="2"/>
        <v>35183.597000000002</v>
      </c>
    </row>
    <row r="31" spans="1:18" s="9" customFormat="1" ht="15.75" x14ac:dyDescent="0.25">
      <c r="A31" s="11" t="s">
        <v>51</v>
      </c>
      <c r="B31" s="13">
        <v>300000</v>
      </c>
      <c r="D31" s="45" t="s">
        <v>131</v>
      </c>
      <c r="E31" s="42">
        <v>90000</v>
      </c>
      <c r="F31" s="43">
        <v>1</v>
      </c>
      <c r="G31" s="43">
        <v>24000</v>
      </c>
      <c r="H31" s="43">
        <v>23250</v>
      </c>
      <c r="I31" s="43">
        <v>23250</v>
      </c>
      <c r="J31" s="43"/>
      <c r="K31" s="43"/>
      <c r="L31" s="43"/>
      <c r="M31" s="43"/>
      <c r="N31" s="43"/>
      <c r="O31" s="43"/>
      <c r="P31" s="43"/>
      <c r="Q31" s="43"/>
      <c r="R31" s="44">
        <f t="shared" si="2"/>
        <v>70501</v>
      </c>
    </row>
    <row r="32" spans="1:18" s="9" customFormat="1" ht="15.75" x14ac:dyDescent="0.25">
      <c r="A32" s="11" t="s">
        <v>52</v>
      </c>
      <c r="B32" s="13">
        <v>160000</v>
      </c>
      <c r="D32" s="41" t="s">
        <v>99</v>
      </c>
      <c r="E32" s="42">
        <v>440000</v>
      </c>
      <c r="F32" s="43">
        <v>1</v>
      </c>
      <c r="G32" s="43">
        <v>37223.82</v>
      </c>
      <c r="H32" s="43">
        <v>70100.78</v>
      </c>
      <c r="I32" s="43">
        <v>27592.16</v>
      </c>
      <c r="J32" s="43"/>
      <c r="K32" s="43">
        <v>32000.53</v>
      </c>
      <c r="L32" s="43">
        <v>52911.08</v>
      </c>
      <c r="M32" s="43"/>
      <c r="N32" s="43"/>
      <c r="O32" s="43"/>
      <c r="P32" s="43"/>
      <c r="Q32" s="43"/>
      <c r="R32" s="44">
        <f t="shared" si="2"/>
        <v>219829.37</v>
      </c>
    </row>
    <row r="33" spans="1:18" s="9" customFormat="1" ht="15.75" x14ac:dyDescent="0.25">
      <c r="A33" s="12" t="s">
        <v>53</v>
      </c>
      <c r="B33" s="13">
        <v>130000</v>
      </c>
      <c r="D33" s="41" t="s">
        <v>100</v>
      </c>
      <c r="E33" s="46">
        <v>35000</v>
      </c>
      <c r="F33" s="47">
        <v>1777.76</v>
      </c>
      <c r="G33" s="47">
        <v>1483.55</v>
      </c>
      <c r="H33" s="47">
        <v>1968.17</v>
      </c>
      <c r="I33" s="47">
        <v>1849.42</v>
      </c>
      <c r="J33" s="47">
        <v>1592.68</v>
      </c>
      <c r="K33" s="47">
        <v>1635.42</v>
      </c>
      <c r="L33" s="47">
        <v>1879.71</v>
      </c>
      <c r="M33" s="47"/>
      <c r="N33" s="47"/>
      <c r="O33" s="47"/>
      <c r="P33" s="47"/>
      <c r="Q33" s="47"/>
      <c r="R33" s="44">
        <f t="shared" si="2"/>
        <v>12186.71</v>
      </c>
    </row>
    <row r="34" spans="1:18" ht="15.75" x14ac:dyDescent="0.25">
      <c r="A34" s="11" t="s">
        <v>54</v>
      </c>
      <c r="B34" s="13">
        <v>78000</v>
      </c>
      <c r="D34" s="41" t="s">
        <v>122</v>
      </c>
      <c r="E34" s="42">
        <v>35000</v>
      </c>
      <c r="F34" s="43">
        <v>5834</v>
      </c>
      <c r="G34" s="43">
        <v>5834</v>
      </c>
      <c r="H34" s="43">
        <v>5834</v>
      </c>
      <c r="I34" s="43"/>
      <c r="J34" s="43"/>
      <c r="K34" s="43"/>
      <c r="L34" s="43"/>
      <c r="M34" s="43"/>
      <c r="N34" s="43"/>
      <c r="O34" s="43"/>
      <c r="P34" s="43"/>
      <c r="Q34" s="43"/>
      <c r="R34" s="44">
        <f t="shared" si="2"/>
        <v>17502</v>
      </c>
    </row>
    <row r="35" spans="1:18" ht="15.75" x14ac:dyDescent="0.25">
      <c r="A35" s="11" t="s">
        <v>67</v>
      </c>
      <c r="B35" s="13">
        <v>70000</v>
      </c>
      <c r="D35" s="41" t="s">
        <v>126</v>
      </c>
      <c r="E35" s="42">
        <v>130000</v>
      </c>
      <c r="F35" s="47">
        <v>10708.48</v>
      </c>
      <c r="G35" s="47">
        <v>11111.11</v>
      </c>
      <c r="H35" s="47"/>
      <c r="I35" s="47">
        <v>10000</v>
      </c>
      <c r="J35" s="47">
        <v>11666</v>
      </c>
      <c r="K35" s="47"/>
      <c r="L35" s="47"/>
      <c r="M35" s="47"/>
      <c r="N35" s="47"/>
      <c r="O35" s="47"/>
      <c r="P35" s="47"/>
      <c r="Q35" s="47"/>
      <c r="R35" s="44">
        <f t="shared" si="2"/>
        <v>43485.59</v>
      </c>
    </row>
    <row r="36" spans="1:18" ht="15.75" x14ac:dyDescent="0.25">
      <c r="A36" s="11" t="s">
        <v>66</v>
      </c>
      <c r="B36" s="13">
        <v>35000</v>
      </c>
      <c r="D36" s="41" t="s">
        <v>101</v>
      </c>
      <c r="E36" s="46">
        <v>50000</v>
      </c>
      <c r="F36" s="47">
        <v>3400.78</v>
      </c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4">
        <f t="shared" si="2"/>
        <v>3400.78</v>
      </c>
    </row>
    <row r="37" spans="1:18" ht="15.75" x14ac:dyDescent="0.25">
      <c r="A37" s="18" t="s">
        <v>55</v>
      </c>
      <c r="B37" s="17">
        <f>SUM(B3:B36)</f>
        <v>3787000</v>
      </c>
      <c r="D37" s="41" t="s">
        <v>102</v>
      </c>
      <c r="E37" s="42">
        <v>280000</v>
      </c>
      <c r="F37" s="43">
        <v>1</v>
      </c>
      <c r="G37" s="47">
        <v>17740.21</v>
      </c>
      <c r="H37" s="47">
        <v>24101.06</v>
      </c>
      <c r="I37" s="47">
        <v>21452.34</v>
      </c>
      <c r="J37" s="47">
        <v>10553.46</v>
      </c>
      <c r="K37" s="47">
        <v>29259.3</v>
      </c>
      <c r="L37" s="47">
        <v>18042.14</v>
      </c>
      <c r="M37" s="47"/>
      <c r="N37" s="47"/>
      <c r="O37" s="47"/>
      <c r="P37" s="47"/>
      <c r="Q37" s="47"/>
      <c r="R37" s="44">
        <f t="shared" si="2"/>
        <v>121149.51000000001</v>
      </c>
    </row>
    <row r="38" spans="1:18" ht="15.75" x14ac:dyDescent="0.25">
      <c r="A38" s="18" t="s">
        <v>63</v>
      </c>
      <c r="B38" s="17">
        <v>80000</v>
      </c>
      <c r="D38" s="41" t="s">
        <v>103</v>
      </c>
      <c r="E38" s="42">
        <v>355000</v>
      </c>
      <c r="F38" s="43">
        <v>20575.07</v>
      </c>
      <c r="G38" s="43">
        <v>26236.93</v>
      </c>
      <c r="H38" s="43">
        <v>1420.02</v>
      </c>
      <c r="I38" s="43">
        <v>63167.8</v>
      </c>
      <c r="J38" s="43">
        <v>26069.42</v>
      </c>
      <c r="K38" s="43"/>
      <c r="L38" s="43">
        <v>28898.87</v>
      </c>
      <c r="M38" s="43"/>
      <c r="N38" s="43"/>
      <c r="O38" s="43"/>
      <c r="P38" s="43"/>
      <c r="Q38" s="43"/>
      <c r="R38" s="44">
        <f t="shared" si="2"/>
        <v>166368.10999999999</v>
      </c>
    </row>
    <row r="39" spans="1:18" ht="15.75" x14ac:dyDescent="0.25">
      <c r="A39" s="21"/>
      <c r="B39" s="22"/>
      <c r="D39" s="41" t="s">
        <v>104</v>
      </c>
      <c r="E39" s="42">
        <v>130000</v>
      </c>
      <c r="F39" s="43">
        <v>6809.61</v>
      </c>
      <c r="G39" s="43">
        <v>16475.150000000001</v>
      </c>
      <c r="H39" s="43">
        <v>8975.39</v>
      </c>
      <c r="I39" s="43">
        <v>13482.7</v>
      </c>
      <c r="J39" s="43">
        <v>18133.07</v>
      </c>
      <c r="K39" s="43">
        <v>9237.4500000000007</v>
      </c>
      <c r="L39" s="43">
        <v>5862.54</v>
      </c>
      <c r="M39" s="43"/>
      <c r="N39" s="43"/>
      <c r="O39" s="43"/>
      <c r="P39" s="43"/>
      <c r="Q39" s="43"/>
      <c r="R39" s="44">
        <f>SUM(F39:Q39)</f>
        <v>78975.91</v>
      </c>
    </row>
    <row r="40" spans="1:18" ht="15.75" x14ac:dyDescent="0.25">
      <c r="A40" s="21"/>
      <c r="B40" s="22"/>
      <c r="D40" s="45" t="s">
        <v>123</v>
      </c>
      <c r="E40" s="42">
        <v>150000</v>
      </c>
      <c r="F40" s="43">
        <v>1</v>
      </c>
      <c r="G40" s="43">
        <v>48451.8</v>
      </c>
      <c r="H40" s="43">
        <v>103806.16</v>
      </c>
      <c r="I40" s="43"/>
      <c r="J40" s="43"/>
      <c r="K40" s="43"/>
      <c r="L40" s="43"/>
      <c r="M40" s="43"/>
      <c r="N40" s="43"/>
      <c r="O40" s="43"/>
      <c r="P40" s="43"/>
      <c r="Q40" s="43"/>
      <c r="R40" s="44">
        <f>SUM(F40:Q40)</f>
        <v>152258.96000000002</v>
      </c>
    </row>
    <row r="41" spans="1:18" ht="15.75" x14ac:dyDescent="0.25">
      <c r="A41" s="21"/>
      <c r="B41" s="22"/>
      <c r="D41" s="45" t="s">
        <v>98</v>
      </c>
      <c r="E41" s="42">
        <v>20000</v>
      </c>
      <c r="F41" s="43">
        <v>6666.67</v>
      </c>
      <c r="G41" s="43">
        <v>6666.67</v>
      </c>
      <c r="H41" s="43">
        <v>6666.67</v>
      </c>
      <c r="I41" s="43"/>
      <c r="J41" s="43"/>
      <c r="K41" s="43"/>
      <c r="L41" s="43"/>
      <c r="M41" s="43"/>
      <c r="N41" s="43"/>
      <c r="O41" s="43"/>
      <c r="P41" s="43"/>
      <c r="Q41" s="43"/>
      <c r="R41" s="44">
        <f t="shared" ref="R41:R51" si="3">SUM(F41:Q41)</f>
        <v>20000.010000000002</v>
      </c>
    </row>
    <row r="42" spans="1:18" ht="15.75" x14ac:dyDescent="0.25">
      <c r="A42" s="21"/>
      <c r="B42" s="22"/>
      <c r="D42" s="45" t="s">
        <v>106</v>
      </c>
      <c r="E42" s="42">
        <v>20000</v>
      </c>
      <c r="F42" s="43">
        <v>5050</v>
      </c>
      <c r="G42" s="43">
        <v>10100</v>
      </c>
      <c r="H42" s="43">
        <v>5050</v>
      </c>
      <c r="I42" s="43">
        <v>5056.3999999999996</v>
      </c>
      <c r="J42" s="43"/>
      <c r="K42" s="43">
        <v>5050</v>
      </c>
      <c r="L42" s="43"/>
      <c r="M42" s="43"/>
      <c r="N42" s="43"/>
      <c r="O42" s="43"/>
      <c r="P42" s="43"/>
      <c r="Q42" s="43"/>
      <c r="R42" s="44">
        <f t="shared" si="3"/>
        <v>30306.400000000001</v>
      </c>
    </row>
    <row r="43" spans="1:18" ht="15.75" x14ac:dyDescent="0.25">
      <c r="A43" s="21"/>
      <c r="B43" s="22"/>
      <c r="D43" s="45" t="s">
        <v>105</v>
      </c>
      <c r="E43" s="42">
        <v>105000</v>
      </c>
      <c r="F43" s="43">
        <v>1</v>
      </c>
      <c r="G43" s="43">
        <v>13460</v>
      </c>
      <c r="H43" s="43">
        <v>10500</v>
      </c>
      <c r="I43" s="43">
        <v>10500</v>
      </c>
      <c r="J43" s="43">
        <v>10500</v>
      </c>
      <c r="K43" s="43"/>
      <c r="L43" s="43">
        <v>21000</v>
      </c>
      <c r="M43" s="43"/>
      <c r="N43" s="43"/>
      <c r="O43" s="43"/>
      <c r="P43" s="43"/>
      <c r="Q43" s="43"/>
      <c r="R43" s="44">
        <f t="shared" si="3"/>
        <v>65961</v>
      </c>
    </row>
    <row r="44" spans="1:18" ht="15.75" x14ac:dyDescent="0.25">
      <c r="A44" s="21"/>
      <c r="B44" s="22"/>
      <c r="D44" s="45" t="s">
        <v>127</v>
      </c>
      <c r="E44" s="42">
        <v>130000</v>
      </c>
      <c r="F44" s="43">
        <v>62816.07</v>
      </c>
      <c r="G44" s="43">
        <v>7147.99</v>
      </c>
      <c r="H44" s="43">
        <v>3300</v>
      </c>
      <c r="I44" s="43">
        <v>7147.99</v>
      </c>
      <c r="J44" s="43">
        <v>7147.99</v>
      </c>
      <c r="K44" s="43">
        <v>14295.98</v>
      </c>
      <c r="L44" s="43"/>
      <c r="M44" s="43"/>
      <c r="N44" s="43"/>
      <c r="O44" s="43"/>
      <c r="P44" s="43"/>
      <c r="Q44" s="43"/>
      <c r="R44" s="44">
        <f t="shared" si="3"/>
        <v>101856.02</v>
      </c>
    </row>
    <row r="45" spans="1:18" ht="15.75" x14ac:dyDescent="0.25">
      <c r="A45" s="21"/>
      <c r="B45" s="22"/>
      <c r="D45" s="45" t="s">
        <v>135</v>
      </c>
      <c r="E45" s="42">
        <v>156000</v>
      </c>
      <c r="F45" s="43">
        <v>1</v>
      </c>
      <c r="G45" s="43"/>
      <c r="H45" s="43"/>
      <c r="I45" s="43">
        <v>35828.839999999997</v>
      </c>
      <c r="J45" s="43">
        <v>38950.43</v>
      </c>
      <c r="K45" s="43">
        <v>38950.43</v>
      </c>
      <c r="L45" s="43">
        <v>34960.35</v>
      </c>
      <c r="M45" s="43"/>
      <c r="N45" s="43"/>
      <c r="O45" s="43"/>
      <c r="P45" s="43"/>
      <c r="Q45" s="43"/>
      <c r="R45" s="44">
        <f t="shared" si="3"/>
        <v>148691.04999999999</v>
      </c>
    </row>
    <row r="46" spans="1:18" ht="15.75" x14ac:dyDescent="0.25">
      <c r="A46" s="21"/>
      <c r="B46" s="22"/>
      <c r="D46" s="45" t="s">
        <v>136</v>
      </c>
      <c r="E46" s="42">
        <v>90000</v>
      </c>
      <c r="F46" s="43">
        <v>1</v>
      </c>
      <c r="G46" s="43"/>
      <c r="H46" s="43">
        <v>2688.15</v>
      </c>
      <c r="I46" s="43">
        <v>15370.3</v>
      </c>
      <c r="J46" s="43">
        <v>15536.06</v>
      </c>
      <c r="K46" s="43">
        <v>32684.639999999999</v>
      </c>
      <c r="L46" s="43"/>
      <c r="M46" s="43"/>
      <c r="N46" s="43"/>
      <c r="O46" s="43"/>
      <c r="P46" s="43"/>
      <c r="Q46" s="43"/>
      <c r="R46" s="44">
        <f t="shared" si="3"/>
        <v>66280.149999999994</v>
      </c>
    </row>
    <row r="47" spans="1:18" ht="15.75" x14ac:dyDescent="0.25">
      <c r="A47" s="21"/>
      <c r="B47" s="22"/>
      <c r="D47" s="45" t="s">
        <v>137</v>
      </c>
      <c r="E47" s="42">
        <v>0</v>
      </c>
      <c r="F47" s="43">
        <v>1</v>
      </c>
      <c r="G47" s="43"/>
      <c r="H47" s="43">
        <v>7074.96</v>
      </c>
      <c r="I47" s="43"/>
      <c r="J47" s="43"/>
      <c r="K47" s="43">
        <v>12497.6</v>
      </c>
      <c r="L47" s="43"/>
      <c r="M47" s="43"/>
      <c r="N47" s="43"/>
      <c r="O47" s="43"/>
      <c r="P47" s="43"/>
      <c r="Q47" s="43"/>
      <c r="R47" s="44">
        <f t="shared" si="3"/>
        <v>19573.560000000001</v>
      </c>
    </row>
    <row r="48" spans="1:18" ht="15.75" x14ac:dyDescent="0.25">
      <c r="A48" s="21"/>
      <c r="B48" s="22"/>
      <c r="D48" s="45" t="s">
        <v>138</v>
      </c>
      <c r="E48" s="42">
        <v>18000</v>
      </c>
      <c r="F48" s="43">
        <v>1</v>
      </c>
      <c r="G48" s="43"/>
      <c r="H48" s="43"/>
      <c r="I48" s="43">
        <v>2533.25</v>
      </c>
      <c r="J48" s="43">
        <v>8075</v>
      </c>
      <c r="K48" s="43">
        <v>2778.24</v>
      </c>
      <c r="L48" s="43">
        <v>6537.85</v>
      </c>
      <c r="M48" s="43"/>
      <c r="N48" s="43"/>
      <c r="O48" s="43"/>
      <c r="P48" s="43"/>
      <c r="Q48" s="43"/>
      <c r="R48" s="44">
        <f t="shared" si="3"/>
        <v>19925.34</v>
      </c>
    </row>
    <row r="49" spans="1:18" ht="15.75" x14ac:dyDescent="0.25">
      <c r="A49" s="21"/>
      <c r="B49" s="22"/>
      <c r="D49" s="45" t="s">
        <v>139</v>
      </c>
      <c r="E49" s="42">
        <v>50000</v>
      </c>
      <c r="F49" s="43">
        <v>1</v>
      </c>
      <c r="G49" s="43"/>
      <c r="H49" s="43"/>
      <c r="I49" s="43"/>
      <c r="J49" s="43"/>
      <c r="K49" s="43">
        <v>4749.1899999999996</v>
      </c>
      <c r="L49" s="43">
        <v>13275.34</v>
      </c>
      <c r="M49" s="43"/>
      <c r="N49" s="43"/>
      <c r="O49" s="43"/>
      <c r="P49" s="43"/>
      <c r="Q49" s="43"/>
      <c r="R49" s="44">
        <f t="shared" si="3"/>
        <v>18025.53</v>
      </c>
    </row>
    <row r="50" spans="1:18" ht="15.75" x14ac:dyDescent="0.25">
      <c r="A50" s="21"/>
      <c r="B50" s="22"/>
      <c r="D50" s="45"/>
      <c r="E50" s="42">
        <v>0</v>
      </c>
      <c r="F50" s="43">
        <v>1</v>
      </c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4">
        <f t="shared" si="3"/>
        <v>1</v>
      </c>
    </row>
    <row r="51" spans="1:18" ht="15.75" x14ac:dyDescent="0.25">
      <c r="A51" s="21"/>
      <c r="B51" s="22"/>
      <c r="D51" s="45"/>
      <c r="E51" s="42">
        <v>0</v>
      </c>
      <c r="F51" s="43">
        <v>1</v>
      </c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4">
        <f t="shared" si="3"/>
        <v>1</v>
      </c>
    </row>
    <row r="52" spans="1:18" ht="15.75" x14ac:dyDescent="0.25">
      <c r="A52" s="21"/>
      <c r="B52" s="22"/>
      <c r="D52" s="70" t="s">
        <v>119</v>
      </c>
      <c r="E52" s="71"/>
      <c r="F52" s="48">
        <f t="shared" ref="F52:Q52" si="4">SUM(F3:F51)</f>
        <v>376464.647</v>
      </c>
      <c r="G52" s="48">
        <f t="shared" si="4"/>
        <v>528111.4</v>
      </c>
      <c r="H52" s="48">
        <f t="shared" si="4"/>
        <v>700919.2200000002</v>
      </c>
      <c r="I52" s="48">
        <f t="shared" si="4"/>
        <v>672694.55999999994</v>
      </c>
      <c r="J52" s="48">
        <f t="shared" si="4"/>
        <v>472527.61</v>
      </c>
      <c r="K52" s="48">
        <f t="shared" si="4"/>
        <v>583854.8899999999</v>
      </c>
      <c r="L52" s="48">
        <f t="shared" si="4"/>
        <v>635720.36</v>
      </c>
      <c r="M52" s="48">
        <f t="shared" si="4"/>
        <v>1</v>
      </c>
      <c r="N52" s="48">
        <f t="shared" si="4"/>
        <v>1</v>
      </c>
      <c r="O52" s="48">
        <f t="shared" si="4"/>
        <v>1</v>
      </c>
      <c r="P52" s="48">
        <f t="shared" si="4"/>
        <v>1</v>
      </c>
      <c r="Q52" s="48">
        <f t="shared" si="4"/>
        <v>1</v>
      </c>
      <c r="R52" s="44">
        <f t="shared" ref="R52" si="5">SUM(F52:Q52)</f>
        <v>3970297.6869999995</v>
      </c>
    </row>
    <row r="53" spans="1:18" ht="16.5" thickBot="1" x14ac:dyDescent="0.3">
      <c r="A53" s="21"/>
      <c r="B53" s="22"/>
      <c r="D53" s="74"/>
      <c r="E53" s="75"/>
      <c r="F53" s="76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8"/>
    </row>
    <row r="54" spans="1:18" ht="16.5" thickBot="1" x14ac:dyDescent="0.3">
      <c r="A54" s="21"/>
      <c r="B54" s="22"/>
      <c r="D54" s="72" t="s">
        <v>124</v>
      </c>
      <c r="E54" s="73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80"/>
    </row>
    <row r="55" spans="1:18" ht="16.5" thickBot="1" x14ac:dyDescent="0.3">
      <c r="A55" s="67"/>
      <c r="B55" s="68"/>
      <c r="D55" s="65"/>
      <c r="E55" s="66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80"/>
    </row>
    <row r="56" spans="1:18" ht="18.75" thickBot="1" x14ac:dyDescent="0.3">
      <c r="A56" s="19" t="s">
        <v>64</v>
      </c>
      <c r="B56" s="20" t="e">
        <f>SUM(B37+B38+#REF!)</f>
        <v>#REF!</v>
      </c>
      <c r="D56" s="34" t="s">
        <v>128</v>
      </c>
      <c r="E56" s="35">
        <v>3100997.78</v>
      </c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80"/>
    </row>
    <row r="57" spans="1:18" ht="15.75" thickBot="1" x14ac:dyDescent="0.3">
      <c r="D57" s="81"/>
      <c r="E57" s="82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80"/>
    </row>
    <row r="58" spans="1:18" ht="16.5" thickBot="1" x14ac:dyDescent="0.3">
      <c r="D58" s="36" t="s">
        <v>129</v>
      </c>
      <c r="E58" s="37">
        <f>SUM(E3:E51)</f>
        <v>6816000</v>
      </c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80"/>
    </row>
    <row r="59" spans="1:18" ht="15.75" thickBot="1" x14ac:dyDescent="0.3">
      <c r="D59" s="32"/>
      <c r="E59" s="33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80"/>
    </row>
    <row r="60" spans="1:18" ht="16.5" thickBot="1" x14ac:dyDescent="0.3">
      <c r="D60" s="30" t="s">
        <v>130</v>
      </c>
      <c r="E60" s="31">
        <f>SUM(E58-E56)</f>
        <v>3715002.22</v>
      </c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80"/>
    </row>
    <row r="61" spans="1:18" ht="16.5" thickBot="1" x14ac:dyDescent="0.3">
      <c r="D61" s="83"/>
      <c r="E61" s="84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80"/>
    </row>
    <row r="62" spans="1:18" x14ac:dyDescent="0.25"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9"/>
    </row>
    <row r="63" spans="1:18" x14ac:dyDescent="0.25"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1"/>
    </row>
    <row r="64" spans="1:18" x14ac:dyDescent="0.25"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1"/>
    </row>
    <row r="65" spans="4:18" x14ac:dyDescent="0.25"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1"/>
    </row>
    <row r="66" spans="4:18" x14ac:dyDescent="0.25"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1"/>
    </row>
    <row r="67" spans="4:18" x14ac:dyDescent="0.25"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1"/>
    </row>
    <row r="68" spans="4:18" x14ac:dyDescent="0.25"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1"/>
    </row>
    <row r="69" spans="4:18" x14ac:dyDescent="0.25"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1"/>
    </row>
    <row r="70" spans="4:18" x14ac:dyDescent="0.25"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1"/>
    </row>
    <row r="71" spans="4:18" x14ac:dyDescent="0.25"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1"/>
    </row>
    <row r="72" spans="4:18" x14ac:dyDescent="0.25"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1"/>
    </row>
    <row r="73" spans="4:18" x14ac:dyDescent="0.25"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1"/>
    </row>
    <row r="74" spans="4:18" x14ac:dyDescent="0.25"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1"/>
    </row>
    <row r="75" spans="4:18" x14ac:dyDescent="0.25"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1"/>
    </row>
    <row r="76" spans="4:18" x14ac:dyDescent="0.25"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1"/>
    </row>
    <row r="77" spans="4:18" x14ac:dyDescent="0.25"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1"/>
    </row>
    <row r="78" spans="4:18" x14ac:dyDescent="0.25"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1"/>
    </row>
    <row r="79" spans="4:18" x14ac:dyDescent="0.25"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1"/>
    </row>
  </sheetData>
  <sortState ref="D1:R44">
    <sortCondition ref="D3:D40"/>
  </sortState>
  <mergeCells count="11">
    <mergeCell ref="D62:R79"/>
    <mergeCell ref="F1:R1"/>
    <mergeCell ref="D55:E55"/>
    <mergeCell ref="A55:B55"/>
    <mergeCell ref="A1:B1"/>
    <mergeCell ref="D52:E52"/>
    <mergeCell ref="D54:E54"/>
    <mergeCell ref="D53:E53"/>
    <mergeCell ref="F53:R61"/>
    <mergeCell ref="D57:E57"/>
    <mergeCell ref="D61:E61"/>
  </mergeCells>
  <phoneticPr fontId="12" type="noConversion"/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A3" sqref="A3:XFD3"/>
    </sheetView>
  </sheetViews>
  <sheetFormatPr defaultRowHeight="15" x14ac:dyDescent="0.25"/>
  <cols>
    <col min="1" max="1" width="59.28515625" customWidth="1"/>
    <col min="3" max="3" width="17" customWidth="1"/>
  </cols>
  <sheetData>
    <row r="1" spans="1:8" x14ac:dyDescent="0.25">
      <c r="A1" s="14" t="s">
        <v>133</v>
      </c>
      <c r="B1" s="14"/>
      <c r="C1" s="14" t="s">
        <v>134</v>
      </c>
      <c r="D1" s="14"/>
      <c r="E1" s="14"/>
      <c r="F1" s="14"/>
      <c r="G1" s="14"/>
      <c r="H1" s="14"/>
    </row>
    <row r="2" spans="1:8" x14ac:dyDescent="0.25">
      <c r="A2" s="14"/>
      <c r="B2" s="14"/>
      <c r="C2" s="49">
        <v>19200.89</v>
      </c>
      <c r="D2" s="14"/>
      <c r="E2" s="14"/>
      <c r="F2" s="14"/>
      <c r="G2" s="14"/>
      <c r="H2" s="14"/>
    </row>
    <row r="3" spans="1:8" x14ac:dyDescent="0.25">
      <c r="A3" s="14"/>
      <c r="B3" s="14"/>
      <c r="C3" s="14"/>
      <c r="D3" s="14"/>
      <c r="E3" s="14"/>
      <c r="F3" s="14"/>
      <c r="G3" s="14"/>
      <c r="H3" s="14"/>
    </row>
    <row r="4" spans="1:8" x14ac:dyDescent="0.25">
      <c r="A4" s="14"/>
      <c r="B4" s="14"/>
      <c r="C4" s="14"/>
      <c r="D4" s="14"/>
      <c r="E4" s="14"/>
      <c r="F4" s="14"/>
      <c r="G4" s="14"/>
      <c r="H4" s="14"/>
    </row>
    <row r="5" spans="1:8" x14ac:dyDescent="0.25">
      <c r="A5" s="14"/>
      <c r="B5" s="14"/>
      <c r="C5" s="14"/>
      <c r="D5" s="14"/>
      <c r="E5" s="14"/>
      <c r="F5" s="14"/>
      <c r="G5" s="14"/>
      <c r="H5" s="14"/>
    </row>
    <row r="6" spans="1:8" x14ac:dyDescent="0.25">
      <c r="A6" s="14"/>
      <c r="B6" s="14"/>
      <c r="C6" s="14"/>
      <c r="D6" s="14"/>
      <c r="E6" s="14"/>
      <c r="F6" s="14"/>
      <c r="G6" s="14"/>
      <c r="H6" s="14"/>
    </row>
    <row r="7" spans="1:8" x14ac:dyDescent="0.25">
      <c r="A7" s="14"/>
      <c r="B7" s="14"/>
      <c r="C7" s="14"/>
      <c r="D7" s="14"/>
      <c r="E7" s="14"/>
      <c r="F7" s="14"/>
      <c r="G7" s="14"/>
      <c r="H7" s="14"/>
    </row>
    <row r="8" spans="1:8" x14ac:dyDescent="0.25">
      <c r="A8" s="14"/>
      <c r="B8" s="14"/>
      <c r="C8" s="14"/>
      <c r="D8" s="14"/>
      <c r="E8" s="14"/>
      <c r="F8" s="14"/>
      <c r="G8" s="14"/>
      <c r="H8" s="14"/>
    </row>
    <row r="9" spans="1:8" x14ac:dyDescent="0.25">
      <c r="A9" s="14"/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1" spans="1:8" x14ac:dyDescent="0.25">
      <c r="A11" s="14"/>
      <c r="B11" s="14"/>
      <c r="C11" s="14"/>
      <c r="D11" s="14"/>
      <c r="E11" s="14"/>
      <c r="F11" s="14"/>
      <c r="G11" s="14"/>
      <c r="H11" s="14"/>
    </row>
    <row r="12" spans="1:8" x14ac:dyDescent="0.25">
      <c r="A12" s="14"/>
      <c r="B12" s="14"/>
      <c r="C12" s="14"/>
      <c r="D12" s="14"/>
      <c r="E12" s="14"/>
      <c r="F12" s="14"/>
      <c r="G12" s="14"/>
      <c r="H12" s="1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Planejamento</vt:lpstr>
      <vt:lpstr>RECEITA</vt:lpstr>
      <vt:lpstr>PENDÊNCIAS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 PMG.</dc:creator>
  <cp:lastModifiedBy>Marketing PMG.</cp:lastModifiedBy>
  <dcterms:created xsi:type="dcterms:W3CDTF">2022-12-02T17:32:08Z</dcterms:created>
  <dcterms:modified xsi:type="dcterms:W3CDTF">2026-08-25T11:42:43Z</dcterms:modified>
</cp:coreProperties>
</file>