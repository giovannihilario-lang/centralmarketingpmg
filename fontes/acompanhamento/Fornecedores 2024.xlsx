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D7B293B5-A72C-4995-804A-1F75886703F4}" xr6:coauthVersionLast="47" xr6:coauthVersionMax="47" xr10:uidLastSave="{00000000-0000-0000-0000-000000000000}"/>
  <bookViews>
    <workbookView xWindow="-108" yWindow="-108" windowWidth="23256" windowHeight="12576" activeTab="3" xr2:uid="{0D7FE10C-BC16-4142-A6E8-80F8D6EEA4D8}"/>
  </bookViews>
  <sheets>
    <sheet name="JANEIRO" sheetId="6" r:id="rId1"/>
    <sheet name="FEVEREIRO" sheetId="7" r:id="rId2"/>
    <sheet name="MARÇO" sheetId="8" r:id="rId3"/>
    <sheet name="ABRIL" sheetId="9" r:id="rId4"/>
    <sheet name="MAIO" sheetId="10" r:id="rId5"/>
    <sheet name="JUNHO" sheetId="11" r:id="rId6"/>
    <sheet name="JULHO" sheetId="12" r:id="rId7"/>
    <sheet name="AGOSTO" sheetId="13" r:id="rId8"/>
    <sheet name="SETEMBRO" sheetId="14" r:id="rId9"/>
    <sheet name="OUTUBRO" sheetId="15" r:id="rId10"/>
    <sheet name="NOVEMBRO" sheetId="16" r:id="rId11"/>
    <sheet name="DEZEMBRO" sheetId="17" r:id="rId12"/>
  </sheets>
  <definedNames>
    <definedName name="_xlnm.Print_Area" localSheetId="0">JANEIRO!$A$1:$E$44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9" l="1"/>
  <c r="C47" i="17"/>
  <c r="C47" i="16" l="1"/>
  <c r="C45" i="15" l="1"/>
  <c r="C45" i="14"/>
  <c r="C46" i="13"/>
  <c r="C44" i="12"/>
  <c r="C44" i="11"/>
  <c r="C46" i="10"/>
  <c r="C46" i="8" l="1"/>
  <c r="K29" i="7" l="1"/>
  <c r="C47" i="7" l="1"/>
  <c r="C44" i="6" l="1"/>
</calcChain>
</file>

<file path=xl/sharedStrings.xml><?xml version="1.0" encoding="utf-8"?>
<sst xmlns="http://schemas.openxmlformats.org/spreadsheetml/2006/main" count="1352" uniqueCount="138">
  <si>
    <t>CAMPANHA</t>
  </si>
  <si>
    <t>FORNECEDOR</t>
  </si>
  <si>
    <t>VERBA</t>
  </si>
  <si>
    <t>NF</t>
  </si>
  <si>
    <t>COTA</t>
  </si>
  <si>
    <t>TOTAL</t>
  </si>
  <si>
    <t>JANEIRO</t>
  </si>
  <si>
    <t>BRF</t>
  </si>
  <si>
    <t>AJINOMOTO</t>
  </si>
  <si>
    <t>ALFAMA</t>
  </si>
  <si>
    <t>ALIBRA</t>
  </si>
  <si>
    <t>ANACONDA</t>
  </si>
  <si>
    <t xml:space="preserve">AURORA </t>
  </si>
  <si>
    <t>BEM BRASIL</t>
  </si>
  <si>
    <t>BUQUÊ</t>
  </si>
  <si>
    <t>CAMIL</t>
  </si>
  <si>
    <t>CANÇÃO</t>
  </si>
  <si>
    <t>CARGILL</t>
  </si>
  <si>
    <t>CEPÊRA</t>
  </si>
  <si>
    <t xml:space="preserve">CERATTI </t>
  </si>
  <si>
    <t>CLARA MILK</t>
  </si>
  <si>
    <t>EKMA</t>
  </si>
  <si>
    <t>FRIMESA</t>
  </si>
  <si>
    <t>GOMES DA COSTA</t>
  </si>
  <si>
    <t>HARALD</t>
  </si>
  <si>
    <t xml:space="preserve">HEINZ </t>
  </si>
  <si>
    <t>ITALAC</t>
  </si>
  <si>
    <t>J. MACÊDO</t>
  </si>
  <si>
    <t>LAWBWESTON</t>
  </si>
  <si>
    <t>MIRELLA</t>
  </si>
  <si>
    <t>MISTER BEEF</t>
  </si>
  <si>
    <t>PENINA</t>
  </si>
  <si>
    <t>POLENGHI</t>
  </si>
  <si>
    <t>PRIETO</t>
  </si>
  <si>
    <t>ROSA BRANCA</t>
  </si>
  <si>
    <t>SCALA</t>
  </si>
  <si>
    <t xml:space="preserve">SEARA </t>
  </si>
  <si>
    <t>TIROLEZ</t>
  </si>
  <si>
    <t>YEMA</t>
  </si>
  <si>
    <t>PHILADELPHIA</t>
  </si>
  <si>
    <t>BUNGE</t>
  </si>
  <si>
    <t xml:space="preserve">COTA </t>
  </si>
  <si>
    <t>IPANEMA</t>
  </si>
  <si>
    <t>QUATA</t>
  </si>
  <si>
    <t>PLANILHA DE PAGAMENTO 2024</t>
  </si>
  <si>
    <t>DESCONTO</t>
  </si>
  <si>
    <t>DEPOSITO</t>
  </si>
  <si>
    <t>470/668/637/440/656</t>
  </si>
  <si>
    <t>DEPOSITO / 126739</t>
  </si>
  <si>
    <t>DEPOSITO / 264425</t>
  </si>
  <si>
    <t>DOCEIRO</t>
  </si>
  <si>
    <t>CONVENÇÃO</t>
  </si>
  <si>
    <t>PREÇO</t>
  </si>
  <si>
    <t>FEVEREIRO</t>
  </si>
  <si>
    <t>CORONATA</t>
  </si>
  <si>
    <t>4984/4985</t>
  </si>
  <si>
    <t>115554/553</t>
  </si>
  <si>
    <t>1489606/607</t>
  </si>
  <si>
    <t>PIZZA CHEESE</t>
  </si>
  <si>
    <t>INCENTIVO</t>
  </si>
  <si>
    <t>BUFALISSIMA</t>
  </si>
  <si>
    <t>677504/959/824</t>
  </si>
  <si>
    <t>272584/271291/684</t>
  </si>
  <si>
    <t>96684/443</t>
  </si>
  <si>
    <t>DEPOSITO /44809</t>
  </si>
  <si>
    <t>MARÇO</t>
  </si>
  <si>
    <t>278850/275830/282624</t>
  </si>
  <si>
    <t>DESCONTO / DEPOSITO</t>
  </si>
  <si>
    <t>COTA / INCENTIVO</t>
  </si>
  <si>
    <t>ABRIL</t>
  </si>
  <si>
    <t>MCCAIN</t>
  </si>
  <si>
    <t>499/445/5251/570/571</t>
  </si>
  <si>
    <t>1055688/1052726</t>
  </si>
  <si>
    <t>252/448/905/546/896</t>
  </si>
  <si>
    <t>DESCONTO NF10680</t>
  </si>
  <si>
    <t>DEPOSITO/084</t>
  </si>
  <si>
    <t>DESCONTO/129475</t>
  </si>
  <si>
    <t>DESCONTO/DEPOSITO</t>
  </si>
  <si>
    <t>168960/2164130</t>
  </si>
  <si>
    <t>359054 / DEPOSITO</t>
  </si>
  <si>
    <t>MAIO</t>
  </si>
  <si>
    <t>131368/611</t>
  </si>
  <si>
    <t>4059/2699</t>
  </si>
  <si>
    <t>294100/469/298265/253</t>
  </si>
  <si>
    <t>267055/DESCONTO</t>
  </si>
  <si>
    <t>118071/DESCONTO</t>
  </si>
  <si>
    <t>131856/DESCONTO</t>
  </si>
  <si>
    <t>JUNHO</t>
  </si>
  <si>
    <t>VENTURELLI</t>
  </si>
  <si>
    <t>303636/5963,98</t>
  </si>
  <si>
    <t>COTA/INCENTIVO</t>
  </si>
  <si>
    <t>1066564 / DESCONTO</t>
  </si>
  <si>
    <t>JULHO</t>
  </si>
  <si>
    <t xml:space="preserve">DESCONTO </t>
  </si>
  <si>
    <t>OBS. FALTOU RECEBER PEDIDO NF 1469 ALFAMA EMITIDA 31/07.</t>
  </si>
  <si>
    <t xml:space="preserve"> v</t>
  </si>
  <si>
    <t>AGOSTO</t>
  </si>
  <si>
    <t>1469/1669</t>
  </si>
  <si>
    <t>GL FOODS</t>
  </si>
  <si>
    <t>FIPAN</t>
  </si>
  <si>
    <t>MIOLO</t>
  </si>
  <si>
    <t>235477/471</t>
  </si>
  <si>
    <t>135697/DESCONTO</t>
  </si>
  <si>
    <t>COTA / PODCAST</t>
  </si>
  <si>
    <t>SETEMBRO</t>
  </si>
  <si>
    <t>DEPOSITO/DESCONTO</t>
  </si>
  <si>
    <t>OBS. NF 1946 E 1885 ALFAMA EMITIDAS EM SETEMBRO AINDA NÃO CHEGARAM.</t>
  </si>
  <si>
    <t>OUTUBRO</t>
  </si>
  <si>
    <t>1946 / 1885</t>
  </si>
  <si>
    <t>DEPOSITO / 330744</t>
  </si>
  <si>
    <t>DEPOSITO / DESCONTO</t>
  </si>
  <si>
    <t>55038/52012</t>
  </si>
  <si>
    <t>137936 / DESCONTO</t>
  </si>
  <si>
    <t>PODCAST</t>
  </si>
  <si>
    <t>2272777/2279453</t>
  </si>
  <si>
    <t>COTA / CONV. PODCAST</t>
  </si>
  <si>
    <t>OBS. PENDENTE  NF CANTU.</t>
  </si>
  <si>
    <t>NOVEMBRO</t>
  </si>
  <si>
    <t>2288067/2291563</t>
  </si>
  <si>
    <t>CANTU</t>
  </si>
  <si>
    <t>COTA/ INCENTIVO/ PODCAST</t>
  </si>
  <si>
    <t>COTA/ PODCAST</t>
  </si>
  <si>
    <t>2336/2385/2511</t>
  </si>
  <si>
    <t>DEPOSITO / 601884 /613144</t>
  </si>
  <si>
    <t>OBS. FALTA NFS NOVEMBRO GL FOODS 79305 / ALIBRA 145605</t>
  </si>
  <si>
    <t xml:space="preserve">32 mil / 12 mil </t>
  </si>
  <si>
    <t>6 mil</t>
  </si>
  <si>
    <t xml:space="preserve"> 10 MIL</t>
  </si>
  <si>
    <t>DEZEMBRO</t>
  </si>
  <si>
    <t>MINAMEL</t>
  </si>
  <si>
    <t>COTA/PODCAST</t>
  </si>
  <si>
    <t>2309971 / 2319465</t>
  </si>
  <si>
    <t>140418 / DESCONTO</t>
  </si>
  <si>
    <t>DEPOSITO / 645409</t>
  </si>
  <si>
    <t>79305/79305</t>
  </si>
  <si>
    <t>19255/19171/20055/19792/19404/19548</t>
  </si>
  <si>
    <t>COTA /INCENTIVO</t>
  </si>
  <si>
    <t>9.700,00 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</si>
</sst>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4" tint="-0.249977111117893"/>
      <name val="Arial"/>
      <family val="2"/>
    </font>
    <font>
      <sz val="12"/>
      <color theme="4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3" fillId="2" borderId="1" xfId="0" applyFont="1" applyFill="1" applyBorder="1" applyAlignment="1">
      <alignment horizontal="center"/>
    </xf>
    <xf numFmtId="44" fontId="4" fillId="3" borderId="1" xfId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4" fontId="4" fillId="3" borderId="1" xfId="1" applyFont="1" applyFill="1" applyBorder="1" applyAlignment="1"/>
    <xf numFmtId="44" fontId="4" fillId="3" borderId="1" xfId="1" applyFont="1" applyFill="1" applyBorder="1"/>
    <xf numFmtId="0" fontId="5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vertical="center"/>
    </xf>
    <xf numFmtId="44" fontId="0" fillId="0" borderId="0" xfId="1" applyFont="1"/>
    <xf numFmtId="44" fontId="0" fillId="0" borderId="0" xfId="0" applyNumberFormat="1"/>
    <xf numFmtId="44" fontId="6" fillId="3" borderId="1" xfId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44" fontId="4" fillId="2" borderId="1" xfId="1" applyFont="1" applyFill="1" applyBorder="1" applyAlignment="1"/>
    <xf numFmtId="44" fontId="4" fillId="2" borderId="1" xfId="1" applyFont="1" applyFill="1" applyBorder="1" applyAlignment="1">
      <alignment horizontal="left"/>
    </xf>
    <xf numFmtId="44" fontId="4" fillId="2" borderId="1" xfId="1" applyFont="1" applyFill="1" applyBorder="1"/>
    <xf numFmtId="0" fontId="4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vertical="center"/>
    </xf>
    <xf numFmtId="44" fontId="9" fillId="3" borderId="1" xfId="1" applyFont="1" applyFill="1" applyBorder="1" applyAlignment="1"/>
    <xf numFmtId="0" fontId="9" fillId="3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vertical="center"/>
    </xf>
    <xf numFmtId="44" fontId="4" fillId="6" borderId="1" xfId="1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44" fontId="4" fillId="6" borderId="1" xfId="1" applyFont="1" applyFill="1" applyBorder="1" applyAlignment="1"/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vertical="center"/>
    </xf>
    <xf numFmtId="44" fontId="4" fillId="7" borderId="1" xfId="1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44" fontId="4" fillId="7" borderId="1" xfId="1" applyFont="1" applyFill="1" applyBorder="1"/>
    <xf numFmtId="44" fontId="4" fillId="7" borderId="1" xfId="1" applyFont="1" applyFill="1" applyBorder="1" applyAlignment="1"/>
    <xf numFmtId="44" fontId="5" fillId="3" borderId="1" xfId="1" applyFont="1" applyFill="1" applyBorder="1" applyAlignment="1">
      <alignment horizontal="left"/>
    </xf>
    <xf numFmtId="44" fontId="5" fillId="3" borderId="1" xfId="1" applyFont="1" applyFill="1" applyBorder="1" applyAlignment="1"/>
    <xf numFmtId="44" fontId="5" fillId="3" borderId="1" xfId="1" applyFont="1" applyFill="1" applyBorder="1"/>
    <xf numFmtId="44" fontId="5" fillId="2" borderId="1" xfId="1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44" fontId="5" fillId="2" borderId="1" xfId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44" fontId="5" fillId="3" borderId="11" xfId="1" applyFont="1" applyFill="1" applyBorder="1" applyAlignment="1">
      <alignment horizontal="left"/>
    </xf>
    <xf numFmtId="44" fontId="7" fillId="3" borderId="11" xfId="1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44" fontId="5" fillId="2" borderId="11" xfId="1" applyFont="1" applyFill="1" applyBorder="1" applyAlignment="1">
      <alignment horizontal="left"/>
    </xf>
    <xf numFmtId="0" fontId="5" fillId="3" borderId="10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44" fontId="3" fillId="5" borderId="11" xfId="1" applyFont="1" applyFill="1" applyBorder="1" applyAlignment="1">
      <alignment horizontal="center"/>
    </xf>
    <xf numFmtId="44" fontId="5" fillId="3" borderId="12" xfId="1" applyFont="1" applyFill="1" applyBorder="1"/>
    <xf numFmtId="44" fontId="5" fillId="2" borderId="1" xfId="1" applyFont="1" applyFill="1" applyBorder="1" applyAlignment="1"/>
    <xf numFmtId="0" fontId="3" fillId="5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A9F4-F722-4148-B928-6B796D0924D5}">
  <dimension ref="A1:F44"/>
  <sheetViews>
    <sheetView view="pageBreakPreview" topLeftCell="A37" zoomScaleNormal="100" zoomScaleSheetLayoutView="100" workbookViewId="0">
      <selection activeCell="A45" sqref="A45:XFD46"/>
    </sheetView>
  </sheetViews>
  <sheetFormatPr defaultRowHeight="14.4" x14ac:dyDescent="0.3"/>
  <cols>
    <col min="1" max="1" width="20.6640625" bestFit="1" customWidth="1"/>
    <col min="2" max="2" width="22.44140625" bestFit="1" customWidth="1"/>
    <col min="3" max="3" width="17.6640625" bestFit="1" customWidth="1"/>
    <col min="4" max="4" width="22" bestFit="1" customWidth="1"/>
    <col min="5" max="5" width="14.6640625" bestFit="1" customWidth="1"/>
    <col min="6" max="6" width="20.6640625" customWidth="1"/>
  </cols>
  <sheetData>
    <row r="1" spans="1:6" ht="21" x14ac:dyDescent="0.4">
      <c r="A1" s="75" t="s">
        <v>44</v>
      </c>
      <c r="B1" s="76"/>
      <c r="C1" s="76"/>
      <c r="D1" s="76"/>
      <c r="E1" s="77"/>
    </row>
    <row r="2" spans="1:6" x14ac:dyDescent="0.3">
      <c r="A2" s="78"/>
      <c r="B2" s="66"/>
      <c r="C2" s="66"/>
      <c r="D2" s="66"/>
      <c r="E2" s="79"/>
    </row>
    <row r="3" spans="1:6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6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6" ht="15.6" x14ac:dyDescent="0.3">
      <c r="A5" s="6" t="s">
        <v>4</v>
      </c>
      <c r="B5" s="12" t="s">
        <v>9</v>
      </c>
      <c r="C5" s="2">
        <v>0</v>
      </c>
      <c r="D5" s="3"/>
      <c r="E5" s="2"/>
    </row>
    <row r="6" spans="1:6" ht="15.6" x14ac:dyDescent="0.3">
      <c r="A6" s="6" t="s">
        <v>4</v>
      </c>
      <c r="B6" s="12" t="s">
        <v>10</v>
      </c>
      <c r="C6" s="2">
        <v>1944</v>
      </c>
      <c r="D6" s="3">
        <v>132909</v>
      </c>
      <c r="E6" s="2"/>
    </row>
    <row r="7" spans="1:6" ht="15.6" x14ac:dyDescent="0.3">
      <c r="A7" s="6" t="s">
        <v>4</v>
      </c>
      <c r="B7" s="12" t="s">
        <v>11</v>
      </c>
      <c r="C7" s="4">
        <v>9425.0400000000009</v>
      </c>
      <c r="D7" s="3">
        <v>336</v>
      </c>
      <c r="E7" s="2"/>
      <c r="F7" s="13"/>
    </row>
    <row r="8" spans="1:6" ht="15.6" x14ac:dyDescent="0.3">
      <c r="A8" s="6" t="s">
        <v>4</v>
      </c>
      <c r="B8" s="12" t="s">
        <v>12</v>
      </c>
      <c r="C8" s="4">
        <v>4503.51</v>
      </c>
      <c r="D8" s="3" t="s">
        <v>46</v>
      </c>
      <c r="E8" s="2"/>
      <c r="F8" s="13"/>
    </row>
    <row r="9" spans="1:6" ht="15.6" x14ac:dyDescent="0.3">
      <c r="A9" s="6" t="s">
        <v>4</v>
      </c>
      <c r="B9" s="12" t="s">
        <v>13</v>
      </c>
      <c r="C9" s="2">
        <v>12316.5</v>
      </c>
      <c r="D9" s="3">
        <v>126498</v>
      </c>
      <c r="E9" s="2"/>
      <c r="F9" s="13"/>
    </row>
    <row r="10" spans="1:6" ht="15.6" x14ac:dyDescent="0.3">
      <c r="A10" s="6" t="s">
        <v>4</v>
      </c>
      <c r="B10" s="12" t="s">
        <v>7</v>
      </c>
      <c r="C10" s="4">
        <v>0</v>
      </c>
      <c r="D10" s="3"/>
      <c r="E10" s="3"/>
      <c r="F10" s="13"/>
    </row>
    <row r="11" spans="1:6" ht="15.6" x14ac:dyDescent="0.3">
      <c r="A11" s="6" t="s">
        <v>4</v>
      </c>
      <c r="B11" s="12" t="s">
        <v>40</v>
      </c>
      <c r="C11" s="4">
        <v>31199.82</v>
      </c>
      <c r="D11" s="3" t="s">
        <v>46</v>
      </c>
      <c r="E11" s="3"/>
      <c r="F11" s="13"/>
    </row>
    <row r="12" spans="1:6" ht="15.6" x14ac:dyDescent="0.3">
      <c r="A12" s="6" t="s">
        <v>4</v>
      </c>
      <c r="B12" s="12" t="s">
        <v>14</v>
      </c>
      <c r="C12" s="4">
        <v>2540.9499999999998</v>
      </c>
      <c r="D12" s="3" t="s">
        <v>45</v>
      </c>
      <c r="E12" s="2"/>
      <c r="F12" s="13"/>
    </row>
    <row r="13" spans="1:6" ht="15.6" x14ac:dyDescent="0.3">
      <c r="A13" s="6" t="s">
        <v>4</v>
      </c>
      <c r="B13" s="12" t="s">
        <v>15</v>
      </c>
      <c r="C13" s="4">
        <v>16074.33</v>
      </c>
      <c r="D13" s="3" t="s">
        <v>47</v>
      </c>
      <c r="E13" s="2"/>
      <c r="F13" s="13"/>
    </row>
    <row r="14" spans="1:6" ht="15.6" x14ac:dyDescent="0.3">
      <c r="A14" s="6" t="s">
        <v>4</v>
      </c>
      <c r="B14" s="12" t="s">
        <v>16</v>
      </c>
      <c r="C14" s="4">
        <v>7882.04</v>
      </c>
      <c r="D14" s="3" t="s">
        <v>45</v>
      </c>
      <c r="E14" s="2"/>
      <c r="F14" s="14"/>
    </row>
    <row r="15" spans="1:6" ht="15.6" x14ac:dyDescent="0.3">
      <c r="A15" s="6" t="s">
        <v>4</v>
      </c>
      <c r="B15" s="12" t="s">
        <v>17</v>
      </c>
      <c r="C15" s="4">
        <v>0</v>
      </c>
      <c r="D15" s="3" t="s">
        <v>46</v>
      </c>
      <c r="E15" s="2"/>
    </row>
    <row r="16" spans="1:6" ht="15.6" x14ac:dyDescent="0.3">
      <c r="A16" s="6" t="s">
        <v>4</v>
      </c>
      <c r="B16" s="12" t="s">
        <v>18</v>
      </c>
      <c r="C16" s="4">
        <v>10328.61</v>
      </c>
      <c r="D16" s="3" t="s">
        <v>45</v>
      </c>
      <c r="E16" s="4"/>
    </row>
    <row r="17" spans="1:6" ht="15.6" x14ac:dyDescent="0.3">
      <c r="A17" s="6" t="s">
        <v>4</v>
      </c>
      <c r="B17" s="12" t="s">
        <v>19</v>
      </c>
      <c r="C17" s="2">
        <v>9207.74</v>
      </c>
      <c r="D17" s="3" t="s">
        <v>45</v>
      </c>
      <c r="E17" s="2"/>
    </row>
    <row r="18" spans="1:6" ht="15.6" x14ac:dyDescent="0.3">
      <c r="A18" s="6" t="s">
        <v>4</v>
      </c>
      <c r="B18" s="12" t="s">
        <v>20</v>
      </c>
      <c r="C18" s="2">
        <v>8354.75</v>
      </c>
      <c r="D18" s="3" t="s">
        <v>45</v>
      </c>
      <c r="E18" s="2"/>
    </row>
    <row r="19" spans="1:6" ht="15.6" x14ac:dyDescent="0.3">
      <c r="A19" s="6" t="s">
        <v>51</v>
      </c>
      <c r="B19" s="12" t="s">
        <v>50</v>
      </c>
      <c r="C19" s="4">
        <v>5004.9399999999996</v>
      </c>
      <c r="D19" s="3">
        <v>95975</v>
      </c>
      <c r="E19" s="3"/>
    </row>
    <row r="20" spans="1:6" ht="15.6" x14ac:dyDescent="0.3">
      <c r="A20" s="6" t="s">
        <v>4</v>
      </c>
      <c r="B20" s="12" t="s">
        <v>21</v>
      </c>
      <c r="C20" s="5">
        <v>7818.22</v>
      </c>
      <c r="D20" s="3" t="s">
        <v>45</v>
      </c>
      <c r="E20" s="2"/>
    </row>
    <row r="21" spans="1:6" ht="15.6" x14ac:dyDescent="0.3">
      <c r="A21" s="6" t="s">
        <v>4</v>
      </c>
      <c r="B21" s="12" t="s">
        <v>22</v>
      </c>
      <c r="C21" s="5">
        <v>4704.21</v>
      </c>
      <c r="D21" s="3" t="s">
        <v>45</v>
      </c>
      <c r="E21" s="2"/>
    </row>
    <row r="22" spans="1:6" ht="15.6" x14ac:dyDescent="0.3">
      <c r="A22" s="6" t="s">
        <v>4</v>
      </c>
      <c r="B22" s="12" t="s">
        <v>23</v>
      </c>
      <c r="C22" s="5">
        <v>3012.94</v>
      </c>
      <c r="D22" s="3" t="s">
        <v>45</v>
      </c>
      <c r="E22" s="2"/>
      <c r="F22" s="13"/>
    </row>
    <row r="23" spans="1:6" ht="15.6" x14ac:dyDescent="0.3">
      <c r="A23" s="6" t="s">
        <v>41</v>
      </c>
      <c r="B23" s="12" t="s">
        <v>24</v>
      </c>
      <c r="C23" s="2">
        <v>7998.9</v>
      </c>
      <c r="D23" s="3" t="s">
        <v>45</v>
      </c>
      <c r="E23" s="2"/>
      <c r="F23" s="13"/>
    </row>
    <row r="24" spans="1:6" ht="15.6" x14ac:dyDescent="0.3">
      <c r="A24" s="6" t="s">
        <v>4</v>
      </c>
      <c r="B24" s="12" t="s">
        <v>25</v>
      </c>
      <c r="C24" s="2">
        <v>13975.23</v>
      </c>
      <c r="D24" s="3" t="s">
        <v>46</v>
      </c>
      <c r="E24" s="2"/>
      <c r="F24" s="13"/>
    </row>
    <row r="25" spans="1:6" ht="15.6" x14ac:dyDescent="0.3">
      <c r="A25" s="6" t="s">
        <v>4</v>
      </c>
      <c r="B25" s="12" t="s">
        <v>42</v>
      </c>
      <c r="C25" s="2">
        <v>0</v>
      </c>
      <c r="D25" s="3"/>
      <c r="E25" s="2"/>
      <c r="F25" s="13"/>
    </row>
    <row r="26" spans="1:6" ht="15.6" x14ac:dyDescent="0.3">
      <c r="A26" s="6" t="s">
        <v>4</v>
      </c>
      <c r="B26" s="12" t="s">
        <v>26</v>
      </c>
      <c r="C26" s="5">
        <v>8576.9599999999991</v>
      </c>
      <c r="D26" s="3"/>
      <c r="E26" s="2"/>
      <c r="F26" s="13"/>
    </row>
    <row r="27" spans="1:6" ht="15.6" x14ac:dyDescent="0.3">
      <c r="A27" s="6" t="s">
        <v>4</v>
      </c>
      <c r="B27" s="12" t="s">
        <v>27</v>
      </c>
      <c r="C27" s="5">
        <v>13259.51</v>
      </c>
      <c r="D27" s="3"/>
      <c r="E27" s="2"/>
      <c r="F27" s="13"/>
    </row>
    <row r="28" spans="1:6" ht="15.6" x14ac:dyDescent="0.3">
      <c r="A28" s="6" t="s">
        <v>41</v>
      </c>
      <c r="B28" s="12" t="s">
        <v>28</v>
      </c>
      <c r="C28" s="2">
        <v>19788.830000000002</v>
      </c>
      <c r="D28" s="3" t="s">
        <v>46</v>
      </c>
      <c r="E28" s="2">
        <v>6666.66</v>
      </c>
      <c r="F28" s="13"/>
    </row>
    <row r="29" spans="1:6" ht="15.6" x14ac:dyDescent="0.3">
      <c r="A29" s="6" t="s">
        <v>4</v>
      </c>
      <c r="B29" s="12" t="s">
        <v>29</v>
      </c>
      <c r="C29" s="2">
        <v>0</v>
      </c>
      <c r="D29" s="3"/>
      <c r="E29" s="2"/>
    </row>
    <row r="30" spans="1:6" ht="15.6" x14ac:dyDescent="0.3">
      <c r="A30" s="6" t="s">
        <v>4</v>
      </c>
      <c r="B30" s="12" t="s">
        <v>30</v>
      </c>
      <c r="C30" s="2">
        <v>6656.74</v>
      </c>
      <c r="D30" s="3" t="s">
        <v>48</v>
      </c>
      <c r="E30" s="2">
        <v>3944.7</v>
      </c>
    </row>
    <row r="31" spans="1:6" ht="15.6" x14ac:dyDescent="0.3">
      <c r="A31" s="6" t="s">
        <v>4</v>
      </c>
      <c r="B31" s="12" t="s">
        <v>31</v>
      </c>
      <c r="C31" s="2">
        <v>5000</v>
      </c>
      <c r="D31" s="3" t="s">
        <v>46</v>
      </c>
      <c r="E31" s="2"/>
      <c r="F31" s="13"/>
    </row>
    <row r="32" spans="1:6" ht="15.6" x14ac:dyDescent="0.3">
      <c r="A32" s="6" t="s">
        <v>4</v>
      </c>
      <c r="B32" s="12" t="s">
        <v>39</v>
      </c>
      <c r="C32" s="2">
        <v>12624</v>
      </c>
      <c r="D32" s="3" t="s">
        <v>52</v>
      </c>
      <c r="E32" s="2"/>
      <c r="F32" s="13"/>
    </row>
    <row r="33" spans="1:6" ht="15.6" x14ac:dyDescent="0.3">
      <c r="A33" s="6" t="s">
        <v>4</v>
      </c>
      <c r="B33" s="12" t="s">
        <v>32</v>
      </c>
      <c r="C33" s="2">
        <v>8580.2199999999993</v>
      </c>
      <c r="D33" s="3" t="s">
        <v>45</v>
      </c>
      <c r="E33" s="2"/>
      <c r="F33" s="13"/>
    </row>
    <row r="34" spans="1:6" ht="15.6" x14ac:dyDescent="0.3">
      <c r="A34" s="6" t="s">
        <v>4</v>
      </c>
      <c r="B34" s="12" t="s">
        <v>33</v>
      </c>
      <c r="C34" s="2">
        <v>2220.06</v>
      </c>
      <c r="D34" s="3" t="s">
        <v>45</v>
      </c>
      <c r="E34" s="2"/>
      <c r="F34" s="13"/>
    </row>
    <row r="35" spans="1:6" ht="15.6" x14ac:dyDescent="0.3">
      <c r="A35" s="6" t="s">
        <v>4</v>
      </c>
      <c r="B35" s="12" t="s">
        <v>43</v>
      </c>
      <c r="C35" s="2">
        <v>9820.4</v>
      </c>
      <c r="D35" s="3">
        <v>2115318</v>
      </c>
      <c r="E35" s="2"/>
      <c r="F35" s="13"/>
    </row>
    <row r="36" spans="1:6" ht="15.6" x14ac:dyDescent="0.3">
      <c r="A36" s="6" t="s">
        <v>4</v>
      </c>
      <c r="B36" s="12" t="s">
        <v>34</v>
      </c>
      <c r="C36" s="2">
        <v>5485.44</v>
      </c>
      <c r="D36" s="3" t="s">
        <v>45</v>
      </c>
      <c r="E36" s="2"/>
      <c r="F36" s="13"/>
    </row>
    <row r="37" spans="1:6" ht="15.6" x14ac:dyDescent="0.3">
      <c r="A37" s="6" t="s">
        <v>4</v>
      </c>
      <c r="B37" s="12" t="s">
        <v>35</v>
      </c>
      <c r="C37" s="2">
        <v>15289.28</v>
      </c>
      <c r="D37" s="3" t="s">
        <v>45</v>
      </c>
      <c r="E37" s="2"/>
    </row>
    <row r="38" spans="1:6" ht="15.6" x14ac:dyDescent="0.3">
      <c r="A38" s="6" t="s">
        <v>4</v>
      </c>
      <c r="B38" s="12" t="s">
        <v>36</v>
      </c>
      <c r="C38" s="2">
        <v>9182.18</v>
      </c>
      <c r="D38" s="3" t="s">
        <v>45</v>
      </c>
      <c r="E38" s="2"/>
    </row>
    <row r="39" spans="1:6" ht="15.6" x14ac:dyDescent="0.3">
      <c r="A39" s="6" t="s">
        <v>4</v>
      </c>
      <c r="B39" s="12" t="s">
        <v>37</v>
      </c>
      <c r="C39" s="2">
        <v>39935.769999999997</v>
      </c>
      <c r="D39" s="3" t="s">
        <v>49</v>
      </c>
      <c r="E39" s="2">
        <v>8149.95</v>
      </c>
    </row>
    <row r="40" spans="1:6" ht="15.6" x14ac:dyDescent="0.3">
      <c r="A40" s="6" t="s">
        <v>4</v>
      </c>
      <c r="B40" s="12" t="s">
        <v>38</v>
      </c>
      <c r="C40" s="2">
        <v>5314.28</v>
      </c>
      <c r="D40" s="3" t="s">
        <v>45</v>
      </c>
      <c r="E40" s="2"/>
    </row>
    <row r="41" spans="1:6" ht="15.6" x14ac:dyDescent="0.3">
      <c r="A41" s="11"/>
      <c r="B41" s="3"/>
      <c r="C41" s="2"/>
      <c r="D41" s="3"/>
      <c r="E41" s="2"/>
    </row>
    <row r="42" spans="1:6" ht="15.6" x14ac:dyDescent="0.3">
      <c r="A42" s="80" t="s">
        <v>6</v>
      </c>
      <c r="B42" s="80"/>
      <c r="C42" s="81"/>
      <c r="D42" s="81"/>
      <c r="E42" s="9"/>
    </row>
    <row r="43" spans="1:6" ht="15.6" x14ac:dyDescent="0.3">
      <c r="A43" s="7"/>
      <c r="B43" s="7"/>
      <c r="C43" s="8"/>
      <c r="D43" s="8"/>
      <c r="E43" s="8"/>
    </row>
    <row r="44" spans="1:6" ht="15.6" x14ac:dyDescent="0.3">
      <c r="A44" s="61" t="s">
        <v>5</v>
      </c>
      <c r="B44" s="61"/>
      <c r="C44" s="74">
        <f>SUM(C4:C40)</f>
        <v>318025.40000000008</v>
      </c>
      <c r="D44" s="74"/>
      <c r="E44" s="10"/>
    </row>
  </sheetData>
  <mergeCells count="6">
    <mergeCell ref="A1:E1"/>
    <mergeCell ref="A2:E2"/>
    <mergeCell ref="A42:B42"/>
    <mergeCell ref="C42:D42"/>
    <mergeCell ref="A44:B44"/>
    <mergeCell ref="C44:D44"/>
  </mergeCells>
  <pageMargins left="0.511811024" right="0.511811024" top="0.78740157499999996" bottom="0.78740157499999996" header="0.31496062000000002" footer="0.31496062000000002"/>
  <pageSetup paperSize="9" scale="94" orientation="portrait" horizontalDpi="4294967293" verticalDpi="4294967293" r:id="rId1"/>
  <colBreaks count="1" manualBreakCount="1">
    <brk id="4" max="4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729D-5F3E-427E-9B0E-5F45D7A5FBF0}">
  <dimension ref="A1:K47"/>
  <sheetViews>
    <sheetView topLeftCell="A40" workbookViewId="0">
      <selection activeCell="A48" sqref="A48:XFD49"/>
    </sheetView>
  </sheetViews>
  <sheetFormatPr defaultRowHeight="14.4" x14ac:dyDescent="0.3"/>
  <cols>
    <col min="1" max="1" width="16.109375" bestFit="1" customWidth="1"/>
    <col min="2" max="2" width="22.44140625" bestFit="1" customWidth="1"/>
    <col min="3" max="3" width="14.6640625" bestFit="1" customWidth="1"/>
    <col min="4" max="4" width="21.6640625" bestFit="1" customWidth="1"/>
    <col min="5" max="5" width="11.109375" customWidth="1"/>
    <col min="9" max="9" width="22.88671875" bestFit="1" customWidth="1"/>
    <col min="11" max="11" width="13.33203125" bestFit="1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4</v>
      </c>
      <c r="B4" s="12" t="s">
        <v>8</v>
      </c>
      <c r="C4" s="2">
        <v>9092.5300000000007</v>
      </c>
      <c r="D4" s="3" t="s">
        <v>61</v>
      </c>
      <c r="E4" s="2"/>
    </row>
    <row r="5" spans="1:5" ht="15.6" x14ac:dyDescent="0.3">
      <c r="A5" s="6" t="s">
        <v>4</v>
      </c>
      <c r="B5" s="12" t="s">
        <v>9</v>
      </c>
      <c r="C5" s="2">
        <v>36064.68</v>
      </c>
      <c r="D5" s="3" t="s">
        <v>55</v>
      </c>
      <c r="E5" s="2"/>
    </row>
    <row r="6" spans="1:5" ht="15.6" x14ac:dyDescent="0.3">
      <c r="A6" s="6" t="s">
        <v>4</v>
      </c>
      <c r="B6" s="12" t="s">
        <v>10</v>
      </c>
      <c r="C6" s="2">
        <v>0</v>
      </c>
      <c r="D6" s="3"/>
      <c r="E6" s="2"/>
    </row>
    <row r="7" spans="1:5" ht="15.6" x14ac:dyDescent="0.3">
      <c r="A7" s="6" t="s">
        <v>4</v>
      </c>
      <c r="B7" s="12" t="s">
        <v>11</v>
      </c>
      <c r="C7" s="4">
        <v>19152.32</v>
      </c>
      <c r="D7" s="3">
        <v>1044809</v>
      </c>
      <c r="E7" s="2"/>
    </row>
    <row r="8" spans="1:5" ht="15.6" x14ac:dyDescent="0.3">
      <c r="A8" s="6" t="s">
        <v>4</v>
      </c>
      <c r="B8" s="12" t="s">
        <v>12</v>
      </c>
      <c r="C8" s="4">
        <v>5921.09</v>
      </c>
      <c r="D8" s="3" t="s">
        <v>64</v>
      </c>
      <c r="E8" s="2"/>
    </row>
    <row r="9" spans="1:5" ht="15.6" x14ac:dyDescent="0.3">
      <c r="A9" s="6" t="s">
        <v>4</v>
      </c>
      <c r="B9" s="12" t="s">
        <v>13</v>
      </c>
      <c r="C9" s="2">
        <v>6955.2</v>
      </c>
      <c r="D9" s="3">
        <v>127688</v>
      </c>
      <c r="E9" s="2"/>
    </row>
    <row r="10" spans="1:5" ht="15.6" x14ac:dyDescent="0.3">
      <c r="A10" s="6" t="s">
        <v>4</v>
      </c>
      <c r="B10" s="12" t="s">
        <v>7</v>
      </c>
      <c r="C10" s="4"/>
      <c r="D10" s="3"/>
      <c r="E10" s="2"/>
    </row>
    <row r="11" spans="1:5" ht="15.6" x14ac:dyDescent="0.3">
      <c r="A11" s="6" t="s">
        <v>59</v>
      </c>
      <c r="B11" s="12" t="s">
        <v>60</v>
      </c>
      <c r="C11" s="2">
        <v>2551.5</v>
      </c>
      <c r="D11" s="3">
        <v>1587</v>
      </c>
      <c r="E11" s="3"/>
    </row>
    <row r="12" spans="1:5" ht="15.6" x14ac:dyDescent="0.3">
      <c r="A12" s="6" t="s">
        <v>4</v>
      </c>
      <c r="B12" s="12" t="s">
        <v>40</v>
      </c>
      <c r="C12" s="4">
        <v>18193.68</v>
      </c>
      <c r="D12" s="3" t="s">
        <v>46</v>
      </c>
      <c r="E12" s="3"/>
    </row>
    <row r="13" spans="1:5" ht="15.6" x14ac:dyDescent="0.3">
      <c r="A13" s="6" t="s">
        <v>4</v>
      </c>
      <c r="B13" s="12" t="s">
        <v>14</v>
      </c>
      <c r="C13" s="4">
        <v>2669.06</v>
      </c>
      <c r="D13" s="3" t="s">
        <v>45</v>
      </c>
      <c r="E13" s="2"/>
    </row>
    <row r="14" spans="1:5" ht="15.6" x14ac:dyDescent="0.3">
      <c r="A14" s="6" t="s">
        <v>4</v>
      </c>
      <c r="B14" s="12" t="s">
        <v>15</v>
      </c>
      <c r="C14" s="4">
        <v>16950.21</v>
      </c>
      <c r="D14" s="4" t="s">
        <v>62</v>
      </c>
      <c r="E14" s="15"/>
    </row>
    <row r="15" spans="1:5" ht="15.6" x14ac:dyDescent="0.3">
      <c r="A15" s="6" t="s">
        <v>4</v>
      </c>
      <c r="B15" s="12" t="s">
        <v>16</v>
      </c>
      <c r="C15" s="4">
        <v>10728.4</v>
      </c>
      <c r="D15" s="3" t="s">
        <v>45</v>
      </c>
      <c r="E15" s="2"/>
    </row>
    <row r="16" spans="1:5" ht="15.6" x14ac:dyDescent="0.3">
      <c r="A16" s="6" t="s">
        <v>4</v>
      </c>
      <c r="B16" s="12" t="s">
        <v>17</v>
      </c>
      <c r="C16" s="4">
        <v>20000</v>
      </c>
      <c r="D16" s="3" t="s">
        <v>46</v>
      </c>
      <c r="E16" s="2"/>
    </row>
    <row r="17" spans="1:11" ht="15.6" x14ac:dyDescent="0.3">
      <c r="A17" s="6" t="s">
        <v>4</v>
      </c>
      <c r="B17" s="12" t="s">
        <v>18</v>
      </c>
      <c r="C17" s="4">
        <v>10443.59</v>
      </c>
      <c r="D17" s="3" t="s">
        <v>45</v>
      </c>
      <c r="E17" s="2"/>
    </row>
    <row r="18" spans="1:11" ht="15.6" x14ac:dyDescent="0.3">
      <c r="A18" s="6" t="s">
        <v>4</v>
      </c>
      <c r="B18" s="12" t="s">
        <v>19</v>
      </c>
      <c r="C18" s="2">
        <v>6573.07</v>
      </c>
      <c r="D18" s="3" t="s">
        <v>45</v>
      </c>
      <c r="E18" s="4"/>
    </row>
    <row r="19" spans="1:11" ht="15.6" x14ac:dyDescent="0.3">
      <c r="A19" s="6" t="s">
        <v>4</v>
      </c>
      <c r="B19" s="12" t="s">
        <v>20</v>
      </c>
      <c r="C19" s="2">
        <v>7521.21</v>
      </c>
      <c r="D19" s="3" t="s">
        <v>45</v>
      </c>
      <c r="E19" s="2"/>
    </row>
    <row r="20" spans="1:11" ht="15.6" x14ac:dyDescent="0.3">
      <c r="A20" s="6" t="s">
        <v>4</v>
      </c>
      <c r="B20" s="12" t="s">
        <v>54</v>
      </c>
      <c r="C20" s="4">
        <v>40693.160000000003</v>
      </c>
      <c r="D20" s="3" t="s">
        <v>45</v>
      </c>
      <c r="E20" s="2"/>
    </row>
    <row r="21" spans="1:11" ht="15.6" x14ac:dyDescent="0.3">
      <c r="A21" s="6" t="s">
        <v>51</v>
      </c>
      <c r="B21" s="12" t="s">
        <v>50</v>
      </c>
      <c r="C21" s="4">
        <v>14438.79</v>
      </c>
      <c r="D21" s="3" t="s">
        <v>63</v>
      </c>
      <c r="E21" s="3"/>
    </row>
    <row r="22" spans="1:11" ht="15.6" x14ac:dyDescent="0.3">
      <c r="A22" s="6" t="s">
        <v>4</v>
      </c>
      <c r="B22" s="12" t="s">
        <v>21</v>
      </c>
      <c r="C22" s="5">
        <v>16302.47</v>
      </c>
      <c r="D22" s="3" t="s">
        <v>56</v>
      </c>
      <c r="E22" s="2"/>
    </row>
    <row r="23" spans="1:11" ht="15.6" x14ac:dyDescent="0.3">
      <c r="A23" s="6" t="s">
        <v>4</v>
      </c>
      <c r="B23" s="12" t="s">
        <v>22</v>
      </c>
      <c r="C23" s="5">
        <v>4547.4799999999996</v>
      </c>
      <c r="D23" s="3" t="s">
        <v>45</v>
      </c>
      <c r="E23" s="2"/>
    </row>
    <row r="24" spans="1:11" ht="15.6" x14ac:dyDescent="0.3">
      <c r="A24" s="6" t="s">
        <v>4</v>
      </c>
      <c r="B24" s="12" t="s">
        <v>23</v>
      </c>
      <c r="C24" s="5">
        <v>5933.53</v>
      </c>
      <c r="D24" s="3" t="s">
        <v>45</v>
      </c>
      <c r="E24" s="2"/>
    </row>
    <row r="25" spans="1:11" ht="15.6" x14ac:dyDescent="0.3">
      <c r="A25" s="6" t="s">
        <v>41</v>
      </c>
      <c r="B25" s="12" t="s">
        <v>24</v>
      </c>
      <c r="C25" s="2">
        <v>7929.22</v>
      </c>
      <c r="D25" s="3" t="s">
        <v>45</v>
      </c>
      <c r="E25" s="2"/>
      <c r="K25" s="13">
        <v>4500</v>
      </c>
    </row>
    <row r="26" spans="1:11" ht="15.6" x14ac:dyDescent="0.3">
      <c r="A26" s="6" t="s">
        <v>4</v>
      </c>
      <c r="B26" s="12" t="s">
        <v>25</v>
      </c>
      <c r="C26" s="2">
        <v>10441.73</v>
      </c>
      <c r="D26" s="3" t="s">
        <v>46</v>
      </c>
      <c r="E26" s="2"/>
      <c r="K26" s="13">
        <v>4500</v>
      </c>
    </row>
    <row r="27" spans="1:11" ht="15.6" x14ac:dyDescent="0.3">
      <c r="A27" s="6" t="s">
        <v>4</v>
      </c>
      <c r="B27" s="12" t="s">
        <v>42</v>
      </c>
      <c r="C27" s="2">
        <v>9484.51</v>
      </c>
      <c r="D27" s="3">
        <v>568084</v>
      </c>
      <c r="E27" s="2"/>
      <c r="K27" s="13">
        <v>21065.72</v>
      </c>
    </row>
    <row r="28" spans="1:11" ht="15.6" x14ac:dyDescent="0.3">
      <c r="A28" s="6" t="s">
        <v>4</v>
      </c>
      <c r="B28" s="12" t="s">
        <v>26</v>
      </c>
      <c r="C28" s="5">
        <v>4653</v>
      </c>
      <c r="D28" s="3" t="s">
        <v>45</v>
      </c>
      <c r="E28" s="2"/>
      <c r="K28" s="13"/>
    </row>
    <row r="29" spans="1:11" ht="15.6" x14ac:dyDescent="0.3">
      <c r="A29" s="6" t="s">
        <v>4</v>
      </c>
      <c r="B29" s="12" t="s">
        <v>27</v>
      </c>
      <c r="C29" s="5">
        <v>6159</v>
      </c>
      <c r="D29" s="3" t="s">
        <v>45</v>
      </c>
      <c r="E29" s="2"/>
      <c r="K29" s="13">
        <f>SUM(K25:K28)</f>
        <v>30065.72</v>
      </c>
    </row>
    <row r="30" spans="1:11" ht="15.6" x14ac:dyDescent="0.3">
      <c r="A30" s="6" t="s">
        <v>41</v>
      </c>
      <c r="B30" s="12" t="s">
        <v>28</v>
      </c>
      <c r="C30" s="2">
        <v>11612.5</v>
      </c>
      <c r="D30" s="3" t="s">
        <v>46</v>
      </c>
      <c r="E30" s="2"/>
    </row>
    <row r="31" spans="1:11" ht="15.6" x14ac:dyDescent="0.3">
      <c r="A31" s="6" t="s">
        <v>4</v>
      </c>
      <c r="B31" s="12" t="s">
        <v>29</v>
      </c>
      <c r="C31" s="2">
        <v>0</v>
      </c>
      <c r="D31" s="3"/>
      <c r="E31" s="2"/>
    </row>
    <row r="32" spans="1:11" ht="15.6" x14ac:dyDescent="0.3">
      <c r="A32" s="6" t="s">
        <v>4</v>
      </c>
      <c r="B32" s="12" t="s">
        <v>30</v>
      </c>
      <c r="C32" s="2">
        <v>5087.21</v>
      </c>
      <c r="D32" s="3" t="s">
        <v>45</v>
      </c>
      <c r="E32" s="2"/>
    </row>
    <row r="33" spans="1:5" ht="15.6" x14ac:dyDescent="0.3">
      <c r="A33" s="6" t="s">
        <v>4</v>
      </c>
      <c r="B33" s="12" t="s">
        <v>31</v>
      </c>
      <c r="C33" s="2">
        <v>5000</v>
      </c>
      <c r="D33" s="3" t="s">
        <v>46</v>
      </c>
      <c r="E33" s="2"/>
    </row>
    <row r="34" spans="1:5" ht="15.6" x14ac:dyDescent="0.3">
      <c r="A34" s="6" t="s">
        <v>4</v>
      </c>
      <c r="B34" s="12" t="s">
        <v>39</v>
      </c>
      <c r="C34" s="2">
        <v>15190.71</v>
      </c>
      <c r="D34" s="3">
        <v>3125644</v>
      </c>
      <c r="E34" s="2"/>
    </row>
    <row r="35" spans="1:5" ht="15.6" x14ac:dyDescent="0.3">
      <c r="A35" s="6" t="s">
        <v>51</v>
      </c>
      <c r="B35" s="12" t="s">
        <v>58</v>
      </c>
      <c r="C35" s="2">
        <v>7829.5</v>
      </c>
      <c r="D35" s="3">
        <v>26740</v>
      </c>
      <c r="E35" s="2"/>
    </row>
    <row r="36" spans="1:5" ht="15.6" x14ac:dyDescent="0.3">
      <c r="A36" s="16" t="s">
        <v>4</v>
      </c>
      <c r="B36" s="17" t="s">
        <v>32</v>
      </c>
      <c r="C36" s="15">
        <v>30065.72</v>
      </c>
      <c r="D36" s="18" t="s">
        <v>45</v>
      </c>
      <c r="E36" s="15"/>
    </row>
    <row r="37" spans="1:5" ht="15.6" x14ac:dyDescent="0.3">
      <c r="A37" s="6" t="s">
        <v>4</v>
      </c>
      <c r="B37" s="12" t="s">
        <v>33</v>
      </c>
      <c r="C37" s="2">
        <v>2885.11</v>
      </c>
      <c r="D37" s="3" t="s">
        <v>45</v>
      </c>
      <c r="E37" s="2"/>
    </row>
    <row r="38" spans="1:5" ht="15.6" x14ac:dyDescent="0.3">
      <c r="A38" s="6" t="s">
        <v>4</v>
      </c>
      <c r="B38" s="12" t="s">
        <v>43</v>
      </c>
      <c r="C38" s="2">
        <v>9776.59</v>
      </c>
      <c r="D38" s="3">
        <v>2141099</v>
      </c>
      <c r="E38" s="2"/>
    </row>
    <row r="39" spans="1:5" ht="15.6" x14ac:dyDescent="0.3">
      <c r="A39" s="6" t="s">
        <v>4</v>
      </c>
      <c r="B39" s="12" t="s">
        <v>34</v>
      </c>
      <c r="C39" s="2">
        <v>812.88</v>
      </c>
      <c r="D39" s="3" t="s">
        <v>45</v>
      </c>
      <c r="E39" s="2"/>
    </row>
    <row r="40" spans="1:5" ht="15.6" x14ac:dyDescent="0.3">
      <c r="A40" s="6" t="s">
        <v>4</v>
      </c>
      <c r="B40" s="12" t="s">
        <v>35</v>
      </c>
      <c r="C40" s="2">
        <v>15708.69</v>
      </c>
      <c r="D40" s="3" t="s">
        <v>57</v>
      </c>
      <c r="E40" s="2"/>
    </row>
    <row r="41" spans="1:5" ht="15.6" x14ac:dyDescent="0.3">
      <c r="A41" s="6" t="s">
        <v>4</v>
      </c>
      <c r="B41" s="12" t="s">
        <v>36</v>
      </c>
      <c r="C41" s="2">
        <v>9182</v>
      </c>
      <c r="D41" s="3" t="s">
        <v>46</v>
      </c>
      <c r="E41" s="2"/>
    </row>
    <row r="42" spans="1:5" ht="15.6" x14ac:dyDescent="0.3">
      <c r="A42" s="6" t="s">
        <v>4</v>
      </c>
      <c r="B42" s="12" t="s">
        <v>37</v>
      </c>
      <c r="C42" s="2">
        <v>20166.46</v>
      </c>
      <c r="D42" s="3" t="s">
        <v>46</v>
      </c>
      <c r="E42" s="2"/>
    </row>
    <row r="43" spans="1:5" ht="15.6" x14ac:dyDescent="0.3">
      <c r="A43" s="6" t="s">
        <v>4</v>
      </c>
      <c r="B43" s="12" t="s">
        <v>38</v>
      </c>
      <c r="C43" s="2">
        <v>11201.11</v>
      </c>
      <c r="D43" s="3" t="s">
        <v>45</v>
      </c>
      <c r="E43" s="2"/>
    </row>
    <row r="44" spans="1:5" ht="15.6" x14ac:dyDescent="0.3">
      <c r="A44" s="11"/>
      <c r="B44" s="3"/>
      <c r="C44" s="2"/>
      <c r="D44" s="3"/>
      <c r="E44" s="2"/>
    </row>
    <row r="45" spans="1:5" ht="15.6" x14ac:dyDescent="0.3">
      <c r="A45" s="80" t="s">
        <v>53</v>
      </c>
      <c r="B45" s="80"/>
      <c r="C45" s="81"/>
      <c r="D45" s="81"/>
      <c r="E45" s="9"/>
    </row>
    <row r="46" spans="1:5" ht="15.6" x14ac:dyDescent="0.3">
      <c r="A46" s="82"/>
      <c r="B46" s="83"/>
      <c r="C46" s="83"/>
      <c r="D46" s="83"/>
      <c r="E46" s="84"/>
    </row>
    <row r="47" spans="1:5" ht="15.6" x14ac:dyDescent="0.3">
      <c r="A47" s="61" t="s">
        <v>5</v>
      </c>
      <c r="B47" s="61"/>
      <c r="C47" s="74">
        <f>SUM(C4:C43)</f>
        <v>437917.91000000009</v>
      </c>
      <c r="D47" s="74"/>
      <c r="E47" s="10"/>
    </row>
  </sheetData>
  <sortState xmlns:xlrd2="http://schemas.microsoft.com/office/spreadsheetml/2017/richdata2" ref="A4:D43">
    <sortCondition ref="B4:B43"/>
  </sortState>
  <mergeCells count="7">
    <mergeCell ref="A1:E1"/>
    <mergeCell ref="A2:E2"/>
    <mergeCell ref="A45:B45"/>
    <mergeCell ref="C45:D45"/>
    <mergeCell ref="A47:B47"/>
    <mergeCell ref="C47:D47"/>
    <mergeCell ref="A46:E4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F410-A0BE-4E84-B489-C6E7D7738202}">
  <dimension ref="A1:E46"/>
  <sheetViews>
    <sheetView view="pageBreakPreview" topLeftCell="A38" zoomScaleNormal="100" zoomScaleSheetLayoutView="100" workbookViewId="0">
      <selection activeCell="A47" sqref="A47:XFD48"/>
    </sheetView>
  </sheetViews>
  <sheetFormatPr defaultRowHeight="14.4" x14ac:dyDescent="0.3"/>
  <cols>
    <col min="1" max="1" width="21.44140625" bestFit="1" customWidth="1"/>
    <col min="2" max="2" width="22.44140625" bestFit="1" customWidth="1"/>
    <col min="3" max="3" width="15.88671875" bestFit="1" customWidth="1"/>
    <col min="4" max="4" width="25.109375" bestFit="1" customWidth="1"/>
    <col min="5" max="5" width="14.6640625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4</v>
      </c>
      <c r="B4" s="12" t="s">
        <v>8</v>
      </c>
      <c r="C4" s="2">
        <v>150000</v>
      </c>
      <c r="D4" s="3" t="s">
        <v>46</v>
      </c>
      <c r="E4" s="2"/>
    </row>
    <row r="5" spans="1:5" ht="15.6" x14ac:dyDescent="0.3">
      <c r="A5" s="6" t="s">
        <v>4</v>
      </c>
      <c r="B5" s="12" t="s">
        <v>9</v>
      </c>
      <c r="C5" s="2">
        <v>0</v>
      </c>
      <c r="D5" s="3"/>
      <c r="E5" s="2"/>
    </row>
    <row r="6" spans="1:5" ht="15.6" x14ac:dyDescent="0.3">
      <c r="A6" s="6" t="s">
        <v>4</v>
      </c>
      <c r="B6" s="12" t="s">
        <v>10</v>
      </c>
      <c r="C6" s="2">
        <v>1944</v>
      </c>
      <c r="D6" s="3">
        <v>135710</v>
      </c>
      <c r="E6" s="2"/>
    </row>
    <row r="7" spans="1:5" ht="15.6" x14ac:dyDescent="0.3">
      <c r="A7" s="6" t="s">
        <v>4</v>
      </c>
      <c r="B7" s="12" t="s">
        <v>11</v>
      </c>
      <c r="C7" s="4">
        <v>13096.96</v>
      </c>
      <c r="D7" s="3">
        <v>1050681</v>
      </c>
      <c r="E7" s="2"/>
    </row>
    <row r="8" spans="1:5" ht="15.6" x14ac:dyDescent="0.3">
      <c r="A8" s="6" t="s">
        <v>4</v>
      </c>
      <c r="B8" s="12" t="s">
        <v>12</v>
      </c>
      <c r="C8" s="4">
        <v>3817.17</v>
      </c>
      <c r="D8" s="3" t="s">
        <v>46</v>
      </c>
      <c r="E8" s="2"/>
    </row>
    <row r="9" spans="1:5" ht="15.6" x14ac:dyDescent="0.3">
      <c r="A9" s="6" t="s">
        <v>4</v>
      </c>
      <c r="B9" s="12" t="s">
        <v>13</v>
      </c>
      <c r="C9" s="2">
        <v>8259.2999999999993</v>
      </c>
      <c r="D9" s="3">
        <v>128788</v>
      </c>
      <c r="E9" s="15"/>
    </row>
    <row r="10" spans="1:5" ht="15.6" x14ac:dyDescent="0.3">
      <c r="A10" s="6" t="s">
        <v>4</v>
      </c>
      <c r="B10" s="12" t="s">
        <v>7</v>
      </c>
      <c r="C10" s="4"/>
      <c r="D10" s="3"/>
      <c r="E10" s="2"/>
    </row>
    <row r="11" spans="1:5" ht="15.6" x14ac:dyDescent="0.3">
      <c r="A11" s="6" t="s">
        <v>4</v>
      </c>
      <c r="B11" s="12" t="s">
        <v>40</v>
      </c>
      <c r="C11" s="4">
        <v>14396.54</v>
      </c>
      <c r="D11" s="3" t="s">
        <v>46</v>
      </c>
      <c r="E11" s="3"/>
    </row>
    <row r="12" spans="1:5" ht="15.6" x14ac:dyDescent="0.3">
      <c r="A12" s="6" t="s">
        <v>4</v>
      </c>
      <c r="B12" s="12" t="s">
        <v>14</v>
      </c>
      <c r="C12" s="4">
        <v>2421.41</v>
      </c>
      <c r="D12" s="3" t="s">
        <v>45</v>
      </c>
      <c r="E12" s="2"/>
    </row>
    <row r="13" spans="1:5" ht="15.6" x14ac:dyDescent="0.3">
      <c r="A13" s="19" t="s">
        <v>68</v>
      </c>
      <c r="B13" s="20" t="s">
        <v>15</v>
      </c>
      <c r="C13" s="21">
        <v>22200.14</v>
      </c>
      <c r="D13" s="21" t="s">
        <v>66</v>
      </c>
      <c r="E13" s="22">
        <v>7000</v>
      </c>
    </row>
    <row r="14" spans="1:5" ht="15.6" x14ac:dyDescent="0.3">
      <c r="A14" s="6" t="s">
        <v>4</v>
      </c>
      <c r="B14" s="12" t="s">
        <v>16</v>
      </c>
      <c r="C14" s="4">
        <v>7236</v>
      </c>
      <c r="D14" s="3" t="s">
        <v>45</v>
      </c>
      <c r="E14" s="2"/>
    </row>
    <row r="15" spans="1:5" ht="15.6" x14ac:dyDescent="0.3">
      <c r="A15" s="6" t="s">
        <v>4</v>
      </c>
      <c r="B15" s="12" t="s">
        <v>17</v>
      </c>
      <c r="C15" s="4">
        <v>18552.599999999999</v>
      </c>
      <c r="D15" s="3" t="s">
        <v>46</v>
      </c>
      <c r="E15" s="2"/>
    </row>
    <row r="16" spans="1:5" ht="15.6" x14ac:dyDescent="0.3">
      <c r="A16" s="6" t="s">
        <v>4</v>
      </c>
      <c r="B16" s="12" t="s">
        <v>18</v>
      </c>
      <c r="C16" s="4">
        <v>6781.76</v>
      </c>
      <c r="D16" s="3" t="s">
        <v>45</v>
      </c>
      <c r="E16" s="2"/>
    </row>
    <row r="17" spans="1:5" ht="15.6" x14ac:dyDescent="0.3">
      <c r="A17" s="6" t="s">
        <v>4</v>
      </c>
      <c r="B17" s="12" t="s">
        <v>19</v>
      </c>
      <c r="C17" s="2">
        <v>1317.6</v>
      </c>
      <c r="D17" s="3" t="s">
        <v>45</v>
      </c>
      <c r="E17" s="4"/>
    </row>
    <row r="18" spans="1:5" ht="15.6" x14ac:dyDescent="0.3">
      <c r="A18" s="6" t="s">
        <v>4</v>
      </c>
      <c r="B18" s="12" t="s">
        <v>20</v>
      </c>
      <c r="C18" s="2">
        <v>7012.93</v>
      </c>
      <c r="D18" s="3" t="s">
        <v>45</v>
      </c>
      <c r="E18" s="2"/>
    </row>
    <row r="19" spans="1:5" ht="15.6" x14ac:dyDescent="0.3">
      <c r="A19" s="6" t="s">
        <v>4</v>
      </c>
      <c r="B19" s="12" t="s">
        <v>54</v>
      </c>
      <c r="C19" s="4">
        <v>18172.47</v>
      </c>
      <c r="D19" s="3" t="s">
        <v>45</v>
      </c>
      <c r="E19" s="2"/>
    </row>
    <row r="20" spans="1:5" ht="15.6" x14ac:dyDescent="0.3">
      <c r="A20" s="6" t="s">
        <v>51</v>
      </c>
      <c r="B20" s="12" t="s">
        <v>50</v>
      </c>
      <c r="C20" s="4">
        <v>0</v>
      </c>
      <c r="D20" s="3"/>
      <c r="E20" s="3"/>
    </row>
    <row r="21" spans="1:5" ht="15.6" x14ac:dyDescent="0.3">
      <c r="A21" s="6" t="s">
        <v>4</v>
      </c>
      <c r="B21" s="12" t="s">
        <v>21</v>
      </c>
      <c r="C21" s="5">
        <v>7588.11</v>
      </c>
      <c r="D21" s="3" t="s">
        <v>45</v>
      </c>
      <c r="E21" s="2"/>
    </row>
    <row r="22" spans="1:5" ht="15.6" x14ac:dyDescent="0.3">
      <c r="A22" s="6" t="s">
        <v>4</v>
      </c>
      <c r="B22" s="12" t="s">
        <v>22</v>
      </c>
      <c r="C22" s="5">
        <v>3524.66</v>
      </c>
      <c r="D22" s="3" t="s">
        <v>45</v>
      </c>
      <c r="E22" s="2"/>
    </row>
    <row r="23" spans="1:5" ht="15.6" x14ac:dyDescent="0.3">
      <c r="A23" s="19" t="s">
        <v>68</v>
      </c>
      <c r="B23" s="20" t="s">
        <v>23</v>
      </c>
      <c r="C23" s="23">
        <v>19608.490000000002</v>
      </c>
      <c r="D23" s="24" t="s">
        <v>46</v>
      </c>
      <c r="E23" s="22">
        <v>5000</v>
      </c>
    </row>
    <row r="24" spans="1:5" ht="15.6" x14ac:dyDescent="0.3">
      <c r="A24" s="6" t="s">
        <v>41</v>
      </c>
      <c r="B24" s="12" t="s">
        <v>24</v>
      </c>
      <c r="C24" s="2">
        <v>6891.94</v>
      </c>
      <c r="D24" s="3" t="s">
        <v>45</v>
      </c>
      <c r="E24" s="2"/>
    </row>
    <row r="25" spans="1:5" ht="15.6" x14ac:dyDescent="0.3">
      <c r="A25" s="6" t="s">
        <v>4</v>
      </c>
      <c r="B25" s="12" t="s">
        <v>25</v>
      </c>
      <c r="C25" s="2">
        <v>0</v>
      </c>
      <c r="D25" s="3"/>
      <c r="E25" s="2"/>
    </row>
    <row r="26" spans="1:5" ht="15.6" x14ac:dyDescent="0.3">
      <c r="A26" s="6" t="s">
        <v>4</v>
      </c>
      <c r="B26" s="12" t="s">
        <v>42</v>
      </c>
      <c r="C26" s="2">
        <v>9683.19</v>
      </c>
      <c r="D26" s="3">
        <v>576164</v>
      </c>
      <c r="E26" s="2"/>
    </row>
    <row r="27" spans="1:5" ht="15.6" x14ac:dyDescent="0.3">
      <c r="A27" s="6" t="s">
        <v>4</v>
      </c>
      <c r="B27" s="12" t="s">
        <v>26</v>
      </c>
      <c r="C27" s="5">
        <v>4570.07</v>
      </c>
      <c r="D27" s="3" t="s">
        <v>45</v>
      </c>
      <c r="E27" s="2"/>
    </row>
    <row r="28" spans="1:5" ht="15.6" x14ac:dyDescent="0.3">
      <c r="A28" s="6" t="s">
        <v>4</v>
      </c>
      <c r="B28" s="12" t="s">
        <v>27</v>
      </c>
      <c r="C28" s="5">
        <v>9206.16</v>
      </c>
      <c r="D28" s="3" t="s">
        <v>45</v>
      </c>
      <c r="E28" s="2"/>
    </row>
    <row r="29" spans="1:5" ht="15.6" x14ac:dyDescent="0.3">
      <c r="A29" s="6" t="s">
        <v>41</v>
      </c>
      <c r="B29" s="12" t="s">
        <v>28</v>
      </c>
      <c r="C29" s="2">
        <v>6667</v>
      </c>
      <c r="D29" s="3" t="s">
        <v>46</v>
      </c>
      <c r="E29" s="2"/>
    </row>
    <row r="30" spans="1:5" ht="15.6" x14ac:dyDescent="0.3">
      <c r="A30" s="6" t="s">
        <v>4</v>
      </c>
      <c r="B30" s="12" t="s">
        <v>29</v>
      </c>
      <c r="C30" s="2">
        <v>0</v>
      </c>
      <c r="D30" s="3"/>
      <c r="E30" s="2"/>
    </row>
    <row r="31" spans="1:5" ht="15.6" x14ac:dyDescent="0.3">
      <c r="A31" s="6" t="s">
        <v>4</v>
      </c>
      <c r="B31" s="12" t="s">
        <v>30</v>
      </c>
      <c r="C31" s="2">
        <v>7478.37</v>
      </c>
      <c r="D31" s="3">
        <v>128496</v>
      </c>
      <c r="E31" s="2"/>
    </row>
    <row r="32" spans="1:5" ht="15.6" x14ac:dyDescent="0.3">
      <c r="A32" s="6" t="s">
        <v>4</v>
      </c>
      <c r="B32" s="12" t="s">
        <v>31</v>
      </c>
      <c r="C32" s="2">
        <v>5000</v>
      </c>
      <c r="D32" s="3" t="s">
        <v>46</v>
      </c>
      <c r="E32" s="2"/>
    </row>
    <row r="33" spans="1:5" ht="15.6" x14ac:dyDescent="0.3">
      <c r="A33" s="6" t="s">
        <v>4</v>
      </c>
      <c r="B33" s="12" t="s">
        <v>39</v>
      </c>
      <c r="C33" s="2">
        <v>12614.4</v>
      </c>
      <c r="D33" s="3" t="s">
        <v>45</v>
      </c>
      <c r="E33" s="2"/>
    </row>
    <row r="34" spans="1:5" ht="15.6" x14ac:dyDescent="0.3">
      <c r="A34" s="6" t="s">
        <v>51</v>
      </c>
      <c r="B34" s="12" t="s">
        <v>58</v>
      </c>
      <c r="C34" s="2">
        <v>0</v>
      </c>
      <c r="D34" s="3"/>
      <c r="E34" s="2"/>
    </row>
    <row r="35" spans="1:5" ht="15.6" x14ac:dyDescent="0.3">
      <c r="A35" s="19" t="s">
        <v>68</v>
      </c>
      <c r="B35" s="20" t="s">
        <v>32</v>
      </c>
      <c r="C35" s="22">
        <v>30065.72</v>
      </c>
      <c r="D35" s="24" t="s">
        <v>67</v>
      </c>
      <c r="E35" s="22">
        <v>4500</v>
      </c>
    </row>
    <row r="36" spans="1:5" ht="15.6" x14ac:dyDescent="0.3">
      <c r="A36" s="6" t="s">
        <v>4</v>
      </c>
      <c r="B36" s="12" t="s">
        <v>33</v>
      </c>
      <c r="C36" s="2">
        <v>2107.0100000000002</v>
      </c>
      <c r="D36" s="3" t="s">
        <v>45</v>
      </c>
      <c r="E36" s="2"/>
    </row>
    <row r="37" spans="1:5" ht="15.6" x14ac:dyDescent="0.3">
      <c r="A37" s="6" t="s">
        <v>4</v>
      </c>
      <c r="B37" s="12" t="s">
        <v>43</v>
      </c>
      <c r="C37" s="2">
        <v>9473.5499999999993</v>
      </c>
      <c r="D37" s="3">
        <v>2153395</v>
      </c>
      <c r="E37" s="2"/>
    </row>
    <row r="38" spans="1:5" ht="15.6" x14ac:dyDescent="0.3">
      <c r="A38" s="6" t="s">
        <v>4</v>
      </c>
      <c r="B38" s="12" t="s">
        <v>34</v>
      </c>
      <c r="C38" s="2">
        <v>5218.5600000000004</v>
      </c>
      <c r="D38" s="3" t="s">
        <v>45</v>
      </c>
      <c r="E38" s="2"/>
    </row>
    <row r="39" spans="1:5" ht="15.6" x14ac:dyDescent="0.3">
      <c r="A39" s="6" t="s">
        <v>4</v>
      </c>
      <c r="B39" s="12" t="s">
        <v>35</v>
      </c>
      <c r="C39" s="2">
        <v>31658.52</v>
      </c>
      <c r="D39" s="3" t="s">
        <v>67</v>
      </c>
      <c r="E39" s="2"/>
    </row>
    <row r="40" spans="1:5" ht="15.6" x14ac:dyDescent="0.3">
      <c r="A40" s="6" t="s">
        <v>4</v>
      </c>
      <c r="B40" s="12" t="s">
        <v>36</v>
      </c>
      <c r="C40" s="2">
        <v>15080</v>
      </c>
      <c r="D40" s="3" t="s">
        <v>46</v>
      </c>
      <c r="E40" s="2"/>
    </row>
    <row r="41" spans="1:5" ht="15.6" x14ac:dyDescent="0.3">
      <c r="A41" s="6" t="s">
        <v>4</v>
      </c>
      <c r="B41" s="12" t="s">
        <v>37</v>
      </c>
      <c r="C41" s="2">
        <v>5089.0200000000004</v>
      </c>
      <c r="D41" s="3">
        <v>301601</v>
      </c>
      <c r="E41" s="2"/>
    </row>
    <row r="42" spans="1:5" ht="15.6" x14ac:dyDescent="0.3">
      <c r="A42" s="6" t="s">
        <v>4</v>
      </c>
      <c r="B42" s="12" t="s">
        <v>38</v>
      </c>
      <c r="C42" s="2">
        <v>5310.9</v>
      </c>
      <c r="D42" s="3" t="s">
        <v>45</v>
      </c>
      <c r="E42" s="2"/>
    </row>
    <row r="43" spans="1:5" ht="15.6" x14ac:dyDescent="0.3">
      <c r="A43" s="11"/>
      <c r="B43" s="3"/>
      <c r="C43" s="2"/>
      <c r="D43" s="3"/>
      <c r="E43" s="2"/>
    </row>
    <row r="44" spans="1:5" ht="15.6" x14ac:dyDescent="0.3">
      <c r="A44" s="80" t="s">
        <v>65</v>
      </c>
      <c r="B44" s="80"/>
      <c r="C44" s="81"/>
      <c r="D44" s="81"/>
      <c r="E44" s="9"/>
    </row>
    <row r="45" spans="1:5" ht="15.6" x14ac:dyDescent="0.3">
      <c r="A45" s="82"/>
      <c r="B45" s="83"/>
      <c r="C45" s="83"/>
      <c r="D45" s="83"/>
      <c r="E45" s="84"/>
    </row>
    <row r="46" spans="1:5" ht="15.6" x14ac:dyDescent="0.3">
      <c r="A46" s="61" t="s">
        <v>5</v>
      </c>
      <c r="B46" s="61"/>
      <c r="C46" s="74">
        <f>SUM(C4:C42)</f>
        <v>472044.55000000005</v>
      </c>
      <c r="D46" s="74"/>
      <c r="E46" s="10"/>
    </row>
  </sheetData>
  <mergeCells count="7">
    <mergeCell ref="A1:E1"/>
    <mergeCell ref="A2:E2"/>
    <mergeCell ref="A44:B44"/>
    <mergeCell ref="C44:D44"/>
    <mergeCell ref="A45:E45"/>
    <mergeCell ref="A46:B46"/>
    <mergeCell ref="C46:D46"/>
  </mergeCells>
  <pageMargins left="0.511811024" right="0.511811024" top="0.78740157499999996" bottom="0.78740157499999996" header="0.31496062000000002" footer="0.31496062000000002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5F33-703B-4A21-9CF7-833B43A1592D}">
  <dimension ref="A1:E47"/>
  <sheetViews>
    <sheetView tabSelected="1" view="pageBreakPreview" topLeftCell="A24" zoomScaleNormal="100" zoomScaleSheetLayoutView="100" workbookViewId="0">
      <selection activeCell="C48" sqref="C48"/>
    </sheetView>
  </sheetViews>
  <sheetFormatPr defaultRowHeight="14.4" x14ac:dyDescent="0.3"/>
  <cols>
    <col min="1" max="1" width="17.88671875" customWidth="1"/>
    <col min="2" max="2" width="22.44140625" bestFit="1" customWidth="1"/>
    <col min="3" max="3" width="15.88671875" bestFit="1" customWidth="1"/>
    <col min="4" max="4" width="25.109375" bestFit="1" customWidth="1"/>
    <col min="5" max="5" width="13.5546875" bestFit="1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5" ht="15.6" x14ac:dyDescent="0.3">
      <c r="A5" s="6" t="s">
        <v>4</v>
      </c>
      <c r="B5" s="12" t="s">
        <v>9</v>
      </c>
      <c r="C5" s="2">
        <v>79322.94</v>
      </c>
      <c r="D5" s="3" t="s">
        <v>71</v>
      </c>
      <c r="E5" s="15"/>
    </row>
    <row r="6" spans="1:5" ht="15.6" x14ac:dyDescent="0.3">
      <c r="A6" s="6" t="s">
        <v>4</v>
      </c>
      <c r="B6" s="12" t="s">
        <v>10</v>
      </c>
      <c r="C6" s="2">
        <v>0</v>
      </c>
      <c r="D6" s="3"/>
      <c r="E6" s="2"/>
    </row>
    <row r="7" spans="1:5" ht="15.6" x14ac:dyDescent="0.3">
      <c r="A7" s="25" t="s">
        <v>4</v>
      </c>
      <c r="B7" s="26" t="s">
        <v>11</v>
      </c>
      <c r="C7" s="27">
        <v>31198.87</v>
      </c>
      <c r="D7" s="28" t="s">
        <v>72</v>
      </c>
      <c r="E7" s="2"/>
    </row>
    <row r="8" spans="1:5" ht="15.6" x14ac:dyDescent="0.3">
      <c r="A8" s="6" t="s">
        <v>4</v>
      </c>
      <c r="B8" s="12" t="s">
        <v>12</v>
      </c>
      <c r="C8" s="4">
        <v>7886.33</v>
      </c>
      <c r="D8" s="3" t="s">
        <v>46</v>
      </c>
      <c r="E8" s="2"/>
    </row>
    <row r="9" spans="1:5" ht="15.6" x14ac:dyDescent="0.3">
      <c r="A9" s="6" t="s">
        <v>4</v>
      </c>
      <c r="B9" s="12" t="s">
        <v>13</v>
      </c>
      <c r="C9" s="2">
        <v>0</v>
      </c>
      <c r="D9" s="3"/>
      <c r="E9" s="15"/>
    </row>
    <row r="10" spans="1:5" ht="15.6" x14ac:dyDescent="0.3">
      <c r="A10" s="6" t="s">
        <v>4</v>
      </c>
      <c r="B10" s="12" t="s">
        <v>7</v>
      </c>
      <c r="C10" s="4">
        <v>42133.45</v>
      </c>
      <c r="D10" s="3" t="s">
        <v>75</v>
      </c>
      <c r="E10" s="2"/>
    </row>
    <row r="11" spans="1:5" ht="15.6" x14ac:dyDescent="0.3">
      <c r="A11" s="6" t="s">
        <v>4</v>
      </c>
      <c r="B11" s="12" t="s">
        <v>40</v>
      </c>
      <c r="C11" s="4">
        <v>42334.95</v>
      </c>
      <c r="D11" s="3" t="s">
        <v>46</v>
      </c>
      <c r="E11" s="3"/>
    </row>
    <row r="12" spans="1:5" ht="15.6" x14ac:dyDescent="0.3">
      <c r="A12" s="6" t="s">
        <v>4</v>
      </c>
      <c r="B12" s="12" t="s">
        <v>14</v>
      </c>
      <c r="C12" s="4">
        <v>1250.82</v>
      </c>
      <c r="D12" s="3" t="s">
        <v>45</v>
      </c>
      <c r="E12" s="2"/>
    </row>
    <row r="13" spans="1:5" ht="15.6" x14ac:dyDescent="0.3">
      <c r="A13" s="6" t="s">
        <v>41</v>
      </c>
      <c r="B13" s="12" t="s">
        <v>15</v>
      </c>
      <c r="C13" s="4">
        <v>9842.3700000000008</v>
      </c>
      <c r="D13" s="4" t="s">
        <v>73</v>
      </c>
      <c r="E13" s="2"/>
    </row>
    <row r="14" spans="1:5" ht="15.6" x14ac:dyDescent="0.3">
      <c r="A14" s="6" t="s">
        <v>4</v>
      </c>
      <c r="B14" s="12" t="s">
        <v>16</v>
      </c>
      <c r="C14" s="4">
        <v>4599</v>
      </c>
      <c r="D14" s="3" t="s">
        <v>45</v>
      </c>
      <c r="E14" s="2"/>
    </row>
    <row r="15" spans="1:5" ht="15.6" x14ac:dyDescent="0.3">
      <c r="A15" s="6" t="s">
        <v>4</v>
      </c>
      <c r="B15" s="12" t="s">
        <v>17</v>
      </c>
      <c r="C15" s="4">
        <v>8763.32</v>
      </c>
      <c r="D15" s="3" t="s">
        <v>46</v>
      </c>
      <c r="E15" s="15"/>
    </row>
    <row r="16" spans="1:5" ht="15.6" x14ac:dyDescent="0.3">
      <c r="A16" s="6" t="s">
        <v>4</v>
      </c>
      <c r="B16" s="12" t="s">
        <v>18</v>
      </c>
      <c r="C16" s="4">
        <v>5893.12</v>
      </c>
      <c r="D16" s="3" t="s">
        <v>45</v>
      </c>
      <c r="E16" s="2"/>
    </row>
    <row r="17" spans="1:5" ht="15.6" x14ac:dyDescent="0.3">
      <c r="A17" s="6" t="s">
        <v>4</v>
      </c>
      <c r="B17" s="12" t="s">
        <v>19</v>
      </c>
      <c r="C17" s="2">
        <v>6928.3</v>
      </c>
      <c r="D17" s="3" t="s">
        <v>45</v>
      </c>
      <c r="E17" s="4"/>
    </row>
    <row r="18" spans="1:5" ht="15.6" x14ac:dyDescent="0.3">
      <c r="A18" s="6" t="s">
        <v>4</v>
      </c>
      <c r="B18" s="12" t="s">
        <v>20</v>
      </c>
      <c r="C18" s="2">
        <v>9329.35</v>
      </c>
      <c r="D18" s="3" t="s">
        <v>45</v>
      </c>
      <c r="E18" s="2"/>
    </row>
    <row r="19" spans="1:5" ht="15.6" x14ac:dyDescent="0.3">
      <c r="A19" s="6" t="s">
        <v>4</v>
      </c>
      <c r="B19" s="12" t="s">
        <v>54</v>
      </c>
      <c r="C19" s="4">
        <v>30156.47</v>
      </c>
      <c r="D19" s="3" t="s">
        <v>45</v>
      </c>
      <c r="E19" s="2"/>
    </row>
    <row r="20" spans="1:5" ht="15.6" x14ac:dyDescent="0.3">
      <c r="A20" s="6" t="s">
        <v>51</v>
      </c>
      <c r="B20" s="12" t="s">
        <v>50</v>
      </c>
      <c r="C20" s="4">
        <v>0</v>
      </c>
      <c r="D20" s="3"/>
      <c r="E20" s="3"/>
    </row>
    <row r="21" spans="1:5" ht="15.6" x14ac:dyDescent="0.3">
      <c r="A21" s="6" t="s">
        <v>4</v>
      </c>
      <c r="B21" s="12" t="s">
        <v>21</v>
      </c>
      <c r="C21" s="5">
        <v>4300.07</v>
      </c>
      <c r="D21" s="3" t="s">
        <v>45</v>
      </c>
      <c r="E21" s="2"/>
    </row>
    <row r="22" spans="1:5" ht="15.6" x14ac:dyDescent="0.3">
      <c r="A22" s="6" t="s">
        <v>4</v>
      </c>
      <c r="B22" s="12" t="s">
        <v>22</v>
      </c>
      <c r="C22" s="5">
        <v>6023.48</v>
      </c>
      <c r="D22" s="3" t="s">
        <v>45</v>
      </c>
      <c r="E22" s="2"/>
    </row>
    <row r="23" spans="1:5" ht="15.6" x14ac:dyDescent="0.3">
      <c r="A23" s="6" t="s">
        <v>41</v>
      </c>
      <c r="B23" s="12" t="s">
        <v>23</v>
      </c>
      <c r="C23" s="5">
        <v>4730.46</v>
      </c>
      <c r="D23" s="3" t="s">
        <v>45</v>
      </c>
      <c r="E23" s="2"/>
    </row>
    <row r="24" spans="1:5" ht="15.6" x14ac:dyDescent="0.3">
      <c r="A24" s="6" t="s">
        <v>41</v>
      </c>
      <c r="B24" s="12" t="s">
        <v>24</v>
      </c>
      <c r="C24" s="2">
        <v>16959.3</v>
      </c>
      <c r="D24" s="3" t="s">
        <v>45</v>
      </c>
      <c r="E24" s="2"/>
    </row>
    <row r="25" spans="1:5" ht="15.6" x14ac:dyDescent="0.3">
      <c r="A25" s="19" t="s">
        <v>59</v>
      </c>
      <c r="B25" s="20" t="s">
        <v>25</v>
      </c>
      <c r="C25" s="22">
        <v>5000</v>
      </c>
      <c r="D25" s="24" t="s">
        <v>45</v>
      </c>
      <c r="E25" s="22">
        <v>5000</v>
      </c>
    </row>
    <row r="26" spans="1:5" ht="15.6" x14ac:dyDescent="0.3">
      <c r="A26" s="6" t="s">
        <v>4</v>
      </c>
      <c r="B26" s="12" t="s">
        <v>42</v>
      </c>
      <c r="C26" s="2">
        <v>9332.57</v>
      </c>
      <c r="D26" s="3">
        <v>583973</v>
      </c>
      <c r="E26" s="2"/>
    </row>
    <row r="27" spans="1:5" ht="15.6" x14ac:dyDescent="0.3">
      <c r="A27" s="6" t="s">
        <v>4</v>
      </c>
      <c r="B27" s="12" t="s">
        <v>26</v>
      </c>
      <c r="C27" s="5">
        <v>16531.080000000002</v>
      </c>
      <c r="D27" s="3" t="s">
        <v>45</v>
      </c>
      <c r="E27" s="2"/>
    </row>
    <row r="28" spans="1:5" ht="15.6" x14ac:dyDescent="0.3">
      <c r="A28" s="6" t="s">
        <v>4</v>
      </c>
      <c r="B28" s="12" t="s">
        <v>27</v>
      </c>
      <c r="C28" s="5">
        <v>11664.05</v>
      </c>
      <c r="D28" s="3" t="s">
        <v>45</v>
      </c>
      <c r="E28" s="2"/>
    </row>
    <row r="29" spans="1:5" ht="15.6" x14ac:dyDescent="0.3">
      <c r="A29" s="6" t="s">
        <v>41</v>
      </c>
      <c r="B29" s="12" t="s">
        <v>28</v>
      </c>
      <c r="C29" s="2">
        <v>4329.8900000000003</v>
      </c>
      <c r="D29" s="3" t="s">
        <v>46</v>
      </c>
      <c r="E29" s="2"/>
    </row>
    <row r="30" spans="1:5" ht="15.6" x14ac:dyDescent="0.3">
      <c r="A30" s="6" t="s">
        <v>41</v>
      </c>
      <c r="B30" s="12" t="s">
        <v>70</v>
      </c>
      <c r="C30" s="2">
        <v>32245.200000000001</v>
      </c>
      <c r="D30" s="3" t="s">
        <v>74</v>
      </c>
      <c r="E30" s="2"/>
    </row>
    <row r="31" spans="1:5" ht="15.6" x14ac:dyDescent="0.3">
      <c r="A31" s="6" t="s">
        <v>4</v>
      </c>
      <c r="B31" s="12" t="s">
        <v>29</v>
      </c>
      <c r="C31" s="2">
        <v>0</v>
      </c>
      <c r="D31" s="3"/>
      <c r="E31" s="2"/>
    </row>
    <row r="32" spans="1:5" ht="15.6" x14ac:dyDescent="0.3">
      <c r="A32" s="6" t="s">
        <v>4</v>
      </c>
      <c r="B32" s="12" t="s">
        <v>30</v>
      </c>
      <c r="C32" s="2">
        <v>7626.75</v>
      </c>
      <c r="D32" s="3" t="s">
        <v>76</v>
      </c>
      <c r="E32" s="2"/>
    </row>
    <row r="33" spans="1:5" ht="15.6" x14ac:dyDescent="0.3">
      <c r="A33" s="6" t="s">
        <v>4</v>
      </c>
      <c r="B33" s="12" t="s">
        <v>31</v>
      </c>
      <c r="C33" s="2">
        <v>0</v>
      </c>
      <c r="D33" s="3"/>
      <c r="E33" s="2"/>
    </row>
    <row r="34" spans="1:5" ht="15.6" x14ac:dyDescent="0.3">
      <c r="A34" s="6" t="s">
        <v>4</v>
      </c>
      <c r="B34" s="12" t="s">
        <v>39</v>
      </c>
      <c r="C34" s="2">
        <v>10114.4</v>
      </c>
      <c r="D34" s="3">
        <v>443</v>
      </c>
      <c r="E34" s="15"/>
    </row>
    <row r="35" spans="1:5" ht="15.6" x14ac:dyDescent="0.3">
      <c r="A35" s="6" t="s">
        <v>51</v>
      </c>
      <c r="B35" s="12" t="s">
        <v>58</v>
      </c>
      <c r="C35" s="2">
        <v>0</v>
      </c>
      <c r="D35" s="3"/>
      <c r="E35" s="2"/>
    </row>
    <row r="36" spans="1:5" ht="15.6" x14ac:dyDescent="0.3">
      <c r="A36" s="6" t="s">
        <v>41</v>
      </c>
      <c r="B36" s="12" t="s">
        <v>32</v>
      </c>
      <c r="C36" s="2">
        <v>22336.68</v>
      </c>
      <c r="D36" s="3" t="s">
        <v>77</v>
      </c>
      <c r="E36" s="2"/>
    </row>
    <row r="37" spans="1:5" ht="15.6" x14ac:dyDescent="0.3">
      <c r="A37" s="6" t="s">
        <v>4</v>
      </c>
      <c r="B37" s="12" t="s">
        <v>33</v>
      </c>
      <c r="C37" s="2">
        <v>2283.42</v>
      </c>
      <c r="D37" s="3" t="s">
        <v>45</v>
      </c>
      <c r="E37" s="2"/>
    </row>
    <row r="38" spans="1:5" ht="15.6" x14ac:dyDescent="0.3">
      <c r="A38" s="6" t="s">
        <v>4</v>
      </c>
      <c r="B38" s="12" t="s">
        <v>43</v>
      </c>
      <c r="C38" s="2">
        <v>10053.41</v>
      </c>
      <c r="D38" s="3" t="s">
        <v>78</v>
      </c>
      <c r="E38" s="2"/>
    </row>
    <row r="39" spans="1:5" ht="15.6" x14ac:dyDescent="0.3">
      <c r="A39" s="6" t="s">
        <v>4</v>
      </c>
      <c r="B39" s="12" t="s">
        <v>34</v>
      </c>
      <c r="C39" s="2">
        <v>4740.57</v>
      </c>
      <c r="D39" s="3" t="s">
        <v>45</v>
      </c>
      <c r="E39" s="2"/>
    </row>
    <row r="40" spans="1:5" ht="15.6" x14ac:dyDescent="0.3">
      <c r="A40" s="6" t="s">
        <v>4</v>
      </c>
      <c r="B40" s="12" t="s">
        <v>35</v>
      </c>
      <c r="C40" s="2">
        <v>32752.02</v>
      </c>
      <c r="D40" s="3" t="s">
        <v>45</v>
      </c>
      <c r="E40" s="2"/>
    </row>
    <row r="41" spans="1:5" ht="15.6" x14ac:dyDescent="0.3">
      <c r="A41" s="6" t="s">
        <v>4</v>
      </c>
      <c r="B41" s="12" t="s">
        <v>36</v>
      </c>
      <c r="C41" s="2">
        <v>12634.94</v>
      </c>
      <c r="D41" s="3" t="s">
        <v>46</v>
      </c>
      <c r="E41" s="2"/>
    </row>
    <row r="42" spans="1:5" ht="15.6" x14ac:dyDescent="0.3">
      <c r="A42" s="19" t="s">
        <v>68</v>
      </c>
      <c r="B42" s="20" t="s">
        <v>37</v>
      </c>
      <c r="C42" s="22">
        <v>29925.71</v>
      </c>
      <c r="D42" s="24" t="s">
        <v>79</v>
      </c>
      <c r="E42" s="22">
        <v>6793.48</v>
      </c>
    </row>
    <row r="43" spans="1:5" ht="15.6" x14ac:dyDescent="0.3">
      <c r="A43" s="6" t="s">
        <v>4</v>
      </c>
      <c r="B43" s="12" t="s">
        <v>38</v>
      </c>
      <c r="C43" s="2">
        <v>11918.95</v>
      </c>
      <c r="D43" s="3" t="s">
        <v>45</v>
      </c>
      <c r="E43" s="2"/>
    </row>
    <row r="44" spans="1:5" ht="15.6" x14ac:dyDescent="0.3">
      <c r="A44" s="11"/>
      <c r="B44" s="3"/>
      <c r="C44" s="2"/>
      <c r="D44" s="3"/>
      <c r="E44" s="2"/>
    </row>
    <row r="45" spans="1:5" ht="15.6" x14ac:dyDescent="0.3">
      <c r="A45" s="80" t="s">
        <v>69</v>
      </c>
      <c r="B45" s="80"/>
      <c r="C45" s="81"/>
      <c r="D45" s="81"/>
      <c r="E45" s="9"/>
    </row>
    <row r="46" spans="1:5" ht="15.6" x14ac:dyDescent="0.3">
      <c r="A46" s="82"/>
      <c r="B46" s="83"/>
      <c r="C46" s="83"/>
      <c r="D46" s="83"/>
      <c r="E46" s="84"/>
    </row>
    <row r="47" spans="1:5" ht="15.6" x14ac:dyDescent="0.3">
      <c r="A47" s="61" t="s">
        <v>5</v>
      </c>
      <c r="B47" s="61"/>
      <c r="C47" s="74">
        <f>SUM(C5:C43)</f>
        <v>535142.24</v>
      </c>
      <c r="D47" s="74"/>
      <c r="E47" s="10"/>
    </row>
  </sheetData>
  <mergeCells count="7">
    <mergeCell ref="A1:E1"/>
    <mergeCell ref="A2:E2"/>
    <mergeCell ref="A45:B45"/>
    <mergeCell ref="C45:D45"/>
    <mergeCell ref="A46:E46"/>
    <mergeCell ref="A47:B47"/>
    <mergeCell ref="C47:D47"/>
  </mergeCells>
  <pageMargins left="0.511811024" right="0.511811024" top="0.78740157499999996" bottom="0.78740157499999996" header="0.31496062000000002" footer="0.31496062000000002"/>
  <pageSetup paperSize="9" scale="93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A437-5786-41AA-BD20-E964A0A9A900}">
  <dimension ref="A1:E46"/>
  <sheetViews>
    <sheetView view="pageBreakPreview" topLeftCell="A42" zoomScaleNormal="100" zoomScaleSheetLayoutView="100" workbookViewId="0">
      <selection activeCell="A47" sqref="A47:XFD48"/>
    </sheetView>
  </sheetViews>
  <sheetFormatPr defaultRowHeight="14.4" x14ac:dyDescent="0.3"/>
  <cols>
    <col min="1" max="1" width="26.44140625" customWidth="1"/>
    <col min="2" max="2" width="22.44140625" bestFit="1" customWidth="1"/>
    <col min="3" max="3" width="14.6640625" bestFit="1" customWidth="1"/>
    <col min="4" max="4" width="26.109375" bestFit="1" customWidth="1"/>
    <col min="5" max="5" width="13.5546875" bestFit="1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5" ht="15.6" x14ac:dyDescent="0.3">
      <c r="A5" s="6" t="s">
        <v>4</v>
      </c>
      <c r="B5" s="12" t="s">
        <v>9</v>
      </c>
      <c r="C5" s="2">
        <v>0</v>
      </c>
      <c r="D5" s="3"/>
      <c r="E5" s="15"/>
    </row>
    <row r="6" spans="1:5" ht="15.6" x14ac:dyDescent="0.3">
      <c r="A6" s="6" t="s">
        <v>4</v>
      </c>
      <c r="B6" s="12" t="s">
        <v>10</v>
      </c>
      <c r="C6" s="2">
        <v>0</v>
      </c>
      <c r="D6" s="3"/>
      <c r="E6" s="2"/>
    </row>
    <row r="7" spans="1:5" ht="15.6" x14ac:dyDescent="0.3">
      <c r="A7" s="6" t="s">
        <v>4</v>
      </c>
      <c r="B7" s="12" t="s">
        <v>11</v>
      </c>
      <c r="C7" s="4">
        <v>22708.83</v>
      </c>
      <c r="D7" s="3">
        <v>1061122</v>
      </c>
      <c r="E7" s="2"/>
    </row>
    <row r="8" spans="1:5" ht="15.6" x14ac:dyDescent="0.3">
      <c r="A8" s="6" t="s">
        <v>4</v>
      </c>
      <c r="B8" s="12" t="s">
        <v>12</v>
      </c>
      <c r="C8" s="4">
        <v>8060.48</v>
      </c>
      <c r="D8" s="3" t="s">
        <v>46</v>
      </c>
      <c r="E8" s="2"/>
    </row>
    <row r="9" spans="1:5" ht="15.6" x14ac:dyDescent="0.3">
      <c r="A9" s="6" t="s">
        <v>4</v>
      </c>
      <c r="B9" s="12" t="s">
        <v>13</v>
      </c>
      <c r="C9" s="2">
        <v>19285</v>
      </c>
      <c r="D9" s="3" t="s">
        <v>81</v>
      </c>
      <c r="E9" s="15"/>
    </row>
    <row r="10" spans="1:5" ht="15.6" x14ac:dyDescent="0.3">
      <c r="A10" s="6" t="s">
        <v>4</v>
      </c>
      <c r="B10" s="12" t="s">
        <v>7</v>
      </c>
      <c r="C10" s="4">
        <v>22167.599999999999</v>
      </c>
      <c r="D10" s="3">
        <v>13559915</v>
      </c>
      <c r="E10" s="2"/>
    </row>
    <row r="11" spans="1:5" ht="15.6" x14ac:dyDescent="0.3">
      <c r="A11" s="6" t="s">
        <v>4</v>
      </c>
      <c r="B11" s="12" t="s">
        <v>40</v>
      </c>
      <c r="C11" s="4">
        <v>0</v>
      </c>
      <c r="D11" s="3"/>
      <c r="E11" s="3"/>
    </row>
    <row r="12" spans="1:5" ht="15.6" x14ac:dyDescent="0.3">
      <c r="A12" s="6" t="s">
        <v>4</v>
      </c>
      <c r="B12" s="12" t="s">
        <v>14</v>
      </c>
      <c r="C12" s="4">
        <v>3323.63</v>
      </c>
      <c r="D12" s="3" t="s">
        <v>84</v>
      </c>
      <c r="E12" s="2"/>
    </row>
    <row r="13" spans="1:5" ht="15.6" x14ac:dyDescent="0.3">
      <c r="A13" s="6" t="s">
        <v>41</v>
      </c>
      <c r="B13" s="12" t="s">
        <v>15</v>
      </c>
      <c r="C13" s="4">
        <v>13846.36</v>
      </c>
      <c r="D13" s="4" t="s">
        <v>83</v>
      </c>
      <c r="E13" s="15"/>
    </row>
    <row r="14" spans="1:5" ht="15.6" x14ac:dyDescent="0.3">
      <c r="A14" s="6" t="s">
        <v>4</v>
      </c>
      <c r="B14" s="12" t="s">
        <v>16</v>
      </c>
      <c r="C14" s="4">
        <v>7282.8</v>
      </c>
      <c r="D14" s="3" t="s">
        <v>45</v>
      </c>
      <c r="E14" s="2"/>
    </row>
    <row r="15" spans="1:5" ht="15.6" x14ac:dyDescent="0.3">
      <c r="A15" s="6" t="s">
        <v>4</v>
      </c>
      <c r="B15" s="12" t="s">
        <v>17</v>
      </c>
      <c r="C15" s="4">
        <v>10000</v>
      </c>
      <c r="D15" s="3" t="s">
        <v>46</v>
      </c>
      <c r="E15" s="15"/>
    </row>
    <row r="16" spans="1:5" ht="15.6" x14ac:dyDescent="0.3">
      <c r="A16" s="6" t="s">
        <v>4</v>
      </c>
      <c r="B16" s="12" t="s">
        <v>18</v>
      </c>
      <c r="C16" s="4">
        <v>6401.6</v>
      </c>
      <c r="D16" s="3" t="s">
        <v>45</v>
      </c>
      <c r="E16" s="2"/>
    </row>
    <row r="17" spans="1:5" ht="15.6" x14ac:dyDescent="0.3">
      <c r="A17" s="19" t="s">
        <v>68</v>
      </c>
      <c r="B17" s="20" t="s">
        <v>19</v>
      </c>
      <c r="C17" s="22">
        <v>5885.79</v>
      </c>
      <c r="D17" s="24">
        <v>208516</v>
      </c>
      <c r="E17" s="22">
        <v>5885.79</v>
      </c>
    </row>
    <row r="18" spans="1:5" ht="15.6" x14ac:dyDescent="0.3">
      <c r="A18" s="6" t="s">
        <v>4</v>
      </c>
      <c r="B18" s="12" t="s">
        <v>20</v>
      </c>
      <c r="C18" s="2">
        <v>7845.5</v>
      </c>
      <c r="D18" s="3" t="s">
        <v>45</v>
      </c>
      <c r="E18" s="2"/>
    </row>
    <row r="19" spans="1:5" ht="15.6" x14ac:dyDescent="0.3">
      <c r="A19" s="6" t="s">
        <v>4</v>
      </c>
      <c r="B19" s="12" t="s">
        <v>54</v>
      </c>
      <c r="C19" s="4">
        <v>34433.85</v>
      </c>
      <c r="D19" s="3" t="s">
        <v>45</v>
      </c>
      <c r="E19" s="2"/>
    </row>
    <row r="20" spans="1:5" ht="15.6" x14ac:dyDescent="0.3">
      <c r="A20" s="19" t="s">
        <v>51</v>
      </c>
      <c r="B20" s="20" t="s">
        <v>50</v>
      </c>
      <c r="C20" s="21">
        <v>5014.6099999999997</v>
      </c>
      <c r="D20" s="24">
        <v>99379</v>
      </c>
      <c r="E20" s="24"/>
    </row>
    <row r="21" spans="1:5" ht="15.6" x14ac:dyDescent="0.3">
      <c r="A21" s="6" t="s">
        <v>4</v>
      </c>
      <c r="B21" s="12" t="s">
        <v>21</v>
      </c>
      <c r="C21" s="5">
        <v>18741.310000000001</v>
      </c>
      <c r="D21" s="3" t="s">
        <v>85</v>
      </c>
      <c r="E21" s="2"/>
    </row>
    <row r="22" spans="1:5" ht="15.6" x14ac:dyDescent="0.3">
      <c r="A22" s="6" t="s">
        <v>4</v>
      </c>
      <c r="B22" s="12" t="s">
        <v>22</v>
      </c>
      <c r="C22" s="5">
        <v>5420.77</v>
      </c>
      <c r="D22" s="3" t="s">
        <v>45</v>
      </c>
      <c r="E22" s="2"/>
    </row>
    <row r="23" spans="1:5" ht="15.6" x14ac:dyDescent="0.3">
      <c r="A23" s="6" t="s">
        <v>41</v>
      </c>
      <c r="B23" s="12" t="s">
        <v>23</v>
      </c>
      <c r="C23" s="5">
        <v>4036.58</v>
      </c>
      <c r="D23" s="3" t="s">
        <v>45</v>
      </c>
      <c r="E23" s="2"/>
    </row>
    <row r="24" spans="1:5" ht="15.6" x14ac:dyDescent="0.3">
      <c r="A24" s="6" t="s">
        <v>41</v>
      </c>
      <c r="B24" s="12" t="s">
        <v>24</v>
      </c>
      <c r="C24" s="2">
        <v>1222.01</v>
      </c>
      <c r="D24" s="3" t="s">
        <v>45</v>
      </c>
      <c r="E24" s="2"/>
    </row>
    <row r="25" spans="1:5" ht="15.6" x14ac:dyDescent="0.3">
      <c r="A25" s="6" t="s">
        <v>4</v>
      </c>
      <c r="B25" s="12" t="s">
        <v>25</v>
      </c>
      <c r="C25" s="2">
        <v>5595.48</v>
      </c>
      <c r="D25" s="3" t="s">
        <v>46</v>
      </c>
      <c r="E25" s="2"/>
    </row>
    <row r="26" spans="1:5" ht="15.6" x14ac:dyDescent="0.3">
      <c r="A26" s="6" t="s">
        <v>4</v>
      </c>
      <c r="B26" s="12" t="s">
        <v>42</v>
      </c>
      <c r="C26" s="2">
        <v>0</v>
      </c>
      <c r="D26" s="3"/>
      <c r="E26" s="2"/>
    </row>
    <row r="27" spans="1:5" ht="15.6" x14ac:dyDescent="0.3">
      <c r="A27" s="6" t="s">
        <v>4</v>
      </c>
      <c r="B27" s="12" t="s">
        <v>26</v>
      </c>
      <c r="C27" s="5">
        <v>4959.8100000000004</v>
      </c>
      <c r="D27" s="3" t="s">
        <v>45</v>
      </c>
      <c r="E27" s="2"/>
    </row>
    <row r="28" spans="1:5" ht="15.6" x14ac:dyDescent="0.3">
      <c r="A28" s="6" t="s">
        <v>4</v>
      </c>
      <c r="B28" s="12" t="s">
        <v>27</v>
      </c>
      <c r="C28" s="5">
        <v>13405.43</v>
      </c>
      <c r="D28" s="3" t="s">
        <v>45</v>
      </c>
      <c r="E28" s="2"/>
    </row>
    <row r="29" spans="1:5" ht="15.6" x14ac:dyDescent="0.3">
      <c r="A29" s="6" t="s">
        <v>41</v>
      </c>
      <c r="B29" s="12" t="s">
        <v>70</v>
      </c>
      <c r="C29" s="2">
        <v>24310.78</v>
      </c>
      <c r="D29" s="3" t="s">
        <v>45</v>
      </c>
      <c r="E29" s="15"/>
    </row>
    <row r="30" spans="1:5" ht="15.6" x14ac:dyDescent="0.3">
      <c r="A30" s="6" t="s">
        <v>4</v>
      </c>
      <c r="B30" s="12" t="s">
        <v>29</v>
      </c>
      <c r="C30" s="2">
        <v>7750</v>
      </c>
      <c r="D30" s="3" t="s">
        <v>82</v>
      </c>
      <c r="E30" s="2"/>
    </row>
    <row r="31" spans="1:5" ht="15.6" x14ac:dyDescent="0.3">
      <c r="A31" s="6" t="s">
        <v>4</v>
      </c>
      <c r="B31" s="12" t="s">
        <v>30</v>
      </c>
      <c r="C31" s="2">
        <v>5547.1</v>
      </c>
      <c r="D31" s="3" t="s">
        <v>86</v>
      </c>
      <c r="E31" s="15"/>
    </row>
    <row r="32" spans="1:5" ht="15.6" x14ac:dyDescent="0.3">
      <c r="A32" s="19" t="s">
        <v>4</v>
      </c>
      <c r="B32" s="20" t="s">
        <v>31</v>
      </c>
      <c r="C32" s="22">
        <v>5000</v>
      </c>
      <c r="D32" s="24" t="s">
        <v>46</v>
      </c>
      <c r="E32" s="22" t="s">
        <v>69</v>
      </c>
    </row>
    <row r="33" spans="1:5" ht="15.6" x14ac:dyDescent="0.3">
      <c r="A33" s="6" t="s">
        <v>4</v>
      </c>
      <c r="B33" s="12" t="s">
        <v>39</v>
      </c>
      <c r="C33" s="2">
        <v>12614.4</v>
      </c>
      <c r="D33" s="3">
        <v>3185382</v>
      </c>
      <c r="E33" s="2"/>
    </row>
    <row r="34" spans="1:5" ht="15.6" x14ac:dyDescent="0.3">
      <c r="A34" s="6" t="s">
        <v>51</v>
      </c>
      <c r="B34" s="12" t="s">
        <v>58</v>
      </c>
      <c r="C34" s="2">
        <v>7155.03</v>
      </c>
      <c r="D34" s="3">
        <v>28996</v>
      </c>
      <c r="E34" s="2"/>
    </row>
    <row r="35" spans="1:5" ht="15.6" x14ac:dyDescent="0.3">
      <c r="A35" s="6" t="s">
        <v>41</v>
      </c>
      <c r="B35" s="12" t="s">
        <v>32</v>
      </c>
      <c r="C35" s="2">
        <v>48625.52</v>
      </c>
      <c r="D35" s="3" t="s">
        <v>45</v>
      </c>
      <c r="E35" s="2"/>
    </row>
    <row r="36" spans="1:5" ht="15.6" x14ac:dyDescent="0.3">
      <c r="A36" s="6" t="s">
        <v>4</v>
      </c>
      <c r="B36" s="12" t="s">
        <v>33</v>
      </c>
      <c r="C36" s="2">
        <v>2591.83</v>
      </c>
      <c r="D36" s="3" t="s">
        <v>45</v>
      </c>
      <c r="E36" s="2"/>
    </row>
    <row r="37" spans="1:5" ht="15.6" x14ac:dyDescent="0.3">
      <c r="A37" s="6" t="s">
        <v>4</v>
      </c>
      <c r="B37" s="12" t="s">
        <v>43</v>
      </c>
      <c r="C37" s="2">
        <v>9859.84</v>
      </c>
      <c r="D37" s="3">
        <v>2188983</v>
      </c>
      <c r="E37" s="2"/>
    </row>
    <row r="38" spans="1:5" ht="15.6" x14ac:dyDescent="0.3">
      <c r="A38" s="6" t="s">
        <v>4</v>
      </c>
      <c r="B38" s="12" t="s">
        <v>34</v>
      </c>
      <c r="C38" s="2">
        <v>2965.69</v>
      </c>
      <c r="D38" s="3" t="s">
        <v>45</v>
      </c>
      <c r="E38" s="2"/>
    </row>
    <row r="39" spans="1:5" ht="15.6" x14ac:dyDescent="0.3">
      <c r="A39" s="6" t="s">
        <v>4</v>
      </c>
      <c r="B39" s="12" t="s">
        <v>35</v>
      </c>
      <c r="C39" s="2">
        <v>15141.43</v>
      </c>
      <c r="D39" s="3" t="s">
        <v>45</v>
      </c>
      <c r="E39" s="2"/>
    </row>
    <row r="40" spans="1:5" ht="15.6" x14ac:dyDescent="0.3">
      <c r="A40" s="6" t="s">
        <v>4</v>
      </c>
      <c r="B40" s="12" t="s">
        <v>36</v>
      </c>
      <c r="C40" s="2">
        <v>11956.77</v>
      </c>
      <c r="D40" s="3" t="s">
        <v>46</v>
      </c>
      <c r="E40" s="2"/>
    </row>
    <row r="41" spans="1:5" ht="15.6" x14ac:dyDescent="0.3">
      <c r="A41" s="6" t="s">
        <v>68</v>
      </c>
      <c r="B41" s="12" t="s">
        <v>37</v>
      </c>
      <c r="C41" s="2">
        <v>43998.09</v>
      </c>
      <c r="D41" s="3" t="s">
        <v>46</v>
      </c>
      <c r="E41" s="2"/>
    </row>
    <row r="42" spans="1:5" ht="15.6" x14ac:dyDescent="0.3">
      <c r="A42" s="6" t="s">
        <v>4</v>
      </c>
      <c r="B42" s="12" t="s">
        <v>38</v>
      </c>
      <c r="C42" s="2">
        <v>13240.07</v>
      </c>
      <c r="D42" s="3" t="s">
        <v>45</v>
      </c>
      <c r="E42" s="2"/>
    </row>
    <row r="43" spans="1:5" ht="15.6" x14ac:dyDescent="0.3">
      <c r="A43" s="11"/>
      <c r="B43" s="3"/>
      <c r="C43" s="2"/>
      <c r="D43" s="3"/>
      <c r="E43" s="2"/>
    </row>
    <row r="44" spans="1:5" ht="15.6" x14ac:dyDescent="0.3">
      <c r="A44" s="80" t="s">
        <v>80</v>
      </c>
      <c r="B44" s="80"/>
      <c r="C44" s="81"/>
      <c r="D44" s="81"/>
      <c r="E44" s="9"/>
    </row>
    <row r="45" spans="1:5" ht="15.6" x14ac:dyDescent="0.3">
      <c r="A45" s="82"/>
      <c r="B45" s="83"/>
      <c r="C45" s="83"/>
      <c r="D45" s="83"/>
      <c r="E45" s="84"/>
    </row>
    <row r="46" spans="1:5" ht="15.6" x14ac:dyDescent="0.3">
      <c r="A46" s="61" t="s">
        <v>5</v>
      </c>
      <c r="B46" s="61"/>
      <c r="C46" s="74">
        <f>SUM(C4:C43)</f>
        <v>430393.99000000005</v>
      </c>
      <c r="D46" s="74"/>
      <c r="E46" s="10"/>
    </row>
  </sheetData>
  <mergeCells count="7">
    <mergeCell ref="A1:E1"/>
    <mergeCell ref="A2:E2"/>
    <mergeCell ref="A44:B44"/>
    <mergeCell ref="C44:D44"/>
    <mergeCell ref="A45:E45"/>
    <mergeCell ref="A46:B46"/>
    <mergeCell ref="C46:D46"/>
  </mergeCells>
  <pageMargins left="0.511811024" right="0.511811024" top="0.78740157499999996" bottom="0.78740157499999996" header="0.31496062000000002" footer="0.31496062000000002"/>
  <pageSetup paperSize="9" scale="8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EB36-001E-4C9E-9212-6C3B0CE3BE21}">
  <dimension ref="A1:H44"/>
  <sheetViews>
    <sheetView view="pageBreakPreview" topLeftCell="A39" zoomScaleNormal="100" zoomScaleSheetLayoutView="100" workbookViewId="0">
      <selection activeCell="A45" sqref="A45:XFD46"/>
    </sheetView>
  </sheetViews>
  <sheetFormatPr defaultRowHeight="14.4" x14ac:dyDescent="0.3"/>
  <cols>
    <col min="1" max="1" width="21.44140625" bestFit="1" customWidth="1"/>
    <col min="2" max="2" width="22.44140625" bestFit="1" customWidth="1"/>
    <col min="3" max="3" width="14.6640625" bestFit="1" customWidth="1"/>
    <col min="4" max="4" width="26.109375" bestFit="1" customWidth="1"/>
    <col min="5" max="5" width="14.6640625" bestFit="1" customWidth="1"/>
    <col min="7" max="8" width="13.33203125" bestFit="1" customWidth="1"/>
  </cols>
  <sheetData>
    <row r="1" spans="1:8" ht="21" x14ac:dyDescent="0.4">
      <c r="A1" s="75" t="s">
        <v>44</v>
      </c>
      <c r="B1" s="76"/>
      <c r="C1" s="76"/>
      <c r="D1" s="76"/>
      <c r="E1" s="77"/>
    </row>
    <row r="2" spans="1:8" x14ac:dyDescent="0.3">
      <c r="A2" s="78"/>
      <c r="B2" s="66"/>
      <c r="C2" s="66"/>
      <c r="D2" s="66"/>
      <c r="E2" s="79"/>
    </row>
    <row r="3" spans="1:8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8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8" ht="15.6" x14ac:dyDescent="0.3">
      <c r="A5" s="6" t="s">
        <v>4</v>
      </c>
      <c r="B5" s="12" t="s">
        <v>9</v>
      </c>
      <c r="C5" s="2">
        <v>10824</v>
      </c>
      <c r="D5" s="3">
        <v>1121</v>
      </c>
      <c r="E5" s="15"/>
    </row>
    <row r="6" spans="1:8" ht="15.6" x14ac:dyDescent="0.3">
      <c r="A6" s="6" t="s">
        <v>4</v>
      </c>
      <c r="B6" s="12" t="s">
        <v>11</v>
      </c>
      <c r="C6" s="4">
        <v>21226.68</v>
      </c>
      <c r="D6" s="3" t="s">
        <v>91</v>
      </c>
      <c r="E6" s="2"/>
    </row>
    <row r="7" spans="1:8" ht="15.6" x14ac:dyDescent="0.3">
      <c r="A7" s="6" t="s">
        <v>4</v>
      </c>
      <c r="B7" s="12" t="s">
        <v>12</v>
      </c>
      <c r="C7" s="4">
        <v>7334</v>
      </c>
      <c r="D7" s="3" t="s">
        <v>46</v>
      </c>
      <c r="E7" s="2"/>
    </row>
    <row r="8" spans="1:8" ht="15.6" x14ac:dyDescent="0.3">
      <c r="A8" s="6" t="s">
        <v>4</v>
      </c>
      <c r="B8" s="12" t="s">
        <v>13</v>
      </c>
      <c r="C8" s="2">
        <v>5208</v>
      </c>
      <c r="D8" s="3">
        <v>132555</v>
      </c>
      <c r="E8" s="15"/>
    </row>
    <row r="9" spans="1:8" ht="15.6" x14ac:dyDescent="0.3">
      <c r="A9" s="6" t="s">
        <v>4</v>
      </c>
      <c r="B9" s="12" t="s">
        <v>7</v>
      </c>
      <c r="C9" s="4">
        <v>0</v>
      </c>
      <c r="D9" s="3"/>
      <c r="E9" s="2"/>
      <c r="H9" s="13"/>
    </row>
    <row r="10" spans="1:8" ht="15.6" x14ac:dyDescent="0.3">
      <c r="A10" s="6" t="s">
        <v>4</v>
      </c>
      <c r="B10" s="12" t="s">
        <v>40</v>
      </c>
      <c r="C10" s="4">
        <v>43451.96</v>
      </c>
      <c r="D10" s="3" t="s">
        <v>46</v>
      </c>
      <c r="E10" s="3"/>
      <c r="H10" s="13"/>
    </row>
    <row r="11" spans="1:8" ht="15.6" x14ac:dyDescent="0.3">
      <c r="A11" s="6" t="s">
        <v>4</v>
      </c>
      <c r="B11" s="12" t="s">
        <v>14</v>
      </c>
      <c r="C11" s="4">
        <v>2465.14</v>
      </c>
      <c r="D11" s="3" t="s">
        <v>45</v>
      </c>
      <c r="E11" s="2"/>
      <c r="H11" s="13"/>
    </row>
    <row r="12" spans="1:8" ht="15.6" x14ac:dyDescent="0.3">
      <c r="A12" s="6" t="s">
        <v>41</v>
      </c>
      <c r="B12" s="12" t="s">
        <v>15</v>
      </c>
      <c r="C12" s="4">
        <v>15744.18</v>
      </c>
      <c r="D12" s="4" t="s">
        <v>89</v>
      </c>
      <c r="E12" s="15"/>
      <c r="H12" s="13"/>
    </row>
    <row r="13" spans="1:8" ht="15.6" x14ac:dyDescent="0.3">
      <c r="A13" s="6" t="s">
        <v>4</v>
      </c>
      <c r="B13" s="12" t="s">
        <v>16</v>
      </c>
      <c r="C13" s="4">
        <v>9966.6</v>
      </c>
      <c r="D13" s="3" t="s">
        <v>45</v>
      </c>
      <c r="E13" s="2"/>
      <c r="H13" s="13"/>
    </row>
    <row r="14" spans="1:8" ht="15.6" x14ac:dyDescent="0.3">
      <c r="A14" s="19" t="s">
        <v>90</v>
      </c>
      <c r="B14" s="20" t="s">
        <v>17</v>
      </c>
      <c r="C14" s="21">
        <v>21279.599999999999</v>
      </c>
      <c r="D14" s="24" t="s">
        <v>46</v>
      </c>
      <c r="E14" s="22">
        <v>11279.6</v>
      </c>
      <c r="H14" s="13"/>
    </row>
    <row r="15" spans="1:8" ht="15.6" x14ac:dyDescent="0.3">
      <c r="A15" s="6" t="s">
        <v>4</v>
      </c>
      <c r="B15" s="12" t="s">
        <v>18</v>
      </c>
      <c r="C15" s="4">
        <v>10834.35</v>
      </c>
      <c r="D15" s="3" t="s">
        <v>45</v>
      </c>
      <c r="E15" s="2"/>
      <c r="H15" s="13"/>
    </row>
    <row r="16" spans="1:8" ht="15.6" x14ac:dyDescent="0.3">
      <c r="A16" s="6" t="s">
        <v>4</v>
      </c>
      <c r="B16" s="12" t="s">
        <v>19</v>
      </c>
      <c r="C16" s="2">
        <v>0</v>
      </c>
      <c r="D16" s="3"/>
      <c r="E16" s="2"/>
    </row>
    <row r="17" spans="1:8" ht="15.6" x14ac:dyDescent="0.3">
      <c r="A17" s="6" t="s">
        <v>4</v>
      </c>
      <c r="B17" s="12" t="s">
        <v>20</v>
      </c>
      <c r="C17" s="2">
        <v>9073.56</v>
      </c>
      <c r="D17" s="3" t="s">
        <v>45</v>
      </c>
      <c r="E17" s="2"/>
    </row>
    <row r="18" spans="1:8" ht="15.6" x14ac:dyDescent="0.3">
      <c r="A18" s="6" t="s">
        <v>4</v>
      </c>
      <c r="B18" s="12" t="s">
        <v>54</v>
      </c>
      <c r="C18" s="4">
        <v>19970.93</v>
      </c>
      <c r="D18" s="3" t="s">
        <v>45</v>
      </c>
      <c r="E18" s="2"/>
    </row>
    <row r="19" spans="1:8" ht="15.6" x14ac:dyDescent="0.3">
      <c r="A19" s="6" t="s">
        <v>4</v>
      </c>
      <c r="B19" s="12" t="s">
        <v>21</v>
      </c>
      <c r="C19" s="5">
        <v>9414.36</v>
      </c>
      <c r="D19" s="3">
        <v>118622</v>
      </c>
      <c r="E19" s="3"/>
    </row>
    <row r="20" spans="1:8" ht="15.6" x14ac:dyDescent="0.3">
      <c r="A20" s="6" t="s">
        <v>4</v>
      </c>
      <c r="B20" s="12" t="s">
        <v>22</v>
      </c>
      <c r="C20" s="5">
        <v>11648.93</v>
      </c>
      <c r="D20" s="3">
        <v>2268532</v>
      </c>
      <c r="E20" s="2"/>
      <c r="G20" s="13"/>
    </row>
    <row r="21" spans="1:8" ht="15.6" x14ac:dyDescent="0.3">
      <c r="A21" s="6" t="s">
        <v>41</v>
      </c>
      <c r="B21" s="12" t="s">
        <v>23</v>
      </c>
      <c r="C21" s="5">
        <v>7755.44</v>
      </c>
      <c r="D21" s="3" t="s">
        <v>45</v>
      </c>
      <c r="E21" s="2"/>
      <c r="G21" s="13"/>
    </row>
    <row r="22" spans="1:8" ht="15.6" x14ac:dyDescent="0.3">
      <c r="A22" s="6" t="s">
        <v>41</v>
      </c>
      <c r="B22" s="12" t="s">
        <v>24</v>
      </c>
      <c r="C22" s="2">
        <v>10007.129999999999</v>
      </c>
      <c r="D22" s="3" t="s">
        <v>45</v>
      </c>
      <c r="E22" s="2"/>
      <c r="G22" s="13"/>
    </row>
    <row r="23" spans="1:8" ht="15.6" x14ac:dyDescent="0.3">
      <c r="A23" s="6" t="s">
        <v>4</v>
      </c>
      <c r="B23" s="12" t="s">
        <v>25</v>
      </c>
      <c r="C23" s="2">
        <v>0</v>
      </c>
      <c r="D23" s="3"/>
      <c r="E23" s="2"/>
      <c r="G23" s="13"/>
    </row>
    <row r="24" spans="1:8" ht="15.6" x14ac:dyDescent="0.3">
      <c r="A24" s="6" t="s">
        <v>4</v>
      </c>
      <c r="B24" s="12" t="s">
        <v>42</v>
      </c>
      <c r="C24" s="2">
        <v>18925.28</v>
      </c>
      <c r="D24" s="3" t="s">
        <v>45</v>
      </c>
      <c r="E24" s="2"/>
    </row>
    <row r="25" spans="1:8" ht="15.6" x14ac:dyDescent="0.3">
      <c r="A25" s="6" t="s">
        <v>4</v>
      </c>
      <c r="B25" s="12" t="s">
        <v>26</v>
      </c>
      <c r="C25" s="5">
        <v>20042</v>
      </c>
      <c r="D25" s="3" t="s">
        <v>45</v>
      </c>
      <c r="E25" s="2"/>
    </row>
    <row r="26" spans="1:8" ht="15.6" x14ac:dyDescent="0.3">
      <c r="A26" s="6" t="s">
        <v>4</v>
      </c>
      <c r="B26" s="12" t="s">
        <v>27</v>
      </c>
      <c r="C26" s="5">
        <v>7563.95</v>
      </c>
      <c r="D26" s="3" t="s">
        <v>45</v>
      </c>
      <c r="E26" s="2"/>
    </row>
    <row r="27" spans="1:8" ht="15.6" x14ac:dyDescent="0.3">
      <c r="A27" s="6" t="s">
        <v>41</v>
      </c>
      <c r="B27" s="12" t="s">
        <v>70</v>
      </c>
      <c r="C27" s="2">
        <v>0</v>
      </c>
      <c r="D27" s="3" t="s">
        <v>45</v>
      </c>
      <c r="E27" s="2"/>
      <c r="H27" s="13"/>
    </row>
    <row r="28" spans="1:8" ht="15.6" x14ac:dyDescent="0.3">
      <c r="A28" s="6" t="s">
        <v>4</v>
      </c>
      <c r="B28" s="12" t="s">
        <v>29</v>
      </c>
      <c r="C28" s="2">
        <v>0</v>
      </c>
      <c r="D28" s="3"/>
      <c r="E28" s="15"/>
      <c r="H28" s="13"/>
    </row>
    <row r="29" spans="1:8" ht="15.6" x14ac:dyDescent="0.3">
      <c r="A29" s="6" t="s">
        <v>4</v>
      </c>
      <c r="B29" s="12" t="s">
        <v>30</v>
      </c>
      <c r="C29" s="2">
        <v>2663.24</v>
      </c>
      <c r="D29" s="3" t="s">
        <v>45</v>
      </c>
      <c r="E29" s="2"/>
      <c r="H29" s="13"/>
    </row>
    <row r="30" spans="1:8" ht="15.6" x14ac:dyDescent="0.3">
      <c r="A30" s="6" t="s">
        <v>4</v>
      </c>
      <c r="B30" s="12" t="s">
        <v>31</v>
      </c>
      <c r="C30" s="2">
        <v>5000</v>
      </c>
      <c r="D30" s="3" t="s">
        <v>46</v>
      </c>
      <c r="E30" s="15"/>
      <c r="H30" s="13"/>
    </row>
    <row r="31" spans="1:8" ht="15.6" x14ac:dyDescent="0.3">
      <c r="A31" s="6" t="s">
        <v>4</v>
      </c>
      <c r="B31" s="12" t="s">
        <v>39</v>
      </c>
      <c r="C31" s="2">
        <v>13092.49</v>
      </c>
      <c r="D31" s="3" t="s">
        <v>45</v>
      </c>
      <c r="E31" s="2"/>
      <c r="H31" s="13"/>
    </row>
    <row r="32" spans="1:8" ht="15.6" x14ac:dyDescent="0.3">
      <c r="A32" s="6" t="s">
        <v>41</v>
      </c>
      <c r="B32" s="12" t="s">
        <v>32</v>
      </c>
      <c r="C32" s="2">
        <v>20419</v>
      </c>
      <c r="D32" s="3"/>
      <c r="E32" s="2"/>
    </row>
    <row r="33" spans="1:8" ht="15.6" x14ac:dyDescent="0.3">
      <c r="A33" s="6" t="s">
        <v>4</v>
      </c>
      <c r="B33" s="12" t="s">
        <v>33</v>
      </c>
      <c r="C33" s="2">
        <v>2185.23</v>
      </c>
      <c r="D33" s="3" t="s">
        <v>45</v>
      </c>
      <c r="E33" s="2"/>
    </row>
    <row r="34" spans="1:8" ht="15.6" x14ac:dyDescent="0.3">
      <c r="A34" s="6" t="s">
        <v>4</v>
      </c>
      <c r="B34" s="12" t="s">
        <v>43</v>
      </c>
      <c r="C34" s="2">
        <v>9620.2999999999993</v>
      </c>
      <c r="D34" s="3">
        <v>2202500</v>
      </c>
      <c r="E34" s="2"/>
    </row>
    <row r="35" spans="1:8" ht="15.6" x14ac:dyDescent="0.3">
      <c r="A35" s="6" t="s">
        <v>4</v>
      </c>
      <c r="B35" s="12" t="s">
        <v>34</v>
      </c>
      <c r="C35" s="2">
        <v>4365.8500000000004</v>
      </c>
      <c r="D35" s="3" t="s">
        <v>45</v>
      </c>
      <c r="E35" s="2"/>
    </row>
    <row r="36" spans="1:8" ht="15.6" x14ac:dyDescent="0.3">
      <c r="A36" s="6" t="s">
        <v>4</v>
      </c>
      <c r="B36" s="12" t="s">
        <v>35</v>
      </c>
      <c r="C36" s="2">
        <v>16385.46</v>
      </c>
      <c r="D36" s="3" t="s">
        <v>45</v>
      </c>
      <c r="E36" s="2"/>
      <c r="H36" s="13"/>
    </row>
    <row r="37" spans="1:8" ht="15.6" x14ac:dyDescent="0.3">
      <c r="A37" s="6" t="s">
        <v>4</v>
      </c>
      <c r="B37" s="12" t="s">
        <v>36</v>
      </c>
      <c r="C37" s="2">
        <v>8881.0400000000009</v>
      </c>
      <c r="D37" s="3" t="s">
        <v>46</v>
      </c>
      <c r="E37" s="2"/>
      <c r="H37" s="13"/>
    </row>
    <row r="38" spans="1:8" ht="15.6" x14ac:dyDescent="0.3">
      <c r="A38" s="6" t="s">
        <v>41</v>
      </c>
      <c r="B38" s="12" t="s">
        <v>37</v>
      </c>
      <c r="C38" s="2">
        <v>0</v>
      </c>
      <c r="D38" s="3"/>
      <c r="E38" s="2"/>
      <c r="H38" s="13"/>
    </row>
    <row r="39" spans="1:8" ht="15.6" x14ac:dyDescent="0.3">
      <c r="A39" s="6"/>
      <c r="B39" s="12" t="s">
        <v>88</v>
      </c>
      <c r="C39" s="4">
        <v>5705.28</v>
      </c>
      <c r="D39" s="3" t="s">
        <v>45</v>
      </c>
      <c r="E39" s="2"/>
      <c r="H39" s="13"/>
    </row>
    <row r="40" spans="1:8" ht="15.6" x14ac:dyDescent="0.3">
      <c r="A40" s="6" t="s">
        <v>4</v>
      </c>
      <c r="B40" s="12" t="s">
        <v>38</v>
      </c>
      <c r="C40" s="2">
        <v>5838.46</v>
      </c>
      <c r="D40" s="3">
        <v>801837</v>
      </c>
      <c r="E40" s="2"/>
    </row>
    <row r="41" spans="1:8" ht="15.6" x14ac:dyDescent="0.3">
      <c r="A41" s="11"/>
      <c r="B41" s="3"/>
      <c r="C41" s="2"/>
      <c r="D41" s="3"/>
      <c r="E41" s="2"/>
    </row>
    <row r="42" spans="1:8" ht="15.6" x14ac:dyDescent="0.3">
      <c r="A42" s="80" t="s">
        <v>87</v>
      </c>
      <c r="B42" s="80"/>
      <c r="C42" s="81"/>
      <c r="D42" s="81"/>
      <c r="E42" s="9"/>
    </row>
    <row r="43" spans="1:8" ht="15.6" x14ac:dyDescent="0.3">
      <c r="A43" s="82"/>
      <c r="B43" s="83"/>
      <c r="C43" s="83"/>
      <c r="D43" s="83"/>
      <c r="E43" s="84"/>
    </row>
    <row r="44" spans="1:8" ht="15.6" x14ac:dyDescent="0.3">
      <c r="A44" s="61" t="s">
        <v>5</v>
      </c>
      <c r="B44" s="61"/>
      <c r="C44" s="74">
        <f>SUM(C4:C41)</f>
        <v>356892.43999999994</v>
      </c>
      <c r="D44" s="74"/>
      <c r="E44" s="10"/>
    </row>
  </sheetData>
  <sortState xmlns:xlrd2="http://schemas.microsoft.com/office/spreadsheetml/2017/richdata2" ref="A4:D40">
    <sortCondition ref="B4:B40"/>
  </sortState>
  <mergeCells count="7">
    <mergeCell ref="A1:E1"/>
    <mergeCell ref="A2:E2"/>
    <mergeCell ref="A42:B42"/>
    <mergeCell ref="C42:D42"/>
    <mergeCell ref="A43:E43"/>
    <mergeCell ref="A44:B44"/>
    <mergeCell ref="C44:D44"/>
  </mergeCells>
  <pageMargins left="0.511811024" right="0.511811024" top="0.78740157499999996" bottom="0.78740157499999996" header="0.31496062000000002" footer="0.31496062000000002"/>
  <pageSetup paperSize="9" scale="92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ED7C-EA82-442B-887E-1365C523566C}">
  <dimension ref="A1:H44"/>
  <sheetViews>
    <sheetView view="pageBreakPreview" topLeftCell="A36" zoomScaleNormal="100" zoomScaleSheetLayoutView="100" workbookViewId="0">
      <selection activeCell="A45" sqref="A45:XFD46"/>
    </sheetView>
  </sheetViews>
  <sheetFormatPr defaultRowHeight="14.4" x14ac:dyDescent="0.3"/>
  <cols>
    <col min="1" max="1" width="20.33203125" bestFit="1" customWidth="1"/>
    <col min="2" max="2" width="22.44140625" bestFit="1" customWidth="1"/>
    <col min="3" max="3" width="14.6640625" bestFit="1" customWidth="1"/>
    <col min="4" max="4" width="22" bestFit="1" customWidth="1"/>
    <col min="5" max="5" width="14.6640625" bestFit="1" customWidth="1"/>
    <col min="6" max="6" width="0.33203125" customWidth="1"/>
    <col min="7" max="8" width="9.109375" hidden="1" customWidth="1"/>
  </cols>
  <sheetData>
    <row r="1" spans="1:8" ht="21" x14ac:dyDescent="0.4">
      <c r="A1" s="75" t="s">
        <v>44</v>
      </c>
      <c r="B1" s="76"/>
      <c r="C1" s="76"/>
      <c r="D1" s="76"/>
      <c r="E1" s="77"/>
    </row>
    <row r="2" spans="1:8" x14ac:dyDescent="0.3">
      <c r="A2" s="78"/>
      <c r="B2" s="66"/>
      <c r="C2" s="66"/>
      <c r="D2" s="66"/>
      <c r="E2" s="79"/>
    </row>
    <row r="3" spans="1:8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8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8" ht="15.6" x14ac:dyDescent="0.3">
      <c r="A5" s="6" t="s">
        <v>4</v>
      </c>
      <c r="B5" s="12" t="s">
        <v>9</v>
      </c>
      <c r="C5" s="2">
        <v>11061.6</v>
      </c>
      <c r="D5" s="3">
        <v>1314</v>
      </c>
      <c r="E5" s="2"/>
    </row>
    <row r="6" spans="1:8" ht="15.6" x14ac:dyDescent="0.3">
      <c r="A6" s="6" t="s">
        <v>4</v>
      </c>
      <c r="B6" s="12" t="s">
        <v>11</v>
      </c>
      <c r="C6" s="4">
        <v>13823.4</v>
      </c>
      <c r="D6" s="3" t="s">
        <v>93</v>
      </c>
      <c r="E6" s="2"/>
    </row>
    <row r="7" spans="1:8" ht="15.6" x14ac:dyDescent="0.3">
      <c r="A7" s="6" t="s">
        <v>4</v>
      </c>
      <c r="B7" s="12" t="s">
        <v>12</v>
      </c>
      <c r="C7" s="4">
        <v>9395.68</v>
      </c>
      <c r="D7" s="3" t="s">
        <v>46</v>
      </c>
      <c r="E7" s="2"/>
    </row>
    <row r="8" spans="1:8" ht="15.6" x14ac:dyDescent="0.3">
      <c r="A8" s="6" t="s">
        <v>4</v>
      </c>
      <c r="B8" s="12" t="s">
        <v>13</v>
      </c>
      <c r="C8" s="2">
        <v>5338.2</v>
      </c>
      <c r="D8" s="3">
        <v>133672</v>
      </c>
      <c r="E8" s="15"/>
    </row>
    <row r="9" spans="1:8" ht="15.6" x14ac:dyDescent="0.3">
      <c r="A9" s="6" t="s">
        <v>4</v>
      </c>
      <c r="B9" s="12" t="s">
        <v>7</v>
      </c>
      <c r="C9" s="4">
        <v>0</v>
      </c>
      <c r="D9" s="3"/>
      <c r="E9" s="15"/>
    </row>
    <row r="10" spans="1:8" ht="15.6" x14ac:dyDescent="0.3">
      <c r="A10" s="6" t="s">
        <v>4</v>
      </c>
      <c r="B10" s="12" t="s">
        <v>40</v>
      </c>
      <c r="C10" s="4">
        <v>25213.040000000001</v>
      </c>
      <c r="D10" s="3" t="s">
        <v>46</v>
      </c>
      <c r="E10" s="3"/>
    </row>
    <row r="11" spans="1:8" ht="15.6" x14ac:dyDescent="0.3">
      <c r="A11" s="6" t="s">
        <v>4</v>
      </c>
      <c r="B11" s="12" t="s">
        <v>14</v>
      </c>
      <c r="C11" s="4">
        <v>1302.3900000000001</v>
      </c>
      <c r="D11" s="3" t="s">
        <v>93</v>
      </c>
      <c r="E11" s="2"/>
    </row>
    <row r="12" spans="1:8" ht="15.6" x14ac:dyDescent="0.3">
      <c r="A12" s="6" t="s">
        <v>41</v>
      </c>
      <c r="B12" s="12" t="s">
        <v>15</v>
      </c>
      <c r="C12" s="4">
        <v>1570.14</v>
      </c>
      <c r="D12" s="4"/>
      <c r="E12" s="15"/>
    </row>
    <row r="13" spans="1:8" ht="15.6" x14ac:dyDescent="0.3">
      <c r="A13" s="6" t="s">
        <v>4</v>
      </c>
      <c r="B13" s="12" t="s">
        <v>16</v>
      </c>
      <c r="C13" s="4">
        <v>12686.22</v>
      </c>
      <c r="D13" s="3"/>
      <c r="E13" s="2"/>
      <c r="H13" t="s">
        <v>95</v>
      </c>
    </row>
    <row r="14" spans="1:8" ht="15.6" x14ac:dyDescent="0.3">
      <c r="A14" s="6" t="s">
        <v>90</v>
      </c>
      <c r="B14" s="12" t="s">
        <v>17</v>
      </c>
      <c r="C14" s="4">
        <v>10000</v>
      </c>
      <c r="D14" s="3" t="s">
        <v>46</v>
      </c>
      <c r="E14" s="2"/>
    </row>
    <row r="15" spans="1:8" ht="15.6" x14ac:dyDescent="0.3">
      <c r="A15" s="6" t="s">
        <v>4</v>
      </c>
      <c r="B15" s="12" t="s">
        <v>18</v>
      </c>
      <c r="C15" s="4">
        <v>7650.73</v>
      </c>
      <c r="D15" s="3"/>
      <c r="E15" s="2"/>
    </row>
    <row r="16" spans="1:8" ht="15.6" x14ac:dyDescent="0.3">
      <c r="A16" s="6" t="s">
        <v>4</v>
      </c>
      <c r="B16" s="12" t="s">
        <v>19</v>
      </c>
      <c r="C16" s="2">
        <v>13534.68</v>
      </c>
      <c r="D16" s="3" t="s">
        <v>93</v>
      </c>
      <c r="E16" s="2"/>
    </row>
    <row r="17" spans="1:5" ht="15.6" x14ac:dyDescent="0.3">
      <c r="A17" s="6" t="s">
        <v>4</v>
      </c>
      <c r="B17" s="12" t="s">
        <v>20</v>
      </c>
      <c r="C17" s="2">
        <v>9751.99</v>
      </c>
      <c r="D17" s="3" t="s">
        <v>93</v>
      </c>
      <c r="E17" s="2"/>
    </row>
    <row r="18" spans="1:5" ht="15.6" x14ac:dyDescent="0.3">
      <c r="A18" s="6" t="s">
        <v>4</v>
      </c>
      <c r="B18" s="12" t="s">
        <v>54</v>
      </c>
      <c r="C18" s="4">
        <v>35885.760000000002</v>
      </c>
      <c r="D18" s="3" t="s">
        <v>93</v>
      </c>
      <c r="E18" s="2"/>
    </row>
    <row r="19" spans="1:5" ht="15.6" x14ac:dyDescent="0.3">
      <c r="A19" s="6" t="s">
        <v>4</v>
      </c>
      <c r="B19" s="12" t="s">
        <v>21</v>
      </c>
      <c r="C19" s="5">
        <v>6628.02</v>
      </c>
      <c r="D19" s="3" t="s">
        <v>93</v>
      </c>
      <c r="E19" s="3"/>
    </row>
    <row r="20" spans="1:5" ht="15.6" x14ac:dyDescent="0.3">
      <c r="A20" s="6" t="s">
        <v>4</v>
      </c>
      <c r="B20" s="12" t="s">
        <v>22</v>
      </c>
      <c r="C20" s="5">
        <v>15773.5</v>
      </c>
      <c r="D20" s="3" t="s">
        <v>93</v>
      </c>
      <c r="E20" s="2"/>
    </row>
    <row r="21" spans="1:5" ht="15.6" x14ac:dyDescent="0.3">
      <c r="A21" s="6" t="s">
        <v>41</v>
      </c>
      <c r="B21" s="12" t="s">
        <v>23</v>
      </c>
      <c r="C21" s="5">
        <v>6909.6</v>
      </c>
      <c r="D21" s="3" t="s">
        <v>93</v>
      </c>
      <c r="E21" s="2"/>
    </row>
    <row r="22" spans="1:5" ht="15.6" x14ac:dyDescent="0.3">
      <c r="A22" s="6" t="s">
        <v>41</v>
      </c>
      <c r="B22" s="12" t="s">
        <v>24</v>
      </c>
      <c r="C22" s="2">
        <v>10222.83</v>
      </c>
      <c r="D22" s="3" t="s">
        <v>93</v>
      </c>
      <c r="E22" s="2"/>
    </row>
    <row r="23" spans="1:5" ht="15.6" x14ac:dyDescent="0.3">
      <c r="A23" s="6" t="s">
        <v>4</v>
      </c>
      <c r="B23" s="12" t="s">
        <v>25</v>
      </c>
      <c r="C23" s="2">
        <v>0</v>
      </c>
      <c r="D23" s="3"/>
      <c r="E23" s="2"/>
    </row>
    <row r="24" spans="1:5" ht="15.6" x14ac:dyDescent="0.3">
      <c r="A24" s="6" t="s">
        <v>4</v>
      </c>
      <c r="B24" s="12" t="s">
        <v>42</v>
      </c>
      <c r="C24" s="2">
        <v>2027.98</v>
      </c>
      <c r="D24" s="3">
        <v>600826</v>
      </c>
      <c r="E24" s="2"/>
    </row>
    <row r="25" spans="1:5" ht="15.6" x14ac:dyDescent="0.3">
      <c r="A25" s="6" t="s">
        <v>4</v>
      </c>
      <c r="B25" s="12" t="s">
        <v>26</v>
      </c>
      <c r="C25" s="5">
        <v>8569.4</v>
      </c>
      <c r="D25" s="3" t="s">
        <v>93</v>
      </c>
      <c r="E25" s="2"/>
    </row>
    <row r="26" spans="1:5" ht="15.6" x14ac:dyDescent="0.3">
      <c r="A26" s="6" t="s">
        <v>4</v>
      </c>
      <c r="B26" s="12" t="s">
        <v>27</v>
      </c>
      <c r="C26" s="5">
        <v>16346.33</v>
      </c>
      <c r="D26" s="3" t="s">
        <v>93</v>
      </c>
      <c r="E26" s="2"/>
    </row>
    <row r="27" spans="1:5" ht="15.6" x14ac:dyDescent="0.3">
      <c r="A27" s="6" t="s">
        <v>41</v>
      </c>
      <c r="B27" s="12" t="s">
        <v>70</v>
      </c>
      <c r="C27" s="2">
        <v>61905.21</v>
      </c>
      <c r="D27" s="3" t="s">
        <v>93</v>
      </c>
      <c r="E27" s="2"/>
    </row>
    <row r="28" spans="1:5" ht="15.6" x14ac:dyDescent="0.3">
      <c r="A28" s="6" t="s">
        <v>4</v>
      </c>
      <c r="B28" s="12" t="s">
        <v>29</v>
      </c>
      <c r="C28" s="2">
        <v>3238.5</v>
      </c>
      <c r="D28" s="3">
        <v>6029</v>
      </c>
      <c r="E28" s="15"/>
    </row>
    <row r="29" spans="1:5" ht="15.6" x14ac:dyDescent="0.3">
      <c r="A29" s="6" t="s">
        <v>4</v>
      </c>
      <c r="B29" s="12" t="s">
        <v>30</v>
      </c>
      <c r="C29" s="2">
        <v>3727.99</v>
      </c>
      <c r="D29" s="3" t="s">
        <v>93</v>
      </c>
      <c r="E29" s="2"/>
    </row>
    <row r="30" spans="1:5" ht="15.6" x14ac:dyDescent="0.3">
      <c r="A30" s="6" t="s">
        <v>4</v>
      </c>
      <c r="B30" s="12" t="s">
        <v>31</v>
      </c>
      <c r="C30" s="2">
        <v>5000</v>
      </c>
      <c r="D30" s="3" t="s">
        <v>46</v>
      </c>
      <c r="E30" s="15"/>
    </row>
    <row r="31" spans="1:5" ht="15.6" x14ac:dyDescent="0.3">
      <c r="A31" s="6" t="s">
        <v>4</v>
      </c>
      <c r="B31" s="12" t="s">
        <v>39</v>
      </c>
      <c r="C31" s="2">
        <v>0</v>
      </c>
      <c r="D31" s="3"/>
      <c r="E31" s="2"/>
    </row>
    <row r="32" spans="1:5" ht="15.6" x14ac:dyDescent="0.3">
      <c r="A32" s="6" t="s">
        <v>41</v>
      </c>
      <c r="B32" s="12" t="s">
        <v>32</v>
      </c>
      <c r="C32" s="2">
        <v>4500</v>
      </c>
      <c r="D32" s="3" t="s">
        <v>46</v>
      </c>
      <c r="E32" s="2"/>
    </row>
    <row r="33" spans="1:5" ht="15.6" x14ac:dyDescent="0.3">
      <c r="A33" s="6" t="s">
        <v>4</v>
      </c>
      <c r="B33" s="12" t="s">
        <v>33</v>
      </c>
      <c r="C33" s="2">
        <v>1711.76</v>
      </c>
      <c r="D33" s="3" t="s">
        <v>93</v>
      </c>
      <c r="E33" s="2"/>
    </row>
    <row r="34" spans="1:5" ht="15.6" x14ac:dyDescent="0.3">
      <c r="A34" s="6" t="s">
        <v>4</v>
      </c>
      <c r="B34" s="12" t="s">
        <v>43</v>
      </c>
      <c r="C34" s="2">
        <v>9834.7800000000007</v>
      </c>
      <c r="D34" s="3">
        <v>2223733</v>
      </c>
      <c r="E34" s="2"/>
    </row>
    <row r="35" spans="1:5" ht="15.6" x14ac:dyDescent="0.3">
      <c r="A35" s="6" t="s">
        <v>4</v>
      </c>
      <c r="B35" s="12" t="s">
        <v>34</v>
      </c>
      <c r="C35" s="2">
        <v>3104.75</v>
      </c>
      <c r="D35" s="3" t="s">
        <v>93</v>
      </c>
      <c r="E35" s="2"/>
    </row>
    <row r="36" spans="1:5" ht="15.6" x14ac:dyDescent="0.3">
      <c r="A36" s="6" t="s">
        <v>4</v>
      </c>
      <c r="B36" s="12" t="s">
        <v>35</v>
      </c>
      <c r="C36" s="2">
        <v>15160.04</v>
      </c>
      <c r="D36" s="3" t="s">
        <v>93</v>
      </c>
      <c r="E36" s="2"/>
    </row>
    <row r="37" spans="1:5" ht="15.6" x14ac:dyDescent="0.3">
      <c r="A37" s="6" t="s">
        <v>4</v>
      </c>
      <c r="B37" s="12" t="s">
        <v>36</v>
      </c>
      <c r="C37" s="2">
        <v>13386.04</v>
      </c>
      <c r="D37" s="3" t="s">
        <v>46</v>
      </c>
      <c r="E37" s="2"/>
    </row>
    <row r="38" spans="1:5" ht="15.6" x14ac:dyDescent="0.3">
      <c r="A38" s="6" t="s">
        <v>41</v>
      </c>
      <c r="B38" s="12" t="s">
        <v>37</v>
      </c>
      <c r="C38" s="2">
        <v>22874.09</v>
      </c>
      <c r="D38" s="3" t="s">
        <v>46</v>
      </c>
      <c r="E38" s="2"/>
    </row>
    <row r="39" spans="1:5" ht="15.6" x14ac:dyDescent="0.3">
      <c r="A39" s="6" t="s">
        <v>41</v>
      </c>
      <c r="B39" s="12" t="s">
        <v>88</v>
      </c>
      <c r="C39" s="4">
        <v>6000</v>
      </c>
      <c r="D39" s="3" t="s">
        <v>93</v>
      </c>
      <c r="E39" s="2"/>
    </row>
    <row r="40" spans="1:5" ht="15.6" x14ac:dyDescent="0.3">
      <c r="A40" s="6" t="s">
        <v>4</v>
      </c>
      <c r="B40" s="12" t="s">
        <v>38</v>
      </c>
      <c r="C40" s="2">
        <v>8386.86</v>
      </c>
      <c r="D40" s="3" t="s">
        <v>93</v>
      </c>
      <c r="E40" s="2"/>
    </row>
    <row r="41" spans="1:5" ht="15.6" x14ac:dyDescent="0.3">
      <c r="A41" s="11"/>
      <c r="B41" s="3"/>
      <c r="C41" s="2"/>
      <c r="D41" s="3"/>
      <c r="E41" s="2"/>
    </row>
    <row r="42" spans="1:5" ht="15.6" x14ac:dyDescent="0.3">
      <c r="A42" s="80" t="s">
        <v>92</v>
      </c>
      <c r="B42" s="80"/>
      <c r="C42" s="81"/>
      <c r="D42" s="81"/>
      <c r="E42" s="9"/>
    </row>
    <row r="43" spans="1:5" ht="15.6" x14ac:dyDescent="0.3">
      <c r="A43" s="85" t="s">
        <v>94</v>
      </c>
      <c r="B43" s="86"/>
      <c r="C43" s="86"/>
      <c r="D43" s="86"/>
      <c r="E43" s="87"/>
    </row>
    <row r="44" spans="1:5" ht="15.6" x14ac:dyDescent="0.3">
      <c r="A44" s="61" t="s">
        <v>5</v>
      </c>
      <c r="B44" s="61"/>
      <c r="C44" s="74">
        <f>SUM(C4:C41)</f>
        <v>382521.50999999995</v>
      </c>
      <c r="D44" s="74"/>
      <c r="E44" s="10"/>
    </row>
  </sheetData>
  <mergeCells count="7">
    <mergeCell ref="A1:E1"/>
    <mergeCell ref="A2:E2"/>
    <mergeCell ref="A42:B42"/>
    <mergeCell ref="C42:D42"/>
    <mergeCell ref="A43:E43"/>
    <mergeCell ref="A44:B44"/>
    <mergeCell ref="C44:D44"/>
  </mergeCells>
  <pageMargins left="0.511811024" right="0.511811024" top="0.78740157499999996" bottom="0.78740157499999996" header="0.31496062000000002" footer="0.31496062000000002"/>
  <pageSetup paperSize="9" scale="98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96E1-7B55-4F2A-B088-6DC1A084C9F2}">
  <dimension ref="A1:E46"/>
  <sheetViews>
    <sheetView view="pageBreakPreview" topLeftCell="A34" zoomScaleNormal="100" zoomScaleSheetLayoutView="100" workbookViewId="0">
      <selection activeCell="A47" sqref="A47:XFD48"/>
    </sheetView>
  </sheetViews>
  <sheetFormatPr defaultRowHeight="14.4" x14ac:dyDescent="0.3"/>
  <cols>
    <col min="1" max="1" width="23.6640625" customWidth="1"/>
    <col min="2" max="2" width="22.44140625" bestFit="1" customWidth="1"/>
    <col min="3" max="3" width="14.6640625" bestFit="1" customWidth="1"/>
    <col min="4" max="4" width="20.44140625" customWidth="1"/>
    <col min="5" max="5" width="13.5546875" bestFit="1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5" ht="15.6" x14ac:dyDescent="0.3">
      <c r="A5" s="6" t="s">
        <v>4</v>
      </c>
      <c r="B5" s="12" t="s">
        <v>9</v>
      </c>
      <c r="C5" s="2">
        <v>67878</v>
      </c>
      <c r="D5" s="3" t="s">
        <v>97</v>
      </c>
      <c r="E5" s="2"/>
    </row>
    <row r="6" spans="1:5" ht="15.6" x14ac:dyDescent="0.3">
      <c r="A6" s="6" t="s">
        <v>4</v>
      </c>
      <c r="B6" s="12" t="s">
        <v>11</v>
      </c>
      <c r="C6" s="4">
        <v>7889.04</v>
      </c>
      <c r="D6" s="3" t="s">
        <v>45</v>
      </c>
      <c r="E6" s="2"/>
    </row>
    <row r="7" spans="1:5" ht="15.6" x14ac:dyDescent="0.3">
      <c r="A7" s="6" t="s">
        <v>4</v>
      </c>
      <c r="B7" s="12" t="s">
        <v>12</v>
      </c>
      <c r="C7" s="4">
        <v>5459.63</v>
      </c>
      <c r="D7" s="3" t="s">
        <v>46</v>
      </c>
      <c r="E7" s="2"/>
    </row>
    <row r="8" spans="1:5" ht="15.6" x14ac:dyDescent="0.3">
      <c r="A8" s="6" t="s">
        <v>4</v>
      </c>
      <c r="B8" s="12" t="s">
        <v>13</v>
      </c>
      <c r="C8" s="2">
        <v>6119.4</v>
      </c>
      <c r="D8" s="3">
        <v>135294</v>
      </c>
      <c r="E8" s="15"/>
    </row>
    <row r="9" spans="1:5" ht="15.6" x14ac:dyDescent="0.3">
      <c r="A9" s="6" t="s">
        <v>4</v>
      </c>
      <c r="B9" s="12" t="s">
        <v>7</v>
      </c>
      <c r="C9" s="4">
        <v>13098.31</v>
      </c>
      <c r="D9" s="3" t="s">
        <v>46</v>
      </c>
      <c r="E9" s="15"/>
    </row>
    <row r="10" spans="1:5" ht="15.6" x14ac:dyDescent="0.3">
      <c r="A10" s="6" t="s">
        <v>4</v>
      </c>
      <c r="B10" s="12" t="s">
        <v>40</v>
      </c>
      <c r="C10" s="4">
        <v>43580.05</v>
      </c>
      <c r="D10" s="3" t="s">
        <v>46</v>
      </c>
      <c r="E10" s="3"/>
    </row>
    <row r="11" spans="1:5" ht="15.6" x14ac:dyDescent="0.3">
      <c r="A11" s="6" t="s">
        <v>4</v>
      </c>
      <c r="B11" s="12" t="s">
        <v>14</v>
      </c>
      <c r="C11" s="4">
        <v>2585.5300000000002</v>
      </c>
      <c r="D11" s="3" t="s">
        <v>45</v>
      </c>
      <c r="E11" s="2"/>
    </row>
    <row r="12" spans="1:5" ht="15.6" x14ac:dyDescent="0.3">
      <c r="A12" s="6" t="s">
        <v>41</v>
      </c>
      <c r="B12" s="12" t="s">
        <v>15</v>
      </c>
      <c r="C12" s="4">
        <v>0</v>
      </c>
      <c r="D12" s="4"/>
      <c r="E12" s="15"/>
    </row>
    <row r="13" spans="1:5" ht="15.6" x14ac:dyDescent="0.3">
      <c r="A13" s="6" t="s">
        <v>4</v>
      </c>
      <c r="B13" s="12" t="s">
        <v>16</v>
      </c>
      <c r="C13" s="4">
        <v>11669.13</v>
      </c>
      <c r="D13" s="3" t="s">
        <v>45</v>
      </c>
      <c r="E13" s="2"/>
    </row>
    <row r="14" spans="1:5" ht="15.6" x14ac:dyDescent="0.3">
      <c r="A14" s="6" t="s">
        <v>90</v>
      </c>
      <c r="B14" s="12" t="s">
        <v>17</v>
      </c>
      <c r="C14" s="4">
        <v>10000</v>
      </c>
      <c r="D14" s="3" t="s">
        <v>46</v>
      </c>
      <c r="E14" s="2"/>
    </row>
    <row r="15" spans="1:5" ht="15.6" x14ac:dyDescent="0.3">
      <c r="A15" s="6" t="s">
        <v>4</v>
      </c>
      <c r="B15" s="12" t="s">
        <v>18</v>
      </c>
      <c r="C15" s="4">
        <v>5291.33</v>
      </c>
      <c r="D15" s="3" t="s">
        <v>45</v>
      </c>
      <c r="E15" s="2"/>
    </row>
    <row r="16" spans="1:5" ht="15.6" x14ac:dyDescent="0.3">
      <c r="A16" s="6" t="s">
        <v>4</v>
      </c>
      <c r="B16" s="12" t="s">
        <v>19</v>
      </c>
      <c r="C16" s="2">
        <v>12615.53</v>
      </c>
      <c r="D16" s="3" t="s">
        <v>45</v>
      </c>
      <c r="E16" s="2"/>
    </row>
    <row r="17" spans="1:5" ht="15.6" x14ac:dyDescent="0.3">
      <c r="A17" s="6" t="s">
        <v>4</v>
      </c>
      <c r="B17" s="12" t="s">
        <v>20</v>
      </c>
      <c r="C17" s="2">
        <v>8166.93</v>
      </c>
      <c r="D17" s="3" t="s">
        <v>45</v>
      </c>
      <c r="E17" s="2"/>
    </row>
    <row r="18" spans="1:5" ht="15.6" x14ac:dyDescent="0.3">
      <c r="A18" s="29" t="s">
        <v>68</v>
      </c>
      <c r="B18" s="30" t="s">
        <v>54</v>
      </c>
      <c r="C18" s="33">
        <v>21669.82</v>
      </c>
      <c r="D18" s="32" t="s">
        <v>45</v>
      </c>
      <c r="E18" s="31">
        <v>5000</v>
      </c>
    </row>
    <row r="19" spans="1:5" ht="15.6" x14ac:dyDescent="0.3">
      <c r="A19" s="6" t="s">
        <v>4</v>
      </c>
      <c r="B19" s="12" t="s">
        <v>21</v>
      </c>
      <c r="C19" s="5">
        <v>7510.11</v>
      </c>
      <c r="D19" s="3" t="s">
        <v>45</v>
      </c>
      <c r="E19" s="3"/>
    </row>
    <row r="20" spans="1:5" ht="15.6" x14ac:dyDescent="0.3">
      <c r="A20" s="6" t="s">
        <v>4</v>
      </c>
      <c r="B20" s="12" t="s">
        <v>22</v>
      </c>
      <c r="C20" s="5">
        <v>2198.4699999999998</v>
      </c>
      <c r="D20" s="3" t="s">
        <v>45</v>
      </c>
      <c r="E20" s="2"/>
    </row>
    <row r="21" spans="1:5" ht="15.6" x14ac:dyDescent="0.3">
      <c r="A21" s="6" t="s">
        <v>4</v>
      </c>
      <c r="B21" s="12" t="s">
        <v>98</v>
      </c>
      <c r="C21" s="5">
        <v>8825.39</v>
      </c>
      <c r="D21" s="3">
        <v>77215</v>
      </c>
      <c r="E21" s="2"/>
    </row>
    <row r="22" spans="1:5" ht="15.6" x14ac:dyDescent="0.3">
      <c r="A22" s="6" t="s">
        <v>41</v>
      </c>
      <c r="B22" s="12" t="s">
        <v>23</v>
      </c>
      <c r="C22" s="5">
        <v>3379.9</v>
      </c>
      <c r="D22" s="3" t="s">
        <v>45</v>
      </c>
      <c r="E22" s="2"/>
    </row>
    <row r="23" spans="1:5" ht="15.6" x14ac:dyDescent="0.3">
      <c r="A23" s="6" t="s">
        <v>41</v>
      </c>
      <c r="B23" s="12" t="s">
        <v>24</v>
      </c>
      <c r="C23" s="2">
        <v>13214.09</v>
      </c>
      <c r="D23" s="3" t="s">
        <v>45</v>
      </c>
      <c r="E23" s="2"/>
    </row>
    <row r="24" spans="1:5" ht="15.6" x14ac:dyDescent="0.3">
      <c r="A24" s="6" t="s">
        <v>4</v>
      </c>
      <c r="B24" s="12" t="s">
        <v>25</v>
      </c>
      <c r="C24" s="2">
        <v>6218.61</v>
      </c>
      <c r="D24" s="3" t="s">
        <v>46</v>
      </c>
      <c r="E24" s="2"/>
    </row>
    <row r="25" spans="1:5" ht="15.6" x14ac:dyDescent="0.3">
      <c r="A25" s="6" t="s">
        <v>4</v>
      </c>
      <c r="B25" s="12" t="s">
        <v>42</v>
      </c>
      <c r="C25" s="2">
        <v>8797.2999999999993</v>
      </c>
      <c r="D25" s="3">
        <v>37115</v>
      </c>
      <c r="E25" s="2"/>
    </row>
    <row r="26" spans="1:5" ht="15.6" x14ac:dyDescent="0.3">
      <c r="A26" s="6" t="s">
        <v>4</v>
      </c>
      <c r="B26" s="12" t="s">
        <v>26</v>
      </c>
      <c r="C26" s="5">
        <v>9106.92</v>
      </c>
      <c r="D26" s="3" t="s">
        <v>45</v>
      </c>
      <c r="E26" s="2"/>
    </row>
    <row r="27" spans="1:5" ht="15.6" x14ac:dyDescent="0.3">
      <c r="A27" s="6" t="s">
        <v>4</v>
      </c>
      <c r="B27" s="12" t="s">
        <v>27</v>
      </c>
      <c r="C27" s="5">
        <v>16147.22</v>
      </c>
      <c r="D27" s="3" t="s">
        <v>45</v>
      </c>
      <c r="E27" s="2"/>
    </row>
    <row r="28" spans="1:5" ht="15.6" x14ac:dyDescent="0.3">
      <c r="A28" s="6" t="s">
        <v>41</v>
      </c>
      <c r="B28" s="12" t="s">
        <v>70</v>
      </c>
      <c r="C28" s="2">
        <v>36285.599999999999</v>
      </c>
      <c r="D28" s="3" t="s">
        <v>45</v>
      </c>
      <c r="E28" s="2"/>
    </row>
    <row r="29" spans="1:5" ht="15.6" x14ac:dyDescent="0.3">
      <c r="A29" s="6" t="s">
        <v>99</v>
      </c>
      <c r="B29" s="12" t="s">
        <v>100</v>
      </c>
      <c r="C29" s="2">
        <v>7053</v>
      </c>
      <c r="D29" s="3" t="s">
        <v>46</v>
      </c>
      <c r="E29" s="2"/>
    </row>
    <row r="30" spans="1:5" ht="15.6" x14ac:dyDescent="0.3">
      <c r="A30" s="6" t="s">
        <v>4</v>
      </c>
      <c r="B30" s="12" t="s">
        <v>29</v>
      </c>
      <c r="C30" s="2">
        <v>2921</v>
      </c>
      <c r="D30" s="3">
        <v>7685</v>
      </c>
      <c r="E30" s="15"/>
    </row>
    <row r="31" spans="1:5" ht="15.6" x14ac:dyDescent="0.3">
      <c r="A31" s="6" t="s">
        <v>4</v>
      </c>
      <c r="B31" s="12" t="s">
        <v>30</v>
      </c>
      <c r="C31" s="2">
        <v>7692.91</v>
      </c>
      <c r="D31" s="3" t="s">
        <v>102</v>
      </c>
      <c r="E31" s="2"/>
    </row>
    <row r="32" spans="1:5" ht="15.6" x14ac:dyDescent="0.3">
      <c r="A32" s="6" t="s">
        <v>4</v>
      </c>
      <c r="B32" s="12" t="s">
        <v>31</v>
      </c>
      <c r="C32" s="2">
        <v>5000</v>
      </c>
      <c r="D32" s="3" t="s">
        <v>46</v>
      </c>
      <c r="E32" s="15"/>
    </row>
    <row r="33" spans="1:5" ht="15.6" x14ac:dyDescent="0.3">
      <c r="A33" s="6" t="s">
        <v>4</v>
      </c>
      <c r="B33" s="12" t="s">
        <v>39</v>
      </c>
      <c r="C33" s="2">
        <v>0</v>
      </c>
      <c r="D33" s="3"/>
      <c r="E33" s="2"/>
    </row>
    <row r="34" spans="1:5" ht="15.6" x14ac:dyDescent="0.3">
      <c r="A34" s="29" t="s">
        <v>68</v>
      </c>
      <c r="B34" s="30" t="s">
        <v>32</v>
      </c>
      <c r="C34" s="31">
        <v>84151.48</v>
      </c>
      <c r="D34" s="32" t="s">
        <v>45</v>
      </c>
      <c r="E34" s="31">
        <v>4500</v>
      </c>
    </row>
    <row r="35" spans="1:5" ht="15.6" x14ac:dyDescent="0.3">
      <c r="A35" s="6" t="s">
        <v>4</v>
      </c>
      <c r="B35" s="12" t="s">
        <v>33</v>
      </c>
      <c r="C35" s="2">
        <v>3230.5</v>
      </c>
      <c r="D35" s="3" t="s">
        <v>45</v>
      </c>
      <c r="E35" s="2"/>
    </row>
    <row r="36" spans="1:5" ht="15.6" x14ac:dyDescent="0.3">
      <c r="A36" s="6" t="s">
        <v>4</v>
      </c>
      <c r="B36" s="12" t="s">
        <v>43</v>
      </c>
      <c r="C36" s="2">
        <v>14261.71</v>
      </c>
      <c r="D36" s="3" t="s">
        <v>101</v>
      </c>
      <c r="E36" s="2"/>
    </row>
    <row r="37" spans="1:5" ht="15.6" x14ac:dyDescent="0.3">
      <c r="A37" s="6" t="s">
        <v>4</v>
      </c>
      <c r="B37" s="12" t="s">
        <v>34</v>
      </c>
      <c r="C37" s="2">
        <v>3144.08</v>
      </c>
      <c r="D37" s="3" t="s">
        <v>45</v>
      </c>
      <c r="E37" s="2"/>
    </row>
    <row r="38" spans="1:5" ht="15.6" x14ac:dyDescent="0.3">
      <c r="A38" s="6" t="s">
        <v>4</v>
      </c>
      <c r="B38" s="12" t="s">
        <v>35</v>
      </c>
      <c r="C38" s="2">
        <v>13658.94</v>
      </c>
      <c r="D38" s="3" t="s">
        <v>45</v>
      </c>
      <c r="E38" s="2"/>
    </row>
    <row r="39" spans="1:5" ht="15.6" x14ac:dyDescent="0.3">
      <c r="A39" s="6" t="s">
        <v>4</v>
      </c>
      <c r="B39" s="12" t="s">
        <v>36</v>
      </c>
      <c r="C39" s="2">
        <v>14717.49</v>
      </c>
      <c r="D39" s="3" t="s">
        <v>46</v>
      </c>
      <c r="E39" s="2"/>
    </row>
    <row r="40" spans="1:5" ht="15.6" x14ac:dyDescent="0.3">
      <c r="A40" s="29" t="s">
        <v>103</v>
      </c>
      <c r="B40" s="30" t="s">
        <v>37</v>
      </c>
      <c r="C40" s="31">
        <v>45341.24</v>
      </c>
      <c r="D40" s="32" t="s">
        <v>46</v>
      </c>
      <c r="E40" s="31">
        <v>6000</v>
      </c>
    </row>
    <row r="41" spans="1:5" ht="15.6" x14ac:dyDescent="0.3">
      <c r="A41" s="29" t="s">
        <v>103</v>
      </c>
      <c r="B41" s="30" t="s">
        <v>88</v>
      </c>
      <c r="C41" s="33">
        <v>11001.62</v>
      </c>
      <c r="D41" s="32" t="s">
        <v>45</v>
      </c>
      <c r="E41" s="31">
        <v>6000</v>
      </c>
    </row>
    <row r="42" spans="1:5" ht="15.6" x14ac:dyDescent="0.3">
      <c r="A42" s="6" t="s">
        <v>4</v>
      </c>
      <c r="B42" s="12" t="s">
        <v>38</v>
      </c>
      <c r="C42" s="2">
        <v>7070.06</v>
      </c>
      <c r="D42" s="3" t="s">
        <v>45</v>
      </c>
      <c r="E42" s="2"/>
    </row>
    <row r="43" spans="1:5" ht="15.6" x14ac:dyDescent="0.3">
      <c r="A43" s="11"/>
      <c r="B43" s="3"/>
      <c r="C43" s="2"/>
      <c r="D43" s="3"/>
      <c r="E43" s="2"/>
    </row>
    <row r="44" spans="1:5" ht="15.6" x14ac:dyDescent="0.3">
      <c r="A44" s="80" t="s">
        <v>96</v>
      </c>
      <c r="B44" s="80"/>
      <c r="C44" s="81"/>
      <c r="D44" s="81"/>
      <c r="E44" s="9"/>
    </row>
    <row r="45" spans="1:5" ht="15.6" x14ac:dyDescent="0.3">
      <c r="A45" s="85"/>
      <c r="B45" s="86"/>
      <c r="C45" s="86"/>
      <c r="D45" s="86"/>
      <c r="E45" s="87"/>
    </row>
    <row r="46" spans="1:5" ht="15.6" x14ac:dyDescent="0.3">
      <c r="A46" s="61" t="s">
        <v>5</v>
      </c>
      <c r="B46" s="61"/>
      <c r="C46" s="74">
        <f>SUM(C4:C43)</f>
        <v>546950.34</v>
      </c>
      <c r="D46" s="74"/>
      <c r="E46" s="10"/>
    </row>
  </sheetData>
  <sortState xmlns:xlrd2="http://schemas.microsoft.com/office/spreadsheetml/2017/richdata2" ref="A4:D42">
    <sortCondition ref="B27:B42"/>
  </sortState>
  <mergeCells count="7">
    <mergeCell ref="A1:E1"/>
    <mergeCell ref="A2:E2"/>
    <mergeCell ref="A44:B44"/>
    <mergeCell ref="C44:D44"/>
    <mergeCell ref="A45:E45"/>
    <mergeCell ref="A46:B46"/>
    <mergeCell ref="C46:D46"/>
  </mergeCells>
  <pageMargins left="0.511811024" right="0.511811024" top="0.78740157499999996" bottom="0.78740157499999996" header="0.31496062000000002" footer="0.31496062000000002"/>
  <pageSetup paperSize="9" scale="97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3121-8631-415C-AFF2-9AF7EBD2B1BC}">
  <dimension ref="A1:E45"/>
  <sheetViews>
    <sheetView view="pageBreakPreview" topLeftCell="A41" zoomScaleNormal="100" zoomScaleSheetLayoutView="100" workbookViewId="0">
      <selection activeCell="A46" sqref="A46:XFD47"/>
    </sheetView>
  </sheetViews>
  <sheetFormatPr defaultRowHeight="14.4" x14ac:dyDescent="0.3"/>
  <cols>
    <col min="1" max="1" width="21.44140625" bestFit="1" customWidth="1"/>
    <col min="2" max="2" width="22.44140625" bestFit="1" customWidth="1"/>
    <col min="3" max="3" width="14.6640625" bestFit="1" customWidth="1"/>
    <col min="4" max="4" width="22.44140625" bestFit="1" customWidth="1"/>
    <col min="5" max="5" width="14.6640625" bestFit="1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4</v>
      </c>
      <c r="B4" s="12" t="s">
        <v>8</v>
      </c>
      <c r="C4" s="2">
        <v>0</v>
      </c>
      <c r="D4" s="3"/>
      <c r="E4" s="2"/>
    </row>
    <row r="5" spans="1:5" ht="15.6" x14ac:dyDescent="0.3">
      <c r="A5" s="6" t="s">
        <v>4</v>
      </c>
      <c r="B5" s="12" t="s">
        <v>9</v>
      </c>
      <c r="C5" s="2">
        <v>0</v>
      </c>
      <c r="D5" s="3"/>
      <c r="E5" s="2"/>
    </row>
    <row r="6" spans="1:5" ht="15.6" x14ac:dyDescent="0.3">
      <c r="A6" s="6" t="s">
        <v>4</v>
      </c>
      <c r="B6" s="12" t="s">
        <v>11</v>
      </c>
      <c r="C6" s="4">
        <v>9628.67</v>
      </c>
      <c r="D6" s="3" t="s">
        <v>45</v>
      </c>
      <c r="E6" s="2"/>
    </row>
    <row r="7" spans="1:5" ht="15.6" x14ac:dyDescent="0.3">
      <c r="A7" s="6" t="s">
        <v>4</v>
      </c>
      <c r="B7" s="12" t="s">
        <v>12</v>
      </c>
      <c r="C7" s="4">
        <v>6420.53</v>
      </c>
      <c r="D7" s="3" t="s">
        <v>46</v>
      </c>
      <c r="E7" s="2"/>
    </row>
    <row r="8" spans="1:5" ht="15.6" x14ac:dyDescent="0.3">
      <c r="A8" s="6" t="s">
        <v>4</v>
      </c>
      <c r="B8" s="12" t="s">
        <v>13</v>
      </c>
      <c r="C8" s="2">
        <v>9331</v>
      </c>
      <c r="D8" s="3">
        <v>136304</v>
      </c>
      <c r="E8" s="15"/>
    </row>
    <row r="9" spans="1:5" ht="15.6" x14ac:dyDescent="0.3">
      <c r="A9" s="6" t="s">
        <v>4</v>
      </c>
      <c r="B9" s="12" t="s">
        <v>7</v>
      </c>
      <c r="C9" s="4">
        <v>0</v>
      </c>
      <c r="D9" s="3"/>
      <c r="E9" s="15"/>
    </row>
    <row r="10" spans="1:5" ht="15.6" x14ac:dyDescent="0.3">
      <c r="A10" s="6" t="s">
        <v>4</v>
      </c>
      <c r="B10" s="12" t="s">
        <v>40</v>
      </c>
      <c r="C10" s="4">
        <v>0</v>
      </c>
      <c r="D10" s="3"/>
      <c r="E10" s="3"/>
    </row>
    <row r="11" spans="1:5" ht="15.6" x14ac:dyDescent="0.3">
      <c r="A11" s="6" t="s">
        <v>4</v>
      </c>
      <c r="B11" s="12" t="s">
        <v>14</v>
      </c>
      <c r="C11" s="4">
        <v>2507.88</v>
      </c>
      <c r="D11" s="3" t="s">
        <v>45</v>
      </c>
      <c r="E11" s="2"/>
    </row>
    <row r="12" spans="1:5" ht="15.6" x14ac:dyDescent="0.3">
      <c r="A12" s="6" t="s">
        <v>41</v>
      </c>
      <c r="B12" s="12" t="s">
        <v>15</v>
      </c>
      <c r="C12" s="4">
        <v>0</v>
      </c>
      <c r="D12" s="4"/>
      <c r="E12" s="15"/>
    </row>
    <row r="13" spans="1:5" ht="15.6" x14ac:dyDescent="0.3">
      <c r="A13" s="6" t="s">
        <v>4</v>
      </c>
      <c r="B13" s="12" t="s">
        <v>16</v>
      </c>
      <c r="C13" s="4">
        <v>7371</v>
      </c>
      <c r="D13" s="3" t="s">
        <v>45</v>
      </c>
      <c r="E13" s="2"/>
    </row>
    <row r="14" spans="1:5" ht="15.6" x14ac:dyDescent="0.3">
      <c r="A14" s="6" t="s">
        <v>4</v>
      </c>
      <c r="B14" s="12" t="s">
        <v>17</v>
      </c>
      <c r="C14" s="4">
        <v>10000</v>
      </c>
      <c r="D14" s="3" t="s">
        <v>46</v>
      </c>
      <c r="E14" s="2"/>
    </row>
    <row r="15" spans="1:5" ht="15.6" x14ac:dyDescent="0.3">
      <c r="A15" s="6" t="s">
        <v>4</v>
      </c>
      <c r="B15" s="12" t="s">
        <v>18</v>
      </c>
      <c r="C15" s="4">
        <v>9471.98</v>
      </c>
      <c r="D15" s="3" t="s">
        <v>45</v>
      </c>
      <c r="E15" s="2"/>
    </row>
    <row r="16" spans="1:5" ht="15.6" x14ac:dyDescent="0.3">
      <c r="A16" s="6" t="s">
        <v>4</v>
      </c>
      <c r="B16" s="12" t="s">
        <v>19</v>
      </c>
      <c r="C16" s="2">
        <v>11820.65</v>
      </c>
      <c r="D16" s="3" t="s">
        <v>45</v>
      </c>
      <c r="E16" s="2"/>
    </row>
    <row r="17" spans="1:5" ht="15.6" x14ac:dyDescent="0.3">
      <c r="A17" s="6" t="s">
        <v>4</v>
      </c>
      <c r="B17" s="12" t="s">
        <v>20</v>
      </c>
      <c r="C17" s="2">
        <v>9199.42</v>
      </c>
      <c r="D17" s="3" t="s">
        <v>45</v>
      </c>
      <c r="E17" s="2"/>
    </row>
    <row r="18" spans="1:5" ht="15.6" x14ac:dyDescent="0.3">
      <c r="A18" s="6" t="s">
        <v>41</v>
      </c>
      <c r="B18" s="12" t="s">
        <v>54</v>
      </c>
      <c r="C18" s="4">
        <v>23034.14</v>
      </c>
      <c r="D18" s="3" t="s">
        <v>45</v>
      </c>
      <c r="E18" s="2"/>
    </row>
    <row r="19" spans="1:5" ht="15.6" x14ac:dyDescent="0.3">
      <c r="A19" s="6" t="s">
        <v>4</v>
      </c>
      <c r="B19" s="12" t="s">
        <v>21</v>
      </c>
      <c r="C19" s="5">
        <v>6040.89</v>
      </c>
      <c r="D19" s="3" t="s">
        <v>45</v>
      </c>
      <c r="E19" s="3"/>
    </row>
    <row r="20" spans="1:5" ht="15.6" x14ac:dyDescent="0.3">
      <c r="A20" s="34" t="s">
        <v>68</v>
      </c>
      <c r="B20" s="35" t="s">
        <v>22</v>
      </c>
      <c r="C20" s="38">
        <v>9965.75</v>
      </c>
      <c r="D20" s="37" t="s">
        <v>46</v>
      </c>
      <c r="E20" s="36">
        <v>5000</v>
      </c>
    </row>
    <row r="21" spans="1:5" ht="15.6" x14ac:dyDescent="0.3">
      <c r="A21" s="6" t="s">
        <v>4</v>
      </c>
      <c r="B21" s="12" t="s">
        <v>98</v>
      </c>
      <c r="C21" s="5">
        <v>2044.95</v>
      </c>
      <c r="D21" s="3">
        <v>77862</v>
      </c>
      <c r="E21" s="2"/>
    </row>
    <row r="22" spans="1:5" ht="15.6" x14ac:dyDescent="0.3">
      <c r="A22" s="6" t="s">
        <v>41</v>
      </c>
      <c r="B22" s="12" t="s">
        <v>23</v>
      </c>
      <c r="C22" s="5">
        <v>4662.6099999999997</v>
      </c>
      <c r="D22" s="3" t="s">
        <v>45</v>
      </c>
      <c r="E22" s="2"/>
    </row>
    <row r="23" spans="1:5" ht="15.6" x14ac:dyDescent="0.3">
      <c r="A23" s="6" t="s">
        <v>41</v>
      </c>
      <c r="B23" s="12" t="s">
        <v>24</v>
      </c>
      <c r="C23" s="2">
        <v>10756.99</v>
      </c>
      <c r="D23" s="3" t="s">
        <v>45</v>
      </c>
      <c r="E23" s="2"/>
    </row>
    <row r="24" spans="1:5" ht="15.6" x14ac:dyDescent="0.3">
      <c r="A24" s="6" t="s">
        <v>4</v>
      </c>
      <c r="B24" s="12" t="s">
        <v>25</v>
      </c>
      <c r="C24" s="2">
        <v>15685.42</v>
      </c>
      <c r="D24" s="3" t="s">
        <v>46</v>
      </c>
      <c r="E24" s="2"/>
    </row>
    <row r="25" spans="1:5" ht="15.6" x14ac:dyDescent="0.3">
      <c r="A25" s="6" t="s">
        <v>4</v>
      </c>
      <c r="B25" s="12" t="s">
        <v>42</v>
      </c>
      <c r="C25" s="2"/>
      <c r="D25" s="3"/>
      <c r="E25" s="2"/>
    </row>
    <row r="26" spans="1:5" ht="15.6" x14ac:dyDescent="0.3">
      <c r="A26" s="6" t="s">
        <v>4</v>
      </c>
      <c r="B26" s="12" t="s">
        <v>26</v>
      </c>
      <c r="C26" s="5">
        <v>5854.89</v>
      </c>
      <c r="D26" s="3" t="s">
        <v>45</v>
      </c>
      <c r="E26" s="2"/>
    </row>
    <row r="27" spans="1:5" ht="15.6" x14ac:dyDescent="0.3">
      <c r="A27" s="34" t="s">
        <v>103</v>
      </c>
      <c r="B27" s="35" t="s">
        <v>27</v>
      </c>
      <c r="C27" s="38">
        <v>22061.49</v>
      </c>
      <c r="D27" s="37" t="s">
        <v>105</v>
      </c>
      <c r="E27" s="36">
        <v>20000</v>
      </c>
    </row>
    <row r="28" spans="1:5" ht="15.6" x14ac:dyDescent="0.3">
      <c r="A28" s="6" t="s">
        <v>41</v>
      </c>
      <c r="B28" s="12" t="s">
        <v>70</v>
      </c>
      <c r="C28" s="2">
        <v>0</v>
      </c>
      <c r="D28" s="3"/>
      <c r="E28" s="2"/>
    </row>
    <row r="29" spans="1:5" ht="15.6" x14ac:dyDescent="0.3">
      <c r="A29" s="6" t="s">
        <v>99</v>
      </c>
      <c r="B29" s="12" t="s">
        <v>100</v>
      </c>
      <c r="C29" s="2">
        <v>0</v>
      </c>
      <c r="D29" s="3"/>
      <c r="E29" s="2"/>
    </row>
    <row r="30" spans="1:5" ht="15.6" x14ac:dyDescent="0.3">
      <c r="A30" s="6" t="s">
        <v>4</v>
      </c>
      <c r="B30" s="12" t="s">
        <v>29</v>
      </c>
      <c r="C30" s="2">
        <v>2925</v>
      </c>
      <c r="D30" s="3">
        <v>8996</v>
      </c>
      <c r="E30" s="15"/>
    </row>
    <row r="31" spans="1:5" ht="15.6" x14ac:dyDescent="0.3">
      <c r="A31" s="6" t="s">
        <v>4</v>
      </c>
      <c r="B31" s="12" t="s">
        <v>30</v>
      </c>
      <c r="C31" s="2">
        <v>2571.06</v>
      </c>
      <c r="D31" s="3" t="s">
        <v>45</v>
      </c>
      <c r="E31" s="2"/>
    </row>
    <row r="32" spans="1:5" ht="15.6" x14ac:dyDescent="0.3">
      <c r="A32" s="6" t="s">
        <v>4</v>
      </c>
      <c r="B32" s="12" t="s">
        <v>31</v>
      </c>
      <c r="C32" s="2">
        <v>0</v>
      </c>
      <c r="D32" s="3"/>
      <c r="E32" s="15"/>
    </row>
    <row r="33" spans="1:5" ht="15.6" x14ac:dyDescent="0.3">
      <c r="A33" s="6" t="s">
        <v>41</v>
      </c>
      <c r="B33" s="12" t="s">
        <v>32</v>
      </c>
      <c r="C33" s="2">
        <v>16548.32</v>
      </c>
      <c r="D33" s="3" t="s">
        <v>45</v>
      </c>
      <c r="E33" s="2"/>
    </row>
    <row r="34" spans="1:5" ht="15.6" x14ac:dyDescent="0.3">
      <c r="A34" s="6" t="s">
        <v>4</v>
      </c>
      <c r="B34" s="12" t="s">
        <v>33</v>
      </c>
      <c r="C34" s="2">
        <v>2377.92</v>
      </c>
      <c r="D34" s="3" t="s">
        <v>45</v>
      </c>
      <c r="E34" s="2"/>
    </row>
    <row r="35" spans="1:5" ht="15.6" x14ac:dyDescent="0.3">
      <c r="A35" s="34" t="s">
        <v>68</v>
      </c>
      <c r="B35" s="35" t="s">
        <v>43</v>
      </c>
      <c r="C35" s="36">
        <v>14504.76</v>
      </c>
      <c r="D35" s="37">
        <v>2257678</v>
      </c>
      <c r="E35" s="36">
        <v>5000</v>
      </c>
    </row>
    <row r="36" spans="1:5" ht="15.6" x14ac:dyDescent="0.3">
      <c r="A36" s="6" t="s">
        <v>4</v>
      </c>
      <c r="B36" s="12" t="s">
        <v>34</v>
      </c>
      <c r="C36" s="2">
        <v>2316.2199999999998</v>
      </c>
      <c r="D36" s="3" t="s">
        <v>45</v>
      </c>
      <c r="E36" s="2"/>
    </row>
    <row r="37" spans="1:5" ht="15.6" x14ac:dyDescent="0.3">
      <c r="A37" s="6" t="s">
        <v>4</v>
      </c>
      <c r="B37" s="12" t="s">
        <v>35</v>
      </c>
      <c r="C37" s="2">
        <v>9113.1200000000008</v>
      </c>
      <c r="D37" s="3" t="s">
        <v>45</v>
      </c>
      <c r="E37" s="2"/>
    </row>
    <row r="38" spans="1:5" ht="15.6" x14ac:dyDescent="0.3">
      <c r="A38" s="6" t="s">
        <v>4</v>
      </c>
      <c r="B38" s="12" t="s">
        <v>36</v>
      </c>
      <c r="C38" s="2">
        <v>14548.98</v>
      </c>
      <c r="D38" s="3" t="s">
        <v>46</v>
      </c>
      <c r="E38" s="2"/>
    </row>
    <row r="39" spans="1:5" ht="15.6" x14ac:dyDescent="0.3">
      <c r="A39" s="34" t="s">
        <v>103</v>
      </c>
      <c r="B39" s="35" t="s">
        <v>37</v>
      </c>
      <c r="C39" s="36">
        <v>6026.76</v>
      </c>
      <c r="D39" s="37">
        <v>540372</v>
      </c>
      <c r="E39" s="36">
        <v>6026.76</v>
      </c>
    </row>
    <row r="40" spans="1:5" ht="15.6" x14ac:dyDescent="0.3">
      <c r="A40" s="34" t="s">
        <v>103</v>
      </c>
      <c r="B40" s="35" t="s">
        <v>88</v>
      </c>
      <c r="C40" s="39">
        <v>6000</v>
      </c>
      <c r="D40" s="37" t="s">
        <v>45</v>
      </c>
      <c r="E40" s="36">
        <v>6000</v>
      </c>
    </row>
    <row r="41" spans="1:5" ht="15.6" x14ac:dyDescent="0.3">
      <c r="A41" s="34" t="s">
        <v>103</v>
      </c>
      <c r="B41" s="35" t="s">
        <v>38</v>
      </c>
      <c r="C41" s="36">
        <v>20943.63</v>
      </c>
      <c r="D41" s="37" t="s">
        <v>45</v>
      </c>
      <c r="E41" s="36">
        <v>12000</v>
      </c>
    </row>
    <row r="42" spans="1:5" ht="15.6" x14ac:dyDescent="0.3">
      <c r="A42" s="11"/>
      <c r="B42" s="3"/>
      <c r="C42" s="2"/>
      <c r="D42" s="3"/>
      <c r="E42" s="2"/>
    </row>
    <row r="43" spans="1:5" ht="15.6" x14ac:dyDescent="0.3">
      <c r="A43" s="88" t="s">
        <v>104</v>
      </c>
      <c r="B43" s="69"/>
      <c r="C43" s="69"/>
      <c r="D43" s="69"/>
      <c r="E43" s="89"/>
    </row>
    <row r="44" spans="1:5" ht="15.6" x14ac:dyDescent="0.3">
      <c r="A44" s="85" t="s">
        <v>106</v>
      </c>
      <c r="B44" s="86"/>
      <c r="C44" s="86"/>
      <c r="D44" s="86"/>
      <c r="E44" s="87"/>
    </row>
    <row r="45" spans="1:5" ht="15.6" x14ac:dyDescent="0.3">
      <c r="A45" s="61" t="s">
        <v>5</v>
      </c>
      <c r="B45" s="61"/>
      <c r="C45" s="74">
        <f>SUM(C4:C42)</f>
        <v>273734.03000000003</v>
      </c>
      <c r="D45" s="74"/>
      <c r="E45" s="10"/>
    </row>
  </sheetData>
  <mergeCells count="6">
    <mergeCell ref="A1:E1"/>
    <mergeCell ref="A2:E2"/>
    <mergeCell ref="A44:E44"/>
    <mergeCell ref="A45:B45"/>
    <mergeCell ref="C45:D45"/>
    <mergeCell ref="A43:E43"/>
  </mergeCells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F30F-F70F-4E20-9929-5CA157BD024B}">
  <dimension ref="A1:E45"/>
  <sheetViews>
    <sheetView view="pageBreakPreview" topLeftCell="A39" zoomScaleNormal="100" zoomScaleSheetLayoutView="100" workbookViewId="0">
      <selection activeCell="A46" sqref="A46:XFD47"/>
    </sheetView>
  </sheetViews>
  <sheetFormatPr defaultRowHeight="14.4" x14ac:dyDescent="0.3"/>
  <cols>
    <col min="1" max="1" width="27.6640625" bestFit="1" customWidth="1"/>
    <col min="2" max="2" width="22.44140625" bestFit="1" customWidth="1"/>
    <col min="3" max="3" width="14.6640625" bestFit="1" customWidth="1"/>
    <col min="4" max="4" width="23.5546875" bestFit="1" customWidth="1"/>
    <col min="5" max="5" width="14.6640625" bestFit="1" customWidth="1"/>
  </cols>
  <sheetData>
    <row r="1" spans="1:5" ht="21" x14ac:dyDescent="0.4">
      <c r="A1" s="75" t="s">
        <v>44</v>
      </c>
      <c r="B1" s="76"/>
      <c r="C1" s="76"/>
      <c r="D1" s="76"/>
      <c r="E1" s="77"/>
    </row>
    <row r="2" spans="1:5" x14ac:dyDescent="0.3">
      <c r="A2" s="78"/>
      <c r="B2" s="66"/>
      <c r="C2" s="66"/>
      <c r="D2" s="66"/>
      <c r="E2" s="79"/>
    </row>
    <row r="3" spans="1: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ht="15.6" x14ac:dyDescent="0.3">
      <c r="A4" s="6" t="s">
        <v>51</v>
      </c>
      <c r="B4" s="12" t="s">
        <v>8</v>
      </c>
      <c r="C4" s="2">
        <v>4597.75</v>
      </c>
      <c r="D4" s="3">
        <v>744014</v>
      </c>
      <c r="E4" s="2"/>
    </row>
    <row r="5" spans="1:5" ht="15.6" x14ac:dyDescent="0.3">
      <c r="A5" s="6" t="s">
        <v>4</v>
      </c>
      <c r="B5" s="12" t="s">
        <v>9</v>
      </c>
      <c r="C5" s="2">
        <v>35698.800000000003</v>
      </c>
      <c r="D5" s="3" t="s">
        <v>108</v>
      </c>
      <c r="E5" s="2"/>
    </row>
    <row r="6" spans="1:5" ht="15.6" x14ac:dyDescent="0.3">
      <c r="A6" s="6" t="s">
        <v>4</v>
      </c>
      <c r="B6" s="12" t="s">
        <v>11</v>
      </c>
      <c r="C6" s="4">
        <v>10397.92</v>
      </c>
      <c r="D6" s="3" t="s">
        <v>45</v>
      </c>
      <c r="E6" s="2"/>
    </row>
    <row r="7" spans="1:5" ht="15.6" x14ac:dyDescent="0.3">
      <c r="A7" s="6" t="s">
        <v>4</v>
      </c>
      <c r="B7" s="12" t="s">
        <v>12</v>
      </c>
      <c r="C7" s="4">
        <v>6340.7</v>
      </c>
      <c r="D7" s="3" t="s">
        <v>46</v>
      </c>
      <c r="E7" s="2"/>
    </row>
    <row r="8" spans="1:5" ht="15.6" x14ac:dyDescent="0.3">
      <c r="A8" s="6" t="s">
        <v>4</v>
      </c>
      <c r="B8" s="12" t="s">
        <v>13</v>
      </c>
      <c r="C8" s="2">
        <v>6573.42</v>
      </c>
      <c r="D8" s="3">
        <v>138397</v>
      </c>
      <c r="E8" s="15"/>
    </row>
    <row r="9" spans="1:5" ht="15.6" x14ac:dyDescent="0.3">
      <c r="A9" s="6" t="s">
        <v>4</v>
      </c>
      <c r="B9" s="12" t="s">
        <v>7</v>
      </c>
      <c r="C9" s="4">
        <v>18677.68</v>
      </c>
      <c r="D9" s="3" t="s">
        <v>46</v>
      </c>
      <c r="E9" s="15"/>
    </row>
    <row r="10" spans="1:5" ht="15.6" x14ac:dyDescent="0.3">
      <c r="A10" s="6" t="s">
        <v>4</v>
      </c>
      <c r="B10" s="12" t="s">
        <v>40</v>
      </c>
      <c r="C10" s="4">
        <v>15919.67</v>
      </c>
      <c r="D10" s="3" t="s">
        <v>46</v>
      </c>
      <c r="E10" s="3"/>
    </row>
    <row r="11" spans="1:5" ht="15.6" x14ac:dyDescent="0.3">
      <c r="A11" s="6" t="s">
        <v>4</v>
      </c>
      <c r="B11" s="12" t="s">
        <v>14</v>
      </c>
      <c r="C11" s="4">
        <v>3575.01</v>
      </c>
      <c r="D11" s="3" t="s">
        <v>45</v>
      </c>
      <c r="E11" s="2"/>
    </row>
    <row r="12" spans="1:5" ht="15.6" x14ac:dyDescent="0.3">
      <c r="A12" s="19" t="s">
        <v>68</v>
      </c>
      <c r="B12" s="20" t="s">
        <v>15</v>
      </c>
      <c r="C12" s="21">
        <v>39760.53</v>
      </c>
      <c r="D12" s="21" t="s">
        <v>109</v>
      </c>
      <c r="E12" s="22">
        <v>10000</v>
      </c>
    </row>
    <row r="13" spans="1:5" ht="15.6" x14ac:dyDescent="0.3">
      <c r="A13" s="6" t="s">
        <v>4</v>
      </c>
      <c r="B13" s="12" t="s">
        <v>16</v>
      </c>
      <c r="C13" s="4">
        <v>16489.72</v>
      </c>
      <c r="D13" s="3" t="s">
        <v>45</v>
      </c>
      <c r="E13" s="2"/>
    </row>
    <row r="14" spans="1:5" ht="15.6" x14ac:dyDescent="0.3">
      <c r="A14" s="6" t="s">
        <v>4</v>
      </c>
      <c r="B14" s="12" t="s">
        <v>17</v>
      </c>
      <c r="C14" s="4">
        <v>10000</v>
      </c>
      <c r="D14" s="3" t="s">
        <v>46</v>
      </c>
      <c r="E14" s="2"/>
    </row>
    <row r="15" spans="1:5" ht="15.6" x14ac:dyDescent="0.3">
      <c r="A15" s="6" t="s">
        <v>4</v>
      </c>
      <c r="B15" s="12" t="s">
        <v>18</v>
      </c>
      <c r="C15" s="4">
        <v>7094.89</v>
      </c>
      <c r="D15" s="3" t="s">
        <v>45</v>
      </c>
      <c r="E15" s="2"/>
    </row>
    <row r="16" spans="1:5" ht="15.6" x14ac:dyDescent="0.3">
      <c r="A16" s="6" t="s">
        <v>4</v>
      </c>
      <c r="B16" s="12" t="s">
        <v>19</v>
      </c>
      <c r="C16" s="2">
        <v>14489.37</v>
      </c>
      <c r="D16" s="3" t="s">
        <v>45</v>
      </c>
      <c r="E16" s="2"/>
    </row>
    <row r="17" spans="1:5" ht="15.6" x14ac:dyDescent="0.3">
      <c r="A17" s="6" t="s">
        <v>4</v>
      </c>
      <c r="B17" s="12" t="s">
        <v>20</v>
      </c>
      <c r="C17" s="2">
        <v>7386.81</v>
      </c>
      <c r="D17" s="3" t="s">
        <v>45</v>
      </c>
      <c r="E17" s="2"/>
    </row>
    <row r="18" spans="1:5" ht="15.6" x14ac:dyDescent="0.3">
      <c r="A18" s="6" t="s">
        <v>41</v>
      </c>
      <c r="B18" s="12" t="s">
        <v>54</v>
      </c>
      <c r="C18" s="4">
        <v>33380.269999999997</v>
      </c>
      <c r="D18" s="3" t="s">
        <v>45</v>
      </c>
      <c r="E18" s="2"/>
    </row>
    <row r="19" spans="1:5" ht="15.6" x14ac:dyDescent="0.3">
      <c r="A19" s="6" t="s">
        <v>4</v>
      </c>
      <c r="B19" s="12" t="s">
        <v>21</v>
      </c>
      <c r="C19" s="5">
        <v>9923.3799999999992</v>
      </c>
      <c r="D19" s="3" t="s">
        <v>45</v>
      </c>
      <c r="E19" s="3"/>
    </row>
    <row r="20" spans="1:5" ht="15.6" x14ac:dyDescent="0.3">
      <c r="A20" s="6" t="s">
        <v>4</v>
      </c>
      <c r="B20" s="12" t="s">
        <v>22</v>
      </c>
      <c r="C20" s="5">
        <v>5799.5</v>
      </c>
      <c r="D20" s="3" t="s">
        <v>45</v>
      </c>
      <c r="E20" s="2"/>
    </row>
    <row r="21" spans="1:5" ht="15.6" x14ac:dyDescent="0.3">
      <c r="A21" s="6" t="s">
        <v>4</v>
      </c>
      <c r="B21" s="12" t="s">
        <v>98</v>
      </c>
      <c r="C21" s="5">
        <v>4691.3500000000004</v>
      </c>
      <c r="D21" s="3">
        <v>70360</v>
      </c>
      <c r="E21" s="2"/>
    </row>
    <row r="22" spans="1:5" ht="15.6" x14ac:dyDescent="0.3">
      <c r="A22" s="6" t="s">
        <v>41</v>
      </c>
      <c r="B22" s="12" t="s">
        <v>23</v>
      </c>
      <c r="C22" s="5">
        <v>7236.32</v>
      </c>
      <c r="D22" s="3" t="s">
        <v>45</v>
      </c>
      <c r="E22" s="2"/>
    </row>
    <row r="23" spans="1:5" ht="15.6" x14ac:dyDescent="0.3">
      <c r="A23" s="6" t="s">
        <v>41</v>
      </c>
      <c r="B23" s="12" t="s">
        <v>24</v>
      </c>
      <c r="C23" s="2">
        <v>11405.44</v>
      </c>
      <c r="D23" s="3" t="s">
        <v>45</v>
      </c>
      <c r="E23" s="2"/>
    </row>
    <row r="24" spans="1:5" ht="15.6" x14ac:dyDescent="0.3">
      <c r="A24" s="6" t="s">
        <v>4</v>
      </c>
      <c r="B24" s="12" t="s">
        <v>25</v>
      </c>
      <c r="C24" s="2">
        <v>20065</v>
      </c>
      <c r="D24" s="3" t="s">
        <v>46</v>
      </c>
      <c r="E24" s="2"/>
    </row>
    <row r="25" spans="1:5" ht="15.6" x14ac:dyDescent="0.3">
      <c r="A25" s="6" t="s">
        <v>4</v>
      </c>
      <c r="B25" s="12" t="s">
        <v>42</v>
      </c>
      <c r="C25" s="2">
        <v>18554.89</v>
      </c>
      <c r="D25" s="3" t="s">
        <v>111</v>
      </c>
      <c r="E25" s="2"/>
    </row>
    <row r="26" spans="1:5" ht="15.6" x14ac:dyDescent="0.3">
      <c r="A26" s="6" t="s">
        <v>4</v>
      </c>
      <c r="B26" s="12" t="s">
        <v>26</v>
      </c>
      <c r="C26" s="5">
        <v>6306.15</v>
      </c>
      <c r="D26" s="3" t="s">
        <v>45</v>
      </c>
      <c r="E26" s="2"/>
    </row>
    <row r="27" spans="1:5" ht="15.6" x14ac:dyDescent="0.3">
      <c r="A27" s="19" t="s">
        <v>115</v>
      </c>
      <c r="B27" s="20" t="s">
        <v>27</v>
      </c>
      <c r="C27" s="23">
        <v>30492.53</v>
      </c>
      <c r="D27" s="24" t="s">
        <v>46</v>
      </c>
      <c r="E27" s="22">
        <v>10000</v>
      </c>
    </row>
    <row r="28" spans="1:5" ht="15.6" x14ac:dyDescent="0.3">
      <c r="A28" s="6" t="s">
        <v>41</v>
      </c>
      <c r="B28" s="12" t="s">
        <v>70</v>
      </c>
      <c r="C28" s="2">
        <v>0</v>
      </c>
      <c r="D28" s="3"/>
      <c r="E28" s="2"/>
    </row>
    <row r="29" spans="1:5" ht="15.6" x14ac:dyDescent="0.3">
      <c r="A29" s="6" t="s">
        <v>99</v>
      </c>
      <c r="B29" s="12" t="s">
        <v>100</v>
      </c>
      <c r="C29" s="2">
        <v>0</v>
      </c>
      <c r="D29" s="3"/>
      <c r="E29" s="2"/>
    </row>
    <row r="30" spans="1:5" ht="15.6" x14ac:dyDescent="0.3">
      <c r="A30" s="6" t="s">
        <v>4</v>
      </c>
      <c r="B30" s="12" t="s">
        <v>29</v>
      </c>
      <c r="C30" s="2">
        <v>3250</v>
      </c>
      <c r="D30" s="3">
        <v>9948</v>
      </c>
      <c r="E30" s="15"/>
    </row>
    <row r="31" spans="1:5" ht="15.6" x14ac:dyDescent="0.3">
      <c r="A31" s="6" t="s">
        <v>4</v>
      </c>
      <c r="B31" s="12" t="s">
        <v>30</v>
      </c>
      <c r="C31" s="2">
        <v>12601.47</v>
      </c>
      <c r="D31" s="3" t="s">
        <v>112</v>
      </c>
      <c r="E31" s="2"/>
    </row>
    <row r="32" spans="1:5" ht="15.6" x14ac:dyDescent="0.3">
      <c r="A32" s="6" t="s">
        <v>4</v>
      </c>
      <c r="B32" s="12" t="s">
        <v>31</v>
      </c>
      <c r="C32" s="2">
        <v>0</v>
      </c>
      <c r="D32" s="3"/>
      <c r="E32" s="15"/>
    </row>
    <row r="33" spans="1:5" ht="15.6" x14ac:dyDescent="0.3">
      <c r="A33" s="6" t="s">
        <v>41</v>
      </c>
      <c r="B33" s="12" t="s">
        <v>32</v>
      </c>
      <c r="C33" s="2">
        <v>52534.59</v>
      </c>
      <c r="D33" s="3" t="s">
        <v>110</v>
      </c>
      <c r="E33" s="2"/>
    </row>
    <row r="34" spans="1:5" ht="15.6" x14ac:dyDescent="0.3">
      <c r="A34" s="6" t="s">
        <v>4</v>
      </c>
      <c r="B34" s="12" t="s">
        <v>33</v>
      </c>
      <c r="C34" s="2">
        <v>2700.04</v>
      </c>
      <c r="D34" s="3" t="s">
        <v>45</v>
      </c>
      <c r="E34" s="2"/>
    </row>
    <row r="35" spans="1:5" ht="15.6" x14ac:dyDescent="0.3">
      <c r="A35" s="6" t="s">
        <v>68</v>
      </c>
      <c r="B35" s="12" t="s">
        <v>43</v>
      </c>
      <c r="C35" s="2">
        <v>11225.17</v>
      </c>
      <c r="D35" s="3" t="s">
        <v>114</v>
      </c>
      <c r="E35" s="2"/>
    </row>
    <row r="36" spans="1:5" ht="15.6" x14ac:dyDescent="0.3">
      <c r="A36" s="6" t="s">
        <v>4</v>
      </c>
      <c r="B36" s="12" t="s">
        <v>34</v>
      </c>
      <c r="C36" s="2">
        <v>4583.05</v>
      </c>
      <c r="D36" s="3" t="s">
        <v>45</v>
      </c>
      <c r="E36" s="2"/>
    </row>
    <row r="37" spans="1:5" ht="15.6" x14ac:dyDescent="0.3">
      <c r="A37" s="6" t="s">
        <v>4</v>
      </c>
      <c r="B37" s="12" t="s">
        <v>35</v>
      </c>
      <c r="C37" s="2">
        <v>9243.25</v>
      </c>
      <c r="D37" s="3" t="s">
        <v>45</v>
      </c>
      <c r="E37" s="2"/>
    </row>
    <row r="38" spans="1:5" ht="15.6" x14ac:dyDescent="0.3">
      <c r="A38" s="6" t="s">
        <v>4</v>
      </c>
      <c r="B38" s="12" t="s">
        <v>36</v>
      </c>
      <c r="C38" s="2">
        <v>12261.13</v>
      </c>
      <c r="D38" s="3" t="s">
        <v>46</v>
      </c>
      <c r="E38" s="2"/>
    </row>
    <row r="39" spans="1:5" ht="15.6" x14ac:dyDescent="0.3">
      <c r="A39" s="6" t="s">
        <v>113</v>
      </c>
      <c r="B39" s="12" t="s">
        <v>37</v>
      </c>
      <c r="C39" s="2">
        <v>6541.5</v>
      </c>
      <c r="D39" s="3"/>
      <c r="E39" s="2"/>
    </row>
    <row r="40" spans="1:5" ht="15.6" x14ac:dyDescent="0.3">
      <c r="A40" s="19" t="s">
        <v>113</v>
      </c>
      <c r="B40" s="20" t="s">
        <v>88</v>
      </c>
      <c r="C40" s="21">
        <v>18000</v>
      </c>
      <c r="D40" s="24" t="s">
        <v>45</v>
      </c>
      <c r="E40" s="22">
        <v>18000</v>
      </c>
    </row>
    <row r="41" spans="1:5" ht="15.6" x14ac:dyDescent="0.3">
      <c r="A41" s="6" t="s">
        <v>4</v>
      </c>
      <c r="B41" s="12" t="s">
        <v>38</v>
      </c>
      <c r="C41" s="2">
        <v>7399.36</v>
      </c>
      <c r="D41" s="3" t="s">
        <v>45</v>
      </c>
      <c r="E41" s="2"/>
    </row>
    <row r="42" spans="1:5" ht="15.6" x14ac:dyDescent="0.3">
      <c r="A42" s="11"/>
      <c r="B42" s="3"/>
      <c r="C42" s="2"/>
      <c r="D42" s="3"/>
      <c r="E42" s="2"/>
    </row>
    <row r="43" spans="1:5" ht="15.6" x14ac:dyDescent="0.3">
      <c r="A43" s="88" t="s">
        <v>107</v>
      </c>
      <c r="B43" s="69"/>
      <c r="C43" s="69"/>
      <c r="D43" s="69"/>
      <c r="E43" s="89"/>
    </row>
    <row r="44" spans="1:5" ht="15.6" x14ac:dyDescent="0.3">
      <c r="A44" s="90" t="s">
        <v>116</v>
      </c>
      <c r="B44" s="72"/>
      <c r="C44" s="72"/>
      <c r="D44" s="72"/>
      <c r="E44" s="91"/>
    </row>
    <row r="45" spans="1:5" ht="15.6" x14ac:dyDescent="0.3">
      <c r="A45" s="61" t="s">
        <v>5</v>
      </c>
      <c r="B45" s="61"/>
      <c r="C45" s="74">
        <f>SUM(C4:C41)</f>
        <v>485196.65999999986</v>
      </c>
      <c r="D45" s="74"/>
      <c r="E45" s="10"/>
    </row>
  </sheetData>
  <mergeCells count="6">
    <mergeCell ref="A1:E1"/>
    <mergeCell ref="A2:E2"/>
    <mergeCell ref="A43:E43"/>
    <mergeCell ref="A44:E44"/>
    <mergeCell ref="A45:B45"/>
    <mergeCell ref="C45:D45"/>
  </mergeCells>
  <pageMargins left="0.511811024" right="0.511811024" top="0.78740157499999996" bottom="0.78740157499999996" header="0.31496062000000002" footer="0.31496062000000002"/>
  <pageSetup paperSize="9" scale="91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3FFC-C85E-487F-AB87-D7CBAB8E5E69}">
  <dimension ref="A1:E47"/>
  <sheetViews>
    <sheetView view="pageBreakPreview" topLeftCell="A43" zoomScaleNormal="100" zoomScaleSheetLayoutView="100" workbookViewId="0">
      <selection activeCell="A48" sqref="A48:XFD49"/>
    </sheetView>
  </sheetViews>
  <sheetFormatPr defaultRowHeight="14.4" x14ac:dyDescent="0.3"/>
  <cols>
    <col min="1" max="1" width="32.33203125" customWidth="1"/>
    <col min="2" max="2" width="21.5546875" bestFit="1" customWidth="1"/>
    <col min="3" max="3" width="16" bestFit="1" customWidth="1"/>
    <col min="4" max="4" width="31" bestFit="1" customWidth="1"/>
    <col min="5" max="5" width="19.33203125" bestFit="1" customWidth="1"/>
  </cols>
  <sheetData>
    <row r="1" spans="1:5" ht="21" x14ac:dyDescent="0.4">
      <c r="A1" s="62" t="s">
        <v>44</v>
      </c>
      <c r="B1" s="63"/>
      <c r="C1" s="63"/>
      <c r="D1" s="63"/>
      <c r="E1" s="64"/>
    </row>
    <row r="2" spans="1:5" x14ac:dyDescent="0.3">
      <c r="A2" s="65"/>
      <c r="B2" s="66"/>
      <c r="C2" s="66"/>
      <c r="D2" s="66"/>
      <c r="E2" s="67"/>
    </row>
    <row r="3" spans="1:5" ht="15.6" x14ac:dyDescent="0.3">
      <c r="A3" s="46" t="s">
        <v>0</v>
      </c>
      <c r="B3" s="1" t="s">
        <v>1</v>
      </c>
      <c r="C3" s="1" t="s">
        <v>2</v>
      </c>
      <c r="D3" s="1" t="s">
        <v>3</v>
      </c>
      <c r="E3" s="47"/>
    </row>
    <row r="4" spans="1:5" ht="15.6" x14ac:dyDescent="0.3">
      <c r="A4" s="48" t="s">
        <v>4</v>
      </c>
      <c r="B4" s="12" t="s">
        <v>8</v>
      </c>
      <c r="C4" s="40">
        <v>0</v>
      </c>
      <c r="D4" s="6"/>
      <c r="E4" s="49"/>
    </row>
    <row r="5" spans="1:5" ht="15.6" x14ac:dyDescent="0.3">
      <c r="A5" s="48" t="s">
        <v>4</v>
      </c>
      <c r="B5" s="12" t="s">
        <v>9</v>
      </c>
      <c r="C5" s="40">
        <v>13918.8</v>
      </c>
      <c r="D5" s="6" t="s">
        <v>122</v>
      </c>
      <c r="E5" s="49"/>
    </row>
    <row r="6" spans="1:5" ht="15.6" x14ac:dyDescent="0.3">
      <c r="A6" s="48" t="s">
        <v>4</v>
      </c>
      <c r="B6" s="12" t="s">
        <v>10</v>
      </c>
      <c r="C6" s="40">
        <v>8445.6</v>
      </c>
      <c r="D6" s="6">
        <v>145250</v>
      </c>
      <c r="E6" s="49"/>
    </row>
    <row r="7" spans="1:5" ht="15.6" x14ac:dyDescent="0.3">
      <c r="A7" s="48" t="s">
        <v>4</v>
      </c>
      <c r="B7" s="12" t="s">
        <v>11</v>
      </c>
      <c r="C7" s="41">
        <v>9652.84</v>
      </c>
      <c r="D7" s="6" t="s">
        <v>45</v>
      </c>
      <c r="E7" s="49"/>
    </row>
    <row r="8" spans="1:5" ht="15.6" x14ac:dyDescent="0.3">
      <c r="A8" s="48" t="s">
        <v>4</v>
      </c>
      <c r="B8" s="12" t="s">
        <v>12</v>
      </c>
      <c r="C8" s="41">
        <v>6745.34</v>
      </c>
      <c r="D8" s="6" t="s">
        <v>46</v>
      </c>
      <c r="E8" s="49"/>
    </row>
    <row r="9" spans="1:5" ht="15.6" x14ac:dyDescent="0.3">
      <c r="A9" s="48" t="s">
        <v>4</v>
      </c>
      <c r="B9" s="12" t="s">
        <v>13</v>
      </c>
      <c r="C9" s="40">
        <v>7315</v>
      </c>
      <c r="D9" s="6">
        <v>139665</v>
      </c>
      <c r="E9" s="50"/>
    </row>
    <row r="10" spans="1:5" ht="15.6" x14ac:dyDescent="0.3">
      <c r="A10" s="48" t="s">
        <v>4</v>
      </c>
      <c r="B10" s="12" t="s">
        <v>7</v>
      </c>
      <c r="C10" s="41">
        <v>0</v>
      </c>
      <c r="D10" s="6"/>
      <c r="E10" s="50"/>
    </row>
    <row r="11" spans="1:5" ht="15.6" x14ac:dyDescent="0.3">
      <c r="A11" s="48" t="s">
        <v>4</v>
      </c>
      <c r="B11" s="12" t="s">
        <v>40</v>
      </c>
      <c r="C11" s="41">
        <v>25111.919999999998</v>
      </c>
      <c r="D11" s="6" t="s">
        <v>46</v>
      </c>
      <c r="E11" s="51"/>
    </row>
    <row r="12" spans="1:5" ht="15.6" x14ac:dyDescent="0.3">
      <c r="A12" s="48" t="s">
        <v>4</v>
      </c>
      <c r="B12" s="12" t="s">
        <v>14</v>
      </c>
      <c r="C12" s="41">
        <v>1328.08</v>
      </c>
      <c r="D12" s="6" t="s">
        <v>45</v>
      </c>
      <c r="E12" s="49"/>
    </row>
    <row r="13" spans="1:5" ht="15.6" x14ac:dyDescent="0.3">
      <c r="A13" s="48" t="s">
        <v>41</v>
      </c>
      <c r="B13" s="12" t="s">
        <v>15</v>
      </c>
      <c r="C13" s="41">
        <v>0</v>
      </c>
      <c r="D13" s="41"/>
      <c r="E13" s="49"/>
    </row>
    <row r="14" spans="1:5" ht="15.6" x14ac:dyDescent="0.3">
      <c r="A14" s="48" t="s">
        <v>4</v>
      </c>
      <c r="B14" s="12" t="s">
        <v>16</v>
      </c>
      <c r="C14" s="41">
        <v>8164.8</v>
      </c>
      <c r="D14" s="6" t="s">
        <v>45</v>
      </c>
      <c r="E14" s="49"/>
    </row>
    <row r="15" spans="1:5" ht="15.6" x14ac:dyDescent="0.3">
      <c r="A15" s="48" t="s">
        <v>4</v>
      </c>
      <c r="B15" s="12" t="s">
        <v>17</v>
      </c>
      <c r="C15" s="41">
        <v>10000</v>
      </c>
      <c r="D15" s="6" t="s">
        <v>46</v>
      </c>
      <c r="E15" s="49"/>
    </row>
    <row r="16" spans="1:5" ht="15.6" x14ac:dyDescent="0.3">
      <c r="A16" s="48" t="s">
        <v>4</v>
      </c>
      <c r="B16" s="12" t="s">
        <v>18</v>
      </c>
      <c r="C16" s="41">
        <v>10584.39</v>
      </c>
      <c r="D16" s="6" t="s">
        <v>45</v>
      </c>
      <c r="E16" s="49"/>
    </row>
    <row r="17" spans="1:5" ht="15.6" x14ac:dyDescent="0.3">
      <c r="A17" s="48" t="s">
        <v>4</v>
      </c>
      <c r="B17" s="12" t="s">
        <v>19</v>
      </c>
      <c r="C17" s="40">
        <v>12877.12</v>
      </c>
      <c r="D17" s="6" t="s">
        <v>45</v>
      </c>
      <c r="E17" s="49"/>
    </row>
    <row r="18" spans="1:5" ht="15.6" x14ac:dyDescent="0.3">
      <c r="A18" s="48" t="s">
        <v>4</v>
      </c>
      <c r="B18" s="12" t="s">
        <v>20</v>
      </c>
      <c r="C18" s="40">
        <v>7410.99</v>
      </c>
      <c r="D18" s="6" t="s">
        <v>45</v>
      </c>
      <c r="E18" s="49"/>
    </row>
    <row r="19" spans="1:5" ht="15.6" x14ac:dyDescent="0.3">
      <c r="A19" s="48" t="s">
        <v>41</v>
      </c>
      <c r="B19" s="12" t="s">
        <v>54</v>
      </c>
      <c r="C19" s="41">
        <v>26647.79</v>
      </c>
      <c r="D19" s="6" t="s">
        <v>45</v>
      </c>
      <c r="E19" s="49"/>
    </row>
    <row r="20" spans="1:5" ht="15.6" x14ac:dyDescent="0.3">
      <c r="A20" s="48" t="s">
        <v>4</v>
      </c>
      <c r="B20" s="12" t="s">
        <v>21</v>
      </c>
      <c r="C20" s="42">
        <v>4824.34</v>
      </c>
      <c r="D20" s="6" t="s">
        <v>45</v>
      </c>
      <c r="E20" s="51"/>
    </row>
    <row r="21" spans="1:5" ht="15.6" x14ac:dyDescent="0.3">
      <c r="A21" s="48" t="s">
        <v>4</v>
      </c>
      <c r="B21" s="12" t="s">
        <v>22</v>
      </c>
      <c r="C21" s="42">
        <v>8652.3799999999992</v>
      </c>
      <c r="D21" s="6"/>
      <c r="E21" s="49"/>
    </row>
    <row r="22" spans="1:5" ht="15.6" x14ac:dyDescent="0.3">
      <c r="A22" s="48" t="s">
        <v>4</v>
      </c>
      <c r="B22" s="12" t="s">
        <v>98</v>
      </c>
      <c r="C22" s="42">
        <v>0</v>
      </c>
      <c r="D22" s="6"/>
      <c r="E22" s="49"/>
    </row>
    <row r="23" spans="1:5" ht="15.6" x14ac:dyDescent="0.3">
      <c r="A23" s="48" t="s">
        <v>41</v>
      </c>
      <c r="B23" s="12" t="s">
        <v>23</v>
      </c>
      <c r="C23" s="42">
        <v>3575.87</v>
      </c>
      <c r="D23" s="6" t="s">
        <v>45</v>
      </c>
      <c r="E23" s="49"/>
    </row>
    <row r="24" spans="1:5" ht="15.6" x14ac:dyDescent="0.3">
      <c r="A24" s="48" t="s">
        <v>41</v>
      </c>
      <c r="B24" s="12" t="s">
        <v>24</v>
      </c>
      <c r="C24" s="40">
        <v>12030.26</v>
      </c>
      <c r="D24" s="6" t="s">
        <v>45</v>
      </c>
      <c r="E24" s="49"/>
    </row>
    <row r="25" spans="1:5" ht="15.6" x14ac:dyDescent="0.3">
      <c r="A25" s="48" t="s">
        <v>4</v>
      </c>
      <c r="B25" s="12" t="s">
        <v>25</v>
      </c>
      <c r="C25" s="40">
        <v>0</v>
      </c>
      <c r="D25" s="6"/>
      <c r="E25" s="49"/>
    </row>
    <row r="26" spans="1:5" ht="15.6" x14ac:dyDescent="0.3">
      <c r="A26" s="48" t="s">
        <v>4</v>
      </c>
      <c r="B26" s="12" t="s">
        <v>42</v>
      </c>
      <c r="C26" s="40">
        <v>0</v>
      </c>
      <c r="D26" s="6"/>
      <c r="E26" s="49"/>
    </row>
    <row r="27" spans="1:5" ht="15.6" x14ac:dyDescent="0.3">
      <c r="A27" s="48" t="s">
        <v>4</v>
      </c>
      <c r="B27" s="12" t="s">
        <v>26</v>
      </c>
      <c r="C27" s="42">
        <v>6910.82</v>
      </c>
      <c r="D27" s="6" t="s">
        <v>45</v>
      </c>
      <c r="E27" s="49"/>
    </row>
    <row r="28" spans="1:5" ht="15.6" x14ac:dyDescent="0.3">
      <c r="A28" s="52" t="s">
        <v>68</v>
      </c>
      <c r="B28" s="20" t="s">
        <v>27</v>
      </c>
      <c r="C28" s="45">
        <v>17606.39</v>
      </c>
      <c r="D28" s="19" t="s">
        <v>110</v>
      </c>
      <c r="E28" s="53" t="s">
        <v>127</v>
      </c>
    </row>
    <row r="29" spans="1:5" ht="15.6" x14ac:dyDescent="0.3">
      <c r="A29" s="48" t="s">
        <v>41</v>
      </c>
      <c r="B29" s="12" t="s">
        <v>70</v>
      </c>
      <c r="C29" s="40">
        <v>0</v>
      </c>
      <c r="D29" s="6"/>
      <c r="E29" s="49"/>
    </row>
    <row r="30" spans="1:5" ht="15.6" x14ac:dyDescent="0.3">
      <c r="A30" s="48" t="s">
        <v>99</v>
      </c>
      <c r="B30" s="12" t="s">
        <v>100</v>
      </c>
      <c r="C30" s="40">
        <v>0</v>
      </c>
      <c r="D30" s="6"/>
      <c r="E30" s="49"/>
    </row>
    <row r="31" spans="1:5" ht="15.6" x14ac:dyDescent="0.3">
      <c r="A31" s="48" t="s">
        <v>4</v>
      </c>
      <c r="B31" s="12" t="s">
        <v>29</v>
      </c>
      <c r="C31" s="40">
        <v>6955</v>
      </c>
      <c r="D31" s="6">
        <v>10813</v>
      </c>
      <c r="E31" s="50"/>
    </row>
    <row r="32" spans="1:5" ht="15.6" x14ac:dyDescent="0.3">
      <c r="A32" s="48" t="s">
        <v>4</v>
      </c>
      <c r="B32" s="12" t="s">
        <v>30</v>
      </c>
      <c r="C32" s="40">
        <v>3149.47</v>
      </c>
      <c r="D32" s="6" t="s">
        <v>45</v>
      </c>
      <c r="E32" s="49"/>
    </row>
    <row r="33" spans="1:5" ht="15.6" x14ac:dyDescent="0.3">
      <c r="A33" s="48" t="s">
        <v>4</v>
      </c>
      <c r="B33" s="12" t="s">
        <v>31</v>
      </c>
      <c r="C33" s="40">
        <v>0</v>
      </c>
      <c r="D33" s="6"/>
      <c r="E33" s="50"/>
    </row>
    <row r="34" spans="1:5" ht="15.6" x14ac:dyDescent="0.3">
      <c r="A34" s="48" t="s">
        <v>41</v>
      </c>
      <c r="B34" s="12" t="s">
        <v>32</v>
      </c>
      <c r="C34" s="40">
        <v>27151.49</v>
      </c>
      <c r="D34" s="6" t="s">
        <v>45</v>
      </c>
      <c r="E34" s="49"/>
    </row>
    <row r="35" spans="1:5" ht="15.6" x14ac:dyDescent="0.3">
      <c r="A35" s="48" t="s">
        <v>4</v>
      </c>
      <c r="B35" s="12" t="s">
        <v>33</v>
      </c>
      <c r="C35" s="40">
        <v>2141.38</v>
      </c>
      <c r="D35" s="6" t="s">
        <v>45</v>
      </c>
      <c r="E35" s="49"/>
    </row>
    <row r="36" spans="1:5" ht="15.6" x14ac:dyDescent="0.3">
      <c r="A36" s="48" t="s">
        <v>41</v>
      </c>
      <c r="B36" s="12" t="s">
        <v>43</v>
      </c>
      <c r="C36" s="40">
        <v>9554.9599999999991</v>
      </c>
      <c r="D36" s="6" t="s">
        <v>118</v>
      </c>
      <c r="E36" s="49"/>
    </row>
    <row r="37" spans="1:5" ht="15.6" x14ac:dyDescent="0.3">
      <c r="A37" s="48" t="s">
        <v>4</v>
      </c>
      <c r="B37" s="12" t="s">
        <v>34</v>
      </c>
      <c r="C37" s="40">
        <v>3137.06</v>
      </c>
      <c r="D37" s="6" t="s">
        <v>45</v>
      </c>
      <c r="E37" s="49"/>
    </row>
    <row r="38" spans="1:5" ht="15.6" x14ac:dyDescent="0.3">
      <c r="A38" s="48" t="s">
        <v>4</v>
      </c>
      <c r="B38" s="12" t="s">
        <v>35</v>
      </c>
      <c r="C38" s="40">
        <v>8127.92</v>
      </c>
      <c r="D38" s="6" t="s">
        <v>45</v>
      </c>
      <c r="E38" s="49"/>
    </row>
    <row r="39" spans="1:5" ht="15.6" x14ac:dyDescent="0.3">
      <c r="A39" s="48" t="s">
        <v>4</v>
      </c>
      <c r="B39" s="12" t="s">
        <v>36</v>
      </c>
      <c r="C39" s="40">
        <v>13139.45</v>
      </c>
      <c r="D39" s="6" t="s">
        <v>46</v>
      </c>
      <c r="E39" s="49"/>
    </row>
    <row r="40" spans="1:5" ht="15.6" x14ac:dyDescent="0.3">
      <c r="A40" s="52" t="s">
        <v>120</v>
      </c>
      <c r="B40" s="20" t="s">
        <v>37</v>
      </c>
      <c r="C40" s="43">
        <v>90594.98</v>
      </c>
      <c r="D40" s="19" t="s">
        <v>123</v>
      </c>
      <c r="E40" s="53" t="s">
        <v>125</v>
      </c>
    </row>
    <row r="41" spans="1:5" ht="15.6" x14ac:dyDescent="0.3">
      <c r="A41" s="48" t="s">
        <v>4</v>
      </c>
      <c r="B41" s="12" t="s">
        <v>88</v>
      </c>
      <c r="C41" s="40">
        <v>6000</v>
      </c>
      <c r="D41" s="6" t="s">
        <v>45</v>
      </c>
      <c r="E41" s="49"/>
    </row>
    <row r="42" spans="1:5" ht="15.6" x14ac:dyDescent="0.3">
      <c r="A42" s="52" t="s">
        <v>121</v>
      </c>
      <c r="B42" s="20" t="s">
        <v>38</v>
      </c>
      <c r="C42" s="43">
        <v>13224.27</v>
      </c>
      <c r="D42" s="19" t="s">
        <v>93</v>
      </c>
      <c r="E42" s="53" t="s">
        <v>126</v>
      </c>
    </row>
    <row r="43" spans="1:5" ht="15.6" x14ac:dyDescent="0.3">
      <c r="A43" s="54" t="s">
        <v>51</v>
      </c>
      <c r="B43" s="6" t="s">
        <v>119</v>
      </c>
      <c r="C43" s="40">
        <v>1409</v>
      </c>
      <c r="D43" s="6">
        <v>84682</v>
      </c>
      <c r="E43" s="49"/>
    </row>
    <row r="44" spans="1:5" ht="15.6" x14ac:dyDescent="0.3">
      <c r="A44" s="68" t="s">
        <v>117</v>
      </c>
      <c r="B44" s="69"/>
      <c r="C44" s="69"/>
      <c r="D44" s="69"/>
      <c r="E44" s="70"/>
    </row>
    <row r="45" spans="1:5" ht="15.6" x14ac:dyDescent="0.3">
      <c r="A45" s="55"/>
      <c r="B45" s="44"/>
      <c r="C45" s="44"/>
      <c r="D45" s="44"/>
      <c r="E45" s="56"/>
    </row>
    <row r="46" spans="1:5" ht="15.6" x14ac:dyDescent="0.3">
      <c r="A46" s="71" t="s">
        <v>124</v>
      </c>
      <c r="B46" s="72"/>
      <c r="C46" s="72"/>
      <c r="D46" s="72"/>
      <c r="E46" s="73"/>
    </row>
    <row r="47" spans="1:5" ht="15.6" x14ac:dyDescent="0.3">
      <c r="A47" s="60" t="s">
        <v>5</v>
      </c>
      <c r="B47" s="61"/>
      <c r="C47" s="74">
        <f>SUM(C4:C43)</f>
        <v>386387.71</v>
      </c>
      <c r="D47" s="74"/>
      <c r="E47" s="57"/>
    </row>
  </sheetData>
  <mergeCells count="6">
    <mergeCell ref="A1:E1"/>
    <mergeCell ref="A2:E2"/>
    <mergeCell ref="A44:E44"/>
    <mergeCell ref="A46:E46"/>
    <mergeCell ref="A47:B47"/>
    <mergeCell ref="C47:D47"/>
  </mergeCells>
  <pageMargins left="0.511811024" right="0.511811024" top="0.78740157499999996" bottom="0.78740157499999996" header="0.31496062000000002" footer="0.31496062000000002"/>
  <pageSetup paperSize="9" scale="78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F4D7-AEED-4C7D-839D-D192DC5531FC}">
  <dimension ref="A1:F47"/>
  <sheetViews>
    <sheetView view="pageBreakPreview" topLeftCell="A31" zoomScaleNormal="100" zoomScaleSheetLayoutView="100" workbookViewId="0">
      <selection activeCell="A48" sqref="A48:XFD49"/>
    </sheetView>
  </sheetViews>
  <sheetFormatPr defaultRowHeight="14.4" x14ac:dyDescent="0.3"/>
  <cols>
    <col min="1" max="1" width="21.44140625" customWidth="1"/>
    <col min="2" max="2" width="21.5546875" bestFit="1" customWidth="1"/>
    <col min="3" max="3" width="17.33203125" bestFit="1" customWidth="1"/>
    <col min="4" max="4" width="41.88671875" bestFit="1" customWidth="1"/>
    <col min="5" max="5" width="21.6640625" customWidth="1"/>
    <col min="6" max="6" width="8.88671875" hidden="1" customWidth="1"/>
  </cols>
  <sheetData>
    <row r="1" spans="1:5" ht="21" x14ac:dyDescent="0.4">
      <c r="A1" s="62" t="s">
        <v>44</v>
      </c>
      <c r="B1" s="63"/>
      <c r="C1" s="63"/>
      <c r="D1" s="63"/>
      <c r="E1" s="64"/>
    </row>
    <row r="2" spans="1:5" x14ac:dyDescent="0.3">
      <c r="A2" s="65"/>
      <c r="B2" s="66"/>
      <c r="C2" s="66"/>
      <c r="D2" s="66"/>
      <c r="E2" s="67"/>
    </row>
    <row r="3" spans="1:5" ht="15.6" x14ac:dyDescent="0.3">
      <c r="A3" s="46" t="s">
        <v>0</v>
      </c>
      <c r="B3" s="1" t="s">
        <v>1</v>
      </c>
      <c r="C3" s="1" t="s">
        <v>2</v>
      </c>
      <c r="D3" s="1" t="s">
        <v>3</v>
      </c>
      <c r="E3" s="47"/>
    </row>
    <row r="4" spans="1:5" ht="15.6" x14ac:dyDescent="0.3">
      <c r="A4" s="48" t="s">
        <v>4</v>
      </c>
      <c r="B4" s="12" t="s">
        <v>8</v>
      </c>
      <c r="C4" s="40">
        <v>0</v>
      </c>
      <c r="D4" s="6"/>
      <c r="E4" s="49"/>
    </row>
    <row r="5" spans="1:5" ht="15.6" x14ac:dyDescent="0.3">
      <c r="A5" s="48" t="s">
        <v>4</v>
      </c>
      <c r="B5" s="12" t="s">
        <v>9</v>
      </c>
      <c r="C5" s="40">
        <v>0</v>
      </c>
      <c r="D5" s="6"/>
      <c r="E5" s="49"/>
    </row>
    <row r="6" spans="1:5" ht="15.6" x14ac:dyDescent="0.3">
      <c r="A6" s="48" t="s">
        <v>4</v>
      </c>
      <c r="B6" s="12" t="s">
        <v>10</v>
      </c>
      <c r="C6" s="40">
        <v>5875.2</v>
      </c>
      <c r="D6" s="6">
        <v>145605</v>
      </c>
      <c r="E6" s="49"/>
    </row>
    <row r="7" spans="1:5" ht="15.6" x14ac:dyDescent="0.3">
      <c r="A7" s="48" t="s">
        <v>4</v>
      </c>
      <c r="B7" s="12" t="s">
        <v>11</v>
      </c>
      <c r="C7" s="41">
        <v>16958.87</v>
      </c>
      <c r="D7" s="6" t="s">
        <v>45</v>
      </c>
      <c r="E7" s="49"/>
    </row>
    <row r="8" spans="1:5" ht="15.6" x14ac:dyDescent="0.3">
      <c r="A8" s="48" t="s">
        <v>4</v>
      </c>
      <c r="B8" s="12" t="s">
        <v>12</v>
      </c>
      <c r="C8" s="41">
        <v>6745.73</v>
      </c>
      <c r="D8" s="6" t="s">
        <v>45</v>
      </c>
      <c r="E8" s="49"/>
    </row>
    <row r="9" spans="1:5" ht="15.6" x14ac:dyDescent="0.3">
      <c r="A9" s="48" t="s">
        <v>4</v>
      </c>
      <c r="B9" s="12" t="s">
        <v>13</v>
      </c>
      <c r="C9" s="40">
        <v>6384</v>
      </c>
      <c r="D9" s="6">
        <v>141138</v>
      </c>
      <c r="E9" s="50"/>
    </row>
    <row r="10" spans="1:5" ht="15.6" x14ac:dyDescent="0.3">
      <c r="A10" s="48" t="s">
        <v>4</v>
      </c>
      <c r="B10" s="12" t="s">
        <v>7</v>
      </c>
      <c r="C10" s="41">
        <v>40433.050000000003</v>
      </c>
      <c r="D10" s="6" t="s">
        <v>46</v>
      </c>
      <c r="E10" s="50"/>
    </row>
    <row r="11" spans="1:5" ht="15.6" x14ac:dyDescent="0.3">
      <c r="A11" s="48" t="s">
        <v>4</v>
      </c>
      <c r="B11" s="12" t="s">
        <v>40</v>
      </c>
      <c r="C11" s="41">
        <v>0</v>
      </c>
      <c r="D11" s="6"/>
      <c r="E11" s="51"/>
    </row>
    <row r="12" spans="1:5" ht="15.6" x14ac:dyDescent="0.3">
      <c r="A12" s="48" t="s">
        <v>4</v>
      </c>
      <c r="B12" s="12" t="s">
        <v>14</v>
      </c>
      <c r="C12" s="41">
        <v>1202.6099999999999</v>
      </c>
      <c r="D12" s="6" t="s">
        <v>45</v>
      </c>
      <c r="E12" s="49"/>
    </row>
    <row r="13" spans="1:5" ht="15.6" x14ac:dyDescent="0.3">
      <c r="A13" s="52" t="s">
        <v>136</v>
      </c>
      <c r="B13" s="20" t="s">
        <v>15</v>
      </c>
      <c r="C13" s="59">
        <v>15374.39</v>
      </c>
      <c r="D13" s="59" t="s">
        <v>46</v>
      </c>
      <c r="E13" s="53" t="s">
        <v>137</v>
      </c>
    </row>
    <row r="14" spans="1:5" ht="15.6" x14ac:dyDescent="0.3">
      <c r="A14" s="48" t="s">
        <v>4</v>
      </c>
      <c r="B14" s="12" t="s">
        <v>16</v>
      </c>
      <c r="C14" s="41">
        <v>11213.92</v>
      </c>
      <c r="D14" s="6" t="s">
        <v>45</v>
      </c>
      <c r="E14" s="49"/>
    </row>
    <row r="15" spans="1:5" ht="15.6" x14ac:dyDescent="0.3">
      <c r="A15" s="48" t="s">
        <v>4</v>
      </c>
      <c r="B15" s="12" t="s">
        <v>17</v>
      </c>
      <c r="C15" s="41">
        <v>10000</v>
      </c>
      <c r="D15" s="6" t="s">
        <v>46</v>
      </c>
      <c r="E15" s="49"/>
    </row>
    <row r="16" spans="1:5" ht="15.6" x14ac:dyDescent="0.3">
      <c r="A16" s="48" t="s">
        <v>4</v>
      </c>
      <c r="B16" s="12" t="s">
        <v>18</v>
      </c>
      <c r="C16" s="41">
        <v>12331.97</v>
      </c>
      <c r="D16" s="6" t="s">
        <v>45</v>
      </c>
      <c r="E16" s="49"/>
    </row>
    <row r="17" spans="1:5" ht="15.6" x14ac:dyDescent="0.3">
      <c r="A17" s="48" t="s">
        <v>4</v>
      </c>
      <c r="B17" s="12" t="s">
        <v>19</v>
      </c>
      <c r="C17" s="40">
        <v>15319.27</v>
      </c>
      <c r="D17" s="6" t="s">
        <v>45</v>
      </c>
      <c r="E17" s="49"/>
    </row>
    <row r="18" spans="1:5" ht="15.6" x14ac:dyDescent="0.3">
      <c r="A18" s="48" t="s">
        <v>4</v>
      </c>
      <c r="B18" s="12" t="s">
        <v>20</v>
      </c>
      <c r="C18" s="40">
        <v>8203.2199999999993</v>
      </c>
      <c r="D18" s="6" t="s">
        <v>45</v>
      </c>
      <c r="E18" s="49"/>
    </row>
    <row r="19" spans="1:5" ht="15.6" x14ac:dyDescent="0.3">
      <c r="A19" s="48" t="s">
        <v>41</v>
      </c>
      <c r="B19" s="12" t="s">
        <v>54</v>
      </c>
      <c r="C19" s="41">
        <v>30981.599999999999</v>
      </c>
      <c r="D19" s="6" t="s">
        <v>45</v>
      </c>
      <c r="E19" s="49"/>
    </row>
    <row r="20" spans="1:5" ht="15.6" x14ac:dyDescent="0.3">
      <c r="A20" s="48" t="s">
        <v>4</v>
      </c>
      <c r="B20" s="12" t="s">
        <v>21</v>
      </c>
      <c r="C20" s="42">
        <v>9415.01</v>
      </c>
      <c r="D20" s="6" t="s">
        <v>45</v>
      </c>
      <c r="E20" s="51"/>
    </row>
    <row r="21" spans="1:5" ht="15.6" x14ac:dyDescent="0.3">
      <c r="A21" s="48" t="s">
        <v>4</v>
      </c>
      <c r="B21" s="12" t="s">
        <v>22</v>
      </c>
      <c r="C21" s="42">
        <v>13888.03</v>
      </c>
      <c r="D21" s="6" t="s">
        <v>45</v>
      </c>
      <c r="E21" s="49"/>
    </row>
    <row r="22" spans="1:5" ht="15.6" x14ac:dyDescent="0.3">
      <c r="A22" s="48" t="s">
        <v>4</v>
      </c>
      <c r="B22" s="12" t="s">
        <v>98</v>
      </c>
      <c r="C22" s="42">
        <v>13987.95</v>
      </c>
      <c r="D22" s="6" t="s">
        <v>134</v>
      </c>
      <c r="E22" s="49"/>
    </row>
    <row r="23" spans="1:5" ht="15.6" x14ac:dyDescent="0.3">
      <c r="A23" s="48" t="s">
        <v>41</v>
      </c>
      <c r="B23" s="12" t="s">
        <v>23</v>
      </c>
      <c r="C23" s="58">
        <v>12348.77</v>
      </c>
      <c r="D23" s="6" t="s">
        <v>45</v>
      </c>
      <c r="E23" s="49"/>
    </row>
    <row r="24" spans="1:5" ht="15.6" x14ac:dyDescent="0.3">
      <c r="A24" s="48" t="s">
        <v>41</v>
      </c>
      <c r="B24" s="12" t="s">
        <v>24</v>
      </c>
      <c r="C24" s="42">
        <v>14088.85</v>
      </c>
      <c r="D24" s="6" t="s">
        <v>45</v>
      </c>
      <c r="E24" s="49"/>
    </row>
    <row r="25" spans="1:5" ht="15.6" x14ac:dyDescent="0.3">
      <c r="A25" s="48" t="s">
        <v>4</v>
      </c>
      <c r="B25" s="12" t="s">
        <v>25</v>
      </c>
      <c r="C25" s="40">
        <v>9987.25</v>
      </c>
      <c r="D25" s="6" t="s">
        <v>46</v>
      </c>
      <c r="E25" s="49"/>
    </row>
    <row r="26" spans="1:5" ht="15.6" x14ac:dyDescent="0.3">
      <c r="A26" s="48" t="s">
        <v>4</v>
      </c>
      <c r="B26" s="12" t="s">
        <v>42</v>
      </c>
      <c r="C26" s="40">
        <v>0</v>
      </c>
      <c r="D26" s="6"/>
      <c r="E26" s="49"/>
    </row>
    <row r="27" spans="1:5" ht="15.6" x14ac:dyDescent="0.3">
      <c r="A27" s="48" t="s">
        <v>4</v>
      </c>
      <c r="B27" s="12" t="s">
        <v>26</v>
      </c>
      <c r="C27" s="42">
        <v>9277.43</v>
      </c>
      <c r="D27" s="6" t="s">
        <v>45</v>
      </c>
      <c r="E27" s="49"/>
    </row>
    <row r="28" spans="1:5" ht="15.6" x14ac:dyDescent="0.3">
      <c r="A28" s="48" t="s">
        <v>4</v>
      </c>
      <c r="B28" s="12" t="s">
        <v>27</v>
      </c>
      <c r="C28" s="42">
        <v>11391.87</v>
      </c>
      <c r="D28" s="6" t="s">
        <v>45</v>
      </c>
      <c r="E28" s="49"/>
    </row>
    <row r="29" spans="1:5" ht="15.6" x14ac:dyDescent="0.3">
      <c r="A29" s="48" t="s">
        <v>41</v>
      </c>
      <c r="B29" s="12" t="s">
        <v>70</v>
      </c>
      <c r="C29" s="40">
        <v>119103.96</v>
      </c>
      <c r="D29" s="6" t="s">
        <v>135</v>
      </c>
      <c r="E29" s="49"/>
    </row>
    <row r="30" spans="1:5" ht="15.6" x14ac:dyDescent="0.3">
      <c r="A30" s="48" t="s">
        <v>99</v>
      </c>
      <c r="B30" s="12" t="s">
        <v>100</v>
      </c>
      <c r="C30" s="40">
        <v>7947.72</v>
      </c>
      <c r="D30" s="6" t="s">
        <v>46</v>
      </c>
      <c r="E30" s="49"/>
    </row>
    <row r="31" spans="1:5" ht="15.6" x14ac:dyDescent="0.3">
      <c r="A31" s="48" t="s">
        <v>4</v>
      </c>
      <c r="B31" s="12" t="s">
        <v>29</v>
      </c>
      <c r="C31" s="40">
        <v>10205</v>
      </c>
      <c r="D31" s="6">
        <v>32750</v>
      </c>
      <c r="E31" s="50"/>
    </row>
    <row r="32" spans="1:5" ht="15.6" x14ac:dyDescent="0.3">
      <c r="A32" s="48" t="s">
        <v>4</v>
      </c>
      <c r="B32" s="12" t="s">
        <v>30</v>
      </c>
      <c r="C32" s="40">
        <v>5692.91</v>
      </c>
      <c r="D32" s="6" t="s">
        <v>132</v>
      </c>
      <c r="E32" s="49"/>
    </row>
    <row r="33" spans="1:5" ht="15.6" x14ac:dyDescent="0.3">
      <c r="A33" s="48" t="s">
        <v>4</v>
      </c>
      <c r="B33" s="12" t="s">
        <v>31</v>
      </c>
      <c r="C33" s="40">
        <v>0</v>
      </c>
      <c r="D33" s="6"/>
      <c r="E33" s="50"/>
    </row>
    <row r="34" spans="1:5" ht="15.6" x14ac:dyDescent="0.3">
      <c r="A34" s="48" t="s">
        <v>41</v>
      </c>
      <c r="B34" s="12" t="s">
        <v>32</v>
      </c>
      <c r="C34" s="40">
        <v>25932.19</v>
      </c>
      <c r="D34" s="6" t="s">
        <v>45</v>
      </c>
      <c r="E34" s="49"/>
    </row>
    <row r="35" spans="1:5" ht="15.6" x14ac:dyDescent="0.3">
      <c r="A35" s="48" t="s">
        <v>4</v>
      </c>
      <c r="B35" s="12" t="s">
        <v>33</v>
      </c>
      <c r="C35" s="40">
        <v>2670.94</v>
      </c>
      <c r="D35" s="6" t="s">
        <v>45</v>
      </c>
      <c r="E35" s="49"/>
    </row>
    <row r="36" spans="1:5" ht="15.6" x14ac:dyDescent="0.3">
      <c r="A36" s="48" t="s">
        <v>41</v>
      </c>
      <c r="B36" s="12" t="s">
        <v>43</v>
      </c>
      <c r="C36" s="40">
        <v>15021.52</v>
      </c>
      <c r="D36" s="6" t="s">
        <v>131</v>
      </c>
      <c r="E36" s="49"/>
    </row>
    <row r="37" spans="1:5" ht="15.6" x14ac:dyDescent="0.3">
      <c r="A37" s="48" t="s">
        <v>4</v>
      </c>
      <c r="B37" s="12" t="s">
        <v>34</v>
      </c>
      <c r="C37" s="40">
        <v>4675.01</v>
      </c>
      <c r="D37" s="6" t="s">
        <v>45</v>
      </c>
      <c r="E37" s="49"/>
    </row>
    <row r="38" spans="1:5" ht="15.6" x14ac:dyDescent="0.3">
      <c r="A38" s="48" t="s">
        <v>4</v>
      </c>
      <c r="B38" s="12" t="s">
        <v>35</v>
      </c>
      <c r="C38" s="40">
        <v>14415.68</v>
      </c>
      <c r="D38" s="6" t="s">
        <v>45</v>
      </c>
      <c r="E38" s="49"/>
    </row>
    <row r="39" spans="1:5" ht="15.6" x14ac:dyDescent="0.3">
      <c r="A39" s="48" t="s">
        <v>4</v>
      </c>
      <c r="B39" s="12" t="s">
        <v>36</v>
      </c>
      <c r="C39" s="40">
        <v>16556.919999999998</v>
      </c>
      <c r="D39" s="6" t="s">
        <v>46</v>
      </c>
      <c r="E39" s="49"/>
    </row>
    <row r="40" spans="1:5" ht="15.6" x14ac:dyDescent="0.3">
      <c r="A40" s="52" t="s">
        <v>130</v>
      </c>
      <c r="B40" s="20" t="s">
        <v>37</v>
      </c>
      <c r="C40" s="43">
        <v>27230.95</v>
      </c>
      <c r="D40" s="19" t="s">
        <v>133</v>
      </c>
      <c r="E40" s="53">
        <v>6000</v>
      </c>
    </row>
    <row r="41" spans="1:5" ht="15.6" x14ac:dyDescent="0.3">
      <c r="A41" s="48" t="s">
        <v>4</v>
      </c>
      <c r="B41" s="12" t="s">
        <v>88</v>
      </c>
      <c r="C41" s="40">
        <v>18000</v>
      </c>
      <c r="D41" s="6" t="s">
        <v>45</v>
      </c>
      <c r="E41" s="49"/>
    </row>
    <row r="42" spans="1:5" ht="15.6" x14ac:dyDescent="0.3">
      <c r="A42" s="52" t="s">
        <v>130</v>
      </c>
      <c r="B42" s="20" t="s">
        <v>38</v>
      </c>
      <c r="C42" s="43">
        <v>21520.77</v>
      </c>
      <c r="D42" s="19" t="s">
        <v>45</v>
      </c>
      <c r="E42" s="53">
        <v>6000</v>
      </c>
    </row>
    <row r="43" spans="1:5" ht="15.6" x14ac:dyDescent="0.3">
      <c r="A43" s="48" t="s">
        <v>51</v>
      </c>
      <c r="B43" s="6" t="s">
        <v>129</v>
      </c>
      <c r="C43" s="40">
        <v>7500</v>
      </c>
      <c r="D43" s="6"/>
      <c r="E43" s="49"/>
    </row>
    <row r="44" spans="1:5" ht="15.6" x14ac:dyDescent="0.3">
      <c r="A44" s="68" t="s">
        <v>128</v>
      </c>
      <c r="B44" s="69"/>
      <c r="C44" s="69"/>
      <c r="D44" s="69"/>
      <c r="E44" s="70"/>
    </row>
    <row r="45" spans="1:5" ht="15.6" x14ac:dyDescent="0.3">
      <c r="A45" s="55"/>
      <c r="B45" s="44"/>
      <c r="C45" s="44"/>
      <c r="D45" s="44"/>
      <c r="E45" s="56"/>
    </row>
    <row r="46" spans="1:5" ht="15.6" x14ac:dyDescent="0.3">
      <c r="A46" s="71"/>
      <c r="B46" s="72"/>
      <c r="C46" s="72"/>
      <c r="D46" s="72"/>
      <c r="E46" s="73"/>
    </row>
    <row r="47" spans="1:5" ht="15.6" x14ac:dyDescent="0.3">
      <c r="A47" s="60" t="s">
        <v>5</v>
      </c>
      <c r="B47" s="61"/>
      <c r="C47" s="74">
        <f>SUM(C4:C43)</f>
        <v>571882.56000000006</v>
      </c>
      <c r="D47" s="74"/>
      <c r="E47" s="57"/>
    </row>
  </sheetData>
  <mergeCells count="6">
    <mergeCell ref="A1:E1"/>
    <mergeCell ref="A2:E2"/>
    <mergeCell ref="A44:E44"/>
    <mergeCell ref="A46:E46"/>
    <mergeCell ref="A47:B47"/>
    <mergeCell ref="C47:D47"/>
  </mergeCells>
  <pageMargins left="0.511811024" right="0.511811024" top="0.78740157499999996" bottom="0.78740157499999996" header="0.31496062000000002" footer="0.31496062000000002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JANEIRO!Area_de_impressao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PMG.</dc:creator>
  <cp:lastModifiedBy>Marketing PMG.</cp:lastModifiedBy>
  <cp:lastPrinted>2025-01-08T20:15:14Z</cp:lastPrinted>
  <dcterms:created xsi:type="dcterms:W3CDTF">2023-02-02T17:52:10Z</dcterms:created>
  <dcterms:modified xsi:type="dcterms:W3CDTF">2026-08-18T16:58:33Z</dcterms:modified>
</cp:coreProperties>
</file>