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xr:revisionPtr revIDLastSave="0" documentId="13_ncr:1_{F3EA5075-98A1-4FA9-9BB6-52AEFFC54E67}" xr6:coauthVersionLast="47" xr6:coauthVersionMax="47" xr10:uidLastSave="{00000000-0000-0000-0000-000000000000}"/>
  <bookViews>
    <workbookView xWindow="-108" yWindow="-108" windowWidth="23256" windowHeight="12576" activeTab="6" xr2:uid="{7A7A2650-2E49-43FD-B67B-3B0CDB9F9F70}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</sheets>
  <definedNames>
    <definedName name="_xlnm.Print_Area" localSheetId="2">MARÇO!$A$1:$E$53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7" l="1"/>
  <c r="C52" i="6"/>
  <c r="C53" i="5"/>
  <c r="C53" i="4"/>
  <c r="C53" i="3"/>
  <c r="C52" i="2"/>
  <c r="C51" i="1"/>
</calcChain>
</file>

<file path=xl/sharedStrings.xml><?xml version="1.0" encoding="utf-8"?>
<sst xmlns="http://schemas.openxmlformats.org/spreadsheetml/2006/main" count="889" uniqueCount="107">
  <si>
    <t>CAMPANHA</t>
  </si>
  <si>
    <t>FORNECEDOR</t>
  </si>
  <si>
    <t>VERBA</t>
  </si>
  <si>
    <t>NF</t>
  </si>
  <si>
    <t>VALOR</t>
  </si>
  <si>
    <t>AJINOMOTO</t>
  </si>
  <si>
    <t>DEPOSITO</t>
  </si>
  <si>
    <t>ALFAMA</t>
  </si>
  <si>
    <t>COTA</t>
  </si>
  <si>
    <t>ALIBRA</t>
  </si>
  <si>
    <t>ANACONDA</t>
  </si>
  <si>
    <t xml:space="preserve">AURORA </t>
  </si>
  <si>
    <t>DESCONTO</t>
  </si>
  <si>
    <t>BEM BRASIL</t>
  </si>
  <si>
    <t>BUNGE</t>
  </si>
  <si>
    <t>BUQUÊ</t>
  </si>
  <si>
    <t>CAMIL</t>
  </si>
  <si>
    <t>CANÇÃO</t>
  </si>
  <si>
    <t>CARGILL</t>
  </si>
  <si>
    <t>CEPÊRA</t>
  </si>
  <si>
    <t xml:space="preserve">CERATTI </t>
  </si>
  <si>
    <t>CLARA MILK</t>
  </si>
  <si>
    <t>COAMO</t>
  </si>
  <si>
    <t>CORONATA</t>
  </si>
  <si>
    <t>EKMA</t>
  </si>
  <si>
    <t>FRIMESA</t>
  </si>
  <si>
    <t>GOMES DA COSTA</t>
  </si>
  <si>
    <t>HARALD</t>
  </si>
  <si>
    <t xml:space="preserve">HEINZ </t>
  </si>
  <si>
    <t>ITALAC</t>
  </si>
  <si>
    <t>J. MACÊDO</t>
  </si>
  <si>
    <t>LAMB WESTON</t>
  </si>
  <si>
    <t>MCCAIN</t>
  </si>
  <si>
    <t>MIRELLA</t>
  </si>
  <si>
    <t>MISTER BEEF</t>
  </si>
  <si>
    <t>POLENGHI</t>
  </si>
  <si>
    <t>PQ ALIMENTOS</t>
  </si>
  <si>
    <t>PRIETO</t>
  </si>
  <si>
    <t>ROSA BRANCA</t>
  </si>
  <si>
    <t>TIROLEZ</t>
  </si>
  <si>
    <t>VENTURELLI</t>
  </si>
  <si>
    <t>YEMA</t>
  </si>
  <si>
    <t>TOTAL</t>
  </si>
  <si>
    <t>PLANILHA DE PAGAMENTO 2026</t>
  </si>
  <si>
    <t>DOCEIRO</t>
  </si>
  <si>
    <t xml:space="preserve">GRANO </t>
  </si>
  <si>
    <t xml:space="preserve">NITA </t>
  </si>
  <si>
    <t>PURANATA</t>
  </si>
  <si>
    <t>QUATÁ</t>
  </si>
  <si>
    <t>QUALIMAX</t>
  </si>
  <si>
    <t>PENINA</t>
  </si>
  <si>
    <t>PREDILECTA</t>
  </si>
  <si>
    <t>JANEIRO</t>
  </si>
  <si>
    <t>COTA/INCENTIVO</t>
  </si>
  <si>
    <t>FEVEREIRO</t>
  </si>
  <si>
    <t>651535 / 814</t>
  </si>
  <si>
    <t>2503678/60</t>
  </si>
  <si>
    <t>49632/292</t>
  </si>
  <si>
    <t>DESCONTO/DEPOSITO</t>
  </si>
  <si>
    <t>DEPOSITO / 484296</t>
  </si>
  <si>
    <t>442355/444730</t>
  </si>
  <si>
    <t>ENTREGA PENDENTE</t>
  </si>
  <si>
    <t>SCALA</t>
  </si>
  <si>
    <t>DESCONTO / 259828</t>
  </si>
  <si>
    <t>COTA / PODCAST</t>
  </si>
  <si>
    <t>MARÇO</t>
  </si>
  <si>
    <t>COTA/ CONVENÇÃO</t>
  </si>
  <si>
    <t>COTA / CONVENÇÃO</t>
  </si>
  <si>
    <t>CONVENÇÃO</t>
  </si>
  <si>
    <t>TOZZY</t>
  </si>
  <si>
    <t>COTA / COPA</t>
  </si>
  <si>
    <t>11698/11562</t>
  </si>
  <si>
    <t>COTA / CONVENÇÃO**</t>
  </si>
  <si>
    <t>COTA / INCENTIVO</t>
  </si>
  <si>
    <t>163568 / DEPOSITO</t>
  </si>
  <si>
    <t>DESCONTO / DEPOSITO</t>
  </si>
  <si>
    <t xml:space="preserve">DESCONTO </t>
  </si>
  <si>
    <t>304266 / DESCONTO</t>
  </si>
  <si>
    <t>COTA/MTRIX</t>
  </si>
  <si>
    <t>COTA / COPA / PODCAST</t>
  </si>
  <si>
    <t>ABRIL</t>
  </si>
  <si>
    <t xml:space="preserve">COTA </t>
  </si>
  <si>
    <t>175221/177461</t>
  </si>
  <si>
    <t xml:space="preserve">DAUPHINE / FARM FRITES </t>
  </si>
  <si>
    <t>SEARA</t>
  </si>
  <si>
    <t>DESCONTO/ DEPOSITO</t>
  </si>
  <si>
    <t>11818 / 12067</t>
  </si>
  <si>
    <t>DEPOSITO / 164859</t>
  </si>
  <si>
    <t>COTA / MTRIX / PODCAST</t>
  </si>
  <si>
    <t>306896 / DESCONTO</t>
  </si>
  <si>
    <t>MAIO</t>
  </si>
  <si>
    <t>AURORA</t>
  </si>
  <si>
    <t xml:space="preserve">COTA / MTRIX </t>
  </si>
  <si>
    <t>DESPOSITO</t>
  </si>
  <si>
    <t>DEPOSITO / 166195</t>
  </si>
  <si>
    <t>JUNHO</t>
  </si>
  <si>
    <t>182098/828</t>
  </si>
  <si>
    <t>DEPOSITO/ 167164</t>
  </si>
  <si>
    <t>SIMPLOT</t>
  </si>
  <si>
    <t>COTA/COPA/TREINAMENTO</t>
  </si>
  <si>
    <t>JULHO</t>
  </si>
  <si>
    <t>12846/12845</t>
  </si>
  <si>
    <t>COTA/DIA DO MOTORISTA</t>
  </si>
  <si>
    <t>DESCONTO/318/779</t>
  </si>
  <si>
    <t>DESCONTO/2562187</t>
  </si>
  <si>
    <t>BONIFICAÇÃO</t>
  </si>
  <si>
    <t>Pendente entrega bonificação Alibra NF  Valor R$ 5.464,80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</si>
</sst>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0">
    <xf numFmtId="0" fontId="0" fillId="0" borderId="0" xfId="0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" fillId="3" borderId="8" xfId="0" applyFont="1" applyFill="1" applyBorder="1" applyAlignment="1">
      <alignment vertical="center"/>
    </xf>
    <xf numFmtId="44" fontId="4" fillId="3" borderId="8" xfId="1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/>
    </xf>
    <xf numFmtId="44" fontId="4" fillId="3" borderId="8" xfId="1" applyFont="1" applyFill="1" applyBorder="1" applyAlignment="1">
      <alignment vertical="center"/>
    </xf>
    <xf numFmtId="44" fontId="5" fillId="3" borderId="8" xfId="1" applyFont="1" applyFill="1" applyBorder="1" applyAlignment="1">
      <alignment vertical="center"/>
    </xf>
    <xf numFmtId="0" fontId="5" fillId="3" borderId="8" xfId="0" applyFont="1" applyFill="1" applyBorder="1" applyAlignment="1">
      <alignment horizontal="left"/>
    </xf>
    <xf numFmtId="44" fontId="4" fillId="3" borderId="8" xfId="1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44" fontId="3" fillId="4" borderId="8" xfId="0" applyNumberFormat="1" applyFont="1" applyFill="1" applyBorder="1" applyAlignment="1">
      <alignment horizontal="center"/>
    </xf>
    <xf numFmtId="44" fontId="3" fillId="4" borderId="8" xfId="1" applyFont="1" applyFill="1" applyBorder="1" applyAlignment="1">
      <alignment horizontal="center"/>
    </xf>
    <xf numFmtId="44" fontId="3" fillId="4" borderId="9" xfId="1" applyFont="1" applyFill="1" applyBorder="1" applyAlignment="1">
      <alignment horizontal="center"/>
    </xf>
    <xf numFmtId="44" fontId="5" fillId="3" borderId="8" xfId="1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 vertical="center"/>
    </xf>
    <xf numFmtId="44" fontId="4" fillId="2" borderId="8" xfId="1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/>
    </xf>
    <xf numFmtId="44" fontId="4" fillId="3" borderId="9" xfId="1" applyFont="1" applyFill="1" applyBorder="1" applyAlignment="1">
      <alignment horizontal="left"/>
    </xf>
    <xf numFmtId="44" fontId="5" fillId="3" borderId="9" xfId="1" applyFont="1" applyFill="1" applyBorder="1" applyAlignment="1">
      <alignment horizontal="left"/>
    </xf>
    <xf numFmtId="44" fontId="4" fillId="3" borderId="9" xfId="1" applyFont="1" applyFill="1" applyBorder="1" applyAlignment="1">
      <alignment vertical="center"/>
    </xf>
    <xf numFmtId="44" fontId="6" fillId="3" borderId="9" xfId="1" applyFont="1" applyFill="1" applyBorder="1" applyAlignment="1">
      <alignment horizontal="left"/>
    </xf>
    <xf numFmtId="44" fontId="4" fillId="3" borderId="9" xfId="1" applyFont="1" applyFill="1" applyBorder="1" applyAlignment="1"/>
    <xf numFmtId="0" fontId="4" fillId="2" borderId="7" xfId="0" applyFont="1" applyFill="1" applyBorder="1" applyAlignment="1">
      <alignment horizontal="left"/>
    </xf>
    <xf numFmtId="44" fontId="4" fillId="2" borderId="9" xfId="1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left"/>
    </xf>
    <xf numFmtId="44" fontId="8" fillId="3" borderId="8" xfId="1" applyFont="1" applyFill="1" applyBorder="1" applyAlignment="1">
      <alignment horizontal="left" vertical="center"/>
    </xf>
    <xf numFmtId="44" fontId="8" fillId="3" borderId="9" xfId="1" applyFont="1" applyFill="1" applyBorder="1" applyAlignment="1">
      <alignment horizontal="left"/>
    </xf>
    <xf numFmtId="44" fontId="10" fillId="3" borderId="8" xfId="1" applyFont="1" applyFill="1" applyBorder="1" applyAlignment="1">
      <alignment horizontal="left" vertical="center"/>
    </xf>
    <xf numFmtId="44" fontId="10" fillId="3" borderId="9" xfId="1" applyFont="1" applyFill="1" applyBorder="1" applyAlignment="1">
      <alignment horizontal="left"/>
    </xf>
    <xf numFmtId="44" fontId="8" fillId="3" borderId="8" xfId="1" applyFont="1" applyFill="1" applyBorder="1" applyAlignment="1">
      <alignment vertical="center"/>
    </xf>
    <xf numFmtId="44" fontId="8" fillId="3" borderId="9" xfId="1" applyFont="1" applyFill="1" applyBorder="1" applyAlignment="1">
      <alignment vertical="center"/>
    </xf>
    <xf numFmtId="44" fontId="9" fillId="3" borderId="9" xfId="1" applyFont="1" applyFill="1" applyBorder="1" applyAlignment="1">
      <alignment horizontal="left"/>
    </xf>
    <xf numFmtId="44" fontId="8" fillId="3" borderId="9" xfId="1" applyFont="1" applyFill="1" applyBorder="1" applyAlignment="1"/>
    <xf numFmtId="44" fontId="8" fillId="3" borderId="8" xfId="1" applyFont="1" applyFill="1" applyBorder="1" applyAlignment="1">
      <alignment horizontal="left"/>
    </xf>
    <xf numFmtId="44" fontId="10" fillId="3" borderId="8" xfId="1" applyFont="1" applyFill="1" applyBorder="1" applyAlignment="1">
      <alignment vertical="center"/>
    </xf>
    <xf numFmtId="0" fontId="9" fillId="3" borderId="7" xfId="0" applyFont="1" applyFill="1" applyBorder="1" applyAlignment="1">
      <alignment horizontal="left"/>
    </xf>
    <xf numFmtId="44" fontId="9" fillId="3" borderId="8" xfId="1" applyFont="1" applyFill="1" applyBorder="1" applyAlignment="1">
      <alignment vertical="center"/>
    </xf>
    <xf numFmtId="0" fontId="9" fillId="3" borderId="8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44" fontId="8" fillId="2" borderId="8" xfId="1" applyFont="1" applyFill="1" applyBorder="1" applyAlignment="1">
      <alignment vertical="center"/>
    </xf>
    <xf numFmtId="0" fontId="8" fillId="2" borderId="8" xfId="0" applyFont="1" applyFill="1" applyBorder="1" applyAlignment="1">
      <alignment horizontal="left"/>
    </xf>
    <xf numFmtId="44" fontId="8" fillId="2" borderId="9" xfId="1" applyFont="1" applyFill="1" applyBorder="1" applyAlignment="1">
      <alignment horizontal="left"/>
    </xf>
    <xf numFmtId="44" fontId="0" fillId="0" borderId="0" xfId="1" applyFont="1"/>
    <xf numFmtId="44" fontId="4" fillId="2" borderId="9" xfId="1" applyFont="1" applyFill="1" applyBorder="1" applyAlignment="1">
      <alignment horizontal="left"/>
    </xf>
    <xf numFmtId="8" fontId="4" fillId="2" borderId="8" xfId="0" applyNumberFormat="1" applyFont="1" applyFill="1" applyBorder="1" applyAlignment="1">
      <alignment horizontal="left"/>
    </xf>
    <xf numFmtId="0" fontId="4" fillId="3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44" fontId="4" fillId="0" borderId="0" xfId="1" applyFont="1"/>
    <xf numFmtId="0" fontId="6" fillId="2" borderId="7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 vertical="center"/>
    </xf>
    <xf numFmtId="44" fontId="6" fillId="2" borderId="8" xfId="1" applyFont="1" applyFill="1" applyBorder="1" applyAlignment="1">
      <alignment vertical="center"/>
    </xf>
    <xf numFmtId="0" fontId="6" fillId="2" borderId="8" xfId="0" applyFont="1" applyFill="1" applyBorder="1" applyAlignment="1">
      <alignment horizontal="left"/>
    </xf>
    <xf numFmtId="44" fontId="6" fillId="2" borderId="9" xfId="1" applyFont="1" applyFill="1" applyBorder="1" applyAlignment="1">
      <alignment horizontal="left"/>
    </xf>
    <xf numFmtId="8" fontId="4" fillId="3" borderId="8" xfId="0" applyNumberFormat="1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 vertical="center"/>
    </xf>
    <xf numFmtId="10" fontId="0" fillId="0" borderId="0" xfId="0" applyNumberFormat="1"/>
    <xf numFmtId="44" fontId="0" fillId="0" borderId="0" xfId="0" applyNumberFormat="1"/>
    <xf numFmtId="44" fontId="4" fillId="2" borderId="8" xfId="1" applyFont="1" applyFill="1" applyBorder="1" applyAlignment="1">
      <alignment horizontal="left" vertical="center"/>
    </xf>
    <xf numFmtId="44" fontId="4" fillId="2" borderId="0" xfId="1" applyFont="1" applyFill="1"/>
    <xf numFmtId="0" fontId="4" fillId="2" borderId="8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 vertical="center"/>
    </xf>
    <xf numFmtId="44" fontId="5" fillId="2" borderId="8" xfId="1" applyFont="1" applyFill="1" applyBorder="1" applyAlignment="1">
      <alignment vertical="center"/>
    </xf>
    <xf numFmtId="0" fontId="5" fillId="2" borderId="8" xfId="0" applyFont="1" applyFill="1" applyBorder="1" applyAlignment="1">
      <alignment horizontal="left"/>
    </xf>
    <xf numFmtId="44" fontId="5" fillId="2" borderId="9" xfId="1" applyFont="1" applyFill="1" applyBorder="1" applyAlignment="1">
      <alignment horizontal="left"/>
    </xf>
    <xf numFmtId="44" fontId="4" fillId="3" borderId="0" xfId="1" applyFont="1" applyFill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44" fontId="4" fillId="2" borderId="10" xfId="1" applyFont="1" applyFill="1" applyBorder="1" applyAlignment="1">
      <alignment vertical="center"/>
    </xf>
    <xf numFmtId="0" fontId="4" fillId="5" borderId="7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 vertical="center"/>
    </xf>
    <xf numFmtId="44" fontId="4" fillId="5" borderId="10" xfId="1" applyFont="1" applyFill="1" applyBorder="1" applyAlignment="1">
      <alignment vertical="center"/>
    </xf>
    <xf numFmtId="0" fontId="4" fillId="5" borderId="8" xfId="0" applyFont="1" applyFill="1" applyBorder="1" applyAlignment="1">
      <alignment horizontal="left"/>
    </xf>
    <xf numFmtId="44" fontId="4" fillId="5" borderId="8" xfId="1" applyFont="1" applyFill="1" applyBorder="1" applyAlignment="1">
      <alignment horizontal="left" vertical="center"/>
    </xf>
    <xf numFmtId="44" fontId="4" fillId="5" borderId="9" xfId="1" applyFont="1" applyFill="1" applyBorder="1" applyAlignment="1">
      <alignment horizontal="left"/>
    </xf>
    <xf numFmtId="44" fontId="4" fillId="5" borderId="8" xfId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44" fontId="3" fillId="4" borderId="11" xfId="0" applyNumberFormat="1" applyFont="1" applyFill="1" applyBorder="1" applyAlignment="1">
      <alignment horizontal="center"/>
    </xf>
    <xf numFmtId="44" fontId="3" fillId="4" borderId="5" xfId="0" applyNumberFormat="1" applyFont="1" applyFill="1" applyBorder="1" applyAlignment="1">
      <alignment horizontal="center"/>
    </xf>
    <xf numFmtId="44" fontId="3" fillId="4" borderId="6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9D85-9C1B-4096-9AE7-1EDAAF3234E9}">
  <dimension ref="A1:E51"/>
  <sheetViews>
    <sheetView view="pageBreakPreview" topLeftCell="A28" zoomScaleNormal="100" zoomScaleSheetLayoutView="100" workbookViewId="0">
      <selection activeCell="A52" sqref="A52:XFD52"/>
    </sheetView>
  </sheetViews>
  <sheetFormatPr defaultRowHeight="14.4" x14ac:dyDescent="0.3"/>
  <cols>
    <col min="1" max="1" width="21.33203125" customWidth="1"/>
    <col min="2" max="2" width="23.44140625" customWidth="1"/>
    <col min="3" max="3" width="23.77734375" customWidth="1"/>
    <col min="4" max="4" width="17.109375" customWidth="1"/>
    <col min="5" max="5" width="15.77734375" customWidth="1"/>
  </cols>
  <sheetData>
    <row r="1" spans="1:5" ht="21" x14ac:dyDescent="0.4">
      <c r="A1" s="87" t="s">
        <v>43</v>
      </c>
      <c r="B1" s="88"/>
      <c r="C1" s="88"/>
      <c r="D1" s="88"/>
      <c r="E1" s="89"/>
    </row>
    <row r="2" spans="1:5" x14ac:dyDescent="0.3">
      <c r="A2" s="90"/>
      <c r="B2" s="91"/>
      <c r="C2" s="91"/>
      <c r="D2" s="91"/>
      <c r="E2" s="92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ht="15.6" x14ac:dyDescent="0.3">
      <c r="A4" s="24" t="s">
        <v>8</v>
      </c>
      <c r="B4" s="18" t="s">
        <v>5</v>
      </c>
      <c r="C4" s="5"/>
      <c r="D4" s="6"/>
      <c r="E4" s="25"/>
    </row>
    <row r="5" spans="1:5" ht="15.6" x14ac:dyDescent="0.3">
      <c r="A5" s="24" t="s">
        <v>8</v>
      </c>
      <c r="B5" s="18" t="s">
        <v>7</v>
      </c>
      <c r="C5" s="5">
        <v>27764.1</v>
      </c>
      <c r="D5" s="6">
        <v>11108</v>
      </c>
      <c r="E5" s="25"/>
    </row>
    <row r="6" spans="1:5" ht="15.6" x14ac:dyDescent="0.3">
      <c r="A6" s="24" t="s">
        <v>8</v>
      </c>
      <c r="B6" s="18" t="s">
        <v>9</v>
      </c>
      <c r="C6" s="5"/>
      <c r="D6" s="6"/>
      <c r="E6" s="25"/>
    </row>
    <row r="7" spans="1:5" ht="15.6" x14ac:dyDescent="0.3">
      <c r="A7" s="24" t="s">
        <v>8</v>
      </c>
      <c r="B7" s="18" t="s">
        <v>10</v>
      </c>
      <c r="C7" s="5">
        <v>10126.09</v>
      </c>
      <c r="D7" s="6" t="s">
        <v>12</v>
      </c>
      <c r="E7" s="25"/>
    </row>
    <row r="8" spans="1:5" ht="15.6" x14ac:dyDescent="0.3">
      <c r="A8" s="24" t="s">
        <v>8</v>
      </c>
      <c r="B8" s="18" t="s">
        <v>11</v>
      </c>
      <c r="C8" s="17"/>
      <c r="D8" s="9"/>
      <c r="E8" s="26"/>
    </row>
    <row r="9" spans="1:5" ht="15.6" x14ac:dyDescent="0.3">
      <c r="A9" s="24" t="s">
        <v>8</v>
      </c>
      <c r="B9" s="18" t="s">
        <v>13</v>
      </c>
      <c r="C9" s="7">
        <v>21798</v>
      </c>
      <c r="D9" s="6">
        <v>171162</v>
      </c>
      <c r="E9" s="27"/>
    </row>
    <row r="10" spans="1:5" ht="15.6" x14ac:dyDescent="0.3">
      <c r="A10" s="24" t="s">
        <v>8</v>
      </c>
      <c r="B10" s="18" t="s">
        <v>14</v>
      </c>
      <c r="C10" s="7">
        <v>16686.580000000002</v>
      </c>
      <c r="D10" s="6" t="s">
        <v>6</v>
      </c>
      <c r="E10" s="28"/>
    </row>
    <row r="11" spans="1:5" ht="15.6" x14ac:dyDescent="0.3">
      <c r="A11" s="24" t="s">
        <v>8</v>
      </c>
      <c r="B11" s="18" t="s">
        <v>15</v>
      </c>
      <c r="C11" s="7">
        <v>3491.55</v>
      </c>
      <c r="D11" s="6" t="s">
        <v>12</v>
      </c>
      <c r="E11" s="25"/>
    </row>
    <row r="12" spans="1:5" ht="15.6" x14ac:dyDescent="0.3">
      <c r="A12" s="24" t="s">
        <v>8</v>
      </c>
      <c r="B12" s="18" t="s">
        <v>16</v>
      </c>
      <c r="C12" s="7">
        <v>7701.68</v>
      </c>
      <c r="D12" s="6" t="s">
        <v>6</v>
      </c>
      <c r="E12" s="25"/>
    </row>
    <row r="13" spans="1:5" ht="15.6" x14ac:dyDescent="0.3">
      <c r="A13" s="24" t="s">
        <v>8</v>
      </c>
      <c r="B13" s="18" t="s">
        <v>17</v>
      </c>
      <c r="C13" s="7">
        <v>200.88</v>
      </c>
      <c r="D13" s="6" t="s">
        <v>12</v>
      </c>
      <c r="E13" s="29"/>
    </row>
    <row r="14" spans="1:5" ht="15.6" x14ac:dyDescent="0.3">
      <c r="A14" s="24" t="s">
        <v>8</v>
      </c>
      <c r="B14" s="18" t="s">
        <v>18</v>
      </c>
      <c r="C14" s="7">
        <v>10000</v>
      </c>
      <c r="D14" s="6" t="s">
        <v>6</v>
      </c>
      <c r="E14" s="25"/>
    </row>
    <row r="15" spans="1:5" ht="15.6" x14ac:dyDescent="0.3">
      <c r="A15" s="24" t="s">
        <v>8</v>
      </c>
      <c r="B15" s="18" t="s">
        <v>19</v>
      </c>
      <c r="C15" s="7">
        <v>16430.28</v>
      </c>
      <c r="D15" s="6" t="s">
        <v>6</v>
      </c>
      <c r="E15" s="27"/>
    </row>
    <row r="16" spans="1:5" ht="15.6" x14ac:dyDescent="0.3">
      <c r="A16" s="24" t="s">
        <v>8</v>
      </c>
      <c r="B16" s="18" t="s">
        <v>20</v>
      </c>
      <c r="C16" s="7">
        <v>12855.71</v>
      </c>
      <c r="D16" s="6" t="s">
        <v>12</v>
      </c>
      <c r="E16" s="25"/>
    </row>
    <row r="17" spans="1:5" ht="15.6" x14ac:dyDescent="0.3">
      <c r="A17" s="24" t="s">
        <v>8</v>
      </c>
      <c r="B17" s="18" t="s">
        <v>21</v>
      </c>
      <c r="C17" s="7">
        <v>6459.27</v>
      </c>
      <c r="D17" s="6" t="s">
        <v>12</v>
      </c>
      <c r="E17" s="25"/>
    </row>
    <row r="18" spans="1:5" ht="15.6" x14ac:dyDescent="0.3">
      <c r="A18" s="24" t="s">
        <v>8</v>
      </c>
      <c r="B18" s="19" t="s">
        <v>22</v>
      </c>
      <c r="C18" s="7">
        <v>62816.07</v>
      </c>
      <c r="D18" s="6" t="s">
        <v>12</v>
      </c>
      <c r="E18" s="25"/>
    </row>
    <row r="19" spans="1:5" ht="15.6" x14ac:dyDescent="0.3">
      <c r="A19" s="24" t="s">
        <v>8</v>
      </c>
      <c r="B19" s="18" t="s">
        <v>23</v>
      </c>
      <c r="C19" s="7">
        <v>19991.189999999999</v>
      </c>
      <c r="D19" s="6" t="s">
        <v>12</v>
      </c>
      <c r="E19" s="25"/>
    </row>
    <row r="20" spans="1:5" ht="15.6" x14ac:dyDescent="0.3">
      <c r="A20" s="24" t="s">
        <v>8</v>
      </c>
      <c r="B20" s="18" t="s">
        <v>44</v>
      </c>
      <c r="C20" s="10">
        <v>0</v>
      </c>
      <c r="D20" s="6"/>
      <c r="E20" s="25"/>
    </row>
    <row r="21" spans="1:5" ht="15.6" x14ac:dyDescent="0.3">
      <c r="A21" s="24" t="s">
        <v>8</v>
      </c>
      <c r="B21" s="18" t="s">
        <v>24</v>
      </c>
      <c r="C21" s="7">
        <v>5056.71</v>
      </c>
      <c r="D21" s="6" t="s">
        <v>12</v>
      </c>
      <c r="E21" s="25"/>
    </row>
    <row r="22" spans="1:5" ht="15.6" x14ac:dyDescent="0.3">
      <c r="A22" s="30" t="s">
        <v>53</v>
      </c>
      <c r="B22" s="21" t="s">
        <v>25</v>
      </c>
      <c r="C22" s="22">
        <v>18152.009999999998</v>
      </c>
      <c r="D22" s="20" t="s">
        <v>12</v>
      </c>
      <c r="E22" s="31">
        <v>5000</v>
      </c>
    </row>
    <row r="23" spans="1:5" ht="15.6" x14ac:dyDescent="0.3">
      <c r="A23" s="24" t="s">
        <v>8</v>
      </c>
      <c r="B23" s="18" t="s">
        <v>26</v>
      </c>
      <c r="C23" s="7">
        <v>0</v>
      </c>
      <c r="D23" s="6"/>
      <c r="E23" s="27"/>
    </row>
    <row r="24" spans="1:5" ht="15.6" x14ac:dyDescent="0.3">
      <c r="A24" s="24" t="s">
        <v>8</v>
      </c>
      <c r="B24" s="18" t="s">
        <v>45</v>
      </c>
      <c r="C24" s="7">
        <v>0</v>
      </c>
      <c r="D24" s="6"/>
      <c r="E24" s="25"/>
    </row>
    <row r="25" spans="1:5" ht="15.6" x14ac:dyDescent="0.3">
      <c r="A25" s="24" t="s">
        <v>8</v>
      </c>
      <c r="B25" s="18" t="s">
        <v>27</v>
      </c>
      <c r="C25" s="7">
        <v>17559.79</v>
      </c>
      <c r="D25" s="6" t="s">
        <v>12</v>
      </c>
      <c r="E25" s="27"/>
    </row>
    <row r="26" spans="1:5" ht="15.6" x14ac:dyDescent="0.3">
      <c r="A26" s="24" t="s">
        <v>8</v>
      </c>
      <c r="B26" s="18" t="s">
        <v>28</v>
      </c>
      <c r="C26" s="7">
        <v>21154.6</v>
      </c>
      <c r="D26" s="6" t="s">
        <v>12</v>
      </c>
      <c r="E26" s="25"/>
    </row>
    <row r="27" spans="1:5" ht="15.6" x14ac:dyDescent="0.3">
      <c r="A27" s="24" t="s">
        <v>8</v>
      </c>
      <c r="B27" s="18" t="s">
        <v>29</v>
      </c>
      <c r="C27" s="7">
        <v>12701.16</v>
      </c>
      <c r="D27" s="6" t="s">
        <v>12</v>
      </c>
      <c r="E27" s="25"/>
    </row>
    <row r="28" spans="1:5" ht="15.6" x14ac:dyDescent="0.3">
      <c r="A28" s="24" t="s">
        <v>8</v>
      </c>
      <c r="B28" s="18" t="s">
        <v>30</v>
      </c>
      <c r="C28" s="8">
        <v>7784.36</v>
      </c>
      <c r="D28" s="6" t="s">
        <v>12</v>
      </c>
      <c r="E28" s="26"/>
    </row>
    <row r="29" spans="1:5" ht="15.6" x14ac:dyDescent="0.3">
      <c r="A29" s="24" t="s">
        <v>8</v>
      </c>
      <c r="B29" s="18" t="s">
        <v>31</v>
      </c>
      <c r="C29" s="7">
        <v>7774.21</v>
      </c>
      <c r="D29" s="6" t="s">
        <v>6</v>
      </c>
      <c r="E29" s="25"/>
    </row>
    <row r="30" spans="1:5" ht="15.6" x14ac:dyDescent="0.3">
      <c r="A30" s="24" t="s">
        <v>8</v>
      </c>
      <c r="B30" s="18" t="s">
        <v>32</v>
      </c>
      <c r="C30" s="7">
        <v>0</v>
      </c>
      <c r="D30" s="6"/>
      <c r="E30" s="25"/>
    </row>
    <row r="31" spans="1:5" ht="15.6" x14ac:dyDescent="0.3">
      <c r="A31" s="24" t="s">
        <v>8</v>
      </c>
      <c r="B31" s="18" t="s">
        <v>33</v>
      </c>
      <c r="C31" s="7">
        <v>4810</v>
      </c>
      <c r="D31" s="6">
        <v>53</v>
      </c>
      <c r="E31" s="27"/>
    </row>
    <row r="32" spans="1:5" ht="15.6" x14ac:dyDescent="0.3">
      <c r="A32" s="24" t="s">
        <v>8</v>
      </c>
      <c r="B32" s="18" t="s">
        <v>34</v>
      </c>
      <c r="C32" s="7">
        <v>4309.37</v>
      </c>
      <c r="D32" s="6" t="s">
        <v>12</v>
      </c>
      <c r="E32" s="25"/>
    </row>
    <row r="33" spans="1:5" ht="15.6" x14ac:dyDescent="0.3">
      <c r="A33" s="24" t="s">
        <v>8</v>
      </c>
      <c r="B33" s="19" t="s">
        <v>46</v>
      </c>
      <c r="C33" s="7">
        <v>0</v>
      </c>
      <c r="D33" s="6"/>
      <c r="E33" s="25"/>
    </row>
    <row r="34" spans="1:5" ht="15.6" x14ac:dyDescent="0.3">
      <c r="A34" s="24" t="s">
        <v>8</v>
      </c>
      <c r="B34" s="19" t="s">
        <v>50</v>
      </c>
      <c r="C34" s="7">
        <v>6666.67</v>
      </c>
      <c r="D34" s="6" t="s">
        <v>6</v>
      </c>
      <c r="E34" s="28"/>
    </row>
    <row r="35" spans="1:5" ht="15.6" x14ac:dyDescent="0.3">
      <c r="A35" s="24" t="s">
        <v>8</v>
      </c>
      <c r="B35" s="18" t="s">
        <v>35</v>
      </c>
      <c r="C35" s="7">
        <v>0</v>
      </c>
      <c r="D35" s="6"/>
      <c r="E35" s="27"/>
    </row>
    <row r="36" spans="1:5" ht="15.6" x14ac:dyDescent="0.3">
      <c r="A36" s="24" t="s">
        <v>8</v>
      </c>
      <c r="B36" s="19" t="s">
        <v>36</v>
      </c>
      <c r="C36" s="7">
        <v>5050</v>
      </c>
      <c r="D36" s="6">
        <v>49340</v>
      </c>
      <c r="E36" s="25"/>
    </row>
    <row r="37" spans="1:5" ht="15.6" x14ac:dyDescent="0.3">
      <c r="A37" s="24" t="s">
        <v>8</v>
      </c>
      <c r="B37" s="23" t="s">
        <v>51</v>
      </c>
      <c r="C37" s="7">
        <v>0</v>
      </c>
      <c r="D37" s="6"/>
      <c r="E37" s="27"/>
    </row>
    <row r="38" spans="1:5" ht="15.6" x14ac:dyDescent="0.3">
      <c r="A38" s="24" t="s">
        <v>8</v>
      </c>
      <c r="B38" s="18" t="s">
        <v>37</v>
      </c>
      <c r="C38" s="7">
        <v>1777.76</v>
      </c>
      <c r="D38" s="6" t="s">
        <v>12</v>
      </c>
      <c r="E38" s="25"/>
    </row>
    <row r="39" spans="1:5" ht="15.6" x14ac:dyDescent="0.3">
      <c r="A39" s="24" t="s">
        <v>8</v>
      </c>
      <c r="B39" s="18" t="s">
        <v>47</v>
      </c>
      <c r="C39" s="7">
        <v>5834</v>
      </c>
      <c r="D39" s="6" t="s">
        <v>6</v>
      </c>
      <c r="E39" s="27"/>
    </row>
    <row r="40" spans="1:5" ht="15.6" x14ac:dyDescent="0.3">
      <c r="A40" s="24" t="s">
        <v>8</v>
      </c>
      <c r="B40" s="19" t="s">
        <v>49</v>
      </c>
      <c r="C40" s="7">
        <v>0</v>
      </c>
      <c r="D40" s="6"/>
      <c r="E40" s="25"/>
    </row>
    <row r="41" spans="1:5" ht="15.6" x14ac:dyDescent="0.3">
      <c r="A41" s="24" t="s">
        <v>8</v>
      </c>
      <c r="B41" s="18" t="s">
        <v>48</v>
      </c>
      <c r="C41" s="7">
        <v>10708.48</v>
      </c>
      <c r="D41" s="6">
        <v>2574146</v>
      </c>
      <c r="E41" s="25"/>
    </row>
    <row r="42" spans="1:5" ht="15.6" x14ac:dyDescent="0.3">
      <c r="A42" s="24" t="s">
        <v>8</v>
      </c>
      <c r="B42" s="18" t="s">
        <v>38</v>
      </c>
      <c r="C42" s="7">
        <v>3400.78</v>
      </c>
      <c r="D42" s="6" t="s">
        <v>12</v>
      </c>
      <c r="E42" s="25"/>
    </row>
    <row r="43" spans="1:5" ht="15.6" x14ac:dyDescent="0.3">
      <c r="A43" s="24" t="s">
        <v>8</v>
      </c>
      <c r="B43" s="18" t="s">
        <v>39</v>
      </c>
      <c r="C43" s="7">
        <v>20575.07</v>
      </c>
      <c r="D43" s="6" t="s">
        <v>6</v>
      </c>
      <c r="E43" s="25"/>
    </row>
    <row r="44" spans="1:5" ht="15.6" x14ac:dyDescent="0.3">
      <c r="A44" s="24" t="s">
        <v>8</v>
      </c>
      <c r="B44" s="19" t="s">
        <v>40</v>
      </c>
      <c r="C44" s="7">
        <v>0</v>
      </c>
      <c r="D44" s="6"/>
      <c r="E44" s="25"/>
    </row>
    <row r="45" spans="1:5" ht="15.6" x14ac:dyDescent="0.3">
      <c r="A45" s="24" t="s">
        <v>8</v>
      </c>
      <c r="B45" s="18" t="s">
        <v>41</v>
      </c>
      <c r="C45" s="7">
        <v>6809.61</v>
      </c>
      <c r="D45" s="6" t="s">
        <v>12</v>
      </c>
      <c r="E45" s="25"/>
    </row>
    <row r="46" spans="1:5" ht="15.6" x14ac:dyDescent="0.3">
      <c r="A46" s="24" t="s">
        <v>8</v>
      </c>
      <c r="B46" s="4"/>
      <c r="C46" s="7"/>
      <c r="D46" s="6"/>
      <c r="E46" s="25"/>
    </row>
    <row r="47" spans="1:5" ht="15.6" x14ac:dyDescent="0.3">
      <c r="A47" s="24" t="s">
        <v>8</v>
      </c>
      <c r="B47" s="4"/>
      <c r="C47" s="7"/>
      <c r="D47" s="6"/>
      <c r="E47" s="25"/>
    </row>
    <row r="48" spans="1:5" ht="15.6" x14ac:dyDescent="0.3">
      <c r="A48" s="107" t="s">
        <v>52</v>
      </c>
      <c r="B48" s="108"/>
      <c r="C48" s="108"/>
      <c r="D48" s="108"/>
      <c r="E48" s="109"/>
    </row>
    <row r="49" spans="1:5" ht="15.6" x14ac:dyDescent="0.3">
      <c r="A49" s="11"/>
      <c r="B49" s="12"/>
      <c r="C49" s="12"/>
      <c r="D49" s="12"/>
      <c r="E49" s="13"/>
    </row>
    <row r="50" spans="1:5" ht="15.6" x14ac:dyDescent="0.3">
      <c r="A50" s="96"/>
      <c r="B50" s="97"/>
      <c r="C50" s="97"/>
      <c r="D50" s="97"/>
      <c r="E50" s="98"/>
    </row>
    <row r="51" spans="1:5" ht="15.6" x14ac:dyDescent="0.3">
      <c r="A51" s="99" t="s">
        <v>42</v>
      </c>
      <c r="B51" s="100"/>
      <c r="C51" s="14">
        <f>SUM(C4:C47)</f>
        <v>376445.98</v>
      </c>
      <c r="D51" s="15"/>
      <c r="E51" s="16"/>
    </row>
  </sheetData>
  <mergeCells count="5">
    <mergeCell ref="A1:E1"/>
    <mergeCell ref="A2:E2"/>
    <mergeCell ref="A48:E48"/>
    <mergeCell ref="A50:E50"/>
    <mergeCell ref="A51:B51"/>
  </mergeCells>
  <pageMargins left="0.511811024" right="0.511811024" top="0.78740157499999996" bottom="0.78740157499999996" header="0.31496062000000002" footer="0.31496062000000002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24E2-B6D2-4CDA-A6F4-D719961AFFCD}">
  <dimension ref="A1:E52"/>
  <sheetViews>
    <sheetView view="pageBreakPreview" topLeftCell="A41" zoomScaleNormal="100" zoomScaleSheetLayoutView="100" workbookViewId="0">
      <selection activeCell="A53" sqref="A53:XFD54"/>
    </sheetView>
  </sheetViews>
  <sheetFormatPr defaultRowHeight="14.4" x14ac:dyDescent="0.3"/>
  <cols>
    <col min="1" max="1" width="19.77734375" bestFit="1" customWidth="1"/>
    <col min="2" max="2" width="21.21875" customWidth="1"/>
    <col min="3" max="3" width="16" bestFit="1" customWidth="1"/>
    <col min="4" max="4" width="25.6640625" customWidth="1"/>
    <col min="5" max="5" width="16.5546875" customWidth="1"/>
  </cols>
  <sheetData>
    <row r="1" spans="1:5" ht="21" x14ac:dyDescent="0.4">
      <c r="A1" s="87" t="s">
        <v>43</v>
      </c>
      <c r="B1" s="88"/>
      <c r="C1" s="88"/>
      <c r="D1" s="88"/>
      <c r="E1" s="89"/>
    </row>
    <row r="2" spans="1:5" x14ac:dyDescent="0.3">
      <c r="A2" s="90"/>
      <c r="B2" s="91"/>
      <c r="C2" s="91"/>
      <c r="D2" s="91"/>
      <c r="E2" s="92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x14ac:dyDescent="0.3">
      <c r="A4" s="33" t="s">
        <v>8</v>
      </c>
      <c r="B4" s="18" t="s">
        <v>5</v>
      </c>
      <c r="C4" s="34"/>
      <c r="D4" s="19"/>
      <c r="E4" s="35"/>
    </row>
    <row r="5" spans="1:5" x14ac:dyDescent="0.3">
      <c r="A5" s="33" t="s">
        <v>8</v>
      </c>
      <c r="B5" s="18" t="s">
        <v>7</v>
      </c>
      <c r="C5" s="34">
        <v>21015</v>
      </c>
      <c r="D5" s="19" t="s">
        <v>6</v>
      </c>
      <c r="E5" s="35"/>
    </row>
    <row r="6" spans="1:5" x14ac:dyDescent="0.3">
      <c r="A6" s="33" t="s">
        <v>8</v>
      </c>
      <c r="B6" s="18" t="s">
        <v>9</v>
      </c>
      <c r="C6" s="34">
        <v>4090.9</v>
      </c>
      <c r="D6" s="19" t="s">
        <v>6</v>
      </c>
      <c r="E6" s="35"/>
    </row>
    <row r="7" spans="1:5" x14ac:dyDescent="0.3">
      <c r="A7" s="33" t="s">
        <v>8</v>
      </c>
      <c r="B7" s="18" t="s">
        <v>10</v>
      </c>
      <c r="C7" s="34">
        <v>6772.4</v>
      </c>
      <c r="D7" s="19" t="s">
        <v>12</v>
      </c>
      <c r="E7" s="35"/>
    </row>
    <row r="8" spans="1:5" x14ac:dyDescent="0.3">
      <c r="A8" s="33" t="s">
        <v>8</v>
      </c>
      <c r="B8" s="18" t="s">
        <v>11</v>
      </c>
      <c r="C8" s="36">
        <v>1917.21</v>
      </c>
      <c r="D8" s="19" t="s">
        <v>6</v>
      </c>
      <c r="E8" s="37"/>
    </row>
    <row r="9" spans="1:5" x14ac:dyDescent="0.3">
      <c r="A9" s="33" t="s">
        <v>8</v>
      </c>
      <c r="B9" s="18" t="s">
        <v>13</v>
      </c>
      <c r="C9" s="38">
        <v>0</v>
      </c>
      <c r="D9" s="19"/>
      <c r="E9" s="39"/>
    </row>
    <row r="10" spans="1:5" x14ac:dyDescent="0.3">
      <c r="A10" s="33" t="s">
        <v>8</v>
      </c>
      <c r="B10" s="18" t="s">
        <v>14</v>
      </c>
      <c r="C10" s="38">
        <v>15680.45</v>
      </c>
      <c r="D10" s="19" t="s">
        <v>6</v>
      </c>
      <c r="E10" s="40"/>
    </row>
    <row r="11" spans="1:5" x14ac:dyDescent="0.3">
      <c r="A11" s="33" t="s">
        <v>8</v>
      </c>
      <c r="B11" s="18" t="s">
        <v>15</v>
      </c>
      <c r="C11" s="38">
        <v>3521.83</v>
      </c>
      <c r="D11" s="19" t="s">
        <v>12</v>
      </c>
      <c r="E11" s="35"/>
    </row>
    <row r="12" spans="1:5" x14ac:dyDescent="0.3">
      <c r="A12" s="33" t="s">
        <v>8</v>
      </c>
      <c r="B12" s="18" t="s">
        <v>16</v>
      </c>
      <c r="C12" s="38">
        <v>1895.92</v>
      </c>
      <c r="D12" s="19" t="s">
        <v>60</v>
      </c>
      <c r="E12" s="35"/>
    </row>
    <row r="13" spans="1:5" x14ac:dyDescent="0.3">
      <c r="A13" s="33" t="s">
        <v>8</v>
      </c>
      <c r="B13" s="18" t="s">
        <v>17</v>
      </c>
      <c r="C13" s="38">
        <v>713.16</v>
      </c>
      <c r="D13" s="19" t="s">
        <v>12</v>
      </c>
      <c r="E13" s="41"/>
    </row>
    <row r="14" spans="1:5" x14ac:dyDescent="0.3">
      <c r="A14" s="33" t="s">
        <v>8</v>
      </c>
      <c r="B14" s="18" t="s">
        <v>18</v>
      </c>
      <c r="C14" s="38">
        <v>10000</v>
      </c>
      <c r="D14" s="19" t="s">
        <v>6</v>
      </c>
      <c r="E14" s="35"/>
    </row>
    <row r="15" spans="1:5" x14ac:dyDescent="0.3">
      <c r="A15" s="33" t="s">
        <v>8</v>
      </c>
      <c r="B15" s="18" t="s">
        <v>19</v>
      </c>
      <c r="C15" s="38">
        <v>4914.82</v>
      </c>
      <c r="D15" s="19" t="s">
        <v>12</v>
      </c>
      <c r="E15" s="39"/>
    </row>
    <row r="16" spans="1:5" x14ac:dyDescent="0.3">
      <c r="A16" s="33" t="s">
        <v>8</v>
      </c>
      <c r="B16" s="18" t="s">
        <v>20</v>
      </c>
      <c r="C16" s="38">
        <v>27530.83</v>
      </c>
      <c r="D16" s="19" t="s">
        <v>59</v>
      </c>
      <c r="E16" s="35"/>
    </row>
    <row r="17" spans="1:5" x14ac:dyDescent="0.3">
      <c r="A17" s="33" t="s">
        <v>8</v>
      </c>
      <c r="B17" s="18" t="s">
        <v>21</v>
      </c>
      <c r="C17" s="38">
        <v>13801.15</v>
      </c>
      <c r="D17" s="19" t="s">
        <v>55</v>
      </c>
      <c r="E17" s="35"/>
    </row>
    <row r="18" spans="1:5" x14ac:dyDescent="0.3">
      <c r="A18" s="33" t="s">
        <v>8</v>
      </c>
      <c r="B18" s="19" t="s">
        <v>22</v>
      </c>
      <c r="C18" s="38">
        <v>7147.99</v>
      </c>
      <c r="D18" s="19" t="s">
        <v>12</v>
      </c>
      <c r="E18" s="35"/>
    </row>
    <row r="19" spans="1:5" x14ac:dyDescent="0.3">
      <c r="A19" s="47" t="s">
        <v>64</v>
      </c>
      <c r="B19" s="21" t="s">
        <v>23</v>
      </c>
      <c r="C19" s="48">
        <v>48287.66</v>
      </c>
      <c r="D19" s="49">
        <v>304266</v>
      </c>
      <c r="E19" s="50">
        <v>10000</v>
      </c>
    </row>
    <row r="20" spans="1:5" x14ac:dyDescent="0.3">
      <c r="A20" s="33" t="s">
        <v>8</v>
      </c>
      <c r="B20" s="18" t="s">
        <v>44</v>
      </c>
      <c r="C20" s="42">
        <v>14108.88</v>
      </c>
      <c r="D20" s="19">
        <v>122225</v>
      </c>
      <c r="E20" s="35"/>
    </row>
    <row r="21" spans="1:5" x14ac:dyDescent="0.3">
      <c r="A21" s="33" t="s">
        <v>8</v>
      </c>
      <c r="B21" s="18" t="s">
        <v>24</v>
      </c>
      <c r="C21" s="38">
        <v>10937.88</v>
      </c>
      <c r="D21" s="19" t="s">
        <v>12</v>
      </c>
      <c r="E21" s="35"/>
    </row>
    <row r="22" spans="1:5" x14ac:dyDescent="0.3">
      <c r="A22" s="33" t="s">
        <v>8</v>
      </c>
      <c r="B22" s="18" t="s">
        <v>25</v>
      </c>
      <c r="C22" s="38">
        <v>19430.16</v>
      </c>
      <c r="D22" s="19" t="s">
        <v>56</v>
      </c>
      <c r="E22" s="39"/>
    </row>
    <row r="23" spans="1:5" x14ac:dyDescent="0.3">
      <c r="A23" s="33" t="s">
        <v>8</v>
      </c>
      <c r="B23" s="18" t="s">
        <v>26</v>
      </c>
      <c r="C23" s="38">
        <v>4114.1099999999997</v>
      </c>
      <c r="D23" s="19" t="s">
        <v>12</v>
      </c>
      <c r="E23" s="39"/>
    </row>
    <row r="24" spans="1:5" x14ac:dyDescent="0.3">
      <c r="A24" s="33" t="s">
        <v>8</v>
      </c>
      <c r="B24" s="18" t="s">
        <v>45</v>
      </c>
      <c r="C24" s="38">
        <v>0</v>
      </c>
      <c r="D24" s="19"/>
      <c r="E24" s="35"/>
    </row>
    <row r="25" spans="1:5" x14ac:dyDescent="0.3">
      <c r="A25" s="33" t="s">
        <v>8</v>
      </c>
      <c r="B25" s="18" t="s">
        <v>27</v>
      </c>
      <c r="C25" s="38">
        <v>18185.3</v>
      </c>
      <c r="D25" s="19" t="s">
        <v>12</v>
      </c>
      <c r="E25" s="39"/>
    </row>
    <row r="26" spans="1:5" x14ac:dyDescent="0.3">
      <c r="A26" s="33" t="s">
        <v>8</v>
      </c>
      <c r="B26" s="18" t="s">
        <v>28</v>
      </c>
      <c r="C26" s="38">
        <v>17397.88</v>
      </c>
      <c r="D26" s="19" t="s">
        <v>12</v>
      </c>
      <c r="E26" s="35"/>
    </row>
    <row r="27" spans="1:5" x14ac:dyDescent="0.3">
      <c r="A27" s="33" t="s">
        <v>8</v>
      </c>
      <c r="B27" s="18" t="s">
        <v>29</v>
      </c>
      <c r="C27" s="38">
        <v>8936.93</v>
      </c>
      <c r="D27" s="19"/>
      <c r="E27" s="35"/>
    </row>
    <row r="28" spans="1:5" x14ac:dyDescent="0.3">
      <c r="A28" s="33" t="s">
        <v>8</v>
      </c>
      <c r="B28" s="18" t="s">
        <v>30</v>
      </c>
      <c r="C28" s="43">
        <v>9027.41</v>
      </c>
      <c r="D28" s="19" t="s">
        <v>12</v>
      </c>
      <c r="E28" s="37"/>
    </row>
    <row r="29" spans="1:5" x14ac:dyDescent="0.3">
      <c r="A29" s="33" t="s">
        <v>8</v>
      </c>
      <c r="B29" s="18" t="s">
        <v>31</v>
      </c>
      <c r="C29" s="38">
        <v>4413.71</v>
      </c>
      <c r="D29" s="19" t="s">
        <v>6</v>
      </c>
      <c r="E29" s="35"/>
    </row>
    <row r="30" spans="1:5" x14ac:dyDescent="0.3">
      <c r="A30" s="33" t="s">
        <v>8</v>
      </c>
      <c r="B30" s="18" t="s">
        <v>32</v>
      </c>
      <c r="C30" s="38">
        <v>27265.200000000001</v>
      </c>
      <c r="D30" s="19" t="s">
        <v>12</v>
      </c>
      <c r="E30" s="35"/>
    </row>
    <row r="31" spans="1:5" x14ac:dyDescent="0.3">
      <c r="A31" s="33" t="s">
        <v>8</v>
      </c>
      <c r="B31" s="18" t="s">
        <v>33</v>
      </c>
      <c r="C31" s="38">
        <v>3705</v>
      </c>
      <c r="D31" s="19" t="s">
        <v>12</v>
      </c>
      <c r="E31" s="39"/>
    </row>
    <row r="32" spans="1:5" x14ac:dyDescent="0.3">
      <c r="A32" s="33" t="s">
        <v>8</v>
      </c>
      <c r="B32" s="18" t="s">
        <v>34</v>
      </c>
      <c r="C32" s="38">
        <v>4515.38</v>
      </c>
      <c r="D32" s="19" t="s">
        <v>12</v>
      </c>
      <c r="E32" s="35"/>
    </row>
    <row r="33" spans="1:5" x14ac:dyDescent="0.3">
      <c r="A33" s="33" t="s">
        <v>8</v>
      </c>
      <c r="B33" s="19" t="s">
        <v>46</v>
      </c>
      <c r="C33" s="38">
        <v>24000</v>
      </c>
      <c r="D33" s="19" t="s">
        <v>12</v>
      </c>
      <c r="E33" s="35"/>
    </row>
    <row r="34" spans="1:5" x14ac:dyDescent="0.3">
      <c r="A34" s="33" t="s">
        <v>8</v>
      </c>
      <c r="B34" s="19" t="s">
        <v>50</v>
      </c>
      <c r="C34" s="38">
        <v>6666.67</v>
      </c>
      <c r="D34" s="19" t="s">
        <v>6</v>
      </c>
      <c r="E34" s="40"/>
    </row>
    <row r="35" spans="1:5" x14ac:dyDescent="0.3">
      <c r="A35" s="33" t="s">
        <v>8</v>
      </c>
      <c r="B35" s="18" t="s">
        <v>35</v>
      </c>
      <c r="C35" s="38">
        <v>37223.82</v>
      </c>
      <c r="D35" s="19" t="s">
        <v>58</v>
      </c>
      <c r="E35" s="35"/>
    </row>
    <row r="36" spans="1:5" x14ac:dyDescent="0.3">
      <c r="A36" s="33" t="s">
        <v>8</v>
      </c>
      <c r="B36" s="19" t="s">
        <v>36</v>
      </c>
      <c r="C36" s="38">
        <v>10100</v>
      </c>
      <c r="D36" s="19" t="s">
        <v>57</v>
      </c>
      <c r="E36" s="35"/>
    </row>
    <row r="37" spans="1:5" x14ac:dyDescent="0.3">
      <c r="A37" s="44" t="s">
        <v>8</v>
      </c>
      <c r="B37" s="32" t="s">
        <v>51</v>
      </c>
      <c r="C37" s="45"/>
      <c r="D37" s="46" t="s">
        <v>61</v>
      </c>
      <c r="E37" s="39"/>
    </row>
    <row r="38" spans="1:5" x14ac:dyDescent="0.3">
      <c r="A38" s="33" t="s">
        <v>8</v>
      </c>
      <c r="B38" s="18" t="s">
        <v>37</v>
      </c>
      <c r="C38" s="38">
        <v>1483.35</v>
      </c>
      <c r="D38" s="19" t="s">
        <v>12</v>
      </c>
      <c r="E38" s="35"/>
    </row>
    <row r="39" spans="1:5" x14ac:dyDescent="0.3">
      <c r="A39" s="33" t="s">
        <v>8</v>
      </c>
      <c r="B39" s="18" t="s">
        <v>47</v>
      </c>
      <c r="C39" s="38">
        <v>5834</v>
      </c>
      <c r="D39" s="19" t="s">
        <v>6</v>
      </c>
      <c r="E39" s="39"/>
    </row>
    <row r="40" spans="1:5" x14ac:dyDescent="0.3">
      <c r="A40" s="33" t="s">
        <v>8</v>
      </c>
      <c r="B40" s="19" t="s">
        <v>49</v>
      </c>
      <c r="C40" s="38">
        <v>48451.8</v>
      </c>
      <c r="D40" s="19" t="s">
        <v>63</v>
      </c>
      <c r="E40" s="35"/>
    </row>
    <row r="41" spans="1:5" x14ac:dyDescent="0.3">
      <c r="A41" s="33" t="s">
        <v>8</v>
      </c>
      <c r="B41" s="18" t="s">
        <v>48</v>
      </c>
      <c r="C41" s="38">
        <v>11111.11</v>
      </c>
      <c r="D41" s="19">
        <v>2591107</v>
      </c>
      <c r="E41" s="35"/>
    </row>
    <row r="42" spans="1:5" x14ac:dyDescent="0.3">
      <c r="A42" s="33" t="s">
        <v>8</v>
      </c>
      <c r="B42" s="18" t="s">
        <v>38</v>
      </c>
      <c r="C42" s="38"/>
      <c r="D42" s="19"/>
      <c r="E42" s="35"/>
    </row>
    <row r="43" spans="1:5" x14ac:dyDescent="0.3">
      <c r="A43" s="33" t="s">
        <v>8</v>
      </c>
      <c r="B43" s="18" t="s">
        <v>62</v>
      </c>
      <c r="C43" s="38">
        <v>17740.21</v>
      </c>
      <c r="D43" s="19" t="s">
        <v>12</v>
      </c>
      <c r="E43" s="35"/>
    </row>
    <row r="44" spans="1:5" x14ac:dyDescent="0.3">
      <c r="A44" s="33" t="s">
        <v>8</v>
      </c>
      <c r="B44" s="18" t="s">
        <v>39</v>
      </c>
      <c r="C44" s="38">
        <v>26236.93</v>
      </c>
      <c r="D44" s="19" t="s">
        <v>6</v>
      </c>
      <c r="E44" s="35"/>
    </row>
    <row r="45" spans="1:5" x14ac:dyDescent="0.3">
      <c r="A45" s="33" t="s">
        <v>8</v>
      </c>
      <c r="B45" s="19" t="s">
        <v>40</v>
      </c>
      <c r="C45" s="38">
        <v>13460</v>
      </c>
      <c r="D45" s="19" t="s">
        <v>12</v>
      </c>
      <c r="E45" s="35"/>
    </row>
    <row r="46" spans="1:5" x14ac:dyDescent="0.3">
      <c r="A46" s="33" t="s">
        <v>8</v>
      </c>
      <c r="B46" s="18" t="s">
        <v>41</v>
      </c>
      <c r="C46" s="38">
        <v>16475.150000000001</v>
      </c>
      <c r="D46" s="19" t="s">
        <v>12</v>
      </c>
      <c r="E46" s="35"/>
    </row>
    <row r="47" spans="1:5" x14ac:dyDescent="0.3">
      <c r="A47" s="33" t="s">
        <v>8</v>
      </c>
      <c r="B47" s="23"/>
      <c r="C47" s="38"/>
      <c r="D47" s="19"/>
      <c r="E47" s="35"/>
    </row>
    <row r="48" spans="1:5" x14ac:dyDescent="0.3">
      <c r="A48" s="33" t="s">
        <v>8</v>
      </c>
      <c r="B48" s="23"/>
      <c r="C48" s="38"/>
      <c r="D48" s="19"/>
      <c r="E48" s="35"/>
    </row>
    <row r="49" spans="1:5" ht="15.6" x14ac:dyDescent="0.3">
      <c r="A49" s="107" t="s">
        <v>54</v>
      </c>
      <c r="B49" s="108"/>
      <c r="C49" s="108"/>
      <c r="D49" s="108"/>
      <c r="E49" s="109"/>
    </row>
    <row r="50" spans="1:5" ht="15.6" x14ac:dyDescent="0.3">
      <c r="A50" s="11"/>
      <c r="B50" s="12"/>
      <c r="C50" s="12"/>
      <c r="D50" s="12"/>
      <c r="E50" s="13"/>
    </row>
    <row r="51" spans="1:5" ht="15.6" x14ac:dyDescent="0.3">
      <c r="A51" s="96"/>
      <c r="B51" s="97"/>
      <c r="C51" s="97"/>
      <c r="D51" s="97"/>
      <c r="E51" s="98"/>
    </row>
    <row r="52" spans="1:5" ht="15.6" x14ac:dyDescent="0.3">
      <c r="A52" s="99" t="s">
        <v>42</v>
      </c>
      <c r="B52" s="100"/>
      <c r="C52" s="14">
        <f>SUM(C4:C48)</f>
        <v>528110.19999999995</v>
      </c>
      <c r="D52" s="15"/>
      <c r="E52" s="16"/>
    </row>
  </sheetData>
  <mergeCells count="5">
    <mergeCell ref="A1:E1"/>
    <mergeCell ref="A2:E2"/>
    <mergeCell ref="A49:E49"/>
    <mergeCell ref="A51:E51"/>
    <mergeCell ref="A52:B52"/>
  </mergeCells>
  <pageMargins left="0.511811024" right="0.511811024" top="0.78740157499999996" bottom="0.78740157499999996" header="0.31496062000000002" footer="0.31496062000000002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802D-D5F8-474C-B298-5BE930A21E23}">
  <dimension ref="A1:G53"/>
  <sheetViews>
    <sheetView view="pageBreakPreview" topLeftCell="A22" zoomScaleNormal="100" zoomScaleSheetLayoutView="100" workbookViewId="0">
      <selection activeCell="F22" sqref="F1:F1048576"/>
    </sheetView>
  </sheetViews>
  <sheetFormatPr defaultRowHeight="14.4" x14ac:dyDescent="0.3"/>
  <cols>
    <col min="1" max="1" width="29" customWidth="1"/>
    <col min="2" max="2" width="21.5546875" bestFit="1" customWidth="1"/>
    <col min="3" max="3" width="18" customWidth="1"/>
    <col min="4" max="4" width="27.21875" bestFit="1" customWidth="1"/>
    <col min="5" max="5" width="30.5546875" customWidth="1"/>
    <col min="7" max="7" width="14" bestFit="1" customWidth="1"/>
  </cols>
  <sheetData>
    <row r="1" spans="1:5" ht="21" x14ac:dyDescent="0.4">
      <c r="A1" s="87" t="s">
        <v>43</v>
      </c>
      <c r="B1" s="88"/>
      <c r="C1" s="88"/>
      <c r="D1" s="88"/>
      <c r="E1" s="89"/>
    </row>
    <row r="2" spans="1:5" x14ac:dyDescent="0.3">
      <c r="A2" s="90"/>
      <c r="B2" s="91"/>
      <c r="C2" s="91"/>
      <c r="D2" s="91"/>
      <c r="E2" s="92"/>
    </row>
    <row r="3" spans="1:5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ht="15.6" x14ac:dyDescent="0.3">
      <c r="A4" s="24" t="s">
        <v>8</v>
      </c>
      <c r="B4" s="54" t="s">
        <v>5</v>
      </c>
      <c r="C4" s="5">
        <v>0</v>
      </c>
      <c r="D4" s="6">
        <v>0</v>
      </c>
      <c r="E4" s="25"/>
    </row>
    <row r="5" spans="1:5" ht="15.6" x14ac:dyDescent="0.3">
      <c r="A5" s="24" t="s">
        <v>66</v>
      </c>
      <c r="B5" s="54" t="s">
        <v>7</v>
      </c>
      <c r="C5" s="5">
        <v>32175</v>
      </c>
      <c r="D5" s="6" t="s">
        <v>71</v>
      </c>
      <c r="E5" s="25"/>
    </row>
    <row r="6" spans="1:5" ht="15.6" x14ac:dyDescent="0.3">
      <c r="A6" s="24" t="s">
        <v>8</v>
      </c>
      <c r="B6" s="54" t="s">
        <v>9</v>
      </c>
      <c r="C6" s="5">
        <v>8500.99</v>
      </c>
      <c r="D6" s="6" t="s">
        <v>74</v>
      </c>
      <c r="E6" s="25"/>
    </row>
    <row r="7" spans="1:5" ht="15.6" x14ac:dyDescent="0.3">
      <c r="A7" s="24" t="s">
        <v>8</v>
      </c>
      <c r="B7" s="54" t="s">
        <v>10</v>
      </c>
      <c r="C7" s="5">
        <v>14004.87</v>
      </c>
      <c r="D7" s="6" t="s">
        <v>12</v>
      </c>
      <c r="E7" s="25"/>
    </row>
    <row r="8" spans="1:5" ht="15.6" x14ac:dyDescent="0.3">
      <c r="A8" s="24" t="s">
        <v>8</v>
      </c>
      <c r="B8" s="54" t="s">
        <v>11</v>
      </c>
      <c r="C8" s="17">
        <v>0</v>
      </c>
      <c r="D8" s="9"/>
      <c r="E8" s="26"/>
    </row>
    <row r="9" spans="1:5" ht="15.6" x14ac:dyDescent="0.3">
      <c r="A9" s="24" t="s">
        <v>8</v>
      </c>
      <c r="B9" s="54" t="s">
        <v>13</v>
      </c>
      <c r="C9" s="7">
        <v>5476.24</v>
      </c>
      <c r="D9" s="6">
        <v>175221</v>
      </c>
      <c r="E9" s="27"/>
    </row>
    <row r="10" spans="1:5" ht="15.6" x14ac:dyDescent="0.3">
      <c r="A10" s="24" t="s">
        <v>8</v>
      </c>
      <c r="B10" s="54" t="s">
        <v>14</v>
      </c>
      <c r="C10" s="7">
        <v>20321.36</v>
      </c>
      <c r="D10" s="6" t="s">
        <v>6</v>
      </c>
      <c r="E10" s="28"/>
    </row>
    <row r="11" spans="1:5" ht="15.6" x14ac:dyDescent="0.3">
      <c r="A11" s="24" t="s">
        <v>8</v>
      </c>
      <c r="B11" s="54" t="s">
        <v>15</v>
      </c>
      <c r="C11" s="7">
        <v>4627.8100000000004</v>
      </c>
      <c r="D11" s="6" t="s">
        <v>12</v>
      </c>
      <c r="E11" s="25"/>
    </row>
    <row r="12" spans="1:5" ht="15.6" x14ac:dyDescent="0.3">
      <c r="A12" s="30" t="s">
        <v>70</v>
      </c>
      <c r="B12" s="55" t="s">
        <v>16</v>
      </c>
      <c r="C12" s="22">
        <v>62310.48</v>
      </c>
      <c r="D12" s="20" t="s">
        <v>6</v>
      </c>
      <c r="E12" s="52">
        <v>8000</v>
      </c>
    </row>
    <row r="13" spans="1:5" ht="15.6" x14ac:dyDescent="0.3">
      <c r="A13" s="24" t="s">
        <v>8</v>
      </c>
      <c r="B13" s="54" t="s">
        <v>17</v>
      </c>
      <c r="C13" s="7">
        <v>0</v>
      </c>
      <c r="D13" s="6"/>
      <c r="E13" s="29"/>
    </row>
    <row r="14" spans="1:5" ht="15.6" x14ac:dyDescent="0.3">
      <c r="A14" s="24" t="s">
        <v>8</v>
      </c>
      <c r="B14" s="54" t="s">
        <v>18</v>
      </c>
      <c r="C14" s="7">
        <v>10000</v>
      </c>
      <c r="D14" s="6" t="s">
        <v>12</v>
      </c>
      <c r="E14" s="25"/>
    </row>
    <row r="15" spans="1:5" ht="15.6" x14ac:dyDescent="0.3">
      <c r="A15" s="24" t="s">
        <v>8</v>
      </c>
      <c r="B15" s="54" t="s">
        <v>19</v>
      </c>
      <c r="C15" s="7">
        <v>7224.82</v>
      </c>
      <c r="D15" s="6" t="s">
        <v>12</v>
      </c>
      <c r="E15" s="27"/>
    </row>
    <row r="16" spans="1:5" ht="15.6" x14ac:dyDescent="0.3">
      <c r="A16" s="30" t="s">
        <v>53</v>
      </c>
      <c r="B16" s="55" t="s">
        <v>20</v>
      </c>
      <c r="C16" s="22">
        <v>25723.1</v>
      </c>
      <c r="D16" s="20" t="s">
        <v>75</v>
      </c>
      <c r="E16" s="52">
        <v>8000</v>
      </c>
    </row>
    <row r="17" spans="1:5" ht="15.6" x14ac:dyDescent="0.3">
      <c r="A17" s="24" t="s">
        <v>8</v>
      </c>
      <c r="B17" s="54" t="s">
        <v>21</v>
      </c>
      <c r="C17" s="7">
        <v>6187.57</v>
      </c>
      <c r="D17" s="6" t="s">
        <v>76</v>
      </c>
      <c r="E17" s="25"/>
    </row>
    <row r="18" spans="1:5" ht="15.6" x14ac:dyDescent="0.3">
      <c r="A18" s="24" t="s">
        <v>8</v>
      </c>
      <c r="B18" s="6" t="s">
        <v>22</v>
      </c>
      <c r="C18" s="7">
        <v>3300</v>
      </c>
      <c r="D18" s="6">
        <v>1881975</v>
      </c>
      <c r="E18" s="25"/>
    </row>
    <row r="19" spans="1:5" ht="15.6" x14ac:dyDescent="0.3">
      <c r="A19" s="30" t="s">
        <v>70</v>
      </c>
      <c r="B19" s="55" t="s">
        <v>23</v>
      </c>
      <c r="C19" s="22">
        <v>49187.7</v>
      </c>
      <c r="D19" s="20" t="s">
        <v>77</v>
      </c>
      <c r="E19" s="52">
        <v>5000</v>
      </c>
    </row>
    <row r="20" spans="1:5" ht="15.6" x14ac:dyDescent="0.3">
      <c r="A20" s="24" t="s">
        <v>72</v>
      </c>
      <c r="B20" s="54" t="s">
        <v>44</v>
      </c>
      <c r="C20" s="10">
        <v>10885.3</v>
      </c>
      <c r="D20" s="6">
        <v>122662</v>
      </c>
      <c r="E20" s="25"/>
    </row>
    <row r="21" spans="1:5" ht="15.6" x14ac:dyDescent="0.3">
      <c r="A21" s="24" t="s">
        <v>8</v>
      </c>
      <c r="B21" s="54" t="s">
        <v>24</v>
      </c>
      <c r="C21" s="7">
        <v>7879.47</v>
      </c>
      <c r="D21" s="6" t="s">
        <v>12</v>
      </c>
      <c r="E21" s="25"/>
    </row>
    <row r="22" spans="1:5" ht="15.6" x14ac:dyDescent="0.3">
      <c r="A22" s="24" t="s">
        <v>8</v>
      </c>
      <c r="B22" s="54" t="s">
        <v>25</v>
      </c>
      <c r="C22" s="7">
        <v>18462.560000000001</v>
      </c>
      <c r="D22" s="6" t="s">
        <v>12</v>
      </c>
      <c r="E22" s="27"/>
    </row>
    <row r="23" spans="1:5" ht="15.6" x14ac:dyDescent="0.3">
      <c r="A23" s="24" t="s">
        <v>8</v>
      </c>
      <c r="B23" s="54" t="s">
        <v>26</v>
      </c>
      <c r="C23" s="7">
        <v>8771.75</v>
      </c>
      <c r="D23" s="6" t="s">
        <v>12</v>
      </c>
      <c r="E23" s="27"/>
    </row>
    <row r="24" spans="1:5" ht="15.6" x14ac:dyDescent="0.3">
      <c r="A24" s="24" t="s">
        <v>8</v>
      </c>
      <c r="B24" s="54" t="s">
        <v>45</v>
      </c>
      <c r="C24" s="7">
        <v>31523.93</v>
      </c>
      <c r="D24" s="6" t="s">
        <v>12</v>
      </c>
      <c r="E24" s="25"/>
    </row>
    <row r="25" spans="1:5" ht="15.6" x14ac:dyDescent="0.3">
      <c r="A25" s="24" t="s">
        <v>8</v>
      </c>
      <c r="B25" s="54" t="s">
        <v>27</v>
      </c>
      <c r="C25" s="7">
        <v>27463.52</v>
      </c>
      <c r="D25" s="6" t="s">
        <v>12</v>
      </c>
      <c r="E25" s="27"/>
    </row>
    <row r="26" spans="1:5" ht="15.6" x14ac:dyDescent="0.3">
      <c r="A26" s="24" t="s">
        <v>8</v>
      </c>
      <c r="B26" s="54" t="s">
        <v>28</v>
      </c>
      <c r="C26" s="7">
        <v>28902.97</v>
      </c>
      <c r="D26" s="6" t="s">
        <v>12</v>
      </c>
      <c r="E26" s="25"/>
    </row>
    <row r="27" spans="1:5" ht="15.6" x14ac:dyDescent="0.3">
      <c r="A27" s="24" t="s">
        <v>8</v>
      </c>
      <c r="B27" s="54" t="s">
        <v>29</v>
      </c>
      <c r="C27" s="7">
        <v>9047.84</v>
      </c>
      <c r="D27" s="6" t="s">
        <v>12</v>
      </c>
      <c r="E27" s="25"/>
    </row>
    <row r="28" spans="1:5" ht="15.6" x14ac:dyDescent="0.3">
      <c r="A28" s="24" t="s">
        <v>8</v>
      </c>
      <c r="B28" s="54" t="s">
        <v>30</v>
      </c>
      <c r="C28" s="7">
        <v>7263.51</v>
      </c>
      <c r="D28" s="6" t="s">
        <v>12</v>
      </c>
      <c r="E28" s="28"/>
    </row>
    <row r="29" spans="1:5" ht="15.6" x14ac:dyDescent="0.3">
      <c r="A29" s="24" t="s">
        <v>8</v>
      </c>
      <c r="B29" s="54" t="s">
        <v>31</v>
      </c>
      <c r="C29" s="7">
        <v>13333.32</v>
      </c>
      <c r="D29" s="6" t="s">
        <v>6</v>
      </c>
      <c r="E29" s="25"/>
    </row>
    <row r="30" spans="1:5" ht="15.6" x14ac:dyDescent="0.3">
      <c r="A30" s="30" t="s">
        <v>70</v>
      </c>
      <c r="B30" s="55" t="s">
        <v>32</v>
      </c>
      <c r="C30" s="22">
        <v>11250</v>
      </c>
      <c r="D30" s="20" t="s">
        <v>6</v>
      </c>
      <c r="E30" s="52">
        <v>8000</v>
      </c>
    </row>
    <row r="31" spans="1:5" ht="15.6" x14ac:dyDescent="0.3">
      <c r="A31" s="24" t="s">
        <v>8</v>
      </c>
      <c r="B31" s="54" t="s">
        <v>33</v>
      </c>
      <c r="C31" s="7">
        <v>0</v>
      </c>
      <c r="D31" s="6"/>
      <c r="E31" s="27"/>
    </row>
    <row r="32" spans="1:5" ht="15.6" x14ac:dyDescent="0.3">
      <c r="A32" s="24" t="s">
        <v>8</v>
      </c>
      <c r="B32" s="54" t="s">
        <v>34</v>
      </c>
      <c r="C32" s="7">
        <v>5658.75</v>
      </c>
      <c r="D32" s="6" t="s">
        <v>12</v>
      </c>
      <c r="E32" s="25"/>
    </row>
    <row r="33" spans="1:7" ht="15.6" x14ac:dyDescent="0.3">
      <c r="A33" s="30" t="s">
        <v>70</v>
      </c>
      <c r="B33" s="20" t="s">
        <v>46</v>
      </c>
      <c r="C33" s="22">
        <v>23250</v>
      </c>
      <c r="D33" s="20" t="s">
        <v>12</v>
      </c>
      <c r="E33" s="52">
        <v>5000</v>
      </c>
    </row>
    <row r="34" spans="1:7" ht="15.6" x14ac:dyDescent="0.3">
      <c r="A34" s="24" t="s">
        <v>8</v>
      </c>
      <c r="B34" s="6" t="s">
        <v>50</v>
      </c>
      <c r="C34" s="7">
        <v>6666.67</v>
      </c>
      <c r="D34" s="6" t="s">
        <v>6</v>
      </c>
      <c r="E34" s="28"/>
    </row>
    <row r="35" spans="1:7" ht="15.6" x14ac:dyDescent="0.3">
      <c r="A35" s="30" t="s">
        <v>73</v>
      </c>
      <c r="B35" s="55" t="s">
        <v>35</v>
      </c>
      <c r="C35" s="22">
        <v>70100.78</v>
      </c>
      <c r="D35" s="20" t="s">
        <v>12</v>
      </c>
      <c r="E35" s="31">
        <v>10000</v>
      </c>
    </row>
    <row r="36" spans="1:7" ht="15.6" x14ac:dyDescent="0.3">
      <c r="A36" s="24" t="s">
        <v>8</v>
      </c>
      <c r="B36" s="6" t="s">
        <v>36</v>
      </c>
      <c r="C36" s="7">
        <v>5050</v>
      </c>
      <c r="D36" s="6">
        <v>50115</v>
      </c>
      <c r="E36" s="27"/>
    </row>
    <row r="37" spans="1:7" ht="15.6" x14ac:dyDescent="0.3">
      <c r="A37" s="24" t="s">
        <v>67</v>
      </c>
      <c r="B37" s="4" t="s">
        <v>51</v>
      </c>
      <c r="C37" s="7">
        <v>2688.15</v>
      </c>
      <c r="D37" s="6">
        <v>1551978</v>
      </c>
      <c r="E37" s="27"/>
    </row>
    <row r="38" spans="1:7" ht="15.6" x14ac:dyDescent="0.3">
      <c r="A38" s="24" t="s">
        <v>8</v>
      </c>
      <c r="B38" s="54" t="s">
        <v>37</v>
      </c>
      <c r="C38" s="7">
        <v>1968.17</v>
      </c>
      <c r="D38" s="6" t="s">
        <v>12</v>
      </c>
      <c r="E38" s="25"/>
      <c r="G38" s="51"/>
    </row>
    <row r="39" spans="1:7" ht="15.6" x14ac:dyDescent="0.3">
      <c r="A39" s="24" t="s">
        <v>8</v>
      </c>
      <c r="B39" s="54" t="s">
        <v>47</v>
      </c>
      <c r="C39" s="7">
        <v>5834</v>
      </c>
      <c r="D39" s="6" t="s">
        <v>6</v>
      </c>
      <c r="E39" s="27"/>
      <c r="G39" s="51"/>
    </row>
    <row r="40" spans="1:7" ht="15.6" x14ac:dyDescent="0.3">
      <c r="A40" s="30" t="s">
        <v>79</v>
      </c>
      <c r="B40" s="20" t="s">
        <v>49</v>
      </c>
      <c r="C40" s="22">
        <v>103806.16</v>
      </c>
      <c r="D40" s="53" t="s">
        <v>12</v>
      </c>
      <c r="E40" s="52">
        <v>13000</v>
      </c>
      <c r="G40" s="51"/>
    </row>
    <row r="41" spans="1:7" ht="15.6" x14ac:dyDescent="0.3">
      <c r="A41" s="24" t="s">
        <v>8</v>
      </c>
      <c r="B41" s="54" t="s">
        <v>48</v>
      </c>
      <c r="C41" s="7">
        <v>0</v>
      </c>
      <c r="D41" s="6"/>
      <c r="E41" s="25"/>
      <c r="G41" s="51"/>
    </row>
    <row r="42" spans="1:7" ht="15.6" x14ac:dyDescent="0.3">
      <c r="A42" s="24" t="s">
        <v>8</v>
      </c>
      <c r="B42" s="54" t="s">
        <v>38</v>
      </c>
      <c r="C42" s="7">
        <v>0</v>
      </c>
      <c r="D42" s="6"/>
      <c r="E42" s="25"/>
    </row>
    <row r="43" spans="1:7" ht="15.6" x14ac:dyDescent="0.3">
      <c r="A43" s="57" t="s">
        <v>78</v>
      </c>
      <c r="B43" s="58" t="s">
        <v>62</v>
      </c>
      <c r="C43" s="59">
        <v>24101.06</v>
      </c>
      <c r="D43" s="60" t="s">
        <v>12</v>
      </c>
      <c r="E43" s="61">
        <v>12050.53</v>
      </c>
    </row>
    <row r="44" spans="1:7" ht="15.6" x14ac:dyDescent="0.3">
      <c r="A44" s="24" t="s">
        <v>8</v>
      </c>
      <c r="B44" s="54" t="s">
        <v>39</v>
      </c>
      <c r="C44" s="56">
        <v>1420.02</v>
      </c>
      <c r="D44" s="6">
        <v>74476</v>
      </c>
      <c r="E44" s="25"/>
    </row>
    <row r="45" spans="1:7" ht="15.6" x14ac:dyDescent="0.3">
      <c r="A45" s="24" t="s">
        <v>68</v>
      </c>
      <c r="B45" s="54" t="s">
        <v>69</v>
      </c>
      <c r="C45" s="7">
        <v>7074.96</v>
      </c>
      <c r="D45" s="6">
        <v>353781</v>
      </c>
      <c r="E45" s="25"/>
    </row>
    <row r="46" spans="1:7" ht="15.6" x14ac:dyDescent="0.3">
      <c r="A46" s="30" t="s">
        <v>70</v>
      </c>
      <c r="B46" s="20" t="s">
        <v>40</v>
      </c>
      <c r="C46" s="22">
        <v>10500</v>
      </c>
      <c r="D46" s="20" t="s">
        <v>12</v>
      </c>
      <c r="E46" s="52">
        <v>5000</v>
      </c>
    </row>
    <row r="47" spans="1:7" ht="15.6" x14ac:dyDescent="0.3">
      <c r="A47" s="24" t="s">
        <v>8</v>
      </c>
      <c r="B47" s="54" t="s">
        <v>41</v>
      </c>
      <c r="C47" s="7">
        <v>8975.39</v>
      </c>
      <c r="D47" s="6">
        <v>976795</v>
      </c>
      <c r="E47" s="25"/>
    </row>
    <row r="48" spans="1:7" ht="15.6" x14ac:dyDescent="0.3">
      <c r="A48" s="24"/>
      <c r="B48" s="4"/>
      <c r="C48" s="7"/>
      <c r="D48" s="6"/>
      <c r="E48" s="25"/>
    </row>
    <row r="49" spans="1:5" ht="15.6" x14ac:dyDescent="0.3">
      <c r="A49" s="24"/>
      <c r="B49" s="4"/>
      <c r="C49" s="7"/>
      <c r="D49" s="6"/>
      <c r="E49" s="25"/>
    </row>
    <row r="50" spans="1:5" ht="15.6" x14ac:dyDescent="0.3">
      <c r="A50" s="93" t="s">
        <v>65</v>
      </c>
      <c r="B50" s="94"/>
      <c r="C50" s="94"/>
      <c r="D50" s="94"/>
      <c r="E50" s="95"/>
    </row>
    <row r="51" spans="1:5" ht="15.6" x14ac:dyDescent="0.3">
      <c r="A51" s="11"/>
      <c r="B51" s="12"/>
      <c r="C51" s="12"/>
      <c r="D51" s="12"/>
      <c r="E51" s="13"/>
    </row>
    <row r="52" spans="1:5" ht="15.6" x14ac:dyDescent="0.3">
      <c r="A52" s="96"/>
      <c r="B52" s="97"/>
      <c r="C52" s="97"/>
      <c r="D52" s="97"/>
      <c r="E52" s="98"/>
    </row>
    <row r="53" spans="1:5" ht="15.6" x14ac:dyDescent="0.3">
      <c r="A53" s="99" t="s">
        <v>42</v>
      </c>
      <c r="B53" s="100"/>
      <c r="C53" s="14">
        <f>SUM(C4:C49)</f>
        <v>700918.22000000009</v>
      </c>
      <c r="D53" s="15"/>
      <c r="E53" s="16"/>
    </row>
  </sheetData>
  <mergeCells count="5">
    <mergeCell ref="A1:E1"/>
    <mergeCell ref="A2:E2"/>
    <mergeCell ref="A50:E50"/>
    <mergeCell ref="A52:E52"/>
    <mergeCell ref="A53:B53"/>
  </mergeCells>
  <pageMargins left="0.511811024" right="0.511811024" top="0.78740157499999996" bottom="0.78740157499999996" header="0.31496062000000002" footer="0.31496062000000002"/>
  <pageSetup paperSize="9"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E111-B99E-452D-B0C3-A52E7FCE1167}">
  <dimension ref="A1:I53"/>
  <sheetViews>
    <sheetView view="pageBreakPreview" topLeftCell="A36" zoomScaleNormal="100" zoomScaleSheetLayoutView="100" workbookViewId="0">
      <selection activeCell="A54" sqref="A54:XFD55"/>
    </sheetView>
  </sheetViews>
  <sheetFormatPr defaultRowHeight="14.4" x14ac:dyDescent="0.3"/>
  <cols>
    <col min="1" max="1" width="30.21875" customWidth="1"/>
    <col min="2" max="2" width="29.77734375" bestFit="1" customWidth="1"/>
    <col min="3" max="3" width="17.33203125" bestFit="1" customWidth="1"/>
    <col min="4" max="4" width="27.21875" bestFit="1" customWidth="1"/>
    <col min="5" max="5" width="21" customWidth="1"/>
    <col min="7" max="7" width="12.88671875" bestFit="1" customWidth="1"/>
    <col min="8" max="8" width="11.109375" bestFit="1" customWidth="1"/>
    <col min="9" max="9" width="9.33203125" bestFit="1" customWidth="1"/>
  </cols>
  <sheetData>
    <row r="1" spans="1:9" ht="21" x14ac:dyDescent="0.4">
      <c r="A1" s="87" t="s">
        <v>43</v>
      </c>
      <c r="B1" s="88"/>
      <c r="C1" s="88"/>
      <c r="D1" s="88"/>
      <c r="E1" s="89"/>
    </row>
    <row r="2" spans="1:9" x14ac:dyDescent="0.3">
      <c r="A2" s="90"/>
      <c r="B2" s="91"/>
      <c r="C2" s="91"/>
      <c r="D2" s="91"/>
      <c r="E2" s="92"/>
    </row>
    <row r="3" spans="1:9" ht="15.6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9" ht="15.6" x14ac:dyDescent="0.3">
      <c r="A4" s="24" t="s">
        <v>8</v>
      </c>
      <c r="B4" s="54" t="s">
        <v>5</v>
      </c>
      <c r="C4" s="5">
        <v>0</v>
      </c>
      <c r="D4" s="6"/>
      <c r="E4" s="25"/>
    </row>
    <row r="5" spans="1:9" ht="15.6" x14ac:dyDescent="0.3">
      <c r="A5" s="30" t="s">
        <v>88</v>
      </c>
      <c r="B5" s="55" t="s">
        <v>7</v>
      </c>
      <c r="C5" s="67">
        <v>64180.9</v>
      </c>
      <c r="D5" s="20" t="s">
        <v>86</v>
      </c>
      <c r="E5" s="52">
        <v>16440</v>
      </c>
    </row>
    <row r="6" spans="1:9" ht="15.6" x14ac:dyDescent="0.3">
      <c r="A6" s="24" t="s">
        <v>8</v>
      </c>
      <c r="B6" s="54" t="s">
        <v>9</v>
      </c>
      <c r="C6" s="5">
        <v>9555.7099999999991</v>
      </c>
      <c r="D6" s="6" t="s">
        <v>87</v>
      </c>
      <c r="E6" s="25"/>
      <c r="G6" s="51"/>
      <c r="H6" s="65"/>
      <c r="I6" s="66"/>
    </row>
    <row r="7" spans="1:9" ht="15.6" x14ac:dyDescent="0.3">
      <c r="A7" s="24" t="s">
        <v>8</v>
      </c>
      <c r="B7" s="54" t="s">
        <v>10</v>
      </c>
      <c r="C7" s="5">
        <v>10412.49</v>
      </c>
      <c r="D7" s="6" t="s">
        <v>12</v>
      </c>
      <c r="E7" s="25"/>
      <c r="G7" s="51"/>
    </row>
    <row r="8" spans="1:9" ht="15.6" x14ac:dyDescent="0.3">
      <c r="A8" s="63" t="s">
        <v>8</v>
      </c>
      <c r="B8" s="64" t="s">
        <v>91</v>
      </c>
      <c r="C8" s="17">
        <v>3049.81</v>
      </c>
      <c r="D8" s="9" t="s">
        <v>6</v>
      </c>
      <c r="E8" s="26"/>
      <c r="G8" s="51"/>
    </row>
    <row r="9" spans="1:9" ht="15.6" x14ac:dyDescent="0.3">
      <c r="A9" s="24" t="s">
        <v>8</v>
      </c>
      <c r="B9" s="54" t="s">
        <v>13</v>
      </c>
      <c r="C9" s="7">
        <v>21801.64</v>
      </c>
      <c r="D9" s="6" t="s">
        <v>82</v>
      </c>
      <c r="E9" s="27"/>
    </row>
    <row r="10" spans="1:9" ht="15.6" x14ac:dyDescent="0.3">
      <c r="A10" s="24" t="s">
        <v>8</v>
      </c>
      <c r="B10" s="54" t="s">
        <v>14</v>
      </c>
      <c r="C10" s="7">
        <v>16701.78</v>
      </c>
      <c r="D10" s="6" t="s">
        <v>6</v>
      </c>
      <c r="E10" s="28"/>
    </row>
    <row r="11" spans="1:9" ht="15.6" x14ac:dyDescent="0.3">
      <c r="A11" s="24" t="s">
        <v>8</v>
      </c>
      <c r="B11" s="54" t="s">
        <v>15</v>
      </c>
      <c r="C11" s="7">
        <v>5822.82</v>
      </c>
      <c r="D11" s="6" t="s">
        <v>12</v>
      </c>
      <c r="E11" s="25"/>
      <c r="G11" s="66"/>
    </row>
    <row r="12" spans="1:9" ht="15.6" x14ac:dyDescent="0.3">
      <c r="A12" s="24" t="s">
        <v>81</v>
      </c>
      <c r="B12" s="54" t="s">
        <v>16</v>
      </c>
      <c r="C12" s="7">
        <v>12078.78</v>
      </c>
      <c r="D12" s="6" t="s">
        <v>6</v>
      </c>
      <c r="E12" s="25"/>
    </row>
    <row r="13" spans="1:9" ht="15.6" x14ac:dyDescent="0.3">
      <c r="A13" s="24" t="s">
        <v>8</v>
      </c>
      <c r="B13" s="54" t="s">
        <v>17</v>
      </c>
      <c r="C13" s="7">
        <v>458.03</v>
      </c>
      <c r="D13" s="6" t="s">
        <v>12</v>
      </c>
      <c r="E13" s="29"/>
    </row>
    <row r="14" spans="1:9" ht="15.6" x14ac:dyDescent="0.3">
      <c r="A14" s="24" t="s">
        <v>8</v>
      </c>
      <c r="B14" s="54" t="s">
        <v>18</v>
      </c>
      <c r="C14" s="7">
        <v>10000</v>
      </c>
      <c r="D14" s="6" t="s">
        <v>6</v>
      </c>
      <c r="E14" s="25"/>
    </row>
    <row r="15" spans="1:9" ht="15.6" x14ac:dyDescent="0.3">
      <c r="A15" s="63" t="s">
        <v>8</v>
      </c>
      <c r="B15" s="64" t="s">
        <v>19</v>
      </c>
      <c r="C15" s="8">
        <v>23453.74</v>
      </c>
      <c r="D15" s="9" t="s">
        <v>12</v>
      </c>
      <c r="E15" s="27"/>
    </row>
    <row r="16" spans="1:9" ht="15.6" x14ac:dyDescent="0.3">
      <c r="A16" s="24" t="s">
        <v>8</v>
      </c>
      <c r="B16" s="54" t="s">
        <v>20</v>
      </c>
      <c r="C16" s="7">
        <v>13573.14</v>
      </c>
      <c r="D16" s="9" t="s">
        <v>12</v>
      </c>
      <c r="E16" s="25"/>
    </row>
    <row r="17" spans="1:5" ht="15.6" x14ac:dyDescent="0.3">
      <c r="A17" s="24" t="s">
        <v>8</v>
      </c>
      <c r="B17" s="54" t="s">
        <v>21</v>
      </c>
      <c r="C17" s="7">
        <v>9977.4</v>
      </c>
      <c r="D17" s="9" t="s">
        <v>12</v>
      </c>
      <c r="E17" s="25"/>
    </row>
    <row r="18" spans="1:5" ht="15.6" x14ac:dyDescent="0.3">
      <c r="A18" s="24" t="s">
        <v>8</v>
      </c>
      <c r="B18" s="6" t="s">
        <v>22</v>
      </c>
      <c r="C18" s="7">
        <v>7147.99</v>
      </c>
      <c r="D18" s="6" t="s">
        <v>12</v>
      </c>
      <c r="E18" s="25"/>
    </row>
    <row r="19" spans="1:5" ht="15.6" x14ac:dyDescent="0.3">
      <c r="A19" s="24" t="s">
        <v>81</v>
      </c>
      <c r="B19" s="54" t="s">
        <v>23</v>
      </c>
      <c r="C19" s="7">
        <v>46222.9</v>
      </c>
      <c r="D19" s="6" t="s">
        <v>89</v>
      </c>
      <c r="E19" s="25"/>
    </row>
    <row r="20" spans="1:5" ht="15.6" x14ac:dyDescent="0.3">
      <c r="A20" s="24" t="s">
        <v>81</v>
      </c>
      <c r="B20" s="54" t="s">
        <v>83</v>
      </c>
      <c r="C20" s="7">
        <v>2533.25</v>
      </c>
      <c r="D20" s="6" t="s">
        <v>6</v>
      </c>
      <c r="E20" s="25"/>
    </row>
    <row r="21" spans="1:5" ht="15.6" x14ac:dyDescent="0.3">
      <c r="A21" s="24" t="s">
        <v>81</v>
      </c>
      <c r="B21" s="54" t="s">
        <v>44</v>
      </c>
      <c r="C21" s="10">
        <v>0</v>
      </c>
      <c r="D21" s="6"/>
      <c r="E21" s="25"/>
    </row>
    <row r="22" spans="1:5" ht="15.6" x14ac:dyDescent="0.3">
      <c r="A22" s="24" t="s">
        <v>8</v>
      </c>
      <c r="B22" s="54" t="s">
        <v>24</v>
      </c>
      <c r="C22" s="7">
        <v>5521.52</v>
      </c>
      <c r="D22" s="6" t="s">
        <v>12</v>
      </c>
      <c r="E22" s="25"/>
    </row>
    <row r="23" spans="1:5" ht="15.6" x14ac:dyDescent="0.3">
      <c r="A23" s="24" t="s">
        <v>8</v>
      </c>
      <c r="B23" s="54" t="s">
        <v>25</v>
      </c>
      <c r="C23" s="7">
        <v>8910.16</v>
      </c>
      <c r="D23" s="6" t="s">
        <v>12</v>
      </c>
      <c r="E23" s="27"/>
    </row>
    <row r="24" spans="1:5" ht="15.6" x14ac:dyDescent="0.3">
      <c r="A24" s="24" t="s">
        <v>8</v>
      </c>
      <c r="B24" s="54" t="s">
        <v>26</v>
      </c>
      <c r="C24" s="7">
        <v>9906.27</v>
      </c>
      <c r="D24" s="6" t="s">
        <v>12</v>
      </c>
      <c r="E24" s="27"/>
    </row>
    <row r="25" spans="1:5" ht="15.6" x14ac:dyDescent="0.3">
      <c r="A25" s="24" t="s">
        <v>8</v>
      </c>
      <c r="B25" s="54" t="s">
        <v>45</v>
      </c>
      <c r="C25" s="7"/>
      <c r="D25" s="6"/>
      <c r="E25" s="25"/>
    </row>
    <row r="26" spans="1:5" ht="15.6" x14ac:dyDescent="0.3">
      <c r="A26" s="24" t="s">
        <v>8</v>
      </c>
      <c r="B26" s="54" t="s">
        <v>27</v>
      </c>
      <c r="C26" s="7">
        <v>17293.71</v>
      </c>
      <c r="D26" s="6" t="s">
        <v>12</v>
      </c>
      <c r="E26" s="27"/>
    </row>
    <row r="27" spans="1:5" ht="15.6" x14ac:dyDescent="0.3">
      <c r="A27" s="24" t="s">
        <v>8</v>
      </c>
      <c r="B27" s="54" t="s">
        <v>28</v>
      </c>
      <c r="C27" s="7">
        <v>30737.16</v>
      </c>
      <c r="D27" s="6" t="s">
        <v>12</v>
      </c>
      <c r="E27" s="25"/>
    </row>
    <row r="28" spans="1:5" ht="15.6" x14ac:dyDescent="0.3">
      <c r="A28" s="24" t="s">
        <v>8</v>
      </c>
      <c r="B28" s="54" t="s">
        <v>29</v>
      </c>
      <c r="C28" s="7">
        <v>9481.4599999999991</v>
      </c>
      <c r="D28" s="6"/>
      <c r="E28" s="25"/>
    </row>
    <row r="29" spans="1:5" ht="15.6" x14ac:dyDescent="0.3">
      <c r="A29" s="24" t="s">
        <v>8</v>
      </c>
      <c r="B29" s="54" t="s">
        <v>30</v>
      </c>
      <c r="C29" s="7">
        <v>28343.86</v>
      </c>
      <c r="D29" s="6" t="s">
        <v>85</v>
      </c>
      <c r="E29" s="28"/>
    </row>
    <row r="30" spans="1:5" ht="15.6" x14ac:dyDescent="0.3">
      <c r="A30" s="24" t="s">
        <v>8</v>
      </c>
      <c r="B30" s="54" t="s">
        <v>31</v>
      </c>
      <c r="C30" s="7">
        <v>17989.16</v>
      </c>
      <c r="D30" s="6" t="s">
        <v>12</v>
      </c>
      <c r="E30" s="25"/>
    </row>
    <row r="31" spans="1:5" ht="15.6" x14ac:dyDescent="0.3">
      <c r="A31" s="24" t="s">
        <v>81</v>
      </c>
      <c r="B31" s="54" t="s">
        <v>32</v>
      </c>
      <c r="C31" s="7">
        <v>55995.96</v>
      </c>
      <c r="D31" s="6" t="s">
        <v>6</v>
      </c>
      <c r="E31" s="25"/>
    </row>
    <row r="32" spans="1:5" ht="15.6" x14ac:dyDescent="0.3">
      <c r="A32" s="24" t="s">
        <v>8</v>
      </c>
      <c r="B32" s="54" t="s">
        <v>33</v>
      </c>
      <c r="C32" s="7"/>
      <c r="D32" s="6"/>
      <c r="E32" s="27"/>
    </row>
    <row r="33" spans="1:7" ht="15.6" x14ac:dyDescent="0.3">
      <c r="A33" s="24" t="s">
        <v>8</v>
      </c>
      <c r="B33" s="54" t="s">
        <v>34</v>
      </c>
      <c r="C33" s="7">
        <v>3993.36</v>
      </c>
      <c r="D33" s="6"/>
      <c r="E33" s="25"/>
    </row>
    <row r="34" spans="1:7" ht="15.6" x14ac:dyDescent="0.3">
      <c r="A34" s="24" t="s">
        <v>8</v>
      </c>
      <c r="B34" s="6" t="s">
        <v>46</v>
      </c>
      <c r="C34" s="7">
        <v>23250</v>
      </c>
      <c r="D34" s="6" t="s">
        <v>12</v>
      </c>
      <c r="E34" s="25"/>
    </row>
    <row r="35" spans="1:7" ht="15.6" x14ac:dyDescent="0.3">
      <c r="A35" s="24" t="s">
        <v>81</v>
      </c>
      <c r="B35" s="54" t="s">
        <v>35</v>
      </c>
      <c r="C35" s="7">
        <v>27592.16</v>
      </c>
      <c r="D35" s="6" t="s">
        <v>12</v>
      </c>
      <c r="E35" s="27"/>
    </row>
    <row r="36" spans="1:7" ht="15.6" x14ac:dyDescent="0.3">
      <c r="A36" s="24" t="s">
        <v>8</v>
      </c>
      <c r="B36" s="6" t="s">
        <v>36</v>
      </c>
      <c r="C36" s="7">
        <v>5056.3999999999996</v>
      </c>
      <c r="D36" s="6">
        <v>50322</v>
      </c>
      <c r="E36" s="27"/>
      <c r="G36" s="51"/>
    </row>
    <row r="37" spans="1:7" ht="15.6" x14ac:dyDescent="0.3">
      <c r="A37" s="30" t="s">
        <v>70</v>
      </c>
      <c r="B37" s="69" t="s">
        <v>51</v>
      </c>
      <c r="C37" s="22">
        <v>15370.3</v>
      </c>
      <c r="D37" s="20" t="s">
        <v>12</v>
      </c>
      <c r="E37" s="31">
        <v>5000</v>
      </c>
      <c r="G37" s="51"/>
    </row>
    <row r="38" spans="1:7" ht="15.6" x14ac:dyDescent="0.3">
      <c r="A38" s="24" t="s">
        <v>8</v>
      </c>
      <c r="B38" s="54" t="s">
        <v>37</v>
      </c>
      <c r="C38" s="7">
        <v>1849.42</v>
      </c>
      <c r="D38" s="6" t="s">
        <v>12</v>
      </c>
      <c r="E38" s="25"/>
      <c r="G38" s="51"/>
    </row>
    <row r="39" spans="1:7" ht="15.6" x14ac:dyDescent="0.3">
      <c r="A39" s="24" t="s">
        <v>81</v>
      </c>
      <c r="B39" s="6" t="s">
        <v>49</v>
      </c>
      <c r="C39" s="7">
        <v>0</v>
      </c>
      <c r="D39" s="62"/>
      <c r="E39" s="25"/>
    </row>
    <row r="40" spans="1:7" ht="15.6" x14ac:dyDescent="0.3">
      <c r="A40" s="24" t="s">
        <v>8</v>
      </c>
      <c r="B40" s="54" t="s">
        <v>48</v>
      </c>
      <c r="C40" s="7">
        <v>10000</v>
      </c>
      <c r="D40" s="6" t="s">
        <v>12</v>
      </c>
      <c r="E40" s="25"/>
    </row>
    <row r="41" spans="1:7" ht="15.6" x14ac:dyDescent="0.3">
      <c r="A41" s="24" t="s">
        <v>8</v>
      </c>
      <c r="B41" s="54" t="s">
        <v>38</v>
      </c>
      <c r="C41" s="7">
        <v>0</v>
      </c>
      <c r="D41" s="6"/>
      <c r="E41" s="25"/>
    </row>
    <row r="42" spans="1:7" ht="15.6" x14ac:dyDescent="0.3">
      <c r="A42" s="70" t="s">
        <v>78</v>
      </c>
      <c r="B42" s="71" t="s">
        <v>62</v>
      </c>
      <c r="C42" s="72">
        <v>21452.34</v>
      </c>
      <c r="D42" s="73" t="s">
        <v>12</v>
      </c>
      <c r="E42" s="74">
        <v>10726.17</v>
      </c>
    </row>
    <row r="43" spans="1:7" ht="15.6" x14ac:dyDescent="0.3">
      <c r="A43" s="24" t="s">
        <v>8</v>
      </c>
      <c r="B43" s="54" t="s">
        <v>84</v>
      </c>
      <c r="C43" s="7">
        <v>35828.839999999997</v>
      </c>
      <c r="D43" s="6" t="s">
        <v>6</v>
      </c>
      <c r="E43" s="25"/>
    </row>
    <row r="44" spans="1:7" ht="15.6" x14ac:dyDescent="0.3">
      <c r="A44" s="30" t="s">
        <v>70</v>
      </c>
      <c r="B44" s="55" t="s">
        <v>39</v>
      </c>
      <c r="C44" s="68">
        <v>63167.8</v>
      </c>
      <c r="D44" s="20" t="s">
        <v>6</v>
      </c>
      <c r="E44" s="52">
        <v>5000</v>
      </c>
    </row>
    <row r="45" spans="1:7" ht="15.6" x14ac:dyDescent="0.3">
      <c r="A45" s="24" t="s">
        <v>68</v>
      </c>
      <c r="B45" s="54" t="s">
        <v>69</v>
      </c>
      <c r="C45" s="7">
        <v>0</v>
      </c>
      <c r="D45" s="6"/>
      <c r="E45" s="25"/>
    </row>
    <row r="46" spans="1:7" ht="15.6" x14ac:dyDescent="0.3">
      <c r="A46" s="24" t="s">
        <v>8</v>
      </c>
      <c r="B46" s="6" t="s">
        <v>40</v>
      </c>
      <c r="C46" s="7">
        <v>10500</v>
      </c>
      <c r="D46" s="6" t="s">
        <v>12</v>
      </c>
      <c r="E46" s="25"/>
    </row>
    <row r="47" spans="1:7" ht="15.6" x14ac:dyDescent="0.3">
      <c r="A47" s="24" t="s">
        <v>8</v>
      </c>
      <c r="B47" s="54" t="s">
        <v>41</v>
      </c>
      <c r="C47" s="7">
        <v>13482.7</v>
      </c>
      <c r="D47" s="6" t="s">
        <v>12</v>
      </c>
      <c r="E47" s="25"/>
    </row>
    <row r="48" spans="1:7" ht="15.6" x14ac:dyDescent="0.3">
      <c r="A48" s="24"/>
      <c r="B48" s="4"/>
      <c r="C48" s="7"/>
      <c r="D48" s="6"/>
      <c r="E48" s="25"/>
    </row>
    <row r="49" spans="1:5" ht="15.6" x14ac:dyDescent="0.3">
      <c r="A49" s="24"/>
      <c r="B49" s="4"/>
      <c r="C49" s="7"/>
      <c r="D49" s="6"/>
      <c r="E49" s="25"/>
    </row>
    <row r="50" spans="1:5" ht="15.6" x14ac:dyDescent="0.3">
      <c r="A50" s="93" t="s">
        <v>80</v>
      </c>
      <c r="B50" s="94"/>
      <c r="C50" s="94"/>
      <c r="D50" s="94"/>
      <c r="E50" s="95"/>
    </row>
    <row r="51" spans="1:5" ht="15.6" x14ac:dyDescent="0.3">
      <c r="A51" s="11"/>
      <c r="B51" s="12"/>
      <c r="C51" s="12"/>
      <c r="D51" s="12"/>
      <c r="E51" s="13"/>
    </row>
    <row r="52" spans="1:5" ht="15.6" x14ac:dyDescent="0.3">
      <c r="A52" s="96"/>
      <c r="B52" s="97"/>
      <c r="C52" s="97"/>
      <c r="D52" s="97"/>
      <c r="E52" s="98"/>
    </row>
    <row r="53" spans="1:5" ht="15.6" x14ac:dyDescent="0.3">
      <c r="A53" s="99" t="s">
        <v>42</v>
      </c>
      <c r="B53" s="100"/>
      <c r="C53" s="14">
        <f>SUM(C4:C49)</f>
        <v>672692.95999999985</v>
      </c>
      <c r="D53" s="15"/>
      <c r="E53" s="16"/>
    </row>
  </sheetData>
  <sortState xmlns:xlrd2="http://schemas.microsoft.com/office/spreadsheetml/2017/richdata2" ref="A4:E47">
    <sortCondition ref="B41:B47"/>
  </sortState>
  <mergeCells count="5">
    <mergeCell ref="A1:E1"/>
    <mergeCell ref="A2:E2"/>
    <mergeCell ref="A50:E50"/>
    <mergeCell ref="A52:E52"/>
    <mergeCell ref="A53:B53"/>
  </mergeCells>
  <pageMargins left="0.511811024" right="0.511811024" top="0.78740157499999996" bottom="0.78740157499999996" header="0.31496062000000002" footer="0.31496062000000002"/>
  <pageSetup paperSize="9" scale="7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CF48-A3F7-496C-9635-086D60DD8AAE}">
  <dimension ref="A1:E53"/>
  <sheetViews>
    <sheetView view="pageBreakPreview" topLeftCell="A40" zoomScale="60" zoomScaleNormal="100" workbookViewId="0">
      <selection activeCell="A54" sqref="A54:XFD55"/>
    </sheetView>
  </sheetViews>
  <sheetFormatPr defaultRowHeight="14.4" x14ac:dyDescent="0.3"/>
  <cols>
    <col min="1" max="1" width="29" bestFit="1" customWidth="1"/>
    <col min="2" max="2" width="29.77734375" bestFit="1" customWidth="1"/>
    <col min="3" max="3" width="23.77734375" customWidth="1"/>
    <col min="4" max="4" width="26.5546875" bestFit="1" customWidth="1"/>
    <col min="5" max="5" width="16" bestFit="1" customWidth="1"/>
  </cols>
  <sheetData>
    <row r="1" spans="1:5" ht="21" x14ac:dyDescent="0.4">
      <c r="A1" s="87" t="s">
        <v>43</v>
      </c>
      <c r="B1" s="88"/>
      <c r="C1" s="88"/>
      <c r="D1" s="88"/>
      <c r="E1" s="89"/>
    </row>
    <row r="2" spans="1:5" x14ac:dyDescent="0.3">
      <c r="A2" s="90"/>
      <c r="B2" s="91"/>
      <c r="C2" s="91"/>
      <c r="D2" s="91"/>
      <c r="E2" s="92"/>
    </row>
    <row r="3" spans="1:5" ht="15.6" x14ac:dyDescent="0.3">
      <c r="A3" s="76" t="s">
        <v>0</v>
      </c>
      <c r="B3" s="77" t="s">
        <v>1</v>
      </c>
      <c r="C3" s="77" t="s">
        <v>2</v>
      </c>
      <c r="D3" s="77" t="s">
        <v>3</v>
      </c>
      <c r="E3" s="78" t="s">
        <v>4</v>
      </c>
    </row>
    <row r="4" spans="1:5" ht="15.6" x14ac:dyDescent="0.3">
      <c r="A4" s="30" t="s">
        <v>73</v>
      </c>
      <c r="B4" s="55" t="s">
        <v>5</v>
      </c>
      <c r="C4" s="67">
        <v>51666.66</v>
      </c>
      <c r="D4" s="20" t="s">
        <v>6</v>
      </c>
      <c r="E4" s="52">
        <v>10000</v>
      </c>
    </row>
    <row r="5" spans="1:5" ht="15.6" x14ac:dyDescent="0.3">
      <c r="A5" s="24" t="s">
        <v>92</v>
      </c>
      <c r="B5" s="54" t="s">
        <v>7</v>
      </c>
      <c r="C5" s="5"/>
      <c r="D5" s="6"/>
      <c r="E5" s="25"/>
    </row>
    <row r="6" spans="1:5" ht="15.6" x14ac:dyDescent="0.3">
      <c r="A6" s="24" t="s">
        <v>8</v>
      </c>
      <c r="B6" s="54" t="s">
        <v>9</v>
      </c>
      <c r="C6" s="5">
        <v>9555.7000000000007</v>
      </c>
      <c r="D6" s="6" t="s">
        <v>94</v>
      </c>
      <c r="E6" s="25"/>
    </row>
    <row r="7" spans="1:5" ht="15.6" x14ac:dyDescent="0.3">
      <c r="A7" s="24" t="s">
        <v>8</v>
      </c>
      <c r="B7" s="54" t="s">
        <v>10</v>
      </c>
      <c r="C7" s="5">
        <v>7115.68</v>
      </c>
      <c r="D7" s="6" t="s">
        <v>12</v>
      </c>
      <c r="E7" s="25"/>
    </row>
    <row r="8" spans="1:5" ht="15.6" x14ac:dyDescent="0.3">
      <c r="A8" s="63" t="s">
        <v>8</v>
      </c>
      <c r="B8" s="64" t="s">
        <v>91</v>
      </c>
      <c r="C8" s="17">
        <v>4391.84</v>
      </c>
      <c r="D8" s="9" t="s">
        <v>6</v>
      </c>
      <c r="E8" s="26"/>
    </row>
    <row r="9" spans="1:5" ht="15.6" x14ac:dyDescent="0.3">
      <c r="A9" s="24" t="s">
        <v>8</v>
      </c>
      <c r="B9" s="54" t="s">
        <v>13</v>
      </c>
      <c r="C9" s="7"/>
      <c r="D9" s="6"/>
      <c r="E9" s="27"/>
    </row>
    <row r="10" spans="1:5" ht="15.6" x14ac:dyDescent="0.3">
      <c r="A10" s="24" t="s">
        <v>8</v>
      </c>
      <c r="B10" s="54" t="s">
        <v>14</v>
      </c>
      <c r="C10" s="7">
        <v>16368.03</v>
      </c>
      <c r="D10" s="6" t="s">
        <v>6</v>
      </c>
      <c r="E10" s="28"/>
    </row>
    <row r="11" spans="1:5" ht="15.6" x14ac:dyDescent="0.3">
      <c r="A11" s="24" t="s">
        <v>8</v>
      </c>
      <c r="B11" s="54" t="s">
        <v>15</v>
      </c>
      <c r="C11" s="7">
        <v>5923.99</v>
      </c>
      <c r="D11" s="6" t="s">
        <v>12</v>
      </c>
      <c r="E11" s="25"/>
    </row>
    <row r="12" spans="1:5" ht="15.6" x14ac:dyDescent="0.3">
      <c r="A12" s="24" t="s">
        <v>81</v>
      </c>
      <c r="B12" s="54" t="s">
        <v>16</v>
      </c>
      <c r="C12" s="7">
        <v>9086.2900000000009</v>
      </c>
      <c r="D12" s="6" t="s">
        <v>6</v>
      </c>
      <c r="E12" s="25"/>
    </row>
    <row r="13" spans="1:5" ht="15.6" x14ac:dyDescent="0.3">
      <c r="A13" s="24" t="s">
        <v>8</v>
      </c>
      <c r="B13" s="54" t="s">
        <v>17</v>
      </c>
      <c r="C13" s="7">
        <v>135</v>
      </c>
      <c r="D13" s="6" t="s">
        <v>12</v>
      </c>
      <c r="E13" s="29"/>
    </row>
    <row r="14" spans="1:5" ht="15.6" x14ac:dyDescent="0.3">
      <c r="A14" s="24" t="s">
        <v>8</v>
      </c>
      <c r="B14" s="54" t="s">
        <v>18</v>
      </c>
      <c r="C14" s="7">
        <v>10000</v>
      </c>
      <c r="D14" s="6" t="s">
        <v>12</v>
      </c>
      <c r="E14" s="25"/>
    </row>
    <row r="15" spans="1:5" ht="15.6" x14ac:dyDescent="0.3">
      <c r="A15" s="63" t="s">
        <v>8</v>
      </c>
      <c r="B15" s="64" t="s">
        <v>19</v>
      </c>
      <c r="C15" s="8">
        <v>12066.88</v>
      </c>
      <c r="D15" s="6" t="s">
        <v>12</v>
      </c>
      <c r="E15" s="27"/>
    </row>
    <row r="16" spans="1:5" ht="15.6" x14ac:dyDescent="0.3">
      <c r="A16" s="24" t="s">
        <v>8</v>
      </c>
      <c r="B16" s="54" t="s">
        <v>20</v>
      </c>
      <c r="C16" s="7">
        <v>14774.31</v>
      </c>
      <c r="D16" s="6" t="s">
        <v>12</v>
      </c>
      <c r="E16" s="25"/>
    </row>
    <row r="17" spans="1:5" ht="15.6" x14ac:dyDescent="0.3">
      <c r="A17" s="24" t="s">
        <v>8</v>
      </c>
      <c r="B17" s="54" t="s">
        <v>21</v>
      </c>
      <c r="C17" s="7">
        <v>2388.25</v>
      </c>
      <c r="D17" s="9" t="s">
        <v>12</v>
      </c>
      <c r="E17" s="25"/>
    </row>
    <row r="18" spans="1:5" ht="15.6" x14ac:dyDescent="0.3">
      <c r="A18" s="24" t="s">
        <v>8</v>
      </c>
      <c r="B18" s="6" t="s">
        <v>22</v>
      </c>
      <c r="C18" s="7">
        <v>7147.99</v>
      </c>
      <c r="D18" s="9" t="s">
        <v>12</v>
      </c>
      <c r="E18" s="25"/>
    </row>
    <row r="19" spans="1:5" ht="15.6" x14ac:dyDescent="0.3">
      <c r="A19" s="24" t="s">
        <v>81</v>
      </c>
      <c r="B19" s="54" t="s">
        <v>23</v>
      </c>
      <c r="C19" s="7">
        <v>23444.33</v>
      </c>
      <c r="D19" s="9" t="s">
        <v>12</v>
      </c>
      <c r="E19" s="25"/>
    </row>
    <row r="20" spans="1:5" ht="15.6" x14ac:dyDescent="0.3">
      <c r="A20" s="24" t="s">
        <v>81</v>
      </c>
      <c r="B20" s="54" t="s">
        <v>83</v>
      </c>
      <c r="C20" s="7">
        <v>8075</v>
      </c>
      <c r="D20" s="9" t="s">
        <v>12</v>
      </c>
      <c r="E20" s="25"/>
    </row>
    <row r="21" spans="1:5" ht="15.6" x14ac:dyDescent="0.3">
      <c r="A21" s="24" t="s">
        <v>66</v>
      </c>
      <c r="B21" s="54" t="s">
        <v>44</v>
      </c>
      <c r="C21" s="10">
        <v>6046.66</v>
      </c>
      <c r="D21" s="6">
        <v>125334</v>
      </c>
      <c r="E21" s="25"/>
    </row>
    <row r="22" spans="1:5" ht="15.6" x14ac:dyDescent="0.3">
      <c r="A22" s="24" t="s">
        <v>8</v>
      </c>
      <c r="B22" s="54" t="s">
        <v>24</v>
      </c>
      <c r="C22" s="7">
        <v>13010.39</v>
      </c>
      <c r="D22" s="6" t="s">
        <v>12</v>
      </c>
      <c r="E22" s="25"/>
    </row>
    <row r="23" spans="1:5" ht="15.6" x14ac:dyDescent="0.3">
      <c r="A23" s="24" t="s">
        <v>8</v>
      </c>
      <c r="B23" s="54" t="s">
        <v>25</v>
      </c>
      <c r="C23" s="7">
        <v>16327.2</v>
      </c>
      <c r="D23" s="6" t="s">
        <v>12</v>
      </c>
      <c r="E23" s="27"/>
    </row>
    <row r="24" spans="1:5" ht="15.6" x14ac:dyDescent="0.3">
      <c r="A24" s="24" t="s">
        <v>8</v>
      </c>
      <c r="B24" s="54" t="s">
        <v>26</v>
      </c>
      <c r="C24" s="7">
        <v>5838.42</v>
      </c>
      <c r="D24" s="6" t="s">
        <v>12</v>
      </c>
      <c r="E24" s="27"/>
    </row>
    <row r="25" spans="1:5" ht="15.6" x14ac:dyDescent="0.3">
      <c r="A25" s="24" t="s">
        <v>8</v>
      </c>
      <c r="B25" s="54" t="s">
        <v>45</v>
      </c>
      <c r="C25" s="7"/>
      <c r="D25" s="6"/>
      <c r="E25" s="25"/>
    </row>
    <row r="26" spans="1:5" ht="15.6" x14ac:dyDescent="0.3">
      <c r="A26" s="24" t="s">
        <v>8</v>
      </c>
      <c r="B26" s="54" t="s">
        <v>27</v>
      </c>
      <c r="C26" s="7">
        <v>400.93</v>
      </c>
      <c r="D26" s="6" t="s">
        <v>12</v>
      </c>
      <c r="E26" s="27"/>
    </row>
    <row r="27" spans="1:5" ht="15.6" x14ac:dyDescent="0.3">
      <c r="A27" s="24" t="s">
        <v>8</v>
      </c>
      <c r="B27" s="54" t="s">
        <v>28</v>
      </c>
      <c r="C27" s="7">
        <v>27147.5</v>
      </c>
      <c r="D27" s="6" t="s">
        <v>12</v>
      </c>
      <c r="E27" s="25"/>
    </row>
    <row r="28" spans="1:5" ht="15.6" x14ac:dyDescent="0.3">
      <c r="A28" s="24" t="s">
        <v>8</v>
      </c>
      <c r="B28" s="54" t="s">
        <v>29</v>
      </c>
      <c r="C28" s="7">
        <v>14038.78</v>
      </c>
      <c r="D28" s="6" t="s">
        <v>12</v>
      </c>
      <c r="E28" s="25"/>
    </row>
    <row r="29" spans="1:5" ht="15.6" x14ac:dyDescent="0.3">
      <c r="A29" s="24" t="s">
        <v>8</v>
      </c>
      <c r="B29" s="54" t="s">
        <v>30</v>
      </c>
      <c r="C29" s="7">
        <v>12539.23</v>
      </c>
      <c r="D29" s="6" t="s">
        <v>12</v>
      </c>
      <c r="E29" s="28"/>
    </row>
    <row r="30" spans="1:5" ht="15.6" x14ac:dyDescent="0.3">
      <c r="A30" s="24" t="s">
        <v>8</v>
      </c>
      <c r="B30" s="54" t="s">
        <v>31</v>
      </c>
      <c r="C30" s="7">
        <v>16770.72</v>
      </c>
      <c r="D30" s="6" t="s">
        <v>12</v>
      </c>
      <c r="E30" s="25"/>
    </row>
    <row r="31" spans="1:5" ht="15.6" x14ac:dyDescent="0.3">
      <c r="A31" s="24" t="s">
        <v>81</v>
      </c>
      <c r="B31" s="54" t="s">
        <v>32</v>
      </c>
      <c r="C31" s="7">
        <v>34749.339999999997</v>
      </c>
      <c r="D31" s="6" t="s">
        <v>93</v>
      </c>
      <c r="E31" s="25"/>
    </row>
    <row r="32" spans="1:5" ht="15.6" x14ac:dyDescent="0.3">
      <c r="A32" s="24" t="s">
        <v>8</v>
      </c>
      <c r="B32" s="54" t="s">
        <v>33</v>
      </c>
      <c r="C32" s="7">
        <v>5541.9</v>
      </c>
      <c r="D32" s="6">
        <v>49206</v>
      </c>
      <c r="E32" s="27"/>
    </row>
    <row r="33" spans="1:5" ht="15.6" x14ac:dyDescent="0.3">
      <c r="A33" s="24" t="s">
        <v>8</v>
      </c>
      <c r="B33" s="54" t="s">
        <v>34</v>
      </c>
      <c r="C33" s="7">
        <v>4975.47</v>
      </c>
      <c r="D33" s="6" t="s">
        <v>12</v>
      </c>
      <c r="E33" s="25"/>
    </row>
    <row r="34" spans="1:5" ht="15.6" x14ac:dyDescent="0.3">
      <c r="A34" s="24" t="s">
        <v>8</v>
      </c>
      <c r="B34" s="6" t="s">
        <v>46</v>
      </c>
      <c r="C34" s="7"/>
      <c r="D34" s="6"/>
      <c r="E34" s="25"/>
    </row>
    <row r="35" spans="1:5" ht="15.6" x14ac:dyDescent="0.3">
      <c r="A35" s="24" t="s">
        <v>81</v>
      </c>
      <c r="B35" s="54" t="s">
        <v>35</v>
      </c>
      <c r="C35" s="7"/>
      <c r="D35" s="6"/>
      <c r="E35" s="27"/>
    </row>
    <row r="36" spans="1:5" ht="15.6" x14ac:dyDescent="0.3">
      <c r="A36" s="24" t="s">
        <v>8</v>
      </c>
      <c r="B36" s="6" t="s">
        <v>36</v>
      </c>
      <c r="C36" s="7"/>
      <c r="D36" s="6"/>
      <c r="E36" s="27"/>
    </row>
    <row r="37" spans="1:5" ht="15.6" x14ac:dyDescent="0.3">
      <c r="A37" s="24" t="s">
        <v>81</v>
      </c>
      <c r="B37" s="4" t="s">
        <v>51</v>
      </c>
      <c r="C37" s="7">
        <v>15536.06</v>
      </c>
      <c r="D37" s="6" t="s">
        <v>12</v>
      </c>
      <c r="E37" s="27"/>
    </row>
    <row r="38" spans="1:5" ht="15.6" x14ac:dyDescent="0.3">
      <c r="A38" s="24" t="s">
        <v>8</v>
      </c>
      <c r="B38" s="54" t="s">
        <v>37</v>
      </c>
      <c r="C38" s="7">
        <v>1592.68</v>
      </c>
      <c r="D38" s="6" t="s">
        <v>12</v>
      </c>
      <c r="E38" s="25"/>
    </row>
    <row r="39" spans="1:5" ht="15.6" x14ac:dyDescent="0.3">
      <c r="A39" s="24" t="s">
        <v>81</v>
      </c>
      <c r="B39" s="6" t="s">
        <v>49</v>
      </c>
      <c r="C39" s="7">
        <v>0</v>
      </c>
      <c r="D39" s="62"/>
      <c r="E39" s="25"/>
    </row>
    <row r="40" spans="1:5" ht="15.6" x14ac:dyDescent="0.3">
      <c r="A40" s="24" t="s">
        <v>8</v>
      </c>
      <c r="B40" s="54" t="s">
        <v>48</v>
      </c>
      <c r="C40" s="7">
        <v>11666</v>
      </c>
      <c r="D40" s="6" t="s">
        <v>12</v>
      </c>
      <c r="E40" s="25"/>
    </row>
    <row r="41" spans="1:5" ht="15.6" x14ac:dyDescent="0.3">
      <c r="A41" s="24" t="s">
        <v>8</v>
      </c>
      <c r="B41" s="54" t="s">
        <v>38</v>
      </c>
      <c r="C41" s="7"/>
      <c r="D41" s="6"/>
      <c r="E41" s="25"/>
    </row>
    <row r="42" spans="1:5" ht="15.6" x14ac:dyDescent="0.3">
      <c r="A42" s="70" t="s">
        <v>78</v>
      </c>
      <c r="B42" s="71" t="s">
        <v>62</v>
      </c>
      <c r="C42" s="72">
        <v>10553.46</v>
      </c>
      <c r="D42" s="73" t="s">
        <v>12</v>
      </c>
      <c r="E42" s="74">
        <v>5276.73</v>
      </c>
    </row>
    <row r="43" spans="1:5" ht="15.6" x14ac:dyDescent="0.3">
      <c r="A43" s="30" t="s">
        <v>8</v>
      </c>
      <c r="B43" s="55" t="s">
        <v>84</v>
      </c>
      <c r="C43" s="22">
        <v>38950.43</v>
      </c>
      <c r="D43" s="20" t="s">
        <v>6</v>
      </c>
      <c r="E43" s="52">
        <v>8000</v>
      </c>
    </row>
    <row r="44" spans="1:5" ht="15.6" x14ac:dyDescent="0.3">
      <c r="A44" s="24" t="s">
        <v>81</v>
      </c>
      <c r="B44" s="54" t="s">
        <v>39</v>
      </c>
      <c r="C44" s="75">
        <v>26069.42</v>
      </c>
      <c r="D44" s="6" t="s">
        <v>6</v>
      </c>
      <c r="E44" s="25"/>
    </row>
    <row r="45" spans="1:5" ht="15.6" x14ac:dyDescent="0.3">
      <c r="A45" s="24" t="s">
        <v>68</v>
      </c>
      <c r="B45" s="54" t="s">
        <v>69</v>
      </c>
      <c r="C45" s="7"/>
      <c r="D45" s="6"/>
      <c r="E45" s="25"/>
    </row>
    <row r="46" spans="1:5" ht="15.6" x14ac:dyDescent="0.3">
      <c r="A46" s="24" t="s">
        <v>8</v>
      </c>
      <c r="B46" s="6" t="s">
        <v>40</v>
      </c>
      <c r="C46" s="7">
        <v>10500</v>
      </c>
      <c r="D46" s="6" t="s">
        <v>12</v>
      </c>
      <c r="E46" s="25"/>
    </row>
    <row r="47" spans="1:5" ht="15.6" x14ac:dyDescent="0.3">
      <c r="A47" s="24" t="s">
        <v>8</v>
      </c>
      <c r="B47" s="54" t="s">
        <v>41</v>
      </c>
      <c r="C47" s="7">
        <v>18133.07</v>
      </c>
      <c r="D47" s="6" t="s">
        <v>12</v>
      </c>
      <c r="E47" s="25"/>
    </row>
    <row r="48" spans="1:5" ht="15.6" x14ac:dyDescent="0.3">
      <c r="A48" s="24"/>
      <c r="B48" s="4"/>
      <c r="C48" s="7"/>
      <c r="D48" s="6"/>
      <c r="E48" s="25"/>
    </row>
    <row r="49" spans="1:5" ht="15.6" x14ac:dyDescent="0.3">
      <c r="A49" s="24"/>
      <c r="B49" s="4"/>
      <c r="C49" s="7"/>
      <c r="D49" s="6"/>
      <c r="E49" s="25"/>
    </row>
    <row r="50" spans="1:5" ht="15.6" x14ac:dyDescent="0.3">
      <c r="A50" s="93" t="s">
        <v>90</v>
      </c>
      <c r="B50" s="94"/>
      <c r="C50" s="94"/>
      <c r="D50" s="94"/>
      <c r="E50" s="95"/>
    </row>
    <row r="51" spans="1:5" ht="15.6" x14ac:dyDescent="0.3">
      <c r="A51" s="11"/>
      <c r="B51" s="12"/>
      <c r="C51" s="12"/>
      <c r="D51" s="12"/>
      <c r="E51" s="13"/>
    </row>
    <row r="52" spans="1:5" ht="15.6" x14ac:dyDescent="0.3">
      <c r="A52" s="96"/>
      <c r="B52" s="97"/>
      <c r="C52" s="97"/>
      <c r="D52" s="97"/>
      <c r="E52" s="98"/>
    </row>
    <row r="53" spans="1:5" ht="15.6" x14ac:dyDescent="0.3">
      <c r="A53" s="99" t="s">
        <v>42</v>
      </c>
      <c r="B53" s="100"/>
      <c r="C53" s="14">
        <f>SUM(C4:C49)</f>
        <v>472527.61</v>
      </c>
      <c r="D53" s="15"/>
      <c r="E53" s="16"/>
    </row>
  </sheetData>
  <mergeCells count="5">
    <mergeCell ref="A1:E1"/>
    <mergeCell ref="A2:E2"/>
    <mergeCell ref="A50:E50"/>
    <mergeCell ref="A52:E52"/>
    <mergeCell ref="A53:B53"/>
  </mergeCells>
  <pageMargins left="0.511811024" right="0.511811024" top="0.78740157499999996" bottom="0.78740157499999996" header="0.31496062000000002" footer="0.31496062000000002"/>
  <pageSetup paperSize="9"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90E2-E582-480B-AA59-F66E4C63C1A8}">
  <dimension ref="A1:E52"/>
  <sheetViews>
    <sheetView view="pageBreakPreview" topLeftCell="A14" zoomScaleNormal="100" zoomScaleSheetLayoutView="100" workbookViewId="0">
      <selection activeCell="A53" sqref="A53:XFD54"/>
    </sheetView>
  </sheetViews>
  <sheetFormatPr defaultRowHeight="14.4" x14ac:dyDescent="0.3"/>
  <cols>
    <col min="1" max="1" width="31" bestFit="1" customWidth="1"/>
    <col min="2" max="2" width="29.77734375" bestFit="1" customWidth="1"/>
    <col min="3" max="3" width="16" bestFit="1" customWidth="1"/>
    <col min="4" max="4" width="22.109375" bestFit="1" customWidth="1"/>
    <col min="5" max="5" width="16" bestFit="1" customWidth="1"/>
  </cols>
  <sheetData>
    <row r="1" spans="1:5" ht="21" x14ac:dyDescent="0.4">
      <c r="A1" s="87" t="s">
        <v>43</v>
      </c>
      <c r="B1" s="88"/>
      <c r="C1" s="88"/>
      <c r="D1" s="88"/>
      <c r="E1" s="89"/>
    </row>
    <row r="2" spans="1:5" x14ac:dyDescent="0.3">
      <c r="A2" s="90"/>
      <c r="B2" s="91"/>
      <c r="C2" s="91"/>
      <c r="D2" s="91"/>
      <c r="E2" s="92"/>
    </row>
    <row r="3" spans="1:5" ht="15.6" x14ac:dyDescent="0.3">
      <c r="A3" s="76" t="s">
        <v>0</v>
      </c>
      <c r="B3" s="77" t="s">
        <v>1</v>
      </c>
      <c r="C3" s="77" t="s">
        <v>2</v>
      </c>
      <c r="D3" s="77" t="s">
        <v>3</v>
      </c>
      <c r="E3" s="78" t="s">
        <v>4</v>
      </c>
    </row>
    <row r="4" spans="1:5" ht="15.6" x14ac:dyDescent="0.3">
      <c r="A4" s="24" t="s">
        <v>81</v>
      </c>
      <c r="B4" s="54" t="s">
        <v>5</v>
      </c>
      <c r="C4" s="5"/>
      <c r="D4" s="6" t="s">
        <v>6</v>
      </c>
      <c r="E4" s="25"/>
    </row>
    <row r="5" spans="1:5" ht="15.6" x14ac:dyDescent="0.3">
      <c r="A5" s="30" t="s">
        <v>92</v>
      </c>
      <c r="B5" s="55" t="s">
        <v>7</v>
      </c>
      <c r="C5" s="67">
        <v>45361.75</v>
      </c>
      <c r="D5" s="20" t="s">
        <v>6</v>
      </c>
      <c r="E5" s="52">
        <v>9072.35</v>
      </c>
    </row>
    <row r="6" spans="1:5" ht="15.6" x14ac:dyDescent="0.3">
      <c r="A6" s="24" t="s">
        <v>8</v>
      </c>
      <c r="B6" s="54" t="s">
        <v>9</v>
      </c>
      <c r="C6" s="5">
        <v>9555.7000000000007</v>
      </c>
      <c r="D6" s="6" t="s">
        <v>97</v>
      </c>
      <c r="E6" s="25"/>
    </row>
    <row r="7" spans="1:5" ht="15.6" x14ac:dyDescent="0.3">
      <c r="A7" s="24" t="s">
        <v>8</v>
      </c>
      <c r="B7" s="54" t="s">
        <v>10</v>
      </c>
      <c r="C7" s="5">
        <v>11027.48</v>
      </c>
      <c r="D7" s="6" t="s">
        <v>12</v>
      </c>
      <c r="E7" s="25"/>
    </row>
    <row r="8" spans="1:5" ht="15.6" x14ac:dyDescent="0.3">
      <c r="A8" s="63" t="s">
        <v>8</v>
      </c>
      <c r="B8" s="64" t="s">
        <v>91</v>
      </c>
      <c r="C8" s="17">
        <v>9416.74</v>
      </c>
      <c r="D8" s="9" t="s">
        <v>6</v>
      </c>
      <c r="E8" s="26"/>
    </row>
    <row r="9" spans="1:5" ht="15.6" x14ac:dyDescent="0.3">
      <c r="A9" s="24" t="s">
        <v>8</v>
      </c>
      <c r="B9" s="54" t="s">
        <v>13</v>
      </c>
      <c r="C9" s="7">
        <v>35371.699999999997</v>
      </c>
      <c r="D9" s="6" t="s">
        <v>96</v>
      </c>
      <c r="E9" s="27"/>
    </row>
    <row r="10" spans="1:5" ht="15.6" x14ac:dyDescent="0.3">
      <c r="A10" s="24" t="s">
        <v>8</v>
      </c>
      <c r="B10" s="54" t="s">
        <v>14</v>
      </c>
      <c r="C10" s="7">
        <v>16355.37</v>
      </c>
      <c r="D10" s="6" t="s">
        <v>6</v>
      </c>
      <c r="E10" s="28"/>
    </row>
    <row r="11" spans="1:5" ht="15.6" x14ac:dyDescent="0.3">
      <c r="A11" s="24" t="s">
        <v>8</v>
      </c>
      <c r="B11" s="54" t="s">
        <v>15</v>
      </c>
      <c r="C11" s="7">
        <v>3705.34</v>
      </c>
      <c r="D11" s="6" t="s">
        <v>12</v>
      </c>
      <c r="E11" s="25"/>
    </row>
    <row r="12" spans="1:5" ht="15.6" x14ac:dyDescent="0.3">
      <c r="A12" s="24" t="s">
        <v>99</v>
      </c>
      <c r="B12" s="54" t="s">
        <v>16</v>
      </c>
      <c r="C12" s="7">
        <v>18392.39</v>
      </c>
      <c r="D12" s="6" t="s">
        <v>6</v>
      </c>
      <c r="E12" s="25"/>
    </row>
    <row r="13" spans="1:5" ht="15.6" x14ac:dyDescent="0.3">
      <c r="A13" s="24" t="s">
        <v>8</v>
      </c>
      <c r="B13" s="54" t="s">
        <v>17</v>
      </c>
      <c r="C13" s="7">
        <v>967.41</v>
      </c>
      <c r="D13" s="6" t="s">
        <v>12</v>
      </c>
      <c r="E13" s="29"/>
    </row>
    <row r="14" spans="1:5" ht="15.6" x14ac:dyDescent="0.3">
      <c r="A14" s="24" t="s">
        <v>8</v>
      </c>
      <c r="B14" s="54" t="s">
        <v>18</v>
      </c>
      <c r="C14" s="7">
        <v>10000</v>
      </c>
      <c r="D14" s="6" t="s">
        <v>12</v>
      </c>
      <c r="E14" s="25"/>
    </row>
    <row r="15" spans="1:5" ht="15.6" x14ac:dyDescent="0.3">
      <c r="A15" s="70" t="s">
        <v>53</v>
      </c>
      <c r="B15" s="71" t="s">
        <v>19</v>
      </c>
      <c r="C15" s="72">
        <v>46947.92</v>
      </c>
      <c r="D15" s="20" t="s">
        <v>12</v>
      </c>
      <c r="E15" s="31">
        <v>10000</v>
      </c>
    </row>
    <row r="16" spans="1:5" ht="15.6" x14ac:dyDescent="0.3">
      <c r="A16" s="30" t="s">
        <v>53</v>
      </c>
      <c r="B16" s="55" t="s">
        <v>20</v>
      </c>
      <c r="C16" s="22">
        <v>18105.18</v>
      </c>
      <c r="D16" s="20" t="s">
        <v>12</v>
      </c>
      <c r="E16" s="52">
        <v>5000</v>
      </c>
    </row>
    <row r="17" spans="1:5" ht="15.6" x14ac:dyDescent="0.3">
      <c r="A17" s="24" t="s">
        <v>8</v>
      </c>
      <c r="B17" s="54" t="s">
        <v>21</v>
      </c>
      <c r="C17" s="7">
        <v>9569.2900000000009</v>
      </c>
      <c r="D17" s="9" t="s">
        <v>12</v>
      </c>
      <c r="E17" s="25"/>
    </row>
    <row r="18" spans="1:5" ht="15.6" x14ac:dyDescent="0.3">
      <c r="A18" s="24" t="s">
        <v>8</v>
      </c>
      <c r="B18" s="6" t="s">
        <v>22</v>
      </c>
      <c r="C18" s="7">
        <v>14295.98</v>
      </c>
      <c r="D18" s="9" t="s">
        <v>12</v>
      </c>
      <c r="E18" s="25"/>
    </row>
    <row r="19" spans="1:5" ht="15.6" x14ac:dyDescent="0.3">
      <c r="A19" s="24" t="s">
        <v>81</v>
      </c>
      <c r="B19" s="54" t="s">
        <v>23</v>
      </c>
      <c r="C19" s="7">
        <v>40217.300000000003</v>
      </c>
      <c r="D19" s="9" t="s">
        <v>12</v>
      </c>
      <c r="E19" s="25"/>
    </row>
    <row r="20" spans="1:5" ht="15.6" x14ac:dyDescent="0.3">
      <c r="A20" s="24" t="s">
        <v>81</v>
      </c>
      <c r="B20" s="54" t="s">
        <v>83</v>
      </c>
      <c r="C20" s="7">
        <v>2778.24</v>
      </c>
      <c r="D20" s="9" t="s">
        <v>12</v>
      </c>
      <c r="E20" s="25"/>
    </row>
    <row r="21" spans="1:5" ht="15.6" x14ac:dyDescent="0.3">
      <c r="A21" s="24" t="s">
        <v>8</v>
      </c>
      <c r="B21" s="54" t="s">
        <v>24</v>
      </c>
      <c r="C21" s="7">
        <v>11836.55</v>
      </c>
      <c r="D21" s="6" t="s">
        <v>12</v>
      </c>
      <c r="E21" s="25"/>
    </row>
    <row r="22" spans="1:5" ht="15.6" x14ac:dyDescent="0.3">
      <c r="A22" s="24" t="s">
        <v>8</v>
      </c>
      <c r="B22" s="54" t="s">
        <v>25</v>
      </c>
      <c r="C22" s="7">
        <v>11151.99</v>
      </c>
      <c r="D22" s="6" t="s">
        <v>12</v>
      </c>
      <c r="E22" s="27"/>
    </row>
    <row r="23" spans="1:5" ht="15.6" x14ac:dyDescent="0.3">
      <c r="A23" s="24" t="s">
        <v>8</v>
      </c>
      <c r="B23" s="54" t="s">
        <v>26</v>
      </c>
      <c r="C23" s="7">
        <v>0</v>
      </c>
      <c r="D23" s="6" t="s">
        <v>12</v>
      </c>
      <c r="E23" s="27"/>
    </row>
    <row r="24" spans="1:5" ht="15.6" x14ac:dyDescent="0.3">
      <c r="A24" s="24" t="s">
        <v>8</v>
      </c>
      <c r="B24" s="54" t="s">
        <v>45</v>
      </c>
      <c r="C24" s="7">
        <v>0</v>
      </c>
      <c r="D24" s="6"/>
      <c r="E24" s="25"/>
    </row>
    <row r="25" spans="1:5" ht="15.6" x14ac:dyDescent="0.3">
      <c r="A25" s="24" t="s">
        <v>8</v>
      </c>
      <c r="B25" s="54" t="s">
        <v>27</v>
      </c>
      <c r="C25" s="7">
        <v>16726.57</v>
      </c>
      <c r="D25" s="6" t="s">
        <v>12</v>
      </c>
      <c r="E25" s="27"/>
    </row>
    <row r="26" spans="1:5" ht="15.6" x14ac:dyDescent="0.3">
      <c r="A26" s="24" t="s">
        <v>8</v>
      </c>
      <c r="B26" s="54" t="s">
        <v>28</v>
      </c>
      <c r="C26" s="7">
        <v>31062.53</v>
      </c>
      <c r="D26" s="6" t="s">
        <v>12</v>
      </c>
      <c r="E26" s="25"/>
    </row>
    <row r="27" spans="1:5" ht="15.6" x14ac:dyDescent="0.3">
      <c r="A27" s="24" t="s">
        <v>8</v>
      </c>
      <c r="B27" s="54" t="s">
        <v>29</v>
      </c>
      <c r="C27" s="7">
        <v>11006.07</v>
      </c>
      <c r="D27" s="6" t="s">
        <v>12</v>
      </c>
      <c r="E27" s="25"/>
    </row>
    <row r="28" spans="1:5" ht="15.6" x14ac:dyDescent="0.3">
      <c r="A28" s="24" t="s">
        <v>8</v>
      </c>
      <c r="B28" s="54" t="s">
        <v>30</v>
      </c>
      <c r="C28" s="7">
        <v>8562.31</v>
      </c>
      <c r="D28" s="6" t="s">
        <v>12</v>
      </c>
      <c r="E28" s="28"/>
    </row>
    <row r="29" spans="1:5" ht="15.6" x14ac:dyDescent="0.3">
      <c r="A29" s="24" t="s">
        <v>8</v>
      </c>
      <c r="B29" s="54" t="s">
        <v>31</v>
      </c>
      <c r="C29" s="7">
        <v>11085.32</v>
      </c>
      <c r="D29" s="6" t="s">
        <v>12</v>
      </c>
      <c r="E29" s="25"/>
    </row>
    <row r="30" spans="1:5" ht="15.6" x14ac:dyDescent="0.3">
      <c r="A30" s="24" t="s">
        <v>81</v>
      </c>
      <c r="B30" s="54" t="s">
        <v>32</v>
      </c>
      <c r="C30" s="7">
        <v>16780.75</v>
      </c>
      <c r="D30" s="6" t="s">
        <v>93</v>
      </c>
      <c r="E30" s="25"/>
    </row>
    <row r="31" spans="1:5" ht="15.6" x14ac:dyDescent="0.3">
      <c r="A31" s="24" t="s">
        <v>8</v>
      </c>
      <c r="B31" s="54" t="s">
        <v>33</v>
      </c>
      <c r="C31" s="7"/>
      <c r="D31" s="6"/>
      <c r="E31" s="27"/>
    </row>
    <row r="32" spans="1:5" ht="15.6" x14ac:dyDescent="0.3">
      <c r="A32" s="24" t="s">
        <v>8</v>
      </c>
      <c r="B32" s="54" t="s">
        <v>34</v>
      </c>
      <c r="C32" s="7">
        <v>7509.45</v>
      </c>
      <c r="D32" s="6" t="s">
        <v>12</v>
      </c>
      <c r="E32" s="25"/>
    </row>
    <row r="33" spans="1:5" ht="15.6" x14ac:dyDescent="0.3">
      <c r="A33" s="24" t="s">
        <v>8</v>
      </c>
      <c r="B33" s="6" t="s">
        <v>46</v>
      </c>
      <c r="C33" s="7"/>
      <c r="D33" s="6"/>
      <c r="E33" s="25"/>
    </row>
    <row r="34" spans="1:5" ht="15.6" x14ac:dyDescent="0.3">
      <c r="A34" s="24" t="s">
        <v>81</v>
      </c>
      <c r="B34" s="54" t="s">
        <v>35</v>
      </c>
      <c r="C34" s="7">
        <v>32000.53</v>
      </c>
      <c r="D34" s="6" t="s">
        <v>12</v>
      </c>
      <c r="E34" s="27"/>
    </row>
    <row r="35" spans="1:5" ht="15.6" x14ac:dyDescent="0.3">
      <c r="A35" s="24" t="s">
        <v>8</v>
      </c>
      <c r="B35" s="6" t="s">
        <v>36</v>
      </c>
      <c r="C35" s="7">
        <v>5050</v>
      </c>
      <c r="D35" s="6">
        <v>51020</v>
      </c>
      <c r="E35" s="27"/>
    </row>
    <row r="36" spans="1:5" ht="15.6" x14ac:dyDescent="0.3">
      <c r="A36" s="24" t="s">
        <v>81</v>
      </c>
      <c r="B36" s="4" t="s">
        <v>51</v>
      </c>
      <c r="C36" s="7">
        <v>32684.639999999999</v>
      </c>
      <c r="D36" s="6" t="s">
        <v>12</v>
      </c>
      <c r="E36" s="27"/>
    </row>
    <row r="37" spans="1:5" ht="15.6" x14ac:dyDescent="0.3">
      <c r="A37" s="24" t="s">
        <v>8</v>
      </c>
      <c r="B37" s="54" t="s">
        <v>37</v>
      </c>
      <c r="C37" s="7">
        <v>1635.42</v>
      </c>
      <c r="D37" s="6" t="s">
        <v>12</v>
      </c>
      <c r="E37" s="25"/>
    </row>
    <row r="38" spans="1:5" ht="15.6" x14ac:dyDescent="0.3">
      <c r="A38" s="24" t="s">
        <v>81</v>
      </c>
      <c r="B38" s="6" t="s">
        <v>49</v>
      </c>
      <c r="C38" s="7">
        <v>0</v>
      </c>
      <c r="D38" s="6" t="s">
        <v>12</v>
      </c>
      <c r="E38" s="25"/>
    </row>
    <row r="39" spans="1:5" ht="15.6" x14ac:dyDescent="0.3">
      <c r="A39" s="24" t="s">
        <v>8</v>
      </c>
      <c r="B39" s="54" t="s">
        <v>48</v>
      </c>
      <c r="C39" s="7">
        <v>0</v>
      </c>
      <c r="D39" s="6" t="s">
        <v>12</v>
      </c>
      <c r="E39" s="25"/>
    </row>
    <row r="40" spans="1:5" ht="15.6" x14ac:dyDescent="0.3">
      <c r="A40" s="70" t="s">
        <v>78</v>
      </c>
      <c r="B40" s="71" t="s">
        <v>62</v>
      </c>
      <c r="C40" s="79">
        <v>29259.3</v>
      </c>
      <c r="D40" s="73" t="s">
        <v>12</v>
      </c>
      <c r="E40" s="74">
        <v>14629.65</v>
      </c>
    </row>
    <row r="41" spans="1:5" ht="15.6" x14ac:dyDescent="0.3">
      <c r="A41" s="24" t="s">
        <v>8</v>
      </c>
      <c r="B41" s="54" t="s">
        <v>84</v>
      </c>
      <c r="C41" s="7">
        <v>38950.43</v>
      </c>
      <c r="D41" s="6" t="s">
        <v>6</v>
      </c>
      <c r="E41" s="25"/>
    </row>
    <row r="42" spans="1:5" ht="15.6" x14ac:dyDescent="0.3">
      <c r="A42" s="24" t="s">
        <v>8</v>
      </c>
      <c r="B42" s="54" t="s">
        <v>98</v>
      </c>
      <c r="C42" s="7">
        <v>4749.1899999999996</v>
      </c>
      <c r="D42" s="6" t="s">
        <v>12</v>
      </c>
      <c r="E42" s="25"/>
    </row>
    <row r="43" spans="1:5" ht="15.6" x14ac:dyDescent="0.3">
      <c r="A43" s="24" t="s">
        <v>81</v>
      </c>
      <c r="B43" s="54" t="s">
        <v>39</v>
      </c>
      <c r="C43" s="8">
        <v>0</v>
      </c>
      <c r="D43" s="6" t="s">
        <v>6</v>
      </c>
      <c r="E43" s="25"/>
    </row>
    <row r="44" spans="1:5" ht="15.6" x14ac:dyDescent="0.3">
      <c r="A44" s="24" t="s">
        <v>68</v>
      </c>
      <c r="B44" s="54" t="s">
        <v>69</v>
      </c>
      <c r="C44" s="7">
        <v>12497.6</v>
      </c>
      <c r="D44" s="6">
        <v>362376</v>
      </c>
      <c r="E44" s="25"/>
    </row>
    <row r="45" spans="1:5" ht="15.6" x14ac:dyDescent="0.3">
      <c r="A45" s="24" t="s">
        <v>8</v>
      </c>
      <c r="B45" s="6" t="s">
        <v>40</v>
      </c>
      <c r="C45" s="7">
        <v>0</v>
      </c>
      <c r="D45" s="6" t="s">
        <v>12</v>
      </c>
      <c r="E45" s="25"/>
    </row>
    <row r="46" spans="1:5" ht="15.6" x14ac:dyDescent="0.3">
      <c r="A46" s="24" t="s">
        <v>8</v>
      </c>
      <c r="B46" s="54" t="s">
        <v>41</v>
      </c>
      <c r="C46" s="7">
        <v>9237.4500000000007</v>
      </c>
      <c r="D46" s="6" t="s">
        <v>12</v>
      </c>
      <c r="E46" s="25"/>
    </row>
    <row r="47" spans="1:5" ht="15.6" x14ac:dyDescent="0.3">
      <c r="A47" s="24"/>
      <c r="B47" s="4"/>
      <c r="C47" s="7"/>
      <c r="D47" s="6"/>
      <c r="E47" s="25"/>
    </row>
    <row r="48" spans="1:5" ht="15.6" x14ac:dyDescent="0.3">
      <c r="A48" s="24"/>
      <c r="B48" s="4"/>
      <c r="C48" s="7"/>
      <c r="D48" s="6"/>
      <c r="E48" s="25"/>
    </row>
    <row r="49" spans="1:5" ht="15.6" x14ac:dyDescent="0.3">
      <c r="A49" s="93" t="s">
        <v>95</v>
      </c>
      <c r="B49" s="94"/>
      <c r="C49" s="94"/>
      <c r="D49" s="94"/>
      <c r="E49" s="95"/>
    </row>
    <row r="50" spans="1:5" ht="15.6" x14ac:dyDescent="0.3">
      <c r="A50" s="11"/>
      <c r="B50" s="12"/>
      <c r="C50" s="12"/>
      <c r="D50" s="12"/>
      <c r="E50" s="13"/>
    </row>
    <row r="51" spans="1:5" ht="15.6" x14ac:dyDescent="0.3">
      <c r="A51" s="96"/>
      <c r="B51" s="97"/>
      <c r="C51" s="97"/>
      <c r="D51" s="97"/>
      <c r="E51" s="98"/>
    </row>
    <row r="52" spans="1:5" ht="15.6" x14ac:dyDescent="0.3">
      <c r="A52" s="99" t="s">
        <v>42</v>
      </c>
      <c r="B52" s="100"/>
      <c r="C52" s="14">
        <f>SUM(C4:C48)</f>
        <v>583853.8899999999</v>
      </c>
      <c r="D52" s="15"/>
      <c r="E52" s="16"/>
    </row>
  </sheetData>
  <mergeCells count="5">
    <mergeCell ref="A1:E1"/>
    <mergeCell ref="A2:E2"/>
    <mergeCell ref="A49:E49"/>
    <mergeCell ref="A51:E51"/>
    <mergeCell ref="A52:B52"/>
  </mergeCells>
  <pageMargins left="0.511811024" right="0.511811024" top="0.78740157499999996" bottom="0.78740157499999996" header="0.31496062000000002" footer="0.31496062000000002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732B-972D-4EA0-A459-BA8E9C487915}">
  <dimension ref="A1:H47"/>
  <sheetViews>
    <sheetView tabSelected="1" view="pageBreakPreview" topLeftCell="A13" zoomScaleNormal="100" zoomScaleSheetLayoutView="100" workbookViewId="0">
      <selection activeCell="A48" sqref="A48:XFD49"/>
    </sheetView>
  </sheetViews>
  <sheetFormatPr defaultRowHeight="14.4" x14ac:dyDescent="0.3"/>
  <cols>
    <col min="1" max="1" width="31" bestFit="1" customWidth="1"/>
    <col min="2" max="2" width="29.77734375" bestFit="1" customWidth="1"/>
    <col min="3" max="3" width="16" bestFit="1" customWidth="1"/>
    <col min="4" max="4" width="23.44140625" customWidth="1"/>
    <col min="5" max="5" width="22.6640625" bestFit="1" customWidth="1"/>
    <col min="7" max="8" width="12.88671875" bestFit="1" customWidth="1"/>
  </cols>
  <sheetData>
    <row r="1" spans="1:7" ht="21" x14ac:dyDescent="0.4">
      <c r="A1" s="87" t="s">
        <v>43</v>
      </c>
      <c r="B1" s="88"/>
      <c r="C1" s="88"/>
      <c r="D1" s="88"/>
      <c r="E1" s="89"/>
    </row>
    <row r="2" spans="1:7" x14ac:dyDescent="0.3">
      <c r="A2" s="90"/>
      <c r="B2" s="91"/>
      <c r="C2" s="91"/>
      <c r="D2" s="91"/>
      <c r="E2" s="92"/>
    </row>
    <row r="3" spans="1:7" ht="15.6" x14ac:dyDescent="0.3">
      <c r="A3" s="76" t="s">
        <v>0</v>
      </c>
      <c r="B3" s="77" t="s">
        <v>1</v>
      </c>
      <c r="C3" s="77" t="s">
        <v>2</v>
      </c>
      <c r="D3" s="77" t="s">
        <v>3</v>
      </c>
      <c r="E3" s="78" t="s">
        <v>4</v>
      </c>
    </row>
    <row r="4" spans="1:7" ht="15.6" x14ac:dyDescent="0.3">
      <c r="A4" s="24" t="s">
        <v>81</v>
      </c>
      <c r="B4" s="54" t="s">
        <v>5</v>
      </c>
      <c r="C4" s="5">
        <v>51666.64</v>
      </c>
      <c r="D4" s="6" t="s">
        <v>6</v>
      </c>
      <c r="E4" s="25"/>
    </row>
    <row r="5" spans="1:7" ht="15.6" x14ac:dyDescent="0.3">
      <c r="A5" s="80" t="s">
        <v>92</v>
      </c>
      <c r="B5" s="81" t="s">
        <v>7</v>
      </c>
      <c r="C5" s="84">
        <v>59731</v>
      </c>
      <c r="D5" s="83" t="s">
        <v>101</v>
      </c>
      <c r="E5" s="85">
        <v>11946.2</v>
      </c>
    </row>
    <row r="6" spans="1:7" ht="15.6" x14ac:dyDescent="0.3">
      <c r="A6" s="24" t="s">
        <v>8</v>
      </c>
      <c r="B6" s="54" t="s">
        <v>9</v>
      </c>
      <c r="C6" s="5">
        <v>4090</v>
      </c>
      <c r="D6" s="6" t="s">
        <v>6</v>
      </c>
      <c r="E6" s="25"/>
    </row>
    <row r="7" spans="1:7" ht="15.6" x14ac:dyDescent="0.3">
      <c r="A7" s="24" t="s">
        <v>8</v>
      </c>
      <c r="B7" s="54" t="s">
        <v>10</v>
      </c>
      <c r="C7" s="5">
        <v>10144.870000000001</v>
      </c>
      <c r="D7" s="6" t="s">
        <v>12</v>
      </c>
      <c r="E7" s="25"/>
    </row>
    <row r="8" spans="1:7" ht="15.6" x14ac:dyDescent="0.3">
      <c r="A8" s="63" t="s">
        <v>8</v>
      </c>
      <c r="B8" s="64" t="s">
        <v>91</v>
      </c>
      <c r="C8" s="17">
        <v>6276.74</v>
      </c>
      <c r="D8" s="9" t="s">
        <v>6</v>
      </c>
      <c r="E8" s="26"/>
    </row>
    <row r="9" spans="1:7" ht="15.6" x14ac:dyDescent="0.3">
      <c r="A9" s="24" t="s">
        <v>8</v>
      </c>
      <c r="B9" s="54" t="s">
        <v>13</v>
      </c>
      <c r="C9" s="7">
        <v>12360.6</v>
      </c>
      <c r="D9" s="6">
        <v>184840</v>
      </c>
      <c r="E9" s="27"/>
      <c r="G9" s="51"/>
    </row>
    <row r="10" spans="1:7" ht="15.6" x14ac:dyDescent="0.3">
      <c r="A10" s="24" t="s">
        <v>8</v>
      </c>
      <c r="B10" s="54" t="s">
        <v>14</v>
      </c>
      <c r="C10" s="7">
        <v>25143.46</v>
      </c>
      <c r="D10" s="6" t="s">
        <v>6</v>
      </c>
      <c r="E10" s="28"/>
      <c r="G10" s="51"/>
    </row>
    <row r="11" spans="1:7" ht="15.6" x14ac:dyDescent="0.3">
      <c r="A11" s="24" t="s">
        <v>8</v>
      </c>
      <c r="B11" s="54" t="s">
        <v>15</v>
      </c>
      <c r="C11" s="7">
        <v>6240.68</v>
      </c>
      <c r="D11" s="6" t="s">
        <v>12</v>
      </c>
      <c r="E11" s="25"/>
      <c r="G11" s="51"/>
    </row>
    <row r="12" spans="1:7" ht="15.6" x14ac:dyDescent="0.3">
      <c r="A12" s="24" t="s">
        <v>102</v>
      </c>
      <c r="B12" s="54" t="s">
        <v>16</v>
      </c>
      <c r="C12" s="7">
        <v>10997.62</v>
      </c>
      <c r="D12" s="6" t="s">
        <v>103</v>
      </c>
      <c r="E12" s="25"/>
    </row>
    <row r="13" spans="1:7" ht="15.6" x14ac:dyDescent="0.3">
      <c r="A13" s="24" t="s">
        <v>8</v>
      </c>
      <c r="B13" s="54" t="s">
        <v>17</v>
      </c>
      <c r="C13" s="7">
        <v>132.84</v>
      </c>
      <c r="D13" s="6" t="s">
        <v>12</v>
      </c>
      <c r="E13" s="29"/>
    </row>
    <row r="14" spans="1:7" ht="15.6" x14ac:dyDescent="0.3">
      <c r="A14" s="24" t="s">
        <v>8</v>
      </c>
      <c r="B14" s="54" t="s">
        <v>18</v>
      </c>
      <c r="C14" s="7">
        <v>10000</v>
      </c>
      <c r="D14" s="6" t="s">
        <v>6</v>
      </c>
      <c r="E14" s="25"/>
      <c r="G14" s="66"/>
    </row>
    <row r="15" spans="1:7" ht="15.6" x14ac:dyDescent="0.3">
      <c r="A15" s="24" t="s">
        <v>8</v>
      </c>
      <c r="B15" s="54" t="s">
        <v>19</v>
      </c>
      <c r="C15" s="7">
        <v>36023.54</v>
      </c>
      <c r="D15" s="6" t="s">
        <v>12</v>
      </c>
      <c r="E15" s="27"/>
    </row>
    <row r="16" spans="1:7" ht="15.6" x14ac:dyDescent="0.3">
      <c r="A16" s="24" t="s">
        <v>8</v>
      </c>
      <c r="B16" s="54" t="s">
        <v>20</v>
      </c>
      <c r="C16" s="7">
        <v>9827.0300000000007</v>
      </c>
      <c r="D16" s="6" t="s">
        <v>12</v>
      </c>
      <c r="E16" s="25"/>
    </row>
    <row r="17" spans="1:8" ht="15.6" x14ac:dyDescent="0.3">
      <c r="A17" s="24" t="s">
        <v>8</v>
      </c>
      <c r="B17" s="54" t="s">
        <v>21</v>
      </c>
      <c r="C17" s="7">
        <v>8232.2900000000009</v>
      </c>
      <c r="D17" s="9" t="s">
        <v>12</v>
      </c>
      <c r="E17" s="25"/>
    </row>
    <row r="18" spans="1:8" ht="15.6" x14ac:dyDescent="0.3">
      <c r="A18" s="24" t="s">
        <v>8</v>
      </c>
      <c r="B18" s="6" t="s">
        <v>22</v>
      </c>
      <c r="C18" s="7">
        <v>0</v>
      </c>
      <c r="D18" s="9" t="s">
        <v>12</v>
      </c>
      <c r="E18" s="25"/>
    </row>
    <row r="19" spans="1:8" ht="15.6" x14ac:dyDescent="0.3">
      <c r="A19" s="24" t="s">
        <v>81</v>
      </c>
      <c r="B19" s="54" t="s">
        <v>23</v>
      </c>
      <c r="C19" s="7">
        <v>25928.3</v>
      </c>
      <c r="D19" s="9" t="s">
        <v>12</v>
      </c>
      <c r="E19" s="25"/>
      <c r="H19" s="51"/>
    </row>
    <row r="20" spans="1:8" ht="15.6" x14ac:dyDescent="0.3">
      <c r="A20" s="24" t="s">
        <v>81</v>
      </c>
      <c r="B20" s="54" t="s">
        <v>83</v>
      </c>
      <c r="C20" s="7">
        <v>6537.85</v>
      </c>
      <c r="D20" s="9" t="s">
        <v>6</v>
      </c>
      <c r="E20" s="25"/>
      <c r="H20" s="51"/>
    </row>
    <row r="21" spans="1:8" ht="15.6" x14ac:dyDescent="0.3">
      <c r="A21" s="24" t="s">
        <v>8</v>
      </c>
      <c r="B21" s="54" t="s">
        <v>24</v>
      </c>
      <c r="C21" s="7">
        <v>8738.61</v>
      </c>
      <c r="D21" s="6" t="s">
        <v>12</v>
      </c>
      <c r="E21" s="25"/>
      <c r="H21" s="51"/>
    </row>
    <row r="22" spans="1:8" ht="15.6" x14ac:dyDescent="0.3">
      <c r="A22" s="24" t="s">
        <v>8</v>
      </c>
      <c r="B22" s="54" t="s">
        <v>25</v>
      </c>
      <c r="C22" s="7">
        <v>11427.24</v>
      </c>
      <c r="D22" s="6" t="s">
        <v>104</v>
      </c>
      <c r="E22" s="27"/>
      <c r="H22" s="51"/>
    </row>
    <row r="23" spans="1:8" ht="15.6" x14ac:dyDescent="0.3">
      <c r="A23" s="24" t="s">
        <v>8</v>
      </c>
      <c r="B23" s="54" t="s">
        <v>26</v>
      </c>
      <c r="C23" s="7">
        <v>10101.700000000001</v>
      </c>
      <c r="D23" s="6" t="s">
        <v>12</v>
      </c>
      <c r="E23" s="27"/>
    </row>
    <row r="24" spans="1:8" ht="15.6" x14ac:dyDescent="0.3">
      <c r="A24" s="24" t="s">
        <v>8</v>
      </c>
      <c r="B24" s="54" t="s">
        <v>27</v>
      </c>
      <c r="C24" s="7">
        <v>27673.99</v>
      </c>
      <c r="D24" s="6" t="s">
        <v>12</v>
      </c>
      <c r="E24" s="27"/>
      <c r="G24" s="66"/>
    </row>
    <row r="25" spans="1:8" ht="15.6" x14ac:dyDescent="0.3">
      <c r="A25" s="24" t="s">
        <v>8</v>
      </c>
      <c r="B25" s="54" t="s">
        <v>28</v>
      </c>
      <c r="C25" s="7">
        <v>37454.71</v>
      </c>
      <c r="D25" s="6" t="s">
        <v>12</v>
      </c>
      <c r="E25" s="25"/>
    </row>
    <row r="26" spans="1:8" ht="15.6" x14ac:dyDescent="0.3">
      <c r="A26" s="24" t="s">
        <v>8</v>
      </c>
      <c r="B26" s="54" t="s">
        <v>29</v>
      </c>
      <c r="C26" s="7">
        <v>13811.38</v>
      </c>
      <c r="D26" s="6" t="s">
        <v>12</v>
      </c>
      <c r="E26" s="25"/>
    </row>
    <row r="27" spans="1:8" ht="15.6" x14ac:dyDescent="0.3">
      <c r="A27" s="24" t="s">
        <v>8</v>
      </c>
      <c r="B27" s="54" t="s">
        <v>30</v>
      </c>
      <c r="C27" s="7">
        <v>11410.45</v>
      </c>
      <c r="D27" s="6" t="s">
        <v>12</v>
      </c>
      <c r="E27" s="28"/>
      <c r="G27" s="51"/>
    </row>
    <row r="28" spans="1:8" ht="15.6" x14ac:dyDescent="0.3">
      <c r="A28" s="24" t="s">
        <v>8</v>
      </c>
      <c r="B28" s="54" t="s">
        <v>31</v>
      </c>
      <c r="C28" s="7">
        <v>16967.240000000002</v>
      </c>
      <c r="D28" s="6" t="s">
        <v>12</v>
      </c>
      <c r="E28" s="28"/>
      <c r="G28" s="66"/>
    </row>
    <row r="29" spans="1:8" ht="15.6" x14ac:dyDescent="0.3">
      <c r="A29" s="24" t="s">
        <v>81</v>
      </c>
      <c r="B29" s="54" t="s">
        <v>32</v>
      </c>
      <c r="C29" s="7">
        <v>33750</v>
      </c>
      <c r="D29" s="6" t="s">
        <v>6</v>
      </c>
      <c r="E29" s="25"/>
    </row>
    <row r="30" spans="1:8" ht="15.6" x14ac:dyDescent="0.3">
      <c r="A30" s="24" t="s">
        <v>8</v>
      </c>
      <c r="B30" s="54" t="s">
        <v>33</v>
      </c>
      <c r="C30" s="7">
        <v>0</v>
      </c>
      <c r="D30" s="6" t="s">
        <v>105</v>
      </c>
      <c r="E30" s="27"/>
      <c r="G30" s="66"/>
    </row>
    <row r="31" spans="1:8" ht="15.6" x14ac:dyDescent="0.3">
      <c r="A31" s="24" t="s">
        <v>8</v>
      </c>
      <c r="B31" s="54" t="s">
        <v>34</v>
      </c>
      <c r="C31" s="7">
        <v>4221.55</v>
      </c>
      <c r="D31" s="6" t="s">
        <v>12</v>
      </c>
      <c r="E31" s="25"/>
    </row>
    <row r="32" spans="1:8" ht="15.6" x14ac:dyDescent="0.3">
      <c r="A32" s="24" t="s">
        <v>81</v>
      </c>
      <c r="B32" s="54" t="s">
        <v>35</v>
      </c>
      <c r="C32" s="7">
        <v>52911.08</v>
      </c>
      <c r="D32" s="6" t="s">
        <v>12</v>
      </c>
      <c r="E32" s="27"/>
    </row>
    <row r="33" spans="1:5" ht="15.6" x14ac:dyDescent="0.3">
      <c r="A33" s="24" t="s">
        <v>81</v>
      </c>
      <c r="B33" s="4" t="s">
        <v>51</v>
      </c>
      <c r="C33" s="7">
        <v>0</v>
      </c>
      <c r="D33" s="6" t="s">
        <v>12</v>
      </c>
      <c r="E33" s="27"/>
    </row>
    <row r="34" spans="1:5" ht="15.6" x14ac:dyDescent="0.3">
      <c r="A34" s="24" t="s">
        <v>8</v>
      </c>
      <c r="B34" s="54" t="s">
        <v>37</v>
      </c>
      <c r="C34" s="7">
        <v>1879.71</v>
      </c>
      <c r="D34" s="6" t="s">
        <v>12</v>
      </c>
      <c r="E34" s="25"/>
    </row>
    <row r="35" spans="1:5" ht="15.6" x14ac:dyDescent="0.3">
      <c r="A35" s="24" t="s">
        <v>8</v>
      </c>
      <c r="B35" s="54" t="s">
        <v>48</v>
      </c>
      <c r="C35" s="7">
        <v>0</v>
      </c>
      <c r="D35" s="6" t="s">
        <v>12</v>
      </c>
      <c r="E35" s="25"/>
    </row>
    <row r="36" spans="1:5" ht="15.6" x14ac:dyDescent="0.3">
      <c r="A36" s="80" t="s">
        <v>78</v>
      </c>
      <c r="B36" s="81" t="s">
        <v>62</v>
      </c>
      <c r="C36" s="82">
        <v>18042.14</v>
      </c>
      <c r="D36" s="83" t="s">
        <v>12</v>
      </c>
      <c r="E36" s="86">
        <v>9021.07</v>
      </c>
    </row>
    <row r="37" spans="1:5" ht="15.6" x14ac:dyDescent="0.3">
      <c r="A37" s="24" t="s">
        <v>8</v>
      </c>
      <c r="B37" s="54" t="s">
        <v>84</v>
      </c>
      <c r="C37" s="7">
        <v>34960.35</v>
      </c>
      <c r="D37" s="6" t="s">
        <v>6</v>
      </c>
      <c r="E37" s="25"/>
    </row>
    <row r="38" spans="1:5" ht="15.6" x14ac:dyDescent="0.3">
      <c r="A38" s="24" t="s">
        <v>8</v>
      </c>
      <c r="B38" s="54" t="s">
        <v>98</v>
      </c>
      <c r="C38" s="7">
        <v>13275.34</v>
      </c>
      <c r="D38" s="6" t="s">
        <v>12</v>
      </c>
      <c r="E38" s="25"/>
    </row>
    <row r="39" spans="1:5" ht="15.6" x14ac:dyDescent="0.3">
      <c r="A39" s="24" t="s">
        <v>81</v>
      </c>
      <c r="B39" s="54" t="s">
        <v>39</v>
      </c>
      <c r="C39" s="8">
        <v>28898.87</v>
      </c>
      <c r="D39" s="6" t="s">
        <v>6</v>
      </c>
      <c r="E39" s="25"/>
    </row>
    <row r="40" spans="1:5" ht="15.6" x14ac:dyDescent="0.3">
      <c r="A40" s="24" t="s">
        <v>8</v>
      </c>
      <c r="B40" s="6" t="s">
        <v>40</v>
      </c>
      <c r="C40" s="7">
        <v>21000</v>
      </c>
      <c r="D40" s="6" t="s">
        <v>12</v>
      </c>
      <c r="E40" s="25"/>
    </row>
    <row r="41" spans="1:5" ht="15.6" x14ac:dyDescent="0.3">
      <c r="A41" s="24" t="s">
        <v>8</v>
      </c>
      <c r="B41" s="54" t="s">
        <v>41</v>
      </c>
      <c r="C41" s="7">
        <v>5862.54</v>
      </c>
      <c r="D41" s="6" t="s">
        <v>12</v>
      </c>
      <c r="E41" s="25"/>
    </row>
    <row r="42" spans="1:5" ht="15.6" x14ac:dyDescent="0.3">
      <c r="A42" s="24"/>
      <c r="B42" s="4"/>
      <c r="C42" s="7"/>
      <c r="D42" s="6"/>
      <c r="E42" s="25"/>
    </row>
    <row r="43" spans="1:5" ht="15.6" x14ac:dyDescent="0.3">
      <c r="A43" s="24"/>
      <c r="B43" s="4"/>
      <c r="C43" s="7"/>
      <c r="D43" s="6"/>
      <c r="E43" s="25"/>
    </row>
    <row r="44" spans="1:5" ht="15.6" x14ac:dyDescent="0.3">
      <c r="A44" s="93" t="s">
        <v>100</v>
      </c>
      <c r="B44" s="94"/>
      <c r="C44" s="94"/>
      <c r="D44" s="94"/>
      <c r="E44" s="95"/>
    </row>
    <row r="45" spans="1:5" ht="15.6" x14ac:dyDescent="0.3">
      <c r="A45" s="104" t="s">
        <v>106</v>
      </c>
      <c r="B45" s="105"/>
      <c r="C45" s="105"/>
      <c r="D45" s="105"/>
      <c r="E45" s="106"/>
    </row>
    <row r="46" spans="1:5" ht="15.6" x14ac:dyDescent="0.3">
      <c r="A46" s="96"/>
      <c r="B46" s="97"/>
      <c r="C46" s="97"/>
      <c r="D46" s="97"/>
      <c r="E46" s="98"/>
    </row>
    <row r="47" spans="1:5" ht="15.6" x14ac:dyDescent="0.3">
      <c r="A47" s="99" t="s">
        <v>42</v>
      </c>
      <c r="B47" s="100"/>
      <c r="C47" s="101">
        <f>SUM(C4:C43)</f>
        <v>635720.36</v>
      </c>
      <c r="D47" s="102"/>
      <c r="E47" s="103"/>
    </row>
  </sheetData>
  <mergeCells count="7">
    <mergeCell ref="A1:E1"/>
    <mergeCell ref="A2:E2"/>
    <mergeCell ref="A44:E44"/>
    <mergeCell ref="A46:E46"/>
    <mergeCell ref="A47:B47"/>
    <mergeCell ref="C47:E47"/>
    <mergeCell ref="A45:E45"/>
  </mergeCells>
  <pageMargins left="0.511811024" right="0.511811024" top="0.78740157499999996" bottom="0.78740157499999996" header="0.31496062000000002" footer="0.31496062000000002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JANEIRO</vt:lpstr>
      <vt:lpstr>FEVEREIRO</vt:lpstr>
      <vt:lpstr>MARÇO</vt:lpstr>
      <vt:lpstr>ABRIL</vt:lpstr>
      <vt:lpstr>MAIO</vt:lpstr>
      <vt:lpstr>JUNHO</vt:lpstr>
      <vt:lpstr>JULHO</vt:lpstr>
      <vt:lpstr>MARÇO!Area_de_impressao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PMG.</dc:creator>
  <cp:lastModifiedBy>Marketing PMG.</cp:lastModifiedBy>
  <cp:lastPrinted>2026-08-04T14:29:30Z</cp:lastPrinted>
  <dcterms:created xsi:type="dcterms:W3CDTF">2026-02-02T11:41:42Z</dcterms:created>
  <dcterms:modified xsi:type="dcterms:W3CDTF">2026-08-18T16:52:17Z</dcterms:modified>
</cp:coreProperties>
</file>