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eting\Desktop\"/>
    </mc:Choice>
  </mc:AlternateContent>
  <xr:revisionPtr revIDLastSave="0" documentId="13_ncr:1_{F9625D8B-CE58-4E70-91BD-FE9E78F63E43}" xr6:coauthVersionLast="47" xr6:coauthVersionMax="47" xr10:uidLastSave="{00000000-0000-0000-0000-000000000000}"/>
  <bookViews>
    <workbookView xWindow="-108" yWindow="-108" windowWidth="23256" windowHeight="12576" xr2:uid="{E75C7EBA-6AE7-415F-A93A-E1AC26763C7A}"/>
  </bookViews>
  <sheets>
    <sheet name="JANEIRO" sheetId="1" r:id="rId1"/>
    <sheet name="FEVEREIRO" sheetId="2" r:id="rId2"/>
    <sheet name="MARÇ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</sheets>
  <definedNames>
    <definedName name="_xlnm.Print_Area" localSheetId="11">DEZEMBRO!$A$1:$E$42</definedName>
    <definedName name="_xlnm.Print_Area" localSheetId="1">FEVEREIRO!$A$1:$E$52</definedName>
    <definedName name="_xlnm.Print_Area" localSheetId="2">MARÇO!$A$1:$E$53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2" l="1"/>
  <c r="C44" i="11" l="1"/>
  <c r="C42" i="10"/>
  <c r="C40" i="9"/>
  <c r="C43" i="8" l="1"/>
  <c r="C46" i="7"/>
  <c r="C48" i="6" l="1"/>
  <c r="C49" i="5" l="1"/>
  <c r="C50" i="4"/>
  <c r="C53" i="3" l="1"/>
  <c r="C52" i="2" l="1"/>
  <c r="C49" i="1" l="1"/>
</calcChain>
</file>

<file path=xl/sharedStrings.xml><?xml version="1.0" encoding="utf-8"?>
<sst xmlns="http://schemas.openxmlformats.org/spreadsheetml/2006/main" count="1386" uniqueCount="153">
  <si>
    <t>CAMPANHA</t>
  </si>
  <si>
    <t>FORNECEDOR</t>
  </si>
  <si>
    <t>VERBA</t>
  </si>
  <si>
    <t>NF</t>
  </si>
  <si>
    <t>COTA</t>
  </si>
  <si>
    <t>AJINOMOTO</t>
  </si>
  <si>
    <t>ALFAMA</t>
  </si>
  <si>
    <t>ALIBRA</t>
  </si>
  <si>
    <t>ANACONDA</t>
  </si>
  <si>
    <t>DESCONTO</t>
  </si>
  <si>
    <t xml:space="preserve">AURORA </t>
  </si>
  <si>
    <t>BEM BRASIL</t>
  </si>
  <si>
    <t>DEPOSITO</t>
  </si>
  <si>
    <t>BUNGE</t>
  </si>
  <si>
    <t>BUQUÊ</t>
  </si>
  <si>
    <t>CAMIL</t>
  </si>
  <si>
    <t>CANÇÃO</t>
  </si>
  <si>
    <t>CARGILL</t>
  </si>
  <si>
    <t>CEPÊRA</t>
  </si>
  <si>
    <t xml:space="preserve">CERATTI </t>
  </si>
  <si>
    <t>CLARA MILK</t>
  </si>
  <si>
    <t xml:space="preserve">COTA </t>
  </si>
  <si>
    <t>CORONATA</t>
  </si>
  <si>
    <t>EKMA</t>
  </si>
  <si>
    <t>FRIMESA</t>
  </si>
  <si>
    <t>GL FOODS</t>
  </si>
  <si>
    <t>GOMES DA COSTA</t>
  </si>
  <si>
    <t>HARALD</t>
  </si>
  <si>
    <t xml:space="preserve">HEINZ </t>
  </si>
  <si>
    <t>ITALAC</t>
  </si>
  <si>
    <t>J. MACÊDO</t>
  </si>
  <si>
    <t>MCCAIN</t>
  </si>
  <si>
    <t>MIRELLA</t>
  </si>
  <si>
    <t>MISTER BEEF</t>
  </si>
  <si>
    <t>PENINA</t>
  </si>
  <si>
    <t>POLENGHI</t>
  </si>
  <si>
    <t>PRIETO</t>
  </si>
  <si>
    <t>QUATA</t>
  </si>
  <si>
    <t>ROSA BRANCA</t>
  </si>
  <si>
    <t>SCALA</t>
  </si>
  <si>
    <t xml:space="preserve">SEARA </t>
  </si>
  <si>
    <t>TIROLEZ</t>
  </si>
  <si>
    <t>VENTURELLI</t>
  </si>
  <si>
    <t>YEMA</t>
  </si>
  <si>
    <t>CONVENÇÃO</t>
  </si>
  <si>
    <t>TOTAL</t>
  </si>
  <si>
    <t>PLANILHA DE PAGAMENTO 2025</t>
  </si>
  <si>
    <t>JANEIRO</t>
  </si>
  <si>
    <t>COTA / 30 ANOS</t>
  </si>
  <si>
    <t>DESCONTO / 598531</t>
  </si>
  <si>
    <t>DESCONTO / 124519</t>
  </si>
  <si>
    <t>COTA / INCENTIVO</t>
  </si>
  <si>
    <t>DESCONTO / 142823</t>
  </si>
  <si>
    <t xml:space="preserve">CONVENÇÃO </t>
  </si>
  <si>
    <t>DESCONTO / DEPOSITO</t>
  </si>
  <si>
    <t xml:space="preserve">DESCONTO / </t>
  </si>
  <si>
    <t>30 ANOS</t>
  </si>
  <si>
    <t>ARCO BELLO</t>
  </si>
  <si>
    <t>DOCEIRO</t>
  </si>
  <si>
    <t>PQ ALIMENTOS</t>
  </si>
  <si>
    <t>EASY CHEF</t>
  </si>
  <si>
    <t>VALOR</t>
  </si>
  <si>
    <t>COTA/ 30 ANOS</t>
  </si>
  <si>
    <t>6650/6646</t>
  </si>
  <si>
    <t>LAMB WESTON</t>
  </si>
  <si>
    <t>COAMO</t>
  </si>
  <si>
    <t>GRANO</t>
  </si>
  <si>
    <t>DEPOSITO/DESCONTO</t>
  </si>
  <si>
    <t xml:space="preserve">30 ANOS / CONVENÇÃO </t>
  </si>
  <si>
    <t>955604 / DESCONTO</t>
  </si>
  <si>
    <t>281169 / DESCONTO</t>
  </si>
  <si>
    <t>DESPOSITO</t>
  </si>
  <si>
    <t>DEPOSITO / 148939/148324</t>
  </si>
  <si>
    <t>DESCONTO / 371397</t>
  </si>
  <si>
    <t>PENDENTE CONFIRMAÇÃO / ALFAMA / BUNGE /  ANACONDA</t>
  </si>
  <si>
    <t>MINAMEL</t>
  </si>
  <si>
    <t>COLOSSO</t>
  </si>
  <si>
    <t>FEVEREIRO</t>
  </si>
  <si>
    <t>1114221/deposito/desconto</t>
  </si>
  <si>
    <t>COTA / PROMOÇÃO</t>
  </si>
  <si>
    <t>MARÇO</t>
  </si>
  <si>
    <t>DEPOSITO / 149518</t>
  </si>
  <si>
    <t>COTA / CONVENÇÃO</t>
  </si>
  <si>
    <t xml:space="preserve">DESCONTO 125368 / 126071 </t>
  </si>
  <si>
    <t xml:space="preserve">DESCONTO </t>
  </si>
  <si>
    <t>23099/23010</t>
  </si>
  <si>
    <t>960649/960955</t>
  </si>
  <si>
    <t>AZEITE LISBOA</t>
  </si>
  <si>
    <t>KERRY</t>
  </si>
  <si>
    <t>ANUGA</t>
  </si>
  <si>
    <t>6856 / 6972</t>
  </si>
  <si>
    <t>ABRIL</t>
  </si>
  <si>
    <t>151327 / DEPOSITO</t>
  </si>
  <si>
    <t>DEPOSITO / DESCONTO</t>
  </si>
  <si>
    <t>INCENTIVO</t>
  </si>
  <si>
    <t xml:space="preserve">DESCONTO / 126714  </t>
  </si>
  <si>
    <t xml:space="preserve">DESCONTO 1121740 / 1123588 </t>
  </si>
  <si>
    <t>MAIO</t>
  </si>
  <si>
    <t>DESCONTO / 1129253</t>
  </si>
  <si>
    <t>DEPOSITO / 152149</t>
  </si>
  <si>
    <t>COTA / PODCAST</t>
  </si>
  <si>
    <t>DEPOSITO / 19919</t>
  </si>
  <si>
    <t>DEPOSITO / 548522</t>
  </si>
  <si>
    <t>DESCONTO / 146839</t>
  </si>
  <si>
    <t>2410930 / 24111947</t>
  </si>
  <si>
    <t>DEPOSITO / 784353</t>
  </si>
  <si>
    <t>DESCONTO / 896082</t>
  </si>
  <si>
    <t>DEPOSITO / 13887</t>
  </si>
  <si>
    <t>DESCONTO / 127412</t>
  </si>
  <si>
    <t>JUNHO</t>
  </si>
  <si>
    <t>26743 / 26359</t>
  </si>
  <si>
    <t>905405 / 403</t>
  </si>
  <si>
    <t>DESCONTO / 1484</t>
  </si>
  <si>
    <t>24304 /24295</t>
  </si>
  <si>
    <t>DEPOSITO / 812442 /823181</t>
  </si>
  <si>
    <t>154123 / DEPOSITO</t>
  </si>
  <si>
    <t>7856/8048</t>
  </si>
  <si>
    <t>JULHO</t>
  </si>
  <si>
    <t>COTA / MTRIX</t>
  </si>
  <si>
    <t>EXPO PASTEL</t>
  </si>
  <si>
    <t>AGOSTO</t>
  </si>
  <si>
    <t>COTA / PASTEL</t>
  </si>
  <si>
    <t>COTA / EXPO PASTEL</t>
  </si>
  <si>
    <t>COTA / INCENTIVO / EXPO PASTEL</t>
  </si>
  <si>
    <t>DEPOSITO 541/540</t>
  </si>
  <si>
    <t>MONTE CASTELO</t>
  </si>
  <si>
    <t>26682/28725</t>
  </si>
  <si>
    <t>8872/8871/9272/8878</t>
  </si>
  <si>
    <t>306753/ DESCONTO</t>
  </si>
  <si>
    <t>COTA /MTRIX</t>
  </si>
  <si>
    <t>DEPOSITO/54213</t>
  </si>
  <si>
    <t>SETEMBRO</t>
  </si>
  <si>
    <t>9419 / 9736</t>
  </si>
  <si>
    <t>DEPOSITO / 157142</t>
  </si>
  <si>
    <t xml:space="preserve">DEPOSITO </t>
  </si>
  <si>
    <t>DEPOSITO / 014/880/881</t>
  </si>
  <si>
    <t>COTA/MTRIX</t>
  </si>
  <si>
    <t>OUTUBRO</t>
  </si>
  <si>
    <t>PURANATA</t>
  </si>
  <si>
    <t>NITA</t>
  </si>
  <si>
    <t>DEPOSITO 418453/640/402</t>
  </si>
  <si>
    <t>10408/10299</t>
  </si>
  <si>
    <t>DEPOSITO / 449171</t>
  </si>
  <si>
    <t>EVENTO PMG</t>
  </si>
  <si>
    <t>LEÃO</t>
  </si>
  <si>
    <t>7084/7083</t>
  </si>
  <si>
    <t>GALLO</t>
  </si>
  <si>
    <t>AÇÃO VENDAS</t>
  </si>
  <si>
    <t>DEPOSITO / 159903</t>
  </si>
  <si>
    <t>EXPOPASTEL</t>
  </si>
  <si>
    <t>NOVEMBRO</t>
  </si>
  <si>
    <t>COTA/PODCAST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</si>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</sst>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R$&quot;\ #,##0.00;\-&quot;R$&quot;\ #,##0.00"/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0">
    <xf numFmtId="0" fontId="0" fillId="0" borderId="0" xfId="0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vertical="center"/>
    </xf>
    <xf numFmtId="44" fontId="4" fillId="3" borderId="8" xfId="1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44" fontId="4" fillId="3" borderId="9" xfId="1" applyFont="1" applyFill="1" applyBorder="1" applyAlignment="1">
      <alignment horizontal="left"/>
    </xf>
    <xf numFmtId="44" fontId="4" fillId="3" borderId="8" xfId="1" applyFont="1" applyFill="1" applyBorder="1" applyAlignment="1"/>
    <xf numFmtId="44" fontId="5" fillId="3" borderId="9" xfId="1" applyFont="1" applyFill="1" applyBorder="1" applyAlignment="1">
      <alignment horizontal="left"/>
    </xf>
    <xf numFmtId="0" fontId="4" fillId="3" borderId="9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8" xfId="0" applyFont="1" applyFill="1" applyBorder="1" applyAlignment="1">
      <alignment vertical="center"/>
    </xf>
    <xf numFmtId="44" fontId="4" fillId="2" borderId="9" xfId="1" applyFont="1" applyFill="1" applyBorder="1" applyAlignment="1">
      <alignment horizontal="left"/>
    </xf>
    <xf numFmtId="44" fontId="4" fillId="2" borderId="8" xfId="1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44" fontId="3" fillId="4" borderId="9" xfId="1" applyFont="1" applyFill="1" applyBorder="1" applyAlignment="1">
      <alignment horizontal="center"/>
    </xf>
    <xf numFmtId="44" fontId="3" fillId="4" borderId="8" xfId="1" applyFont="1" applyFill="1" applyBorder="1" applyAlignment="1">
      <alignment horizontal="center"/>
    </xf>
    <xf numFmtId="44" fontId="4" fillId="3" borderId="8" xfId="1" applyFont="1" applyFill="1" applyBorder="1" applyAlignment="1">
      <alignment vertical="center"/>
    </xf>
    <xf numFmtId="7" fontId="4" fillId="3" borderId="8" xfId="1" applyNumberFormat="1" applyFont="1" applyFill="1" applyBorder="1" applyAlignment="1">
      <alignment vertical="center"/>
    </xf>
    <xf numFmtId="44" fontId="4" fillId="2" borderId="8" xfId="1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44" fontId="4" fillId="2" borderId="9" xfId="1" applyFont="1" applyFill="1" applyBorder="1" applyAlignment="1">
      <alignment vertical="center"/>
    </xf>
    <xf numFmtId="44" fontId="3" fillId="4" borderId="8" xfId="0" applyNumberFormat="1" applyFont="1" applyFill="1" applyBorder="1" applyAlignment="1">
      <alignment horizontal="center"/>
    </xf>
    <xf numFmtId="44" fontId="4" fillId="3" borderId="9" xfId="1" applyFont="1" applyFill="1" applyBorder="1" applyAlignment="1">
      <alignment vertical="center"/>
    </xf>
    <xf numFmtId="7" fontId="4" fillId="2" borderId="8" xfId="1" applyNumberFormat="1" applyFont="1" applyFill="1" applyBorder="1" applyAlignment="1">
      <alignment vertical="center"/>
    </xf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vertical="center"/>
    </xf>
    <xf numFmtId="44" fontId="4" fillId="3" borderId="5" xfId="1" applyFont="1" applyFill="1" applyBorder="1" applyAlignment="1">
      <alignment vertical="center"/>
    </xf>
    <xf numFmtId="0" fontId="4" fillId="3" borderId="5" xfId="0" applyFont="1" applyFill="1" applyBorder="1" applyAlignment="1">
      <alignment horizontal="left"/>
    </xf>
    <xf numFmtId="44" fontId="4" fillId="3" borderId="6" xfId="1" applyFont="1" applyFill="1" applyBorder="1" applyAlignment="1">
      <alignment horizontal="left"/>
    </xf>
    <xf numFmtId="44" fontId="4" fillId="2" borderId="8" xfId="1" applyFont="1" applyFill="1" applyBorder="1" applyAlignment="1"/>
    <xf numFmtId="44" fontId="4" fillId="3" borderId="8" xfId="1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/>
    </xf>
    <xf numFmtId="0" fontId="4" fillId="5" borderId="8" xfId="0" applyFont="1" applyFill="1" applyBorder="1" applyAlignment="1">
      <alignment vertical="center"/>
    </xf>
    <xf numFmtId="44" fontId="4" fillId="5" borderId="8" xfId="1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/>
    </xf>
    <xf numFmtId="44" fontId="4" fillId="5" borderId="9" xfId="1" applyFont="1" applyFill="1" applyBorder="1" applyAlignment="1">
      <alignment horizontal="left"/>
    </xf>
    <xf numFmtId="44" fontId="4" fillId="5" borderId="8" xfId="1" applyFont="1" applyFill="1" applyBorder="1" applyAlignment="1">
      <alignment vertical="center"/>
    </xf>
    <xf numFmtId="44" fontId="4" fillId="5" borderId="9" xfId="1" applyFont="1" applyFill="1" applyBorder="1" applyAlignment="1">
      <alignment vertical="center"/>
    </xf>
    <xf numFmtId="0" fontId="4" fillId="6" borderId="7" xfId="0" applyFont="1" applyFill="1" applyBorder="1" applyAlignment="1">
      <alignment horizontal="left"/>
    </xf>
    <xf numFmtId="0" fontId="4" fillId="6" borderId="8" xfId="0" applyFont="1" applyFill="1" applyBorder="1" applyAlignment="1">
      <alignment vertical="center"/>
    </xf>
    <xf numFmtId="44" fontId="4" fillId="6" borderId="8" xfId="1" applyFont="1" applyFill="1" applyBorder="1" applyAlignment="1">
      <alignment vertical="center"/>
    </xf>
    <xf numFmtId="0" fontId="4" fillId="6" borderId="8" xfId="0" applyFont="1" applyFill="1" applyBorder="1" applyAlignment="1">
      <alignment horizontal="left"/>
    </xf>
    <xf numFmtId="44" fontId="4" fillId="6" borderId="9" xfId="1" applyFont="1" applyFill="1" applyBorder="1" applyAlignment="1">
      <alignment horizontal="left"/>
    </xf>
    <xf numFmtId="44" fontId="0" fillId="0" borderId="0" xfId="1" applyFont="1"/>
    <xf numFmtId="0" fontId="4" fillId="7" borderId="7" xfId="0" applyFont="1" applyFill="1" applyBorder="1" applyAlignment="1">
      <alignment horizontal="left"/>
    </xf>
    <xf numFmtId="0" fontId="4" fillId="7" borderId="8" xfId="0" applyFont="1" applyFill="1" applyBorder="1" applyAlignment="1">
      <alignment vertical="center"/>
    </xf>
    <xf numFmtId="44" fontId="4" fillId="7" borderId="8" xfId="1" applyFont="1" applyFill="1" applyBorder="1" applyAlignment="1">
      <alignment horizontal="left" vertical="center"/>
    </xf>
    <xf numFmtId="0" fontId="4" fillId="7" borderId="8" xfId="0" applyFont="1" applyFill="1" applyBorder="1" applyAlignment="1">
      <alignment horizontal="left"/>
    </xf>
    <xf numFmtId="44" fontId="4" fillId="7" borderId="9" xfId="1" applyFont="1" applyFill="1" applyBorder="1" applyAlignment="1">
      <alignment horizontal="left"/>
    </xf>
    <xf numFmtId="44" fontId="4" fillId="7" borderId="8" xfId="1" applyFont="1" applyFill="1" applyBorder="1" applyAlignment="1">
      <alignment vertical="center"/>
    </xf>
    <xf numFmtId="44" fontId="4" fillId="7" borderId="8" xfId="1" applyFont="1" applyFill="1" applyBorder="1" applyAlignment="1">
      <alignment horizontal="left"/>
    </xf>
    <xf numFmtId="0" fontId="7" fillId="3" borderId="7" xfId="0" applyFont="1" applyFill="1" applyBorder="1" applyAlignment="1">
      <alignment horizontal="left"/>
    </xf>
    <xf numFmtId="0" fontId="7" fillId="3" borderId="8" xfId="0" applyFont="1" applyFill="1" applyBorder="1" applyAlignment="1">
      <alignment vertical="center"/>
    </xf>
    <xf numFmtId="44" fontId="7" fillId="3" borderId="8" xfId="1" applyFont="1" applyFill="1" applyBorder="1" applyAlignment="1">
      <alignment vertical="center"/>
    </xf>
    <xf numFmtId="0" fontId="7" fillId="3" borderId="8" xfId="0" applyFont="1" applyFill="1" applyBorder="1" applyAlignment="1">
      <alignment horizontal="left"/>
    </xf>
    <xf numFmtId="44" fontId="7" fillId="3" borderId="9" xfId="1" applyFont="1" applyFill="1" applyBorder="1" applyAlignment="1">
      <alignment horizontal="left"/>
    </xf>
    <xf numFmtId="0" fontId="7" fillId="7" borderId="7" xfId="0" applyFont="1" applyFill="1" applyBorder="1" applyAlignment="1">
      <alignment horizontal="left"/>
    </xf>
    <xf numFmtId="0" fontId="7" fillId="7" borderId="8" xfId="0" applyFont="1" applyFill="1" applyBorder="1" applyAlignment="1">
      <alignment vertical="center"/>
    </xf>
    <xf numFmtId="44" fontId="7" fillId="7" borderId="8" xfId="1" applyFont="1" applyFill="1" applyBorder="1" applyAlignment="1">
      <alignment horizontal="left" vertical="center"/>
    </xf>
    <xf numFmtId="0" fontId="7" fillId="7" borderId="8" xfId="0" applyFont="1" applyFill="1" applyBorder="1" applyAlignment="1">
      <alignment horizontal="left"/>
    </xf>
    <xf numFmtId="44" fontId="7" fillId="7" borderId="9" xfId="1" applyFont="1" applyFill="1" applyBorder="1" applyAlignment="1">
      <alignment horizontal="left"/>
    </xf>
    <xf numFmtId="44" fontId="4" fillId="3" borderId="9" xfId="1" applyFont="1" applyFill="1" applyBorder="1" applyAlignment="1"/>
    <xf numFmtId="0" fontId="7" fillId="2" borderId="7" xfId="0" applyFont="1" applyFill="1" applyBorder="1" applyAlignment="1">
      <alignment horizontal="left"/>
    </xf>
    <xf numFmtId="0" fontId="7" fillId="2" borderId="8" xfId="0" applyFont="1" applyFill="1" applyBorder="1" applyAlignment="1">
      <alignment horizontal="left"/>
    </xf>
    <xf numFmtId="44" fontId="7" fillId="2" borderId="8" xfId="1" applyFont="1" applyFill="1" applyBorder="1" applyAlignment="1">
      <alignment vertical="center"/>
    </xf>
    <xf numFmtId="44" fontId="7" fillId="2" borderId="9" xfId="1" applyFont="1" applyFill="1" applyBorder="1" applyAlignment="1">
      <alignment vertical="center"/>
    </xf>
    <xf numFmtId="44" fontId="7" fillId="3" borderId="8" xfId="1" applyFont="1" applyFill="1" applyBorder="1" applyAlignment="1">
      <alignment horizontal="left" vertical="center"/>
    </xf>
    <xf numFmtId="44" fontId="0" fillId="0" borderId="0" xfId="0" applyNumberFormat="1"/>
    <xf numFmtId="0" fontId="7" fillId="2" borderId="8" xfId="0" applyFont="1" applyFill="1" applyBorder="1" applyAlignment="1">
      <alignment vertical="center"/>
    </xf>
    <xf numFmtId="44" fontId="7" fillId="2" borderId="9" xfId="1" applyFont="1" applyFill="1" applyBorder="1" applyAlignment="1">
      <alignment horizontal="left"/>
    </xf>
    <xf numFmtId="44" fontId="4" fillId="0" borderId="8" xfId="1" applyFont="1" applyBorder="1" applyAlignment="1">
      <alignment horizontal="center" vertical="center"/>
    </xf>
    <xf numFmtId="44" fontId="4" fillId="3" borderId="8" xfId="1" applyFont="1" applyFill="1" applyBorder="1" applyAlignment="1">
      <alignment horizontal="center" vertical="center"/>
    </xf>
    <xf numFmtId="44" fontId="7" fillId="2" borderId="8" xfId="1" applyFont="1" applyFill="1" applyBorder="1" applyAlignment="1">
      <alignment horizontal="left" vertical="center"/>
    </xf>
    <xf numFmtId="44" fontId="7" fillId="0" borderId="8" xfId="1" applyFont="1" applyFill="1" applyBorder="1" applyAlignment="1">
      <alignment horizontal="left"/>
    </xf>
    <xf numFmtId="44" fontId="7" fillId="3" borderId="8" xfId="1" applyFont="1" applyFill="1" applyBorder="1" applyAlignment="1">
      <alignment horizontal="left"/>
    </xf>
    <xf numFmtId="44" fontId="4" fillId="8" borderId="9" xfId="1" applyFont="1" applyFill="1" applyBorder="1" applyAlignment="1">
      <alignment horizontal="left"/>
    </xf>
    <xf numFmtId="0" fontId="4" fillId="3" borderId="13" xfId="0" applyFont="1" applyFill="1" applyBorder="1" applyAlignment="1">
      <alignment horizontal="left"/>
    </xf>
    <xf numFmtId="44" fontId="4" fillId="0" borderId="8" xfId="1" applyFont="1" applyFill="1" applyBorder="1" applyAlignment="1">
      <alignment horizontal="left"/>
    </xf>
    <xf numFmtId="44" fontId="7" fillId="2" borderId="8" xfId="1" applyFont="1" applyFill="1" applyBorder="1" applyAlignment="1">
      <alignment horizontal="left"/>
    </xf>
    <xf numFmtId="0" fontId="4" fillId="9" borderId="7" xfId="0" applyFont="1" applyFill="1" applyBorder="1" applyAlignment="1">
      <alignment horizontal="left"/>
    </xf>
    <xf numFmtId="0" fontId="4" fillId="9" borderId="8" xfId="0" applyFont="1" applyFill="1" applyBorder="1" applyAlignment="1">
      <alignment vertical="center"/>
    </xf>
    <xf numFmtId="44" fontId="4" fillId="9" borderId="8" xfId="1" applyFont="1" applyFill="1" applyBorder="1" applyAlignment="1">
      <alignment horizontal="left" vertical="center"/>
    </xf>
    <xf numFmtId="0" fontId="4" fillId="9" borderId="8" xfId="0" applyFont="1" applyFill="1" applyBorder="1" applyAlignment="1">
      <alignment horizontal="left"/>
    </xf>
    <xf numFmtId="44" fontId="4" fillId="9" borderId="9" xfId="1" applyFont="1" applyFill="1" applyBorder="1" applyAlignment="1">
      <alignment horizontal="left"/>
    </xf>
    <xf numFmtId="44" fontId="4" fillId="9" borderId="8" xfId="1" applyFont="1" applyFill="1" applyBorder="1" applyAlignment="1">
      <alignment vertical="center"/>
    </xf>
    <xf numFmtId="0" fontId="7" fillId="9" borderId="7" xfId="0" applyFont="1" applyFill="1" applyBorder="1" applyAlignment="1">
      <alignment horizontal="left"/>
    </xf>
    <xf numFmtId="44" fontId="4" fillId="9" borderId="8" xfId="1" applyFont="1" applyFill="1" applyBorder="1" applyAlignment="1">
      <alignment horizontal="center" vertical="center"/>
    </xf>
    <xf numFmtId="0" fontId="7" fillId="9" borderId="8" xfId="0" applyFont="1" applyFill="1" applyBorder="1" applyAlignment="1">
      <alignment vertical="center"/>
    </xf>
    <xf numFmtId="44" fontId="7" fillId="9" borderId="8" xfId="1" applyFont="1" applyFill="1" applyBorder="1" applyAlignment="1">
      <alignment horizontal="left" vertical="center"/>
    </xf>
    <xf numFmtId="0" fontId="7" fillId="9" borderId="8" xfId="0" applyFont="1" applyFill="1" applyBorder="1" applyAlignment="1">
      <alignment horizontal="left"/>
    </xf>
    <xf numFmtId="44" fontId="7" fillId="9" borderId="9" xfId="1" applyFont="1" applyFill="1" applyBorder="1" applyAlignment="1">
      <alignment horizontal="left"/>
    </xf>
    <xf numFmtId="44" fontId="5" fillId="9" borderId="9" xfId="1" applyFont="1" applyFill="1" applyBorder="1" applyAlignment="1">
      <alignment horizontal="left"/>
    </xf>
    <xf numFmtId="44" fontId="7" fillId="9" borderId="8" xfId="1" applyFont="1" applyFill="1" applyBorder="1" applyAlignment="1">
      <alignment horizontal="left"/>
    </xf>
    <xf numFmtId="44" fontId="4" fillId="9" borderId="9" xfId="1" applyFont="1" applyFill="1" applyBorder="1" applyAlignment="1"/>
    <xf numFmtId="44" fontId="4" fillId="9" borderId="9" xfId="1" applyFont="1" applyFill="1" applyBorder="1" applyAlignment="1">
      <alignment vertical="center"/>
    </xf>
    <xf numFmtId="44" fontId="4" fillId="9" borderId="8" xfId="1" applyFont="1" applyFill="1" applyBorder="1" applyAlignment="1">
      <alignment horizontal="left"/>
    </xf>
    <xf numFmtId="44" fontId="7" fillId="9" borderId="8" xfId="1" applyFont="1" applyFill="1" applyBorder="1" applyAlignment="1">
      <alignment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FC9A-8186-4D47-B81B-B077462AEAEC}">
  <dimension ref="A1:E49"/>
  <sheetViews>
    <sheetView tabSelected="1" view="pageBreakPreview" topLeftCell="A39" zoomScaleNormal="100" zoomScaleSheetLayoutView="100" workbookViewId="0">
      <selection activeCell="A50" sqref="A50:XFD52"/>
    </sheetView>
  </sheetViews>
  <sheetFormatPr defaultRowHeight="14.4" x14ac:dyDescent="0.3"/>
  <cols>
    <col min="1" max="1" width="27.77734375" bestFit="1" customWidth="1"/>
    <col min="2" max="2" width="21.5546875" bestFit="1" customWidth="1"/>
    <col min="3" max="3" width="21.5546875" customWidth="1"/>
    <col min="4" max="4" width="26.33203125" customWidth="1"/>
    <col min="5" max="5" width="21.33203125" bestFit="1" customWidth="1"/>
  </cols>
  <sheetData>
    <row r="1" spans="1:5" ht="21" x14ac:dyDescent="0.4">
      <c r="A1" s="118" t="s">
        <v>46</v>
      </c>
      <c r="B1" s="119"/>
      <c r="C1" s="119"/>
      <c r="D1" s="119"/>
      <c r="E1" s="120"/>
    </row>
    <row r="2" spans="1:5" x14ac:dyDescent="0.3">
      <c r="A2" s="121"/>
      <c r="B2" s="122"/>
      <c r="C2" s="122"/>
      <c r="D2" s="122"/>
      <c r="E2" s="123"/>
    </row>
    <row r="3" spans="1:5" ht="15.6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61</v>
      </c>
    </row>
    <row r="4" spans="1:5" ht="15.6" x14ac:dyDescent="0.3">
      <c r="A4" s="4" t="s">
        <v>4</v>
      </c>
      <c r="B4" s="5" t="s">
        <v>5</v>
      </c>
      <c r="C4" s="22"/>
      <c r="D4" s="7"/>
      <c r="E4" s="8"/>
    </row>
    <row r="5" spans="1:5" ht="15.6" x14ac:dyDescent="0.3">
      <c r="A5" s="4" t="s">
        <v>4</v>
      </c>
      <c r="B5" s="5" t="s">
        <v>6</v>
      </c>
      <c r="C5" s="22"/>
      <c r="D5" s="7"/>
      <c r="E5" s="8"/>
    </row>
    <row r="6" spans="1:5" ht="15.6" x14ac:dyDescent="0.3">
      <c r="A6" s="4" t="s">
        <v>4</v>
      </c>
      <c r="B6" s="5" t="s">
        <v>7</v>
      </c>
      <c r="C6" s="22"/>
      <c r="D6" s="7"/>
      <c r="E6" s="8"/>
    </row>
    <row r="7" spans="1:5" ht="15.6" x14ac:dyDescent="0.3">
      <c r="A7" s="4" t="s">
        <v>4</v>
      </c>
      <c r="B7" s="5" t="s">
        <v>8</v>
      </c>
      <c r="C7" s="23">
        <v>10206.02</v>
      </c>
      <c r="D7" s="7" t="s">
        <v>9</v>
      </c>
      <c r="E7" s="8"/>
    </row>
    <row r="8" spans="1:5" ht="15.6" x14ac:dyDescent="0.3">
      <c r="A8" s="12" t="s">
        <v>56</v>
      </c>
      <c r="B8" s="13" t="s">
        <v>57</v>
      </c>
      <c r="C8" s="24">
        <v>19999.990000000002</v>
      </c>
      <c r="D8" s="16">
        <v>641</v>
      </c>
      <c r="E8" s="14">
        <v>19999.990000000002</v>
      </c>
    </row>
    <row r="9" spans="1:5" ht="15.6" x14ac:dyDescent="0.3">
      <c r="A9" s="4" t="s">
        <v>4</v>
      </c>
      <c r="B9" s="5" t="s">
        <v>10</v>
      </c>
      <c r="C9" s="22">
        <v>9507.14</v>
      </c>
      <c r="D9" s="7" t="s">
        <v>12</v>
      </c>
      <c r="E9" s="8"/>
    </row>
    <row r="10" spans="1:5" ht="15.6" x14ac:dyDescent="0.3">
      <c r="A10" s="4" t="s">
        <v>4</v>
      </c>
      <c r="B10" s="5" t="s">
        <v>11</v>
      </c>
      <c r="C10" s="22">
        <v>10507</v>
      </c>
      <c r="D10" s="7">
        <v>142782</v>
      </c>
      <c r="E10" s="10"/>
    </row>
    <row r="11" spans="1:5" ht="15.6" x14ac:dyDescent="0.3">
      <c r="A11" s="4" t="s">
        <v>4</v>
      </c>
      <c r="B11" s="5" t="s">
        <v>13</v>
      </c>
      <c r="C11" s="22">
        <v>28888.2</v>
      </c>
      <c r="D11" s="7" t="s">
        <v>9</v>
      </c>
      <c r="E11" s="11"/>
    </row>
    <row r="12" spans="1:5" ht="15.6" x14ac:dyDescent="0.3">
      <c r="A12" s="4" t="s">
        <v>4</v>
      </c>
      <c r="B12" s="5" t="s">
        <v>14</v>
      </c>
      <c r="C12" s="22">
        <v>3667.31</v>
      </c>
      <c r="D12" s="7" t="s">
        <v>9</v>
      </c>
      <c r="E12" s="8"/>
    </row>
    <row r="13" spans="1:5" ht="15.6" x14ac:dyDescent="0.3">
      <c r="A13" s="4" t="s">
        <v>21</v>
      </c>
      <c r="B13" s="5" t="s">
        <v>15</v>
      </c>
      <c r="C13" s="22"/>
      <c r="D13" s="9"/>
      <c r="E13" s="8"/>
    </row>
    <row r="14" spans="1:5" ht="15.6" x14ac:dyDescent="0.3">
      <c r="A14" s="4" t="s">
        <v>4</v>
      </c>
      <c r="B14" s="5" t="s">
        <v>16</v>
      </c>
      <c r="C14" s="22">
        <v>691.51</v>
      </c>
      <c r="D14" s="7" t="s">
        <v>9</v>
      </c>
      <c r="E14" s="8"/>
    </row>
    <row r="15" spans="1:5" ht="15.6" x14ac:dyDescent="0.3">
      <c r="A15" s="4" t="s">
        <v>4</v>
      </c>
      <c r="B15" s="5" t="s">
        <v>17</v>
      </c>
      <c r="C15" s="22">
        <v>10000</v>
      </c>
      <c r="D15" s="7" t="s">
        <v>12</v>
      </c>
      <c r="E15" s="8"/>
    </row>
    <row r="16" spans="1:5" ht="15.6" x14ac:dyDescent="0.3">
      <c r="A16" s="4" t="s">
        <v>4</v>
      </c>
      <c r="B16" s="5" t="s">
        <v>18</v>
      </c>
      <c r="C16" s="22">
        <v>3006.14</v>
      </c>
      <c r="D16" s="7" t="s">
        <v>9</v>
      </c>
      <c r="E16" s="8"/>
    </row>
    <row r="17" spans="1:5" ht="15.6" x14ac:dyDescent="0.3">
      <c r="A17" s="12" t="s">
        <v>48</v>
      </c>
      <c r="B17" s="13" t="s">
        <v>19</v>
      </c>
      <c r="C17" s="24">
        <v>14593.53</v>
      </c>
      <c r="D17" s="16" t="s">
        <v>9</v>
      </c>
      <c r="E17" s="14">
        <v>3500</v>
      </c>
    </row>
    <row r="18" spans="1:5" ht="15.6" x14ac:dyDescent="0.3">
      <c r="A18" s="12" t="s">
        <v>48</v>
      </c>
      <c r="B18" s="13" t="s">
        <v>20</v>
      </c>
      <c r="C18" s="24">
        <v>11226.8</v>
      </c>
      <c r="D18" s="16" t="s">
        <v>49</v>
      </c>
      <c r="E18" s="14">
        <v>5042.3999999999996</v>
      </c>
    </row>
    <row r="19" spans="1:5" ht="15.6" x14ac:dyDescent="0.3">
      <c r="A19" s="12" t="s">
        <v>48</v>
      </c>
      <c r="B19" s="13" t="s">
        <v>22</v>
      </c>
      <c r="C19" s="24">
        <v>31370.74</v>
      </c>
      <c r="D19" s="16" t="s">
        <v>9</v>
      </c>
      <c r="E19" s="14">
        <v>8035.2</v>
      </c>
    </row>
    <row r="20" spans="1:5" ht="15.6" x14ac:dyDescent="0.3">
      <c r="A20" s="4" t="s">
        <v>44</v>
      </c>
      <c r="B20" s="5" t="s">
        <v>58</v>
      </c>
      <c r="C20" s="22">
        <v>3705.26</v>
      </c>
      <c r="D20" s="7">
        <v>108123</v>
      </c>
      <c r="E20" s="8"/>
    </row>
    <row r="21" spans="1:5" ht="15.6" x14ac:dyDescent="0.3">
      <c r="A21" s="12" t="s">
        <v>56</v>
      </c>
      <c r="B21" s="16" t="s">
        <v>60</v>
      </c>
      <c r="C21" s="24">
        <v>4015.55</v>
      </c>
      <c r="D21" s="16">
        <v>55264</v>
      </c>
      <c r="E21" s="27">
        <v>4015.55</v>
      </c>
    </row>
    <row r="22" spans="1:5" ht="15.6" x14ac:dyDescent="0.3">
      <c r="A22" s="12" t="s">
        <v>48</v>
      </c>
      <c r="B22" s="13" t="s">
        <v>23</v>
      </c>
      <c r="C22" s="24">
        <v>10928.11</v>
      </c>
      <c r="D22" s="16" t="s">
        <v>50</v>
      </c>
      <c r="E22" s="14">
        <v>5014</v>
      </c>
    </row>
    <row r="23" spans="1:5" ht="15.6" x14ac:dyDescent="0.3">
      <c r="A23" s="4" t="s">
        <v>4</v>
      </c>
      <c r="B23" s="5" t="s">
        <v>24</v>
      </c>
      <c r="C23" s="22">
        <v>9084.6299999999992</v>
      </c>
      <c r="D23" s="7" t="s">
        <v>9</v>
      </c>
      <c r="E23" s="8"/>
    </row>
    <row r="24" spans="1:5" ht="15.6" x14ac:dyDescent="0.3">
      <c r="A24" s="4" t="s">
        <v>4</v>
      </c>
      <c r="B24" s="5" t="s">
        <v>25</v>
      </c>
      <c r="C24" s="22"/>
      <c r="D24" s="7"/>
      <c r="E24" s="8"/>
    </row>
    <row r="25" spans="1:5" ht="15.6" x14ac:dyDescent="0.3">
      <c r="A25" s="4" t="s">
        <v>21</v>
      </c>
      <c r="B25" s="5" t="s">
        <v>26</v>
      </c>
      <c r="C25" s="22"/>
      <c r="D25" s="7"/>
      <c r="E25" s="8"/>
    </row>
    <row r="26" spans="1:5" ht="15.6" x14ac:dyDescent="0.3">
      <c r="A26" s="4" t="s">
        <v>21</v>
      </c>
      <c r="B26" s="5" t="s">
        <v>27</v>
      </c>
      <c r="C26" s="22">
        <v>13079.98</v>
      </c>
      <c r="D26" s="7" t="s">
        <v>9</v>
      </c>
      <c r="E26" s="8"/>
    </row>
    <row r="27" spans="1:5" ht="15.6" x14ac:dyDescent="0.3">
      <c r="A27" s="4" t="s">
        <v>4</v>
      </c>
      <c r="B27" s="5" t="s">
        <v>28</v>
      </c>
      <c r="C27" s="22"/>
      <c r="D27" s="7"/>
      <c r="E27" s="8"/>
    </row>
    <row r="28" spans="1:5" ht="15.6" x14ac:dyDescent="0.3">
      <c r="A28" s="4" t="s">
        <v>4</v>
      </c>
      <c r="B28" s="5" t="s">
        <v>29</v>
      </c>
      <c r="C28" s="22">
        <v>12545.09</v>
      </c>
      <c r="D28" s="7" t="s">
        <v>9</v>
      </c>
      <c r="E28" s="8"/>
    </row>
    <row r="29" spans="1:5" ht="15.6" x14ac:dyDescent="0.3">
      <c r="A29" s="4" t="s">
        <v>4</v>
      </c>
      <c r="B29" s="5" t="s">
        <v>30</v>
      </c>
      <c r="C29" s="22">
        <v>6672.47</v>
      </c>
      <c r="D29" s="7" t="s">
        <v>9</v>
      </c>
      <c r="E29" s="8"/>
    </row>
    <row r="30" spans="1:5" ht="15.6" x14ac:dyDescent="0.3">
      <c r="A30" s="12" t="s">
        <v>51</v>
      </c>
      <c r="B30" s="13" t="s">
        <v>31</v>
      </c>
      <c r="C30" s="24">
        <v>31516.14</v>
      </c>
      <c r="D30" s="16" t="s">
        <v>9</v>
      </c>
      <c r="E30" s="14">
        <v>4505.1000000000004</v>
      </c>
    </row>
    <row r="31" spans="1:5" ht="15.6" x14ac:dyDescent="0.3">
      <c r="A31" s="4" t="s">
        <v>4</v>
      </c>
      <c r="B31" s="5" t="s">
        <v>32</v>
      </c>
      <c r="C31" s="22">
        <v>6110</v>
      </c>
      <c r="D31" s="7">
        <v>12339</v>
      </c>
      <c r="E31" s="10"/>
    </row>
    <row r="32" spans="1:5" ht="15.6" x14ac:dyDescent="0.3">
      <c r="A32" s="12" t="s">
        <v>48</v>
      </c>
      <c r="B32" s="13" t="s">
        <v>33</v>
      </c>
      <c r="C32" s="24">
        <v>7948.33</v>
      </c>
      <c r="D32" s="16" t="s">
        <v>52</v>
      </c>
      <c r="E32" s="14">
        <v>4624.74</v>
      </c>
    </row>
    <row r="33" spans="1:5" ht="15.6" x14ac:dyDescent="0.3">
      <c r="A33" s="4" t="s">
        <v>53</v>
      </c>
      <c r="B33" s="5" t="s">
        <v>34</v>
      </c>
      <c r="C33" s="22">
        <v>5000</v>
      </c>
      <c r="D33" s="7" t="s">
        <v>9</v>
      </c>
      <c r="E33" s="10"/>
    </row>
    <row r="34" spans="1:5" ht="15.6" x14ac:dyDescent="0.3">
      <c r="A34" s="12" t="s">
        <v>48</v>
      </c>
      <c r="B34" s="13" t="s">
        <v>35</v>
      </c>
      <c r="C34" s="24">
        <v>33972.32</v>
      </c>
      <c r="D34" s="16" t="s">
        <v>54</v>
      </c>
      <c r="E34" s="14">
        <v>11666.67</v>
      </c>
    </row>
    <row r="35" spans="1:5" ht="15.6" x14ac:dyDescent="0.3">
      <c r="A35" s="12" t="s">
        <v>56</v>
      </c>
      <c r="B35" s="16" t="s">
        <v>59</v>
      </c>
      <c r="C35" s="24">
        <v>5050</v>
      </c>
      <c r="D35" s="16">
        <v>44859</v>
      </c>
      <c r="E35" s="27">
        <v>5050</v>
      </c>
    </row>
    <row r="36" spans="1:5" ht="15.6" x14ac:dyDescent="0.3">
      <c r="A36" s="4" t="s">
        <v>4</v>
      </c>
      <c r="B36" s="5" t="s">
        <v>36</v>
      </c>
      <c r="C36" s="22">
        <v>2143.2600000000002</v>
      </c>
      <c r="D36" s="7" t="s">
        <v>9</v>
      </c>
      <c r="E36" s="8"/>
    </row>
    <row r="37" spans="1:5" ht="15.6" x14ac:dyDescent="0.3">
      <c r="A37" s="4" t="s">
        <v>21</v>
      </c>
      <c r="B37" s="5" t="s">
        <v>37</v>
      </c>
      <c r="C37" s="22">
        <v>12587.2</v>
      </c>
      <c r="D37" s="7">
        <v>343077</v>
      </c>
      <c r="E37" s="8"/>
    </row>
    <row r="38" spans="1:5" ht="15.6" x14ac:dyDescent="0.3">
      <c r="A38" s="4" t="s">
        <v>4</v>
      </c>
      <c r="B38" s="5" t="s">
        <v>38</v>
      </c>
      <c r="C38" s="22">
        <v>4683.83</v>
      </c>
      <c r="D38" s="7" t="s">
        <v>9</v>
      </c>
      <c r="E38" s="8"/>
    </row>
    <row r="39" spans="1:5" ht="15.6" x14ac:dyDescent="0.3">
      <c r="A39" s="4" t="s">
        <v>4</v>
      </c>
      <c r="B39" s="5" t="s">
        <v>39</v>
      </c>
      <c r="C39" s="22">
        <v>10794.7</v>
      </c>
      <c r="D39" s="7" t="s">
        <v>9</v>
      </c>
      <c r="E39" s="8"/>
    </row>
    <row r="40" spans="1:5" ht="15.6" x14ac:dyDescent="0.3">
      <c r="A40" s="4" t="s">
        <v>4</v>
      </c>
      <c r="B40" s="5" t="s">
        <v>40</v>
      </c>
      <c r="C40" s="22"/>
      <c r="D40" s="7"/>
      <c r="E40" s="8"/>
    </row>
    <row r="41" spans="1:5" ht="15.6" x14ac:dyDescent="0.3">
      <c r="A41" s="4" t="s">
        <v>4</v>
      </c>
      <c r="B41" s="5" t="s">
        <v>41</v>
      </c>
      <c r="C41" s="22"/>
      <c r="D41" s="7"/>
      <c r="E41" s="8"/>
    </row>
    <row r="42" spans="1:5" ht="15.6" x14ac:dyDescent="0.3">
      <c r="A42" s="4" t="s">
        <v>4</v>
      </c>
      <c r="B42" s="26" t="s">
        <v>42</v>
      </c>
      <c r="C42" s="22"/>
      <c r="D42" s="7"/>
      <c r="E42" s="6"/>
    </row>
    <row r="43" spans="1:5" ht="15.6" x14ac:dyDescent="0.3">
      <c r="A43" s="12" t="s">
        <v>48</v>
      </c>
      <c r="B43" s="25" t="s">
        <v>43</v>
      </c>
      <c r="C43" s="24">
        <v>18300.990000000002</v>
      </c>
      <c r="D43" s="16" t="s">
        <v>55</v>
      </c>
      <c r="E43" s="15">
        <v>7000</v>
      </c>
    </row>
    <row r="44" spans="1:5" ht="15.6" x14ac:dyDescent="0.3">
      <c r="A44" s="4"/>
      <c r="B44" s="5"/>
      <c r="C44" s="22"/>
      <c r="D44" s="7"/>
      <c r="E44" s="8"/>
    </row>
    <row r="45" spans="1:5" ht="15.6" x14ac:dyDescent="0.3">
      <c r="A45" s="4"/>
      <c r="B45" s="7"/>
      <c r="C45" s="6"/>
      <c r="D45" s="7"/>
      <c r="E45" s="8"/>
    </row>
    <row r="46" spans="1:5" ht="15.6" x14ac:dyDescent="0.3">
      <c r="A46" s="124" t="s">
        <v>47</v>
      </c>
      <c r="B46" s="125"/>
      <c r="C46" s="125"/>
      <c r="D46" s="125"/>
      <c r="E46" s="126"/>
    </row>
    <row r="47" spans="1:5" ht="15.6" x14ac:dyDescent="0.3">
      <c r="A47" s="17"/>
      <c r="B47" s="18"/>
      <c r="C47" s="18"/>
      <c r="D47" s="18"/>
      <c r="E47" s="19"/>
    </row>
    <row r="48" spans="1:5" ht="15.6" x14ac:dyDescent="0.3">
      <c r="A48" s="127" t="s">
        <v>74</v>
      </c>
      <c r="B48" s="128"/>
      <c r="C48" s="128"/>
      <c r="D48" s="128"/>
      <c r="E48" s="129"/>
    </row>
    <row r="49" spans="1:5" ht="15.6" x14ac:dyDescent="0.3">
      <c r="A49" s="116" t="s">
        <v>45</v>
      </c>
      <c r="B49" s="117"/>
      <c r="C49" s="28">
        <f>SUM(C4:C45)</f>
        <v>351802.24</v>
      </c>
      <c r="D49" s="21"/>
      <c r="E49" s="20"/>
    </row>
  </sheetData>
  <mergeCells count="5">
    <mergeCell ref="A1:E1"/>
    <mergeCell ref="A2:E2"/>
    <mergeCell ref="A46:E46"/>
    <mergeCell ref="A48:E48"/>
    <mergeCell ref="A49:B49"/>
  </mergeCells>
  <pageMargins left="0.511811024" right="0.511811024" top="0.78740157499999996" bottom="0.78740157499999996" header="0.31496062000000002" footer="0.31496062000000002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C8E6-4E83-4150-984D-589E44669F3C}">
  <dimension ref="A1:E52"/>
  <sheetViews>
    <sheetView view="pageBreakPreview" topLeftCell="A42" zoomScaleNormal="100" zoomScaleSheetLayoutView="100" workbookViewId="0">
      <selection activeCell="A53" sqref="A53:XFD54"/>
    </sheetView>
  </sheetViews>
  <sheetFormatPr defaultRowHeight="14.4" x14ac:dyDescent="0.3"/>
  <cols>
    <col min="1" max="1" width="26.5546875" bestFit="1" customWidth="1"/>
    <col min="2" max="2" width="20.88671875" customWidth="1"/>
    <col min="3" max="3" width="16" bestFit="1" customWidth="1"/>
    <col min="4" max="4" width="30.33203125" bestFit="1" customWidth="1"/>
    <col min="5" max="5" width="16" bestFit="1" customWidth="1"/>
  </cols>
  <sheetData>
    <row r="1" spans="1:5" ht="21" x14ac:dyDescent="0.4">
      <c r="A1" s="118" t="s">
        <v>46</v>
      </c>
      <c r="B1" s="119"/>
      <c r="C1" s="119"/>
      <c r="D1" s="119"/>
      <c r="E1" s="120"/>
    </row>
    <row r="2" spans="1:5" x14ac:dyDescent="0.3">
      <c r="A2" s="121"/>
      <c r="B2" s="122"/>
      <c r="C2" s="122"/>
      <c r="D2" s="122"/>
      <c r="E2" s="123"/>
    </row>
    <row r="3" spans="1:5" ht="15.6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61</v>
      </c>
    </row>
    <row r="4" spans="1:5" ht="15.6" x14ac:dyDescent="0.3">
      <c r="A4" s="4" t="s">
        <v>4</v>
      </c>
      <c r="B4" s="5" t="s">
        <v>5</v>
      </c>
      <c r="C4" s="22"/>
      <c r="D4" s="7"/>
      <c r="E4" s="8"/>
    </row>
    <row r="5" spans="1:5" ht="15.6" x14ac:dyDescent="0.3">
      <c r="A5" s="12" t="s">
        <v>62</v>
      </c>
      <c r="B5" s="13" t="s">
        <v>6</v>
      </c>
      <c r="C5" s="24">
        <v>29569.8</v>
      </c>
      <c r="D5" s="16" t="s">
        <v>63</v>
      </c>
      <c r="E5" s="14">
        <v>5000</v>
      </c>
    </row>
    <row r="6" spans="1:5" ht="15.6" x14ac:dyDescent="0.3">
      <c r="A6" s="4" t="s">
        <v>4</v>
      </c>
      <c r="B6" s="5" t="s">
        <v>7</v>
      </c>
      <c r="C6" s="22">
        <v>16158.56</v>
      </c>
      <c r="D6" s="7" t="s">
        <v>72</v>
      </c>
      <c r="E6" s="8"/>
    </row>
    <row r="7" spans="1:5" ht="15.6" x14ac:dyDescent="0.3">
      <c r="A7" s="12" t="s">
        <v>62</v>
      </c>
      <c r="B7" s="13" t="s">
        <v>8</v>
      </c>
      <c r="C7" s="30">
        <v>41314.230000000003</v>
      </c>
      <c r="D7" s="16" t="s">
        <v>78</v>
      </c>
      <c r="E7" s="14">
        <v>20000</v>
      </c>
    </row>
    <row r="8" spans="1:5" ht="15.6" x14ac:dyDescent="0.3">
      <c r="A8" s="4" t="s">
        <v>4</v>
      </c>
      <c r="B8" s="5" t="s">
        <v>10</v>
      </c>
      <c r="C8" s="22">
        <v>6039</v>
      </c>
      <c r="D8" s="7" t="s">
        <v>71</v>
      </c>
      <c r="E8" s="8"/>
    </row>
    <row r="9" spans="1:5" ht="15.6" x14ac:dyDescent="0.3">
      <c r="A9" s="4" t="s">
        <v>4</v>
      </c>
      <c r="B9" s="5" t="s">
        <v>11</v>
      </c>
      <c r="C9" s="22">
        <v>8778</v>
      </c>
      <c r="D9" s="7">
        <v>145177</v>
      </c>
      <c r="E9" s="10"/>
    </row>
    <row r="10" spans="1:5" ht="15.6" x14ac:dyDescent="0.3">
      <c r="A10" s="12" t="s">
        <v>79</v>
      </c>
      <c r="B10" s="13" t="s">
        <v>13</v>
      </c>
      <c r="C10" s="24">
        <v>23440.47</v>
      </c>
      <c r="D10" s="16" t="s">
        <v>12</v>
      </c>
      <c r="E10" s="14">
        <v>3000</v>
      </c>
    </row>
    <row r="11" spans="1:5" ht="15.6" x14ac:dyDescent="0.3">
      <c r="A11" s="4" t="s">
        <v>4</v>
      </c>
      <c r="B11" s="5" t="s">
        <v>14</v>
      </c>
      <c r="C11" s="22">
        <v>2402.44</v>
      </c>
      <c r="D11" s="7" t="s">
        <v>9</v>
      </c>
      <c r="E11" s="8"/>
    </row>
    <row r="12" spans="1:5" ht="15.6" x14ac:dyDescent="0.3">
      <c r="A12" s="4" t="s">
        <v>21</v>
      </c>
      <c r="B12" s="5" t="s">
        <v>15</v>
      </c>
      <c r="C12" s="22">
        <v>0</v>
      </c>
      <c r="D12" s="9"/>
      <c r="E12" s="8"/>
    </row>
    <row r="13" spans="1:5" ht="15.6" x14ac:dyDescent="0.3">
      <c r="A13" s="4" t="s">
        <v>4</v>
      </c>
      <c r="B13" s="5" t="s">
        <v>16</v>
      </c>
      <c r="C13" s="22">
        <v>8983.9500000000007</v>
      </c>
      <c r="D13" s="7" t="s">
        <v>9</v>
      </c>
      <c r="E13" s="8"/>
    </row>
    <row r="14" spans="1:5" ht="15.6" x14ac:dyDescent="0.3">
      <c r="A14" s="4" t="s">
        <v>4</v>
      </c>
      <c r="B14" s="5" t="s">
        <v>17</v>
      </c>
      <c r="C14" s="22">
        <v>20000</v>
      </c>
      <c r="D14" s="7" t="s">
        <v>12</v>
      </c>
      <c r="E14" s="8"/>
    </row>
    <row r="15" spans="1:5" ht="15.6" x14ac:dyDescent="0.3">
      <c r="A15" s="12" t="s">
        <v>48</v>
      </c>
      <c r="B15" s="13" t="s">
        <v>18</v>
      </c>
      <c r="C15" s="24">
        <v>20152.38</v>
      </c>
      <c r="D15" s="16" t="s">
        <v>73</v>
      </c>
      <c r="E15" s="14">
        <v>10000</v>
      </c>
    </row>
    <row r="16" spans="1:5" ht="15.6" x14ac:dyDescent="0.3">
      <c r="A16" s="4" t="s">
        <v>4</v>
      </c>
      <c r="B16" s="5" t="s">
        <v>19</v>
      </c>
      <c r="C16" s="22">
        <v>12457.86</v>
      </c>
      <c r="D16" s="7" t="s">
        <v>9</v>
      </c>
      <c r="E16" s="8"/>
    </row>
    <row r="17" spans="1:5" ht="15.6" x14ac:dyDescent="0.3">
      <c r="A17" s="12" t="s">
        <v>48</v>
      </c>
      <c r="B17" s="13" t="s">
        <v>20</v>
      </c>
      <c r="C17" s="24">
        <v>12303.49</v>
      </c>
      <c r="D17" s="16"/>
      <c r="E17" s="14">
        <v>5042.3999999999996</v>
      </c>
    </row>
    <row r="18" spans="1:5" ht="15.6" x14ac:dyDescent="0.3">
      <c r="A18" s="4" t="s">
        <v>44</v>
      </c>
      <c r="B18" s="5" t="s">
        <v>65</v>
      </c>
      <c r="C18" s="22">
        <v>5000</v>
      </c>
      <c r="D18" s="7" t="s">
        <v>9</v>
      </c>
      <c r="E18" s="8"/>
    </row>
    <row r="19" spans="1:5" ht="15.6" x14ac:dyDescent="0.3">
      <c r="A19" s="4" t="s">
        <v>44</v>
      </c>
      <c r="B19" s="7" t="s">
        <v>76</v>
      </c>
      <c r="C19" s="6">
        <v>3600</v>
      </c>
      <c r="D19" s="7">
        <v>19693</v>
      </c>
      <c r="E19" s="8"/>
    </row>
    <row r="20" spans="1:5" ht="15.6" x14ac:dyDescent="0.3">
      <c r="A20" s="12" t="s">
        <v>48</v>
      </c>
      <c r="B20" s="13" t="s">
        <v>22</v>
      </c>
      <c r="C20" s="24">
        <v>49246.31</v>
      </c>
      <c r="D20" s="16" t="s">
        <v>70</v>
      </c>
      <c r="E20" s="14">
        <v>11964.8</v>
      </c>
    </row>
    <row r="21" spans="1:5" ht="15.6" x14ac:dyDescent="0.3">
      <c r="A21" s="4" t="s">
        <v>44</v>
      </c>
      <c r="B21" s="5" t="s">
        <v>58</v>
      </c>
      <c r="C21" s="22">
        <v>14980.76</v>
      </c>
      <c r="D21" s="7">
        <v>108788</v>
      </c>
      <c r="E21" s="8"/>
    </row>
    <row r="22" spans="1:5" ht="15.6" x14ac:dyDescent="0.3">
      <c r="A22" s="4" t="s">
        <v>56</v>
      </c>
      <c r="B22" s="7" t="s">
        <v>60</v>
      </c>
      <c r="C22" s="22">
        <v>0</v>
      </c>
      <c r="D22" s="7"/>
      <c r="E22" s="29"/>
    </row>
    <row r="23" spans="1:5" ht="15.6" x14ac:dyDescent="0.3">
      <c r="A23" s="4" t="s">
        <v>21</v>
      </c>
      <c r="B23" s="5" t="s">
        <v>23</v>
      </c>
      <c r="C23" s="22">
        <v>5035.4399999999996</v>
      </c>
      <c r="D23" s="7" t="s">
        <v>9</v>
      </c>
      <c r="E23" s="8"/>
    </row>
    <row r="24" spans="1:5" ht="15.6" x14ac:dyDescent="0.3">
      <c r="A24" s="4" t="s">
        <v>4</v>
      </c>
      <c r="B24" s="5" t="s">
        <v>24</v>
      </c>
      <c r="C24" s="22">
        <v>10634.62</v>
      </c>
      <c r="D24" s="7" t="s">
        <v>9</v>
      </c>
      <c r="E24" s="8"/>
    </row>
    <row r="25" spans="1:5" ht="15.6" x14ac:dyDescent="0.3">
      <c r="A25" s="4" t="s">
        <v>4</v>
      </c>
      <c r="B25" s="5" t="s">
        <v>25</v>
      </c>
      <c r="C25" s="22">
        <v>0</v>
      </c>
      <c r="D25" s="7"/>
      <c r="E25" s="8"/>
    </row>
    <row r="26" spans="1:5" ht="15.6" x14ac:dyDescent="0.3">
      <c r="A26" s="4" t="s">
        <v>21</v>
      </c>
      <c r="B26" s="5" t="s">
        <v>26</v>
      </c>
      <c r="C26" s="22">
        <v>6282.5</v>
      </c>
      <c r="D26" s="7"/>
      <c r="E26" s="8"/>
    </row>
    <row r="27" spans="1:5" ht="15.6" x14ac:dyDescent="0.3">
      <c r="A27" s="12" t="s">
        <v>62</v>
      </c>
      <c r="B27" s="13" t="s">
        <v>66</v>
      </c>
      <c r="C27" s="24">
        <v>5000</v>
      </c>
      <c r="D27" s="16" t="s">
        <v>9</v>
      </c>
      <c r="E27" s="14">
        <v>5000</v>
      </c>
    </row>
    <row r="28" spans="1:5" ht="15.6" x14ac:dyDescent="0.3">
      <c r="A28" s="4" t="s">
        <v>21</v>
      </c>
      <c r="B28" s="5" t="s">
        <v>27</v>
      </c>
      <c r="C28" s="22">
        <v>9844.06</v>
      </c>
      <c r="D28" s="7" t="s">
        <v>9</v>
      </c>
      <c r="E28" s="8"/>
    </row>
    <row r="29" spans="1:5" ht="15.6" x14ac:dyDescent="0.3">
      <c r="A29" s="4" t="s">
        <v>4</v>
      </c>
      <c r="B29" s="5" t="s">
        <v>28</v>
      </c>
      <c r="C29" s="22">
        <v>0</v>
      </c>
      <c r="D29" s="7"/>
      <c r="E29" s="8"/>
    </row>
    <row r="30" spans="1:5" ht="15.6" x14ac:dyDescent="0.3">
      <c r="A30" s="4" t="s">
        <v>4</v>
      </c>
      <c r="B30" s="5" t="s">
        <v>29</v>
      </c>
      <c r="C30" s="22">
        <v>14264.07</v>
      </c>
      <c r="D30" s="7" t="s">
        <v>9</v>
      </c>
      <c r="E30" s="8"/>
    </row>
    <row r="31" spans="1:5" ht="15.6" x14ac:dyDescent="0.3">
      <c r="A31" s="4" t="s">
        <v>4</v>
      </c>
      <c r="B31" s="5" t="s">
        <v>30</v>
      </c>
      <c r="C31" s="22">
        <v>8523.61</v>
      </c>
      <c r="D31" s="7" t="s">
        <v>9</v>
      </c>
      <c r="E31" s="8"/>
    </row>
    <row r="32" spans="1:5" ht="15.6" x14ac:dyDescent="0.3">
      <c r="A32" s="4" t="s">
        <v>21</v>
      </c>
      <c r="B32" s="5" t="s">
        <v>64</v>
      </c>
      <c r="C32" s="22">
        <v>12443.08</v>
      </c>
      <c r="D32" s="7" t="s">
        <v>12</v>
      </c>
      <c r="E32" s="8"/>
    </row>
    <row r="33" spans="1:5" ht="15.6" x14ac:dyDescent="0.3">
      <c r="A33" s="12" t="s">
        <v>51</v>
      </c>
      <c r="B33" s="13" t="s">
        <v>31</v>
      </c>
      <c r="C33" s="24">
        <v>32184.86</v>
      </c>
      <c r="D33" s="16" t="s">
        <v>9</v>
      </c>
      <c r="E33" s="14">
        <v>5000</v>
      </c>
    </row>
    <row r="34" spans="1:5" ht="15.6" x14ac:dyDescent="0.3">
      <c r="A34" s="4" t="s">
        <v>44</v>
      </c>
      <c r="B34" s="5" t="s">
        <v>75</v>
      </c>
      <c r="C34" s="22">
        <v>5809.24</v>
      </c>
      <c r="D34" s="7">
        <v>38888</v>
      </c>
      <c r="E34" s="8"/>
    </row>
    <row r="35" spans="1:5" ht="15.6" x14ac:dyDescent="0.3">
      <c r="A35" s="4" t="s">
        <v>4</v>
      </c>
      <c r="B35" s="5" t="s">
        <v>32</v>
      </c>
      <c r="C35" s="22">
        <v>5822.5</v>
      </c>
      <c r="D35" s="7">
        <v>13418</v>
      </c>
      <c r="E35" s="10"/>
    </row>
    <row r="36" spans="1:5" ht="15.6" x14ac:dyDescent="0.3">
      <c r="A36" s="4" t="s">
        <v>21</v>
      </c>
      <c r="B36" s="5" t="s">
        <v>33</v>
      </c>
      <c r="C36" s="22">
        <v>3616.07</v>
      </c>
      <c r="D36" s="7" t="s">
        <v>9</v>
      </c>
      <c r="E36" s="8"/>
    </row>
    <row r="37" spans="1:5" ht="15.6" x14ac:dyDescent="0.3">
      <c r="A37" s="4" t="s">
        <v>53</v>
      </c>
      <c r="B37" s="5" t="s">
        <v>34</v>
      </c>
      <c r="C37" s="22">
        <v>5000</v>
      </c>
      <c r="D37" s="7" t="s">
        <v>12</v>
      </c>
      <c r="E37" s="10"/>
    </row>
    <row r="38" spans="1:5" ht="15.6" x14ac:dyDescent="0.3">
      <c r="A38" s="12" t="s">
        <v>48</v>
      </c>
      <c r="B38" s="13" t="s">
        <v>35</v>
      </c>
      <c r="C38" s="24">
        <v>43351.8</v>
      </c>
      <c r="D38" s="16" t="s">
        <v>9</v>
      </c>
      <c r="E38" s="14">
        <v>8333.33</v>
      </c>
    </row>
    <row r="39" spans="1:5" ht="15.6" x14ac:dyDescent="0.3">
      <c r="A39" s="12" t="s">
        <v>56</v>
      </c>
      <c r="B39" s="16" t="s">
        <v>59</v>
      </c>
      <c r="C39" s="24">
        <v>5050</v>
      </c>
      <c r="D39" s="16">
        <v>45291</v>
      </c>
      <c r="E39" s="24">
        <v>5050</v>
      </c>
    </row>
    <row r="40" spans="1:5" ht="15.6" x14ac:dyDescent="0.3">
      <c r="A40" s="12" t="s">
        <v>48</v>
      </c>
      <c r="B40" s="13" t="s">
        <v>36</v>
      </c>
      <c r="C40" s="24">
        <v>8862.4699999999993</v>
      </c>
      <c r="D40" s="16" t="s">
        <v>69</v>
      </c>
      <c r="E40" s="14">
        <v>7000</v>
      </c>
    </row>
    <row r="41" spans="1:5" ht="15.6" x14ac:dyDescent="0.3">
      <c r="A41" s="12" t="s">
        <v>48</v>
      </c>
      <c r="B41" s="13" t="s">
        <v>37</v>
      </c>
      <c r="C41" s="24">
        <v>12710.8</v>
      </c>
      <c r="D41" s="16">
        <v>2355434</v>
      </c>
      <c r="E41" s="27">
        <v>12710.8</v>
      </c>
    </row>
    <row r="42" spans="1:5" ht="15.6" x14ac:dyDescent="0.3">
      <c r="A42" s="4" t="s">
        <v>4</v>
      </c>
      <c r="B42" s="5" t="s">
        <v>38</v>
      </c>
      <c r="C42" s="22">
        <v>4482.3500000000004</v>
      </c>
      <c r="D42" s="7" t="s">
        <v>9</v>
      </c>
      <c r="E42" s="8"/>
    </row>
    <row r="43" spans="1:5" ht="15.6" x14ac:dyDescent="0.3">
      <c r="A43" s="12" t="s">
        <v>48</v>
      </c>
      <c r="B43" s="13" t="s">
        <v>39</v>
      </c>
      <c r="C43" s="24">
        <v>28653.26</v>
      </c>
      <c r="D43" s="16" t="s">
        <v>67</v>
      </c>
      <c r="E43" s="14">
        <v>20000</v>
      </c>
    </row>
    <row r="44" spans="1:5" ht="15.6" x14ac:dyDescent="0.3">
      <c r="A44" s="12" t="s">
        <v>68</v>
      </c>
      <c r="B44" s="25" t="s">
        <v>40</v>
      </c>
      <c r="C44" s="24">
        <v>55000</v>
      </c>
      <c r="D44" s="16" t="s">
        <v>12</v>
      </c>
      <c r="E44" s="15">
        <v>20000</v>
      </c>
    </row>
    <row r="45" spans="1:5" ht="15.6" x14ac:dyDescent="0.3">
      <c r="A45" s="12" t="s">
        <v>48</v>
      </c>
      <c r="B45" s="25" t="s">
        <v>41</v>
      </c>
      <c r="C45" s="24">
        <v>95930.19</v>
      </c>
      <c r="D45" s="16" t="s">
        <v>12</v>
      </c>
      <c r="E45" s="15">
        <v>20000</v>
      </c>
    </row>
    <row r="46" spans="1:5" ht="15.6" x14ac:dyDescent="0.3">
      <c r="A46" s="4" t="s">
        <v>4</v>
      </c>
      <c r="B46" s="5" t="s">
        <v>42</v>
      </c>
      <c r="C46" s="22">
        <v>6000</v>
      </c>
      <c r="D46" s="7" t="s">
        <v>12</v>
      </c>
      <c r="E46" s="8"/>
    </row>
    <row r="47" spans="1:5" ht="15.6" x14ac:dyDescent="0.3">
      <c r="A47" s="12" t="s">
        <v>48</v>
      </c>
      <c r="B47" s="13" t="s">
        <v>43</v>
      </c>
      <c r="C47" s="24">
        <v>13808.15</v>
      </c>
      <c r="D47" s="16" t="s">
        <v>9</v>
      </c>
      <c r="E47" s="14">
        <v>7000</v>
      </c>
    </row>
    <row r="48" spans="1:5" ht="15.6" x14ac:dyDescent="0.3">
      <c r="A48" s="31"/>
      <c r="B48" s="32"/>
      <c r="C48" s="33"/>
      <c r="D48" s="34"/>
      <c r="E48" s="35"/>
    </row>
    <row r="49" spans="1:5" ht="15.6" x14ac:dyDescent="0.3">
      <c r="A49" s="124" t="s">
        <v>77</v>
      </c>
      <c r="B49" s="125"/>
      <c r="C49" s="125"/>
      <c r="D49" s="125"/>
      <c r="E49" s="126"/>
    </row>
    <row r="50" spans="1:5" ht="15.6" x14ac:dyDescent="0.3">
      <c r="A50" s="17"/>
      <c r="B50" s="18"/>
      <c r="C50" s="18"/>
      <c r="D50" s="18"/>
      <c r="E50" s="19"/>
    </row>
    <row r="51" spans="1:5" ht="15.6" x14ac:dyDescent="0.3">
      <c r="A51" s="127"/>
      <c r="B51" s="128"/>
      <c r="C51" s="128"/>
      <c r="D51" s="128"/>
      <c r="E51" s="129"/>
    </row>
    <row r="52" spans="1:5" ht="15.6" x14ac:dyDescent="0.3">
      <c r="A52" s="116" t="s">
        <v>45</v>
      </c>
      <c r="B52" s="117"/>
      <c r="C52" s="28">
        <f>SUM(C4:C47)</f>
        <v>672736.32</v>
      </c>
      <c r="D52" s="21"/>
      <c r="E52" s="20"/>
    </row>
  </sheetData>
  <sortState xmlns:xlrd2="http://schemas.microsoft.com/office/spreadsheetml/2017/richdata2" ref="A4:E49">
    <sortCondition ref="B4:B45"/>
  </sortState>
  <mergeCells count="5">
    <mergeCell ref="A1:E1"/>
    <mergeCell ref="A2:E2"/>
    <mergeCell ref="A49:E49"/>
    <mergeCell ref="A51:E51"/>
    <mergeCell ref="A52:B52"/>
  </mergeCells>
  <pageMargins left="0.511811024" right="0.511811024" top="0.78740157499999996" bottom="0.78740157499999996" header="0.31496062000000002" footer="0.31496062000000002"/>
  <pageSetup paperSize="9" scale="8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6283-A34E-422C-8166-8AE778A88DCA}">
  <dimension ref="A1:E53"/>
  <sheetViews>
    <sheetView view="pageBreakPreview" topLeftCell="A39" zoomScaleNormal="100" zoomScaleSheetLayoutView="100" workbookViewId="0">
      <selection activeCell="A54" sqref="A54:XFD55"/>
    </sheetView>
  </sheetViews>
  <sheetFormatPr defaultRowHeight="14.4" x14ac:dyDescent="0.3"/>
  <cols>
    <col min="1" max="1" width="27.21875" bestFit="1" customWidth="1"/>
    <col min="2" max="2" width="21.5546875" bestFit="1" customWidth="1"/>
    <col min="3" max="3" width="17.33203125" bestFit="1" customWidth="1"/>
    <col min="4" max="4" width="31.88671875" bestFit="1" customWidth="1"/>
    <col min="5" max="5" width="16" bestFit="1" customWidth="1"/>
  </cols>
  <sheetData>
    <row r="1" spans="1:5" ht="21" x14ac:dyDescent="0.4">
      <c r="A1" s="118" t="s">
        <v>46</v>
      </c>
      <c r="B1" s="119"/>
      <c r="C1" s="119"/>
      <c r="D1" s="119"/>
      <c r="E1" s="120"/>
    </row>
    <row r="2" spans="1:5" x14ac:dyDescent="0.3">
      <c r="A2" s="121"/>
      <c r="B2" s="122"/>
      <c r="C2" s="122"/>
      <c r="D2" s="122"/>
      <c r="E2" s="123"/>
    </row>
    <row r="3" spans="1:5" ht="15.6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61</v>
      </c>
    </row>
    <row r="4" spans="1:5" ht="15.6" x14ac:dyDescent="0.3">
      <c r="A4" s="4" t="s">
        <v>4</v>
      </c>
      <c r="B4" s="5" t="s">
        <v>5</v>
      </c>
      <c r="C4" s="22"/>
      <c r="D4" s="7"/>
      <c r="E4" s="8"/>
    </row>
    <row r="5" spans="1:5" ht="15.6" x14ac:dyDescent="0.3">
      <c r="A5" s="4" t="s">
        <v>44</v>
      </c>
      <c r="B5" s="5" t="s">
        <v>6</v>
      </c>
      <c r="C5" s="22">
        <v>46026</v>
      </c>
      <c r="D5" s="7" t="s">
        <v>90</v>
      </c>
      <c r="E5" s="8"/>
    </row>
    <row r="6" spans="1:5" ht="15.6" x14ac:dyDescent="0.3">
      <c r="A6" s="4" t="s">
        <v>4</v>
      </c>
      <c r="B6" s="5" t="s">
        <v>7</v>
      </c>
      <c r="C6" s="22">
        <v>7974.32</v>
      </c>
      <c r="D6" s="7" t="s">
        <v>81</v>
      </c>
      <c r="E6" s="8"/>
    </row>
    <row r="7" spans="1:5" ht="15.6" x14ac:dyDescent="0.3">
      <c r="A7" s="4" t="s">
        <v>4</v>
      </c>
      <c r="B7" s="5" t="s">
        <v>8</v>
      </c>
      <c r="C7" s="23">
        <v>10471.39</v>
      </c>
      <c r="D7" s="7" t="s">
        <v>9</v>
      </c>
      <c r="E7" s="8"/>
    </row>
    <row r="8" spans="1:5" ht="15.6" x14ac:dyDescent="0.3">
      <c r="A8" s="4" t="s">
        <v>4</v>
      </c>
      <c r="B8" s="5" t="s">
        <v>10</v>
      </c>
      <c r="C8" s="22">
        <v>9827.24</v>
      </c>
      <c r="D8" s="7" t="s">
        <v>12</v>
      </c>
      <c r="E8" s="8"/>
    </row>
    <row r="9" spans="1:5" ht="15.6" x14ac:dyDescent="0.3">
      <c r="A9" s="12" t="s">
        <v>56</v>
      </c>
      <c r="B9" s="13" t="s">
        <v>87</v>
      </c>
      <c r="C9" s="24">
        <v>4000</v>
      </c>
      <c r="D9" s="16" t="s">
        <v>9</v>
      </c>
      <c r="E9" s="24">
        <v>4000</v>
      </c>
    </row>
    <row r="10" spans="1:5" ht="15.6" x14ac:dyDescent="0.3">
      <c r="A10" s="4" t="s">
        <v>4</v>
      </c>
      <c r="B10" s="5" t="s">
        <v>11</v>
      </c>
      <c r="C10" s="22">
        <v>5231.8</v>
      </c>
      <c r="D10" s="7">
        <v>147041</v>
      </c>
      <c r="E10" s="10"/>
    </row>
    <row r="11" spans="1:5" ht="15.6" x14ac:dyDescent="0.3">
      <c r="A11" s="4" t="s">
        <v>4</v>
      </c>
      <c r="B11" s="5" t="s">
        <v>13</v>
      </c>
      <c r="C11" s="22">
        <v>0</v>
      </c>
      <c r="D11" s="7"/>
      <c r="E11" s="8"/>
    </row>
    <row r="12" spans="1:5" ht="15.6" x14ac:dyDescent="0.3">
      <c r="A12" s="4" t="s">
        <v>4</v>
      </c>
      <c r="B12" s="5" t="s">
        <v>14</v>
      </c>
      <c r="C12" s="22">
        <v>1816.47</v>
      </c>
      <c r="D12" s="7" t="s">
        <v>9</v>
      </c>
      <c r="E12" s="8"/>
    </row>
    <row r="13" spans="1:5" ht="15.6" x14ac:dyDescent="0.3">
      <c r="A13" s="12" t="s">
        <v>48</v>
      </c>
      <c r="B13" s="13" t="s">
        <v>15</v>
      </c>
      <c r="C13" s="24">
        <v>172587.15</v>
      </c>
      <c r="D13" s="36" t="s">
        <v>12</v>
      </c>
      <c r="E13" s="36">
        <v>20000</v>
      </c>
    </row>
    <row r="14" spans="1:5" ht="15.6" x14ac:dyDescent="0.3">
      <c r="A14" s="4" t="s">
        <v>4</v>
      </c>
      <c r="B14" s="5" t="s">
        <v>16</v>
      </c>
      <c r="C14" s="22">
        <v>11808.35</v>
      </c>
      <c r="D14" s="7" t="s">
        <v>9</v>
      </c>
      <c r="E14" s="8"/>
    </row>
    <row r="15" spans="1:5" ht="15.6" x14ac:dyDescent="0.3">
      <c r="A15" s="12" t="s">
        <v>56</v>
      </c>
      <c r="B15" s="13" t="s">
        <v>17</v>
      </c>
      <c r="C15" s="24">
        <v>5000</v>
      </c>
      <c r="D15" s="24" t="s">
        <v>12</v>
      </c>
      <c r="E15" s="24">
        <v>5000</v>
      </c>
    </row>
    <row r="16" spans="1:5" ht="15.6" x14ac:dyDescent="0.3">
      <c r="A16" s="4" t="s">
        <v>4</v>
      </c>
      <c r="B16" s="5" t="s">
        <v>18</v>
      </c>
      <c r="C16" s="22">
        <v>4205.67</v>
      </c>
      <c r="D16" s="7" t="s">
        <v>9</v>
      </c>
      <c r="E16" s="8"/>
    </row>
    <row r="17" spans="1:5" ht="15.6" x14ac:dyDescent="0.3">
      <c r="A17" s="12" t="s">
        <v>48</v>
      </c>
      <c r="B17" s="13" t="s">
        <v>19</v>
      </c>
      <c r="C17" s="24">
        <v>13681.61</v>
      </c>
      <c r="D17" s="16" t="s">
        <v>54</v>
      </c>
      <c r="E17" s="14">
        <v>3500</v>
      </c>
    </row>
    <row r="18" spans="1:5" ht="15.6" x14ac:dyDescent="0.3">
      <c r="A18" s="12" t="s">
        <v>48</v>
      </c>
      <c r="B18" s="13" t="s">
        <v>20</v>
      </c>
      <c r="C18" s="24">
        <v>10112.84</v>
      </c>
      <c r="D18" s="16">
        <v>604807</v>
      </c>
      <c r="E18" s="14">
        <v>4646.3999999999996</v>
      </c>
    </row>
    <row r="19" spans="1:5" ht="15.6" x14ac:dyDescent="0.3">
      <c r="A19" s="4" t="s">
        <v>44</v>
      </c>
      <c r="B19" s="5" t="s">
        <v>65</v>
      </c>
      <c r="C19" s="22">
        <v>5000</v>
      </c>
      <c r="D19" s="7">
        <v>1810077</v>
      </c>
      <c r="E19" s="8"/>
    </row>
    <row r="20" spans="1:5" ht="15.6" x14ac:dyDescent="0.3">
      <c r="A20" s="4" t="s">
        <v>4</v>
      </c>
      <c r="B20" s="7" t="s">
        <v>76</v>
      </c>
      <c r="C20" s="6">
        <v>0</v>
      </c>
      <c r="D20" s="7"/>
      <c r="E20" s="8"/>
    </row>
    <row r="21" spans="1:5" ht="15.6" x14ac:dyDescent="0.3">
      <c r="A21" s="4" t="s">
        <v>4</v>
      </c>
      <c r="B21" s="5" t="s">
        <v>22</v>
      </c>
      <c r="C21" s="22">
        <v>32905.68</v>
      </c>
      <c r="D21" s="7">
        <v>282268</v>
      </c>
      <c r="E21" s="8"/>
    </row>
    <row r="22" spans="1:5" ht="15.6" x14ac:dyDescent="0.3">
      <c r="A22" s="4" t="s">
        <v>44</v>
      </c>
      <c r="B22" s="5" t="s">
        <v>58</v>
      </c>
      <c r="C22" s="22">
        <v>4952.54</v>
      </c>
      <c r="D22" s="7"/>
      <c r="E22" s="8"/>
    </row>
    <row r="23" spans="1:5" ht="15.6" x14ac:dyDescent="0.3">
      <c r="A23" s="12" t="s">
        <v>56</v>
      </c>
      <c r="B23" s="16" t="s">
        <v>60</v>
      </c>
      <c r="C23" s="24">
        <v>4015.55</v>
      </c>
      <c r="D23" s="16">
        <v>58053</v>
      </c>
      <c r="E23" s="24">
        <v>4015.55</v>
      </c>
    </row>
    <row r="24" spans="1:5" ht="15.6" x14ac:dyDescent="0.3">
      <c r="A24" s="12" t="s">
        <v>48</v>
      </c>
      <c r="B24" s="13" t="s">
        <v>23</v>
      </c>
      <c r="C24" s="24">
        <v>15544</v>
      </c>
      <c r="D24" s="16" t="s">
        <v>83</v>
      </c>
      <c r="E24" s="24">
        <v>10010.26</v>
      </c>
    </row>
    <row r="25" spans="1:5" ht="15.6" x14ac:dyDescent="0.3">
      <c r="A25" s="4" t="s">
        <v>4</v>
      </c>
      <c r="B25" s="5" t="s">
        <v>24</v>
      </c>
      <c r="C25" s="22">
        <v>11639.51</v>
      </c>
      <c r="D25" s="7" t="s">
        <v>9</v>
      </c>
      <c r="E25" s="8"/>
    </row>
    <row r="26" spans="1:5" ht="15.6" x14ac:dyDescent="0.3">
      <c r="A26" s="4" t="s">
        <v>89</v>
      </c>
      <c r="B26" s="5" t="s">
        <v>25</v>
      </c>
      <c r="C26" s="22">
        <v>20000</v>
      </c>
      <c r="D26" s="7" t="s">
        <v>12</v>
      </c>
      <c r="E26" s="8"/>
    </row>
    <row r="27" spans="1:5" ht="15.6" x14ac:dyDescent="0.3">
      <c r="A27" s="12" t="s">
        <v>48</v>
      </c>
      <c r="B27" s="13" t="s">
        <v>26</v>
      </c>
      <c r="C27" s="24">
        <v>12772.45</v>
      </c>
      <c r="D27" s="16" t="s">
        <v>12</v>
      </c>
      <c r="E27" s="24">
        <v>4361.63</v>
      </c>
    </row>
    <row r="28" spans="1:5" ht="15.6" x14ac:dyDescent="0.3">
      <c r="A28" s="12" t="s">
        <v>48</v>
      </c>
      <c r="B28" s="13" t="s">
        <v>66</v>
      </c>
      <c r="C28" s="24">
        <v>9000</v>
      </c>
      <c r="D28" s="16" t="s">
        <v>84</v>
      </c>
      <c r="E28" s="14">
        <v>5000</v>
      </c>
    </row>
    <row r="29" spans="1:5" ht="15.6" x14ac:dyDescent="0.3">
      <c r="A29" s="4" t="s">
        <v>4</v>
      </c>
      <c r="B29" s="5" t="s">
        <v>27</v>
      </c>
      <c r="C29" s="22">
        <v>16665.86</v>
      </c>
      <c r="D29" s="7" t="s">
        <v>9</v>
      </c>
      <c r="E29" s="8"/>
    </row>
    <row r="30" spans="1:5" ht="15.6" x14ac:dyDescent="0.3">
      <c r="A30" s="4" t="s">
        <v>4</v>
      </c>
      <c r="B30" s="5" t="s">
        <v>28</v>
      </c>
      <c r="C30" s="22">
        <v>22300.75</v>
      </c>
      <c r="D30" s="7" t="s">
        <v>12</v>
      </c>
      <c r="E30" s="8"/>
    </row>
    <row r="31" spans="1:5" ht="15.6" x14ac:dyDescent="0.3">
      <c r="A31" s="4" t="s">
        <v>4</v>
      </c>
      <c r="B31" s="5" t="s">
        <v>29</v>
      </c>
      <c r="C31" s="22">
        <v>2008.64</v>
      </c>
      <c r="D31" s="7" t="s">
        <v>9</v>
      </c>
      <c r="E31" s="8"/>
    </row>
    <row r="32" spans="1:5" ht="15.6" x14ac:dyDescent="0.3">
      <c r="A32" s="4" t="s">
        <v>4</v>
      </c>
      <c r="B32" s="5" t="s">
        <v>30</v>
      </c>
      <c r="C32" s="22">
        <v>7930.43</v>
      </c>
      <c r="D32" s="7" t="s">
        <v>9</v>
      </c>
      <c r="E32" s="8"/>
    </row>
    <row r="33" spans="1:5" ht="15.6" x14ac:dyDescent="0.3">
      <c r="A33" s="12" t="s">
        <v>56</v>
      </c>
      <c r="B33" s="13" t="s">
        <v>88</v>
      </c>
      <c r="C33" s="24">
        <v>3970.53</v>
      </c>
      <c r="D33" s="16">
        <v>69252</v>
      </c>
      <c r="E33" s="24">
        <v>3970.53</v>
      </c>
    </row>
    <row r="34" spans="1:5" ht="15.6" x14ac:dyDescent="0.3">
      <c r="A34" s="4" t="s">
        <v>82</v>
      </c>
      <c r="B34" s="5" t="s">
        <v>64</v>
      </c>
      <c r="C34" s="22">
        <v>11538.7</v>
      </c>
      <c r="D34" s="7" t="s">
        <v>12</v>
      </c>
      <c r="E34" s="8"/>
    </row>
    <row r="35" spans="1:5" ht="15.6" x14ac:dyDescent="0.3">
      <c r="A35" s="4" t="s">
        <v>4</v>
      </c>
      <c r="B35" s="5" t="s">
        <v>31</v>
      </c>
      <c r="C35" s="22">
        <v>45240.99</v>
      </c>
      <c r="D35" s="7" t="s">
        <v>85</v>
      </c>
      <c r="E35" s="8"/>
    </row>
    <row r="36" spans="1:5" ht="15.6" x14ac:dyDescent="0.3">
      <c r="A36" s="4" t="s">
        <v>44</v>
      </c>
      <c r="B36" s="5" t="s">
        <v>75</v>
      </c>
      <c r="C36" s="22">
        <v>7500</v>
      </c>
      <c r="D36" s="7" t="s">
        <v>12</v>
      </c>
      <c r="E36" s="8"/>
    </row>
    <row r="37" spans="1:5" ht="15.6" x14ac:dyDescent="0.3">
      <c r="A37" s="4" t="s">
        <v>4</v>
      </c>
      <c r="B37" s="5" t="s">
        <v>32</v>
      </c>
      <c r="C37" s="22">
        <v>5206</v>
      </c>
      <c r="D37" s="7">
        <v>15393</v>
      </c>
      <c r="E37" s="10"/>
    </row>
    <row r="38" spans="1:5" ht="15.6" x14ac:dyDescent="0.3">
      <c r="A38" s="12" t="s">
        <v>48</v>
      </c>
      <c r="B38" s="13" t="s">
        <v>33</v>
      </c>
      <c r="C38" s="24">
        <v>7175.44</v>
      </c>
      <c r="D38" s="16">
        <v>144435</v>
      </c>
      <c r="E38" s="24">
        <v>4755.24</v>
      </c>
    </row>
    <row r="39" spans="1:5" ht="15.6" x14ac:dyDescent="0.3">
      <c r="A39" s="4" t="s">
        <v>44</v>
      </c>
      <c r="B39" s="5" t="s">
        <v>34</v>
      </c>
      <c r="C39" s="22">
        <v>5000</v>
      </c>
      <c r="D39" s="7" t="s">
        <v>12</v>
      </c>
      <c r="E39" s="10"/>
    </row>
    <row r="40" spans="1:5" ht="15.6" x14ac:dyDescent="0.3">
      <c r="A40" s="4" t="s">
        <v>4</v>
      </c>
      <c r="B40" s="5" t="s">
        <v>35</v>
      </c>
      <c r="C40" s="22">
        <v>32291.88</v>
      </c>
      <c r="D40" s="7" t="s">
        <v>12</v>
      </c>
      <c r="E40" s="8"/>
    </row>
    <row r="41" spans="1:5" ht="15.6" x14ac:dyDescent="0.3">
      <c r="A41" s="12" t="s">
        <v>56</v>
      </c>
      <c r="B41" s="16" t="s">
        <v>59</v>
      </c>
      <c r="C41" s="24">
        <v>5050</v>
      </c>
      <c r="D41" s="16">
        <v>45457</v>
      </c>
      <c r="E41" s="24">
        <v>5050</v>
      </c>
    </row>
    <row r="42" spans="1:5" ht="15.6" x14ac:dyDescent="0.3">
      <c r="A42" s="12" t="s">
        <v>48</v>
      </c>
      <c r="B42" s="13" t="s">
        <v>36</v>
      </c>
      <c r="C42" s="24">
        <v>17105.52</v>
      </c>
      <c r="D42" s="16" t="s">
        <v>86</v>
      </c>
      <c r="E42" s="14">
        <v>7000</v>
      </c>
    </row>
    <row r="43" spans="1:5" ht="15.6" x14ac:dyDescent="0.3">
      <c r="A43" s="4" t="s">
        <v>4</v>
      </c>
      <c r="B43" s="5" t="s">
        <v>37</v>
      </c>
      <c r="C43" s="22">
        <v>0</v>
      </c>
      <c r="D43" s="7"/>
      <c r="E43" s="29"/>
    </row>
    <row r="44" spans="1:5" ht="15.6" x14ac:dyDescent="0.3">
      <c r="A44" s="4" t="s">
        <v>4</v>
      </c>
      <c r="B44" s="5" t="s">
        <v>38</v>
      </c>
      <c r="C44" s="22">
        <v>1663.56</v>
      </c>
      <c r="D44" s="7" t="s">
        <v>9</v>
      </c>
      <c r="E44" s="8"/>
    </row>
    <row r="45" spans="1:5" ht="15.6" x14ac:dyDescent="0.3">
      <c r="A45" s="4" t="s">
        <v>82</v>
      </c>
      <c r="B45" s="5" t="s">
        <v>39</v>
      </c>
      <c r="C45" s="22">
        <v>33113.089999999997</v>
      </c>
      <c r="D45" s="7" t="s">
        <v>12</v>
      </c>
      <c r="E45" s="8"/>
    </row>
    <row r="46" spans="1:5" ht="15.6" x14ac:dyDescent="0.3">
      <c r="A46" s="4" t="s">
        <v>4</v>
      </c>
      <c r="B46" s="26" t="s">
        <v>41</v>
      </c>
      <c r="C46" s="22">
        <v>2799.03</v>
      </c>
      <c r="D46" s="7">
        <v>718597</v>
      </c>
      <c r="E46" s="6"/>
    </row>
    <row r="47" spans="1:5" ht="15.6" x14ac:dyDescent="0.3">
      <c r="A47" s="4" t="s">
        <v>4</v>
      </c>
      <c r="B47" s="5" t="s">
        <v>42</v>
      </c>
      <c r="C47" s="22">
        <v>6000</v>
      </c>
      <c r="D47" s="7" t="s">
        <v>9</v>
      </c>
      <c r="E47" s="8"/>
    </row>
    <row r="48" spans="1:5" ht="15.6" x14ac:dyDescent="0.3">
      <c r="A48" s="4" t="s">
        <v>4</v>
      </c>
      <c r="B48" s="5" t="s">
        <v>43</v>
      </c>
      <c r="C48" s="22">
        <v>9874.9</v>
      </c>
      <c r="D48" s="7">
        <v>877942</v>
      </c>
      <c r="E48" s="8"/>
    </row>
    <row r="49" spans="1:5" ht="15.6" x14ac:dyDescent="0.3">
      <c r="A49" s="31"/>
      <c r="B49" s="32"/>
      <c r="C49" s="33"/>
      <c r="D49" s="34"/>
      <c r="E49" s="35"/>
    </row>
    <row r="50" spans="1:5" ht="15.6" x14ac:dyDescent="0.3">
      <c r="A50" s="124" t="s">
        <v>80</v>
      </c>
      <c r="B50" s="125"/>
      <c r="C50" s="125"/>
      <c r="D50" s="125"/>
      <c r="E50" s="126"/>
    </row>
    <row r="51" spans="1:5" ht="15.6" x14ac:dyDescent="0.3">
      <c r="A51" s="17"/>
      <c r="B51" s="18"/>
      <c r="C51" s="18"/>
      <c r="D51" s="18"/>
      <c r="E51" s="19"/>
    </row>
    <row r="52" spans="1:5" ht="15.6" x14ac:dyDescent="0.3">
      <c r="A52" s="127"/>
      <c r="B52" s="128"/>
      <c r="C52" s="128"/>
      <c r="D52" s="128"/>
      <c r="E52" s="129"/>
    </row>
    <row r="53" spans="1:5" ht="15.6" x14ac:dyDescent="0.3">
      <c r="A53" s="116" t="s">
        <v>45</v>
      </c>
      <c r="B53" s="117"/>
      <c r="C53" s="28">
        <f>SUM(C4:C48)</f>
        <v>661007.89</v>
      </c>
      <c r="D53" s="21"/>
      <c r="E53" s="20"/>
    </row>
  </sheetData>
  <mergeCells count="5">
    <mergeCell ref="A1:E1"/>
    <mergeCell ref="A2:E2"/>
    <mergeCell ref="A50:E50"/>
    <mergeCell ref="A52:E52"/>
    <mergeCell ref="A53:B53"/>
  </mergeCells>
  <pageMargins left="0.511811024" right="0.511811024" top="0.78740157499999996" bottom="0.78740157499999996" header="0.31496062000000002" footer="0.31496062000000002"/>
  <pageSetup paperSize="9" scale="7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2A1AD-9016-44F2-8099-7822E1E1907D}">
  <dimension ref="A1:E50"/>
  <sheetViews>
    <sheetView view="pageBreakPreview" topLeftCell="A39" zoomScaleNormal="100" zoomScaleSheetLayoutView="100" workbookViewId="0">
      <selection activeCell="A51" sqref="A51:XFD52"/>
    </sheetView>
  </sheetViews>
  <sheetFormatPr defaultRowHeight="14.4" x14ac:dyDescent="0.3"/>
  <cols>
    <col min="1" max="1" width="23.33203125" bestFit="1" customWidth="1"/>
    <col min="2" max="2" width="21.5546875" bestFit="1" customWidth="1"/>
    <col min="3" max="3" width="17.33203125" bestFit="1" customWidth="1"/>
    <col min="4" max="4" width="33.88671875" customWidth="1"/>
    <col min="5" max="5" width="16" bestFit="1" customWidth="1"/>
  </cols>
  <sheetData>
    <row r="1" spans="1:5" ht="21" x14ac:dyDescent="0.4">
      <c r="A1" s="118" t="s">
        <v>46</v>
      </c>
      <c r="B1" s="119"/>
      <c r="C1" s="119"/>
      <c r="D1" s="119"/>
      <c r="E1" s="120"/>
    </row>
    <row r="2" spans="1:5" x14ac:dyDescent="0.3">
      <c r="A2" s="121"/>
      <c r="B2" s="122"/>
      <c r="C2" s="122"/>
      <c r="D2" s="122"/>
      <c r="E2" s="123"/>
    </row>
    <row r="3" spans="1:5" ht="15.6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61</v>
      </c>
    </row>
    <row r="4" spans="1:5" ht="15.6" x14ac:dyDescent="0.3">
      <c r="A4" s="4" t="s">
        <v>4</v>
      </c>
      <c r="B4" s="5" t="s">
        <v>5</v>
      </c>
      <c r="C4" s="37">
        <v>0</v>
      </c>
      <c r="D4" s="7"/>
      <c r="E4" s="8"/>
    </row>
    <row r="5" spans="1:5" ht="15.6" x14ac:dyDescent="0.3">
      <c r="A5" s="38" t="s">
        <v>48</v>
      </c>
      <c r="B5" s="39" t="s">
        <v>6</v>
      </c>
      <c r="C5" s="40">
        <v>34330.800000000003</v>
      </c>
      <c r="D5" s="41">
        <v>7271</v>
      </c>
      <c r="E5" s="42">
        <v>15000</v>
      </c>
    </row>
    <row r="6" spans="1:5" ht="15.6" x14ac:dyDescent="0.3">
      <c r="A6" s="4" t="s">
        <v>4</v>
      </c>
      <c r="B6" s="5" t="s">
        <v>7</v>
      </c>
      <c r="C6" s="37">
        <v>8123.36</v>
      </c>
      <c r="D6" s="7" t="s">
        <v>92</v>
      </c>
      <c r="E6" s="8"/>
    </row>
    <row r="7" spans="1:5" ht="15.6" x14ac:dyDescent="0.3">
      <c r="A7" s="4" t="s">
        <v>4</v>
      </c>
      <c r="B7" s="5" t="s">
        <v>8</v>
      </c>
      <c r="C7" s="37">
        <v>39710.080000000002</v>
      </c>
      <c r="D7" s="7" t="s">
        <v>96</v>
      </c>
      <c r="E7" s="8"/>
    </row>
    <row r="8" spans="1:5" ht="15.6" x14ac:dyDescent="0.3">
      <c r="A8" s="38" t="s">
        <v>48</v>
      </c>
      <c r="B8" s="39" t="s">
        <v>10</v>
      </c>
      <c r="C8" s="40">
        <v>12556</v>
      </c>
      <c r="D8" s="41" t="s">
        <v>12</v>
      </c>
      <c r="E8" s="42">
        <v>5600</v>
      </c>
    </row>
    <row r="9" spans="1:5" ht="15.6" x14ac:dyDescent="0.3">
      <c r="A9" s="4" t="s">
        <v>56</v>
      </c>
      <c r="B9" s="5" t="s">
        <v>87</v>
      </c>
      <c r="C9" s="22">
        <v>0</v>
      </c>
      <c r="D9" s="7"/>
      <c r="E9" s="22"/>
    </row>
    <row r="10" spans="1:5" ht="15.6" x14ac:dyDescent="0.3">
      <c r="A10" s="4" t="s">
        <v>4</v>
      </c>
      <c r="B10" s="5" t="s">
        <v>11</v>
      </c>
      <c r="C10" s="22">
        <v>8625.4</v>
      </c>
      <c r="D10" s="7">
        <v>148659</v>
      </c>
      <c r="E10" s="10"/>
    </row>
    <row r="11" spans="1:5" ht="15.6" x14ac:dyDescent="0.3">
      <c r="A11" s="38" t="s">
        <v>48</v>
      </c>
      <c r="B11" s="39" t="s">
        <v>13</v>
      </c>
      <c r="C11" s="43">
        <v>43544.28</v>
      </c>
      <c r="D11" s="41" t="s">
        <v>12</v>
      </c>
      <c r="E11" s="42">
        <v>20000</v>
      </c>
    </row>
    <row r="12" spans="1:5" ht="15.6" x14ac:dyDescent="0.3">
      <c r="A12" s="4" t="s">
        <v>4</v>
      </c>
      <c r="B12" s="5" t="s">
        <v>14</v>
      </c>
      <c r="C12" s="22">
        <v>1249.93</v>
      </c>
      <c r="D12" s="7" t="s">
        <v>9</v>
      </c>
      <c r="E12" s="8"/>
    </row>
    <row r="13" spans="1:5" ht="15.6" x14ac:dyDescent="0.3">
      <c r="A13" s="4" t="s">
        <v>4</v>
      </c>
      <c r="B13" s="5" t="s">
        <v>15</v>
      </c>
      <c r="C13" s="22">
        <v>19169.75</v>
      </c>
      <c r="D13" s="7" t="s">
        <v>9</v>
      </c>
      <c r="E13" s="9"/>
    </row>
    <row r="14" spans="1:5" ht="15.6" x14ac:dyDescent="0.3">
      <c r="A14" s="4" t="s">
        <v>4</v>
      </c>
      <c r="B14" s="5" t="s">
        <v>16</v>
      </c>
      <c r="C14" s="22">
        <v>5640.76</v>
      </c>
      <c r="D14" s="7" t="s">
        <v>9</v>
      </c>
      <c r="E14" s="8"/>
    </row>
    <row r="15" spans="1:5" ht="15.6" x14ac:dyDescent="0.3">
      <c r="A15" s="38" t="s">
        <v>56</v>
      </c>
      <c r="B15" s="39" t="s">
        <v>17</v>
      </c>
      <c r="C15" s="43">
        <v>15000</v>
      </c>
      <c r="D15" s="41" t="s">
        <v>12</v>
      </c>
      <c r="E15" s="43">
        <v>15000</v>
      </c>
    </row>
    <row r="16" spans="1:5" ht="15.6" x14ac:dyDescent="0.3">
      <c r="A16" s="4" t="s">
        <v>48</v>
      </c>
      <c r="B16" s="5" t="s">
        <v>18</v>
      </c>
      <c r="C16" s="22">
        <v>23130.55</v>
      </c>
      <c r="D16" s="7" t="s">
        <v>93</v>
      </c>
      <c r="E16" s="8">
        <v>10000</v>
      </c>
    </row>
    <row r="17" spans="1:5" ht="15.6" x14ac:dyDescent="0.3">
      <c r="A17" s="12" t="s">
        <v>48</v>
      </c>
      <c r="B17" s="13" t="s">
        <v>19</v>
      </c>
      <c r="C17" s="24">
        <v>21719.75</v>
      </c>
      <c r="D17" s="16" t="s">
        <v>93</v>
      </c>
      <c r="E17" s="14">
        <v>7000</v>
      </c>
    </row>
    <row r="18" spans="1:5" ht="15.6" x14ac:dyDescent="0.3">
      <c r="A18" s="4" t="s">
        <v>48</v>
      </c>
      <c r="B18" s="5" t="s">
        <v>20</v>
      </c>
      <c r="C18" s="22">
        <v>13907.91</v>
      </c>
      <c r="D18" s="7">
        <v>611527</v>
      </c>
      <c r="E18" s="8">
        <v>5042.3999999999996</v>
      </c>
    </row>
    <row r="19" spans="1:5" ht="15.6" x14ac:dyDescent="0.3">
      <c r="A19" s="4" t="s">
        <v>44</v>
      </c>
      <c r="B19" s="5" t="s">
        <v>65</v>
      </c>
      <c r="C19" s="22">
        <v>0</v>
      </c>
      <c r="D19" s="7"/>
      <c r="E19" s="8"/>
    </row>
    <row r="20" spans="1:5" ht="15.6" x14ac:dyDescent="0.3">
      <c r="A20" s="4" t="s">
        <v>56</v>
      </c>
      <c r="B20" s="7" t="s">
        <v>76</v>
      </c>
      <c r="C20" s="6">
        <v>0</v>
      </c>
      <c r="D20" s="7"/>
      <c r="E20" s="8"/>
    </row>
    <row r="21" spans="1:5" ht="15.6" x14ac:dyDescent="0.3">
      <c r="A21" s="4" t="s">
        <v>4</v>
      </c>
      <c r="B21" s="5" t="s">
        <v>22</v>
      </c>
      <c r="C21" s="22">
        <v>34812.58</v>
      </c>
      <c r="D21" s="7" t="s">
        <v>9</v>
      </c>
      <c r="E21" s="8"/>
    </row>
    <row r="22" spans="1:5" ht="15.6" x14ac:dyDescent="0.3">
      <c r="A22" s="38" t="s">
        <v>56</v>
      </c>
      <c r="B22" s="41" t="s">
        <v>60</v>
      </c>
      <c r="C22" s="43">
        <v>4000</v>
      </c>
      <c r="D22" s="41" t="s">
        <v>12</v>
      </c>
      <c r="E22" s="43">
        <v>4000</v>
      </c>
    </row>
    <row r="23" spans="1:5" ht="15.6" x14ac:dyDescent="0.3">
      <c r="A23" s="38" t="s">
        <v>48</v>
      </c>
      <c r="B23" s="39" t="s">
        <v>23</v>
      </c>
      <c r="C23" s="43">
        <v>17724.939999999999</v>
      </c>
      <c r="D23" s="41" t="s">
        <v>95</v>
      </c>
      <c r="E23" s="43">
        <v>5007.9399999999996</v>
      </c>
    </row>
    <row r="24" spans="1:5" ht="15.6" x14ac:dyDescent="0.3">
      <c r="A24" s="4" t="s">
        <v>4</v>
      </c>
      <c r="B24" s="5" t="s">
        <v>24</v>
      </c>
      <c r="C24" s="22">
        <v>12421.85</v>
      </c>
      <c r="D24" s="7" t="s">
        <v>9</v>
      </c>
      <c r="E24" s="8"/>
    </row>
    <row r="25" spans="1:5" ht="15.6" x14ac:dyDescent="0.3">
      <c r="A25" s="45" t="s">
        <v>94</v>
      </c>
      <c r="B25" s="46" t="s">
        <v>25</v>
      </c>
      <c r="C25" s="47">
        <v>10000</v>
      </c>
      <c r="D25" s="48" t="s">
        <v>12</v>
      </c>
      <c r="E25" s="49">
        <v>10000</v>
      </c>
    </row>
    <row r="26" spans="1:5" ht="15.6" x14ac:dyDescent="0.3">
      <c r="A26" s="38" t="s">
        <v>48</v>
      </c>
      <c r="B26" s="39" t="s">
        <v>26</v>
      </c>
      <c r="C26" s="43">
        <v>16272.37</v>
      </c>
      <c r="D26" s="41" t="s">
        <v>12</v>
      </c>
      <c r="E26" s="43">
        <v>7515.73</v>
      </c>
    </row>
    <row r="27" spans="1:5" ht="15.6" x14ac:dyDescent="0.3">
      <c r="A27" s="38" t="s">
        <v>48</v>
      </c>
      <c r="B27" s="39" t="s">
        <v>66</v>
      </c>
      <c r="C27" s="43">
        <v>9000</v>
      </c>
      <c r="D27" s="41" t="s">
        <v>9</v>
      </c>
      <c r="E27" s="42">
        <v>5000</v>
      </c>
    </row>
    <row r="28" spans="1:5" ht="15.6" x14ac:dyDescent="0.3">
      <c r="A28" s="4" t="s">
        <v>4</v>
      </c>
      <c r="B28" s="5" t="s">
        <v>27</v>
      </c>
      <c r="C28" s="22">
        <v>12250.06</v>
      </c>
      <c r="D28" s="7" t="s">
        <v>9</v>
      </c>
      <c r="E28" s="8"/>
    </row>
    <row r="29" spans="1:5" ht="15.6" x14ac:dyDescent="0.3">
      <c r="A29" s="4" t="s">
        <v>4</v>
      </c>
      <c r="B29" s="5" t="s">
        <v>28</v>
      </c>
      <c r="C29" s="22">
        <v>11021.91</v>
      </c>
      <c r="D29" s="7" t="s">
        <v>9</v>
      </c>
      <c r="E29" s="8"/>
    </row>
    <row r="30" spans="1:5" ht="15.6" x14ac:dyDescent="0.3">
      <c r="A30" s="4" t="s">
        <v>4</v>
      </c>
      <c r="B30" s="5" t="s">
        <v>29</v>
      </c>
      <c r="C30" s="22">
        <v>2037.67</v>
      </c>
      <c r="D30" s="7" t="s">
        <v>9</v>
      </c>
      <c r="E30" s="8"/>
    </row>
    <row r="31" spans="1:5" ht="15.6" x14ac:dyDescent="0.3">
      <c r="A31" s="4" t="s">
        <v>4</v>
      </c>
      <c r="B31" s="5" t="s">
        <v>30</v>
      </c>
      <c r="C31" s="22">
        <v>4656.96</v>
      </c>
      <c r="D31" s="7" t="s">
        <v>9</v>
      </c>
      <c r="E31" s="8"/>
    </row>
    <row r="32" spans="1:5" ht="15.6" x14ac:dyDescent="0.3">
      <c r="A32" s="38" t="s">
        <v>56</v>
      </c>
      <c r="B32" s="39" t="s">
        <v>88</v>
      </c>
      <c r="C32" s="43">
        <v>2990.52</v>
      </c>
      <c r="D32" s="41">
        <v>70281</v>
      </c>
      <c r="E32" s="43">
        <v>2990.52</v>
      </c>
    </row>
    <row r="33" spans="1:5" ht="15.6" x14ac:dyDescent="0.3">
      <c r="A33" s="4" t="s">
        <v>21</v>
      </c>
      <c r="B33" s="5" t="s">
        <v>64</v>
      </c>
      <c r="C33" s="22">
        <v>14443.07</v>
      </c>
      <c r="D33" s="7" t="s">
        <v>12</v>
      </c>
      <c r="E33" s="8"/>
    </row>
    <row r="34" spans="1:5" ht="15.6" x14ac:dyDescent="0.3">
      <c r="A34" s="4" t="s">
        <v>21</v>
      </c>
      <c r="B34" s="5" t="s">
        <v>31</v>
      </c>
      <c r="C34" s="22">
        <v>0</v>
      </c>
      <c r="D34" s="7"/>
      <c r="E34" s="8"/>
    </row>
    <row r="35" spans="1:5" ht="15.6" x14ac:dyDescent="0.3">
      <c r="A35" s="4" t="s">
        <v>4</v>
      </c>
      <c r="B35" s="5" t="s">
        <v>32</v>
      </c>
      <c r="C35" s="22">
        <v>7261</v>
      </c>
      <c r="D35" s="7">
        <v>18372</v>
      </c>
      <c r="E35" s="10"/>
    </row>
    <row r="36" spans="1:5" ht="15.6" x14ac:dyDescent="0.3">
      <c r="A36" s="4" t="s">
        <v>4</v>
      </c>
      <c r="B36" s="5" t="s">
        <v>33</v>
      </c>
      <c r="C36" s="22">
        <v>4277.38</v>
      </c>
      <c r="D36" s="7" t="s">
        <v>9</v>
      </c>
      <c r="E36" s="22"/>
    </row>
    <row r="37" spans="1:5" ht="15.6" x14ac:dyDescent="0.3">
      <c r="A37" s="4" t="s">
        <v>4</v>
      </c>
      <c r="B37" s="5" t="s">
        <v>35</v>
      </c>
      <c r="C37" s="22">
        <v>29872.89</v>
      </c>
      <c r="D37" s="7" t="s">
        <v>9</v>
      </c>
      <c r="E37" s="8"/>
    </row>
    <row r="38" spans="1:5" ht="15.6" x14ac:dyDescent="0.3">
      <c r="A38" s="38" t="s">
        <v>56</v>
      </c>
      <c r="B38" s="41" t="s">
        <v>59</v>
      </c>
      <c r="C38" s="43">
        <v>5050</v>
      </c>
      <c r="D38" s="41">
        <v>45892</v>
      </c>
      <c r="E38" s="43">
        <v>5050</v>
      </c>
    </row>
    <row r="39" spans="1:5" ht="15.6" x14ac:dyDescent="0.3">
      <c r="A39" s="38" t="s">
        <v>48</v>
      </c>
      <c r="B39" s="39" t="s">
        <v>36</v>
      </c>
      <c r="C39" s="43">
        <v>16327.87</v>
      </c>
      <c r="D39" s="41" t="s">
        <v>9</v>
      </c>
      <c r="E39" s="42">
        <v>6000</v>
      </c>
    </row>
    <row r="40" spans="1:5" ht="15.6" x14ac:dyDescent="0.3">
      <c r="A40" s="38" t="s">
        <v>48</v>
      </c>
      <c r="B40" s="39" t="s">
        <v>37</v>
      </c>
      <c r="C40" s="43">
        <v>18221.240000000002</v>
      </c>
      <c r="D40" s="41">
        <v>2388786</v>
      </c>
      <c r="E40" s="44">
        <v>7289.2</v>
      </c>
    </row>
    <row r="41" spans="1:5" ht="15.6" x14ac:dyDescent="0.3">
      <c r="A41" s="4" t="s">
        <v>4</v>
      </c>
      <c r="B41" s="5" t="s">
        <v>38</v>
      </c>
      <c r="C41" s="22">
        <v>4848.62</v>
      </c>
      <c r="D41" s="7" t="s">
        <v>9</v>
      </c>
      <c r="E41" s="8"/>
    </row>
    <row r="42" spans="1:5" ht="15.6" x14ac:dyDescent="0.3">
      <c r="A42" s="45" t="s">
        <v>51</v>
      </c>
      <c r="B42" s="46" t="s">
        <v>39</v>
      </c>
      <c r="C42" s="47">
        <v>51817.96</v>
      </c>
      <c r="D42" s="48" t="s">
        <v>12</v>
      </c>
      <c r="E42" s="49">
        <v>35000</v>
      </c>
    </row>
    <row r="43" spans="1:5" ht="15.6" x14ac:dyDescent="0.3">
      <c r="A43" s="4" t="s">
        <v>4</v>
      </c>
      <c r="B43" s="26" t="s">
        <v>41</v>
      </c>
      <c r="C43" s="22">
        <v>17000.810000000001</v>
      </c>
      <c r="D43" s="7" t="s">
        <v>12</v>
      </c>
      <c r="E43" s="6"/>
    </row>
    <row r="44" spans="1:5" ht="15.6" x14ac:dyDescent="0.3">
      <c r="A44" s="4" t="s">
        <v>4</v>
      </c>
      <c r="B44" s="5" t="s">
        <v>42</v>
      </c>
      <c r="C44" s="22">
        <v>6000</v>
      </c>
      <c r="D44" s="7" t="s">
        <v>12</v>
      </c>
      <c r="E44" s="8"/>
    </row>
    <row r="45" spans="1:5" ht="15.6" x14ac:dyDescent="0.3">
      <c r="A45" s="38" t="s">
        <v>48</v>
      </c>
      <c r="B45" s="39" t="s">
        <v>43</v>
      </c>
      <c r="C45" s="43">
        <v>17319.150000000001</v>
      </c>
      <c r="D45" s="41" t="s">
        <v>12</v>
      </c>
      <c r="E45" s="42">
        <v>7000</v>
      </c>
    </row>
    <row r="46" spans="1:5" ht="15.6" x14ac:dyDescent="0.3">
      <c r="A46" s="31"/>
      <c r="B46" s="32"/>
      <c r="C46" s="33"/>
      <c r="D46" s="34"/>
      <c r="E46" s="35"/>
    </row>
    <row r="47" spans="1:5" ht="15.6" x14ac:dyDescent="0.3">
      <c r="A47" s="124" t="s">
        <v>91</v>
      </c>
      <c r="B47" s="125"/>
      <c r="C47" s="125"/>
      <c r="D47" s="125"/>
      <c r="E47" s="126"/>
    </row>
    <row r="48" spans="1:5" ht="15.6" x14ac:dyDescent="0.3">
      <c r="A48" s="17"/>
      <c r="B48" s="18"/>
      <c r="C48" s="18"/>
      <c r="D48" s="18"/>
      <c r="E48" s="19"/>
    </row>
    <row r="49" spans="1:5" ht="15.6" x14ac:dyDescent="0.3">
      <c r="A49" s="127"/>
      <c r="B49" s="128"/>
      <c r="C49" s="128"/>
      <c r="D49" s="128"/>
      <c r="E49" s="129"/>
    </row>
    <row r="50" spans="1:5" ht="15.6" x14ac:dyDescent="0.3">
      <c r="A50" s="116" t="s">
        <v>45</v>
      </c>
      <c r="B50" s="117"/>
      <c r="C50" s="28">
        <f>SUM(C4:C45)</f>
        <v>576337.42000000004</v>
      </c>
      <c r="D50" s="21"/>
      <c r="E50" s="20"/>
    </row>
  </sheetData>
  <mergeCells count="5">
    <mergeCell ref="A1:E1"/>
    <mergeCell ref="A2:E2"/>
    <mergeCell ref="A47:E47"/>
    <mergeCell ref="A49:E49"/>
    <mergeCell ref="A50:B50"/>
  </mergeCells>
  <pageMargins left="0.511811024" right="0.511811024" top="0.78740157499999996" bottom="0.78740157499999996" header="0.31496062000000002" footer="0.31496062000000002"/>
  <pageSetup paperSize="9" scale="8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930C-F72E-4311-986B-1E6E8A37BDC8}">
  <dimension ref="A1:F49"/>
  <sheetViews>
    <sheetView view="pageBreakPreview" topLeftCell="A35" zoomScaleNormal="100" zoomScaleSheetLayoutView="100" workbookViewId="0">
      <selection activeCell="A50" sqref="A50:XFD51"/>
    </sheetView>
  </sheetViews>
  <sheetFormatPr defaultRowHeight="14.4" x14ac:dyDescent="0.3"/>
  <cols>
    <col min="1" max="1" width="21.109375" bestFit="1" customWidth="1"/>
    <col min="2" max="2" width="21.5546875" bestFit="1" customWidth="1"/>
    <col min="3" max="3" width="17.33203125" bestFit="1" customWidth="1"/>
    <col min="4" max="4" width="34.44140625" bestFit="1" customWidth="1"/>
    <col min="5" max="5" width="16" bestFit="1" customWidth="1"/>
    <col min="6" max="6" width="12.88671875" bestFit="1" customWidth="1"/>
  </cols>
  <sheetData>
    <row r="1" spans="1:6" ht="21" x14ac:dyDescent="0.4">
      <c r="A1" s="118" t="s">
        <v>46</v>
      </c>
      <c r="B1" s="119"/>
      <c r="C1" s="119"/>
      <c r="D1" s="119"/>
      <c r="E1" s="120"/>
    </row>
    <row r="2" spans="1:6" x14ac:dyDescent="0.3">
      <c r="A2" s="121"/>
      <c r="B2" s="122"/>
      <c r="C2" s="122"/>
      <c r="D2" s="122"/>
      <c r="E2" s="123"/>
    </row>
    <row r="3" spans="1:6" ht="15.6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61</v>
      </c>
    </row>
    <row r="4" spans="1:6" ht="15.6" x14ac:dyDescent="0.3">
      <c r="A4" s="51" t="s">
        <v>48</v>
      </c>
      <c r="B4" s="52" t="s">
        <v>5</v>
      </c>
      <c r="C4" s="53">
        <v>60000</v>
      </c>
      <c r="D4" s="54" t="s">
        <v>12</v>
      </c>
      <c r="E4" s="55">
        <v>20000</v>
      </c>
    </row>
    <row r="5" spans="1:6" ht="15.6" x14ac:dyDescent="0.3">
      <c r="A5" s="4" t="s">
        <v>21</v>
      </c>
      <c r="B5" s="5" t="s">
        <v>6</v>
      </c>
      <c r="C5" s="37">
        <v>24763.200000000001</v>
      </c>
      <c r="D5" s="7">
        <v>7442</v>
      </c>
      <c r="E5" s="8"/>
    </row>
    <row r="6" spans="1:6" ht="15.6" x14ac:dyDescent="0.3">
      <c r="A6" s="4" t="s">
        <v>4</v>
      </c>
      <c r="B6" s="5" t="s">
        <v>7</v>
      </c>
      <c r="C6" s="37">
        <v>8123.36</v>
      </c>
      <c r="D6" s="7" t="s">
        <v>99</v>
      </c>
      <c r="E6" s="8"/>
      <c r="F6" s="50"/>
    </row>
    <row r="7" spans="1:6" ht="15.6" x14ac:dyDescent="0.3">
      <c r="A7" s="4" t="s">
        <v>4</v>
      </c>
      <c r="B7" s="5" t="s">
        <v>8</v>
      </c>
      <c r="C7" s="37">
        <v>21505.64</v>
      </c>
      <c r="D7" s="7" t="s">
        <v>98</v>
      </c>
      <c r="E7" s="8"/>
      <c r="F7" s="50"/>
    </row>
    <row r="8" spans="1:6" ht="15.6" x14ac:dyDescent="0.3">
      <c r="A8" s="63" t="s">
        <v>48</v>
      </c>
      <c r="B8" s="64" t="s">
        <v>10</v>
      </c>
      <c r="C8" s="65">
        <v>21183.95</v>
      </c>
      <c r="D8" s="66" t="s">
        <v>102</v>
      </c>
      <c r="E8" s="67">
        <v>9400</v>
      </c>
      <c r="F8" s="50"/>
    </row>
    <row r="9" spans="1:6" ht="15.6" x14ac:dyDescent="0.3">
      <c r="A9" s="51" t="s">
        <v>56</v>
      </c>
      <c r="B9" s="52" t="s">
        <v>87</v>
      </c>
      <c r="C9" s="56">
        <v>8005.71</v>
      </c>
      <c r="D9" s="54" t="s">
        <v>9</v>
      </c>
      <c r="E9" s="56">
        <v>8005.71</v>
      </c>
      <c r="F9" s="50"/>
    </row>
    <row r="10" spans="1:6" ht="15.6" x14ac:dyDescent="0.3">
      <c r="A10" s="4" t="s">
        <v>4</v>
      </c>
      <c r="B10" s="5" t="s">
        <v>11</v>
      </c>
      <c r="C10" s="22">
        <v>8766.7999999999993</v>
      </c>
      <c r="D10" s="7">
        <v>150470</v>
      </c>
      <c r="E10" s="10"/>
      <c r="F10" s="50"/>
    </row>
    <row r="11" spans="1:6" ht="15.6" x14ac:dyDescent="0.3">
      <c r="A11" s="51" t="s">
        <v>100</v>
      </c>
      <c r="B11" s="52" t="s">
        <v>13</v>
      </c>
      <c r="C11" s="56">
        <v>80897.570000000007</v>
      </c>
      <c r="D11" s="54" t="s">
        <v>12</v>
      </c>
      <c r="E11" s="55">
        <v>18000</v>
      </c>
      <c r="F11" s="50"/>
    </row>
    <row r="12" spans="1:6" ht="15.6" x14ac:dyDescent="0.3">
      <c r="A12" s="4" t="s">
        <v>4</v>
      </c>
      <c r="B12" s="5" t="s">
        <v>14</v>
      </c>
      <c r="C12" s="22">
        <v>3891.53</v>
      </c>
      <c r="D12" s="7" t="s">
        <v>9</v>
      </c>
      <c r="E12" s="8"/>
      <c r="F12" s="50"/>
    </row>
    <row r="13" spans="1:6" ht="15.6" x14ac:dyDescent="0.3">
      <c r="A13" s="4" t="s">
        <v>4</v>
      </c>
      <c r="B13" s="5" t="s">
        <v>15</v>
      </c>
      <c r="C13" s="22">
        <v>0</v>
      </c>
      <c r="D13" s="7"/>
      <c r="E13" s="9"/>
    </row>
    <row r="14" spans="1:6" ht="15.6" x14ac:dyDescent="0.3">
      <c r="A14" s="4" t="s">
        <v>4</v>
      </c>
      <c r="B14" s="5" t="s">
        <v>16</v>
      </c>
      <c r="C14" s="22">
        <v>504.79</v>
      </c>
      <c r="D14" s="7" t="s">
        <v>9</v>
      </c>
      <c r="E14" s="8"/>
    </row>
    <row r="15" spans="1:6" ht="15.6" x14ac:dyDescent="0.3">
      <c r="A15" s="4" t="s">
        <v>4</v>
      </c>
      <c r="B15" s="5" t="s">
        <v>17</v>
      </c>
      <c r="C15" s="22">
        <v>15000</v>
      </c>
      <c r="D15" s="7" t="s">
        <v>12</v>
      </c>
      <c r="E15" s="22"/>
    </row>
    <row r="16" spans="1:6" ht="15.6" x14ac:dyDescent="0.3">
      <c r="A16" s="4" t="s">
        <v>21</v>
      </c>
      <c r="B16" s="5" t="s">
        <v>18</v>
      </c>
      <c r="C16" s="22">
        <v>20602.02</v>
      </c>
      <c r="D16" s="7" t="s">
        <v>9</v>
      </c>
      <c r="E16" s="8"/>
    </row>
    <row r="17" spans="1:5" ht="15.6" x14ac:dyDescent="0.3">
      <c r="A17" s="51" t="s">
        <v>48</v>
      </c>
      <c r="B17" s="52" t="s">
        <v>19</v>
      </c>
      <c r="C17" s="56">
        <v>17082.47</v>
      </c>
      <c r="D17" s="54" t="s">
        <v>93</v>
      </c>
      <c r="E17" s="55">
        <v>3500</v>
      </c>
    </row>
    <row r="18" spans="1:5" ht="15.6" x14ac:dyDescent="0.3">
      <c r="A18" s="4" t="s">
        <v>4</v>
      </c>
      <c r="B18" s="5" t="s">
        <v>20</v>
      </c>
      <c r="C18" s="22">
        <v>7043.42</v>
      </c>
      <c r="D18" s="7" t="s">
        <v>9</v>
      </c>
      <c r="E18" s="8"/>
    </row>
    <row r="19" spans="1:5" ht="15.6" x14ac:dyDescent="0.3">
      <c r="A19" s="4" t="s">
        <v>44</v>
      </c>
      <c r="B19" s="5" t="s">
        <v>65</v>
      </c>
      <c r="C19" s="22">
        <v>5000</v>
      </c>
      <c r="D19" s="7" t="s">
        <v>9</v>
      </c>
      <c r="E19" s="8"/>
    </row>
    <row r="20" spans="1:5" ht="15.6" x14ac:dyDescent="0.3">
      <c r="A20" s="51" t="s">
        <v>56</v>
      </c>
      <c r="B20" s="54" t="s">
        <v>76</v>
      </c>
      <c r="C20" s="57">
        <v>16400</v>
      </c>
      <c r="D20" s="54" t="s">
        <v>101</v>
      </c>
      <c r="E20" s="55"/>
    </row>
    <row r="21" spans="1:5" ht="15.6" x14ac:dyDescent="0.3">
      <c r="A21" s="4" t="s">
        <v>4</v>
      </c>
      <c r="B21" s="5" t="s">
        <v>22</v>
      </c>
      <c r="C21" s="22">
        <v>24356.1</v>
      </c>
      <c r="D21" s="7" t="s">
        <v>9</v>
      </c>
      <c r="E21" s="8"/>
    </row>
    <row r="22" spans="1:5" ht="15.6" x14ac:dyDescent="0.3">
      <c r="A22" s="4" t="s">
        <v>56</v>
      </c>
      <c r="B22" s="7" t="s">
        <v>60</v>
      </c>
      <c r="C22" s="22"/>
      <c r="D22" s="7"/>
      <c r="E22" s="22"/>
    </row>
    <row r="23" spans="1:5" ht="15.6" x14ac:dyDescent="0.3">
      <c r="A23" s="4" t="s">
        <v>21</v>
      </c>
      <c r="B23" s="5" t="s">
        <v>23</v>
      </c>
      <c r="C23" s="22">
        <v>8078.72</v>
      </c>
      <c r="D23" s="7" t="s">
        <v>108</v>
      </c>
      <c r="E23" s="22"/>
    </row>
    <row r="24" spans="1:5" ht="15.6" x14ac:dyDescent="0.3">
      <c r="A24" s="4" t="s">
        <v>4</v>
      </c>
      <c r="B24" s="5" t="s">
        <v>24</v>
      </c>
      <c r="C24" s="22">
        <v>16378.06</v>
      </c>
      <c r="D24" s="7" t="s">
        <v>9</v>
      </c>
      <c r="E24" s="8"/>
    </row>
    <row r="25" spans="1:5" ht="15.6" x14ac:dyDescent="0.3">
      <c r="A25" s="51" t="s">
        <v>48</v>
      </c>
      <c r="B25" s="52" t="s">
        <v>26</v>
      </c>
      <c r="C25" s="56">
        <v>19055.419999999998</v>
      </c>
      <c r="D25" s="54" t="s">
        <v>54</v>
      </c>
      <c r="E25" s="56">
        <v>8123.24</v>
      </c>
    </row>
    <row r="26" spans="1:5" ht="15.6" x14ac:dyDescent="0.3">
      <c r="A26" s="51" t="s">
        <v>48</v>
      </c>
      <c r="B26" s="52" t="s">
        <v>66</v>
      </c>
      <c r="C26" s="56">
        <v>9000</v>
      </c>
      <c r="D26" s="54" t="s">
        <v>9</v>
      </c>
      <c r="E26" s="55">
        <v>5000</v>
      </c>
    </row>
    <row r="27" spans="1:5" ht="15.6" x14ac:dyDescent="0.3">
      <c r="A27" s="4" t="s">
        <v>4</v>
      </c>
      <c r="B27" s="5" t="s">
        <v>27</v>
      </c>
      <c r="C27" s="22">
        <v>8654.64</v>
      </c>
      <c r="D27" s="7" t="s">
        <v>84</v>
      </c>
      <c r="E27" s="8"/>
    </row>
    <row r="28" spans="1:5" ht="15.6" x14ac:dyDescent="0.3">
      <c r="A28" s="58" t="s">
        <v>4</v>
      </c>
      <c r="B28" s="59" t="s">
        <v>28</v>
      </c>
      <c r="C28" s="60">
        <v>20347</v>
      </c>
      <c r="D28" s="61" t="s">
        <v>12</v>
      </c>
      <c r="E28" s="62"/>
    </row>
    <row r="29" spans="1:5" ht="15.6" x14ac:dyDescent="0.3">
      <c r="A29" s="4" t="s">
        <v>4</v>
      </c>
      <c r="B29" s="5" t="s">
        <v>29</v>
      </c>
      <c r="C29" s="22">
        <v>11148.45</v>
      </c>
      <c r="D29" s="7" t="s">
        <v>9</v>
      </c>
      <c r="E29" s="8"/>
    </row>
    <row r="30" spans="1:5" ht="15.6" x14ac:dyDescent="0.3">
      <c r="A30" s="4" t="s">
        <v>4</v>
      </c>
      <c r="B30" s="5" t="s">
        <v>30</v>
      </c>
      <c r="C30" s="22">
        <v>11122.25</v>
      </c>
      <c r="D30" s="7" t="s">
        <v>9</v>
      </c>
      <c r="E30" s="8"/>
    </row>
    <row r="31" spans="1:5" ht="15.6" x14ac:dyDescent="0.3">
      <c r="A31" s="51" t="s">
        <v>56</v>
      </c>
      <c r="B31" s="52" t="s">
        <v>88</v>
      </c>
      <c r="C31" s="56">
        <v>3170.84</v>
      </c>
      <c r="D31" s="54">
        <v>71609</v>
      </c>
      <c r="E31" s="56"/>
    </row>
    <row r="32" spans="1:5" ht="15.6" x14ac:dyDescent="0.3">
      <c r="A32" s="4" t="s">
        <v>21</v>
      </c>
      <c r="B32" s="5" t="s">
        <v>64</v>
      </c>
      <c r="C32" s="22">
        <v>19424.36</v>
      </c>
      <c r="D32" s="7" t="s">
        <v>107</v>
      </c>
      <c r="E32" s="8"/>
    </row>
    <row r="33" spans="1:5" ht="15.6" x14ac:dyDescent="0.3">
      <c r="A33" s="4" t="s">
        <v>21</v>
      </c>
      <c r="B33" s="5" t="s">
        <v>31</v>
      </c>
      <c r="C33" s="22">
        <v>28840.5</v>
      </c>
      <c r="D33" s="7" t="s">
        <v>9</v>
      </c>
      <c r="E33" s="8"/>
    </row>
    <row r="34" spans="1:5" ht="15.6" x14ac:dyDescent="0.3">
      <c r="A34" s="4" t="s">
        <v>4</v>
      </c>
      <c r="B34" s="5" t="s">
        <v>32</v>
      </c>
      <c r="C34" s="22">
        <v>6302</v>
      </c>
      <c r="D34" s="7">
        <v>21285</v>
      </c>
      <c r="E34" s="10"/>
    </row>
    <row r="35" spans="1:5" ht="15.6" x14ac:dyDescent="0.3">
      <c r="A35" s="51" t="s">
        <v>48</v>
      </c>
      <c r="B35" s="52" t="s">
        <v>33</v>
      </c>
      <c r="C35" s="56">
        <v>9738.39</v>
      </c>
      <c r="D35" s="54" t="s">
        <v>103</v>
      </c>
      <c r="E35" s="56">
        <v>5500</v>
      </c>
    </row>
    <row r="36" spans="1:5" ht="15.6" x14ac:dyDescent="0.3">
      <c r="A36" s="4" t="s">
        <v>4</v>
      </c>
      <c r="B36" s="5" t="s">
        <v>35</v>
      </c>
      <c r="C36" s="22">
        <v>34997.79</v>
      </c>
      <c r="D36" s="7" t="s">
        <v>9</v>
      </c>
      <c r="E36" s="8"/>
    </row>
    <row r="37" spans="1:5" ht="15.6" x14ac:dyDescent="0.3">
      <c r="A37" s="51" t="s">
        <v>56</v>
      </c>
      <c r="B37" s="54" t="s">
        <v>59</v>
      </c>
      <c r="C37" s="56">
        <v>5050</v>
      </c>
      <c r="D37" s="54">
        <v>46203</v>
      </c>
      <c r="E37" s="56"/>
    </row>
    <row r="38" spans="1:5" ht="15.6" x14ac:dyDescent="0.3">
      <c r="A38" s="4" t="s">
        <v>21</v>
      </c>
      <c r="B38" s="5" t="s">
        <v>36</v>
      </c>
      <c r="C38" s="22">
        <v>2862.29</v>
      </c>
      <c r="D38" s="7" t="s">
        <v>9</v>
      </c>
      <c r="E38" s="8"/>
    </row>
    <row r="39" spans="1:5" ht="15.6" x14ac:dyDescent="0.3">
      <c r="A39" s="4" t="s">
        <v>21</v>
      </c>
      <c r="B39" s="5" t="s">
        <v>37</v>
      </c>
      <c r="C39" s="22">
        <v>12136.8</v>
      </c>
      <c r="D39" s="7" t="s">
        <v>104</v>
      </c>
      <c r="E39" s="29"/>
    </row>
    <row r="40" spans="1:5" ht="15.6" x14ac:dyDescent="0.3">
      <c r="A40" s="4" t="s">
        <v>4</v>
      </c>
      <c r="B40" s="5" t="s">
        <v>38</v>
      </c>
      <c r="C40" s="22">
        <v>3274.93</v>
      </c>
      <c r="D40" s="7" t="s">
        <v>9</v>
      </c>
      <c r="E40" s="8"/>
    </row>
    <row r="41" spans="1:5" ht="15.6" x14ac:dyDescent="0.3">
      <c r="A41" s="4" t="s">
        <v>21</v>
      </c>
      <c r="B41" s="5" t="s">
        <v>39</v>
      </c>
      <c r="C41" s="22">
        <v>20931.12</v>
      </c>
      <c r="D41" s="7" t="s">
        <v>54</v>
      </c>
      <c r="E41" s="8"/>
    </row>
    <row r="42" spans="1:5" ht="15.6" x14ac:dyDescent="0.3">
      <c r="A42" s="4" t="s">
        <v>4</v>
      </c>
      <c r="B42" s="26" t="s">
        <v>41</v>
      </c>
      <c r="C42" s="22">
        <v>28588.61</v>
      </c>
      <c r="D42" s="7" t="s">
        <v>105</v>
      </c>
      <c r="E42" s="6"/>
    </row>
    <row r="43" spans="1:5" ht="15.6" x14ac:dyDescent="0.3">
      <c r="A43" s="4" t="s">
        <v>4</v>
      </c>
      <c r="B43" s="5" t="s">
        <v>42</v>
      </c>
      <c r="C43" s="22">
        <v>6000</v>
      </c>
      <c r="D43" s="7" t="s">
        <v>9</v>
      </c>
      <c r="E43" s="8"/>
    </row>
    <row r="44" spans="1:5" ht="15.6" x14ac:dyDescent="0.3">
      <c r="A44" s="4" t="s">
        <v>21</v>
      </c>
      <c r="B44" s="5" t="s">
        <v>43</v>
      </c>
      <c r="C44" s="22">
        <v>9879.3799999999992</v>
      </c>
      <c r="D44" s="7" t="s">
        <v>106</v>
      </c>
      <c r="E44" s="8"/>
    </row>
    <row r="45" spans="1:5" ht="15.6" x14ac:dyDescent="0.3">
      <c r="A45" s="31"/>
      <c r="B45" s="32"/>
      <c r="C45" s="33"/>
      <c r="D45" s="34"/>
      <c r="E45" s="35"/>
    </row>
    <row r="46" spans="1:5" ht="15.6" x14ac:dyDescent="0.3">
      <c r="A46" s="124" t="s">
        <v>97</v>
      </c>
      <c r="B46" s="125"/>
      <c r="C46" s="125"/>
      <c r="D46" s="125"/>
      <c r="E46" s="126"/>
    </row>
    <row r="47" spans="1:5" ht="15.6" x14ac:dyDescent="0.3">
      <c r="A47" s="17"/>
      <c r="B47" s="18"/>
      <c r="C47" s="18"/>
      <c r="D47" s="18"/>
      <c r="E47" s="19"/>
    </row>
    <row r="48" spans="1:5" ht="15.6" x14ac:dyDescent="0.3">
      <c r="A48" s="127"/>
      <c r="B48" s="128"/>
      <c r="C48" s="128"/>
      <c r="D48" s="128"/>
      <c r="E48" s="129"/>
    </row>
    <row r="49" spans="1:5" ht="15.6" x14ac:dyDescent="0.3">
      <c r="A49" s="116" t="s">
        <v>45</v>
      </c>
      <c r="B49" s="117"/>
      <c r="C49" s="28">
        <f>SUM(C4:C44)</f>
        <v>638108.1100000001</v>
      </c>
      <c r="D49" s="21"/>
      <c r="E49" s="20"/>
    </row>
  </sheetData>
  <mergeCells count="5">
    <mergeCell ref="A1:E1"/>
    <mergeCell ref="A2:E2"/>
    <mergeCell ref="A46:E46"/>
    <mergeCell ref="A48:E48"/>
    <mergeCell ref="A49:B49"/>
  </mergeCells>
  <pageMargins left="0.511811024" right="0.511811024" top="0.78740157499999996" bottom="0.78740157499999996" header="0.31496062000000002" footer="0.31496062000000002"/>
  <pageSetup paperSize="9" scale="8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B565-C1D2-4628-BFE0-E24FE463B8A1}">
  <dimension ref="A1:E48"/>
  <sheetViews>
    <sheetView view="pageBreakPreview" topLeftCell="A31" zoomScaleNormal="100" zoomScaleSheetLayoutView="100" workbookViewId="0">
      <selection activeCell="A49" sqref="A49:XFD50"/>
    </sheetView>
  </sheetViews>
  <sheetFormatPr defaultRowHeight="14.4" x14ac:dyDescent="0.3"/>
  <cols>
    <col min="1" max="1" width="19.88671875" bestFit="1" customWidth="1"/>
    <col min="2" max="2" width="21.5546875" bestFit="1" customWidth="1"/>
    <col min="3" max="3" width="17.33203125" bestFit="1" customWidth="1"/>
    <col min="4" max="4" width="30.44140625" customWidth="1"/>
    <col min="5" max="5" width="16" bestFit="1" customWidth="1"/>
  </cols>
  <sheetData>
    <row r="1" spans="1:5" ht="21" x14ac:dyDescent="0.4">
      <c r="A1" s="118" t="s">
        <v>46</v>
      </c>
      <c r="B1" s="119"/>
      <c r="C1" s="119"/>
      <c r="D1" s="119"/>
      <c r="E1" s="120"/>
    </row>
    <row r="2" spans="1:5" x14ac:dyDescent="0.3">
      <c r="A2" s="121"/>
      <c r="B2" s="122"/>
      <c r="C2" s="122"/>
      <c r="D2" s="122"/>
      <c r="E2" s="123"/>
    </row>
    <row r="3" spans="1:5" ht="15.6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61</v>
      </c>
    </row>
    <row r="4" spans="1:5" ht="15.6" x14ac:dyDescent="0.3">
      <c r="A4" s="4" t="s">
        <v>4</v>
      </c>
      <c r="B4" s="5" t="s">
        <v>5</v>
      </c>
      <c r="C4" s="37">
        <v>60000</v>
      </c>
      <c r="D4" s="7" t="s">
        <v>12</v>
      </c>
      <c r="E4" s="8"/>
    </row>
    <row r="5" spans="1:5" ht="15.6" x14ac:dyDescent="0.3">
      <c r="A5" s="4" t="s">
        <v>4</v>
      </c>
      <c r="B5" s="5" t="s">
        <v>6</v>
      </c>
      <c r="C5" s="37">
        <v>23079.65</v>
      </c>
      <c r="D5" s="7" t="s">
        <v>116</v>
      </c>
      <c r="E5" s="8"/>
    </row>
    <row r="6" spans="1:5" ht="15.6" x14ac:dyDescent="0.3">
      <c r="A6" s="58" t="s">
        <v>4</v>
      </c>
      <c r="B6" s="59" t="s">
        <v>7</v>
      </c>
      <c r="C6" s="73">
        <v>8123.36</v>
      </c>
      <c r="D6" s="61" t="s">
        <v>115</v>
      </c>
      <c r="E6" s="62"/>
    </row>
    <row r="7" spans="1:5" ht="15.6" x14ac:dyDescent="0.3">
      <c r="A7" s="58" t="s">
        <v>4</v>
      </c>
      <c r="B7" s="5" t="s">
        <v>8</v>
      </c>
      <c r="C7" s="37">
        <v>13845.57</v>
      </c>
      <c r="D7" s="7" t="s">
        <v>9</v>
      </c>
      <c r="E7" s="8"/>
    </row>
    <row r="8" spans="1:5" ht="15.6" x14ac:dyDescent="0.3">
      <c r="A8" s="58" t="s">
        <v>4</v>
      </c>
      <c r="B8" s="59" t="s">
        <v>10</v>
      </c>
      <c r="C8" s="73">
        <v>8462.34</v>
      </c>
      <c r="D8" s="61" t="s">
        <v>12</v>
      </c>
      <c r="E8" s="62"/>
    </row>
    <row r="9" spans="1:5" ht="15.6" x14ac:dyDescent="0.3">
      <c r="A9" s="12" t="s">
        <v>56</v>
      </c>
      <c r="B9" s="13" t="s">
        <v>87</v>
      </c>
      <c r="C9" s="24">
        <v>4195.8100000000004</v>
      </c>
      <c r="D9" s="16" t="s">
        <v>9</v>
      </c>
      <c r="E9" s="24">
        <v>4195.8100000000004</v>
      </c>
    </row>
    <row r="10" spans="1:5" ht="15.6" x14ac:dyDescent="0.3">
      <c r="A10" s="4" t="s">
        <v>4</v>
      </c>
      <c r="B10" s="5" t="s">
        <v>11</v>
      </c>
      <c r="C10" s="22">
        <v>7350</v>
      </c>
      <c r="D10" s="7">
        <v>152085</v>
      </c>
      <c r="E10" s="10"/>
    </row>
    <row r="11" spans="1:5" ht="15.6" x14ac:dyDescent="0.3">
      <c r="A11" s="4" t="s">
        <v>4</v>
      </c>
      <c r="B11" s="5" t="s">
        <v>13</v>
      </c>
      <c r="C11" s="22">
        <v>24499.34</v>
      </c>
      <c r="D11" s="7" t="s">
        <v>12</v>
      </c>
      <c r="E11" s="8"/>
    </row>
    <row r="12" spans="1:5" ht="15.6" x14ac:dyDescent="0.3">
      <c r="A12" s="4" t="s">
        <v>4</v>
      </c>
      <c r="B12" s="5" t="s">
        <v>14</v>
      </c>
      <c r="C12" s="22">
        <v>1342.25</v>
      </c>
      <c r="D12" s="7" t="s">
        <v>9</v>
      </c>
      <c r="E12" s="8"/>
    </row>
    <row r="13" spans="1:5" ht="15.6" x14ac:dyDescent="0.3">
      <c r="A13" s="4" t="s">
        <v>4</v>
      </c>
      <c r="B13" s="5" t="s">
        <v>15</v>
      </c>
      <c r="C13" s="22">
        <v>21552.9</v>
      </c>
      <c r="D13" s="7" t="s">
        <v>12</v>
      </c>
      <c r="E13" s="68"/>
    </row>
    <row r="14" spans="1:5" ht="15.6" x14ac:dyDescent="0.3">
      <c r="A14" s="12" t="s">
        <v>56</v>
      </c>
      <c r="B14" s="13" t="s">
        <v>16</v>
      </c>
      <c r="C14" s="24">
        <v>3097.44</v>
      </c>
      <c r="D14" s="16" t="s">
        <v>12</v>
      </c>
      <c r="E14" s="14">
        <v>3097.44</v>
      </c>
    </row>
    <row r="15" spans="1:5" ht="15.6" x14ac:dyDescent="0.3">
      <c r="A15" s="4" t="s">
        <v>4</v>
      </c>
      <c r="B15" s="5" t="s">
        <v>17</v>
      </c>
      <c r="C15" s="22">
        <v>10000</v>
      </c>
      <c r="D15" s="7" t="s">
        <v>12</v>
      </c>
      <c r="E15" s="29"/>
    </row>
    <row r="16" spans="1:5" ht="15.6" x14ac:dyDescent="0.3">
      <c r="A16" s="4" t="s">
        <v>4</v>
      </c>
      <c r="B16" s="5" t="s">
        <v>18</v>
      </c>
      <c r="C16" s="22">
        <v>6629.44</v>
      </c>
      <c r="D16" s="7" t="s">
        <v>12</v>
      </c>
      <c r="E16" s="8"/>
    </row>
    <row r="17" spans="1:5" ht="15.6" x14ac:dyDescent="0.3">
      <c r="A17" s="58" t="s">
        <v>4</v>
      </c>
      <c r="B17" s="59" t="s">
        <v>19</v>
      </c>
      <c r="C17" s="60">
        <v>16019.07</v>
      </c>
      <c r="D17" s="61" t="s">
        <v>54</v>
      </c>
      <c r="E17" s="62"/>
    </row>
    <row r="18" spans="1:5" ht="15.6" x14ac:dyDescent="0.3">
      <c r="A18" s="4" t="s">
        <v>4</v>
      </c>
      <c r="B18" s="5" t="s">
        <v>20</v>
      </c>
      <c r="C18" s="22">
        <v>7788.42</v>
      </c>
      <c r="D18" s="7" t="s">
        <v>9</v>
      </c>
      <c r="E18" s="8"/>
    </row>
    <row r="19" spans="1:5" ht="15.6" x14ac:dyDescent="0.3">
      <c r="A19" s="4" t="s">
        <v>4</v>
      </c>
      <c r="B19" s="5" t="s">
        <v>22</v>
      </c>
      <c r="C19" s="22">
        <v>29685.87</v>
      </c>
      <c r="D19" s="7" t="s">
        <v>9</v>
      </c>
      <c r="E19" s="8"/>
    </row>
    <row r="20" spans="1:5" ht="15.6" x14ac:dyDescent="0.3">
      <c r="A20" s="12" t="s">
        <v>94</v>
      </c>
      <c r="B20" s="13" t="s">
        <v>58</v>
      </c>
      <c r="C20" s="24">
        <v>5000</v>
      </c>
      <c r="D20" s="16">
        <v>1127</v>
      </c>
      <c r="E20" s="14">
        <v>5000</v>
      </c>
    </row>
    <row r="21" spans="1:5" ht="15.6" x14ac:dyDescent="0.3">
      <c r="A21" s="4" t="s">
        <v>56</v>
      </c>
      <c r="B21" s="7" t="s">
        <v>60</v>
      </c>
      <c r="C21" s="22">
        <v>0</v>
      </c>
      <c r="D21" s="7"/>
      <c r="E21" s="29"/>
    </row>
    <row r="22" spans="1:5" ht="15.6" x14ac:dyDescent="0.3">
      <c r="A22" s="4" t="s">
        <v>4</v>
      </c>
      <c r="B22" s="5" t="s">
        <v>23</v>
      </c>
      <c r="C22" s="22">
        <v>7173.37</v>
      </c>
      <c r="D22" s="7" t="s">
        <v>9</v>
      </c>
      <c r="E22" s="29"/>
    </row>
    <row r="23" spans="1:5" ht="15.6" x14ac:dyDescent="0.3">
      <c r="A23" s="4" t="s">
        <v>4</v>
      </c>
      <c r="B23" s="5" t="s">
        <v>24</v>
      </c>
      <c r="C23" s="22">
        <v>17051.07</v>
      </c>
      <c r="D23" s="7">
        <v>2412575</v>
      </c>
      <c r="E23" s="8"/>
    </row>
    <row r="24" spans="1:5" ht="15.6" x14ac:dyDescent="0.3">
      <c r="A24" s="4" t="s">
        <v>4</v>
      </c>
      <c r="B24" s="5" t="s">
        <v>26</v>
      </c>
      <c r="C24" s="22">
        <v>7628.43</v>
      </c>
      <c r="D24" s="7" t="s">
        <v>9</v>
      </c>
      <c r="E24" s="29"/>
    </row>
    <row r="25" spans="1:5" ht="15.6" x14ac:dyDescent="0.3">
      <c r="A25" s="4" t="s">
        <v>4</v>
      </c>
      <c r="B25" s="5" t="s">
        <v>66</v>
      </c>
      <c r="C25" s="22">
        <v>9000</v>
      </c>
      <c r="D25" s="7" t="s">
        <v>9</v>
      </c>
      <c r="E25" s="8"/>
    </row>
    <row r="26" spans="1:5" ht="15.6" x14ac:dyDescent="0.3">
      <c r="A26" s="4" t="s">
        <v>4</v>
      </c>
      <c r="B26" s="5" t="s">
        <v>27</v>
      </c>
      <c r="C26" s="22">
        <v>19248.97</v>
      </c>
      <c r="D26" s="7" t="s">
        <v>9</v>
      </c>
      <c r="E26" s="8"/>
    </row>
    <row r="27" spans="1:5" ht="15.6" x14ac:dyDescent="0.3">
      <c r="A27" s="58" t="s">
        <v>4</v>
      </c>
      <c r="B27" s="59" t="s">
        <v>28</v>
      </c>
      <c r="C27" s="60">
        <v>26811.43</v>
      </c>
      <c r="D27" s="61" t="s">
        <v>12</v>
      </c>
      <c r="E27" s="62"/>
    </row>
    <row r="28" spans="1:5" ht="15.6" x14ac:dyDescent="0.3">
      <c r="A28" s="58" t="s">
        <v>4</v>
      </c>
      <c r="B28" s="5" t="s">
        <v>29</v>
      </c>
      <c r="C28" s="22">
        <v>15700.77</v>
      </c>
      <c r="D28" s="61" t="s">
        <v>12</v>
      </c>
      <c r="E28" s="8"/>
    </row>
    <row r="29" spans="1:5" ht="15.6" x14ac:dyDescent="0.3">
      <c r="A29" s="58" t="s">
        <v>4</v>
      </c>
      <c r="B29" s="5" t="s">
        <v>30</v>
      </c>
      <c r="C29" s="22">
        <v>8344.14</v>
      </c>
      <c r="D29" s="7" t="s">
        <v>9</v>
      </c>
      <c r="E29" s="8"/>
    </row>
    <row r="30" spans="1:5" ht="15.6" x14ac:dyDescent="0.3">
      <c r="A30" s="12" t="s">
        <v>56</v>
      </c>
      <c r="B30" s="13" t="s">
        <v>88</v>
      </c>
      <c r="C30" s="24">
        <v>3202.55</v>
      </c>
      <c r="D30" s="16">
        <v>72497</v>
      </c>
      <c r="E30" s="27">
        <v>3202.55</v>
      </c>
    </row>
    <row r="31" spans="1:5" ht="15.6" x14ac:dyDescent="0.3">
      <c r="A31" s="4" t="s">
        <v>4</v>
      </c>
      <c r="B31" s="5" t="s">
        <v>64</v>
      </c>
      <c r="C31" s="22">
        <v>8241.23</v>
      </c>
      <c r="D31" s="7" t="s">
        <v>12</v>
      </c>
      <c r="E31" s="8"/>
    </row>
    <row r="32" spans="1:5" ht="15.6" x14ac:dyDescent="0.3">
      <c r="A32" s="4" t="s">
        <v>4</v>
      </c>
      <c r="B32" s="5" t="s">
        <v>31</v>
      </c>
      <c r="C32" s="22">
        <v>35521.550000000003</v>
      </c>
      <c r="D32" s="7" t="s">
        <v>110</v>
      </c>
      <c r="E32" s="8"/>
    </row>
    <row r="33" spans="1:5" ht="15.6" x14ac:dyDescent="0.3">
      <c r="A33" s="58" t="s">
        <v>4</v>
      </c>
      <c r="B33" s="59" t="s">
        <v>32</v>
      </c>
      <c r="C33" s="60">
        <v>7946</v>
      </c>
      <c r="D33" s="61">
        <v>23508</v>
      </c>
      <c r="E33" s="62"/>
    </row>
    <row r="34" spans="1:5" ht="15.6" x14ac:dyDescent="0.3">
      <c r="A34" s="12" t="s">
        <v>48</v>
      </c>
      <c r="B34" s="13" t="s">
        <v>33</v>
      </c>
      <c r="C34" s="24">
        <v>9323.25</v>
      </c>
      <c r="D34" s="16" t="s">
        <v>112</v>
      </c>
      <c r="E34" s="27">
        <v>5448</v>
      </c>
    </row>
    <row r="35" spans="1:5" ht="15.6" x14ac:dyDescent="0.3">
      <c r="A35" s="4" t="s">
        <v>4</v>
      </c>
      <c r="B35" s="5" t="s">
        <v>35</v>
      </c>
      <c r="C35" s="22">
        <v>36364.36</v>
      </c>
      <c r="D35" s="7" t="s">
        <v>9</v>
      </c>
      <c r="E35" s="8"/>
    </row>
    <row r="36" spans="1:5" ht="15.6" x14ac:dyDescent="0.3">
      <c r="A36" s="69" t="s">
        <v>56</v>
      </c>
      <c r="B36" s="70" t="s">
        <v>59</v>
      </c>
      <c r="C36" s="71">
        <v>5050</v>
      </c>
      <c r="D36" s="70">
        <v>46636</v>
      </c>
      <c r="E36" s="72">
        <v>5050</v>
      </c>
    </row>
    <row r="37" spans="1:5" ht="15.6" x14ac:dyDescent="0.3">
      <c r="A37" s="4" t="s">
        <v>4</v>
      </c>
      <c r="B37" s="5" t="s">
        <v>36</v>
      </c>
      <c r="C37" s="22">
        <v>9462.9500000000007</v>
      </c>
      <c r="D37" s="7" t="s">
        <v>12</v>
      </c>
      <c r="E37" s="8"/>
    </row>
    <row r="38" spans="1:5" ht="15.6" x14ac:dyDescent="0.3">
      <c r="A38" s="4" t="s">
        <v>4</v>
      </c>
      <c r="B38" s="5" t="s">
        <v>37</v>
      </c>
      <c r="C38" s="22">
        <v>33893</v>
      </c>
      <c r="D38" s="7" t="s">
        <v>113</v>
      </c>
      <c r="E38" s="29"/>
    </row>
    <row r="39" spans="1:5" ht="15.6" x14ac:dyDescent="0.3">
      <c r="A39" s="4" t="s">
        <v>4</v>
      </c>
      <c r="B39" s="5" t="s">
        <v>38</v>
      </c>
      <c r="C39" s="22">
        <v>3620.06</v>
      </c>
      <c r="D39" s="7" t="s">
        <v>9</v>
      </c>
      <c r="E39" s="8"/>
    </row>
    <row r="40" spans="1:5" ht="15.6" x14ac:dyDescent="0.3">
      <c r="A40" s="4" t="s">
        <v>4</v>
      </c>
      <c r="B40" s="5" t="s">
        <v>39</v>
      </c>
      <c r="C40" s="22">
        <v>21184.36</v>
      </c>
      <c r="D40" s="7" t="s">
        <v>12</v>
      </c>
      <c r="E40" s="8"/>
    </row>
    <row r="41" spans="1:5" ht="15.6" x14ac:dyDescent="0.3">
      <c r="A41" s="4" t="s">
        <v>4</v>
      </c>
      <c r="B41" s="26" t="s">
        <v>41</v>
      </c>
      <c r="C41" s="22">
        <v>42336.62</v>
      </c>
      <c r="D41" s="7" t="s">
        <v>114</v>
      </c>
      <c r="E41" s="8"/>
    </row>
    <row r="42" spans="1:5" ht="15.6" x14ac:dyDescent="0.3">
      <c r="A42" s="4" t="s">
        <v>4</v>
      </c>
      <c r="B42" s="5" t="s">
        <v>42</v>
      </c>
      <c r="C42" s="22">
        <v>6000</v>
      </c>
      <c r="D42" s="7" t="s">
        <v>9</v>
      </c>
      <c r="E42" s="8"/>
    </row>
    <row r="43" spans="1:5" ht="15.6" x14ac:dyDescent="0.3">
      <c r="A43" s="4" t="s">
        <v>4</v>
      </c>
      <c r="B43" s="5" t="s">
        <v>43</v>
      </c>
      <c r="C43" s="22">
        <v>8760.65</v>
      </c>
      <c r="D43" s="7" t="s">
        <v>111</v>
      </c>
      <c r="E43" s="8"/>
    </row>
    <row r="44" spans="1:5" ht="15.6" x14ac:dyDescent="0.3">
      <c r="A44" s="31"/>
      <c r="B44" s="32"/>
      <c r="C44" s="33"/>
      <c r="D44" s="34"/>
      <c r="E44" s="35"/>
    </row>
    <row r="45" spans="1:5" ht="15.6" x14ac:dyDescent="0.3">
      <c r="A45" s="124" t="s">
        <v>109</v>
      </c>
      <c r="B45" s="125"/>
      <c r="C45" s="125"/>
      <c r="D45" s="125"/>
      <c r="E45" s="126"/>
    </row>
    <row r="46" spans="1:5" ht="15.6" x14ac:dyDescent="0.3">
      <c r="A46" s="17"/>
      <c r="B46" s="18"/>
      <c r="C46" s="18"/>
      <c r="D46" s="18"/>
      <c r="E46" s="19"/>
    </row>
    <row r="47" spans="1:5" ht="15.6" x14ac:dyDescent="0.3">
      <c r="A47" s="127"/>
      <c r="B47" s="128"/>
      <c r="C47" s="128"/>
      <c r="D47" s="128"/>
      <c r="E47" s="129"/>
    </row>
    <row r="48" spans="1:5" ht="15.6" x14ac:dyDescent="0.3">
      <c r="A48" s="116" t="s">
        <v>45</v>
      </c>
      <c r="B48" s="117"/>
      <c r="C48" s="28">
        <f>SUM(C4:C43)</f>
        <v>592536.22</v>
      </c>
      <c r="D48" s="21"/>
      <c r="E48" s="20"/>
    </row>
  </sheetData>
  <mergeCells count="5">
    <mergeCell ref="A1:E1"/>
    <mergeCell ref="A2:E2"/>
    <mergeCell ref="A45:E45"/>
    <mergeCell ref="A47:E47"/>
    <mergeCell ref="A48:B48"/>
  </mergeCells>
  <pageMargins left="0.511811024" right="0.511811024" top="0.78740157499999996" bottom="0.78740157499999996" header="0.31496062000000002" footer="0.31496062000000002"/>
  <pageSetup paperSize="9" scale="86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7FA5-91F0-4FD2-947C-55942F9BB330}">
  <dimension ref="A1:I46"/>
  <sheetViews>
    <sheetView view="pageBreakPreview" topLeftCell="A31" zoomScaleNormal="100" zoomScaleSheetLayoutView="100" workbookViewId="0">
      <selection activeCell="A47" sqref="A47:XFD48"/>
    </sheetView>
  </sheetViews>
  <sheetFormatPr defaultRowHeight="14.4" x14ac:dyDescent="0.3"/>
  <cols>
    <col min="1" max="1" width="18.5546875" bestFit="1" customWidth="1"/>
    <col min="2" max="2" width="21.5546875" bestFit="1" customWidth="1"/>
    <col min="3" max="3" width="16" bestFit="1" customWidth="1"/>
    <col min="4" max="4" width="31" bestFit="1" customWidth="1"/>
    <col min="5" max="5" width="16" bestFit="1" customWidth="1"/>
    <col min="9" max="9" width="12.88671875" bestFit="1" customWidth="1"/>
  </cols>
  <sheetData>
    <row r="1" spans="1:5" ht="21" x14ac:dyDescent="0.4">
      <c r="A1" s="118" t="s">
        <v>46</v>
      </c>
      <c r="B1" s="119"/>
      <c r="C1" s="119"/>
      <c r="D1" s="119"/>
      <c r="E1" s="120"/>
    </row>
    <row r="2" spans="1:5" x14ac:dyDescent="0.3">
      <c r="A2" s="121"/>
      <c r="B2" s="122"/>
      <c r="C2" s="122"/>
      <c r="D2" s="122"/>
      <c r="E2" s="123"/>
    </row>
    <row r="3" spans="1:5" ht="15.6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61</v>
      </c>
    </row>
    <row r="4" spans="1:5" ht="15.6" x14ac:dyDescent="0.3">
      <c r="A4" s="4" t="s">
        <v>4</v>
      </c>
      <c r="B4" s="5" t="s">
        <v>5</v>
      </c>
      <c r="C4" s="37"/>
      <c r="D4" s="7"/>
      <c r="E4" s="8"/>
    </row>
    <row r="5" spans="1:5" ht="15.6" x14ac:dyDescent="0.3">
      <c r="A5" s="12" t="s">
        <v>119</v>
      </c>
      <c r="B5" s="13" t="s">
        <v>6</v>
      </c>
      <c r="C5" s="24">
        <v>5242.32</v>
      </c>
      <c r="D5" s="16">
        <v>8423</v>
      </c>
      <c r="E5" s="14">
        <v>5242.32</v>
      </c>
    </row>
    <row r="6" spans="1:5" ht="15.6" x14ac:dyDescent="0.3">
      <c r="A6" s="58" t="s">
        <v>4</v>
      </c>
      <c r="B6" s="59" t="s">
        <v>7</v>
      </c>
      <c r="C6" s="22">
        <v>7776.32</v>
      </c>
      <c r="D6" s="61">
        <v>155004</v>
      </c>
      <c r="E6" s="62"/>
    </row>
    <row r="7" spans="1:5" ht="15.6" x14ac:dyDescent="0.3">
      <c r="A7" s="58" t="s">
        <v>4</v>
      </c>
      <c r="B7" s="5" t="s">
        <v>8</v>
      </c>
      <c r="C7" s="37">
        <v>9848.25</v>
      </c>
      <c r="D7" s="7" t="s">
        <v>9</v>
      </c>
      <c r="E7" s="8"/>
    </row>
    <row r="8" spans="1:5" ht="15.6" x14ac:dyDescent="0.3">
      <c r="A8" s="58" t="s">
        <v>4</v>
      </c>
      <c r="B8" s="59" t="s">
        <v>10</v>
      </c>
      <c r="C8" s="73">
        <v>0</v>
      </c>
      <c r="D8" s="61"/>
      <c r="E8" s="62"/>
    </row>
    <row r="9" spans="1:5" ht="15.6" x14ac:dyDescent="0.3">
      <c r="A9" s="58" t="s">
        <v>4</v>
      </c>
      <c r="B9" s="5" t="s">
        <v>87</v>
      </c>
      <c r="C9" s="22">
        <v>0</v>
      </c>
      <c r="D9" s="7"/>
      <c r="E9" s="22"/>
    </row>
    <row r="10" spans="1:5" ht="15.6" x14ac:dyDescent="0.3">
      <c r="A10" s="4" t="s">
        <v>4</v>
      </c>
      <c r="B10" s="5" t="s">
        <v>11</v>
      </c>
      <c r="C10" s="22">
        <v>8452.5</v>
      </c>
      <c r="D10" s="7">
        <v>154912</v>
      </c>
      <c r="E10" s="10"/>
    </row>
    <row r="11" spans="1:5" ht="15.6" x14ac:dyDescent="0.3">
      <c r="A11" s="4" t="s">
        <v>4</v>
      </c>
      <c r="B11" s="59" t="s">
        <v>13</v>
      </c>
      <c r="C11" s="60">
        <v>15359.15</v>
      </c>
      <c r="D11" s="61" t="s">
        <v>12</v>
      </c>
      <c r="E11" s="10"/>
    </row>
    <row r="12" spans="1:5" ht="15.6" x14ac:dyDescent="0.3">
      <c r="A12" s="4" t="s">
        <v>4</v>
      </c>
      <c r="B12" s="5" t="s">
        <v>14</v>
      </c>
      <c r="C12" s="22">
        <v>2690.8</v>
      </c>
      <c r="D12" s="7" t="s">
        <v>9</v>
      </c>
      <c r="E12" s="8"/>
    </row>
    <row r="13" spans="1:5" ht="15.6" x14ac:dyDescent="0.3">
      <c r="A13" s="4" t="s">
        <v>4</v>
      </c>
      <c r="B13" s="5" t="s">
        <v>15</v>
      </c>
      <c r="C13" s="22">
        <v>20817.41</v>
      </c>
      <c r="D13" s="7" t="s">
        <v>12</v>
      </c>
      <c r="E13" s="68"/>
    </row>
    <row r="14" spans="1:5" ht="15.6" x14ac:dyDescent="0.3">
      <c r="A14" s="4" t="s">
        <v>4</v>
      </c>
      <c r="B14" s="5" t="s">
        <v>16</v>
      </c>
      <c r="C14" s="22">
        <v>1822.5</v>
      </c>
      <c r="D14" s="7" t="s">
        <v>9</v>
      </c>
      <c r="E14" s="8"/>
    </row>
    <row r="15" spans="1:5" ht="15.6" x14ac:dyDescent="0.3">
      <c r="A15" s="4" t="s">
        <v>4</v>
      </c>
      <c r="B15" s="5" t="s">
        <v>17</v>
      </c>
      <c r="C15" s="22">
        <v>20000</v>
      </c>
      <c r="D15" s="7" t="s">
        <v>12</v>
      </c>
      <c r="E15" s="29"/>
    </row>
    <row r="16" spans="1:5" ht="15.6" x14ac:dyDescent="0.3">
      <c r="A16" s="4" t="s">
        <v>4</v>
      </c>
      <c r="B16" s="5" t="s">
        <v>18</v>
      </c>
      <c r="C16" s="22">
        <v>8655.5300000000007</v>
      </c>
      <c r="D16" s="7" t="s">
        <v>9</v>
      </c>
      <c r="E16" s="8"/>
    </row>
    <row r="17" spans="1:9" ht="15.6" x14ac:dyDescent="0.3">
      <c r="A17" s="4" t="s">
        <v>4</v>
      </c>
      <c r="B17" s="59" t="s">
        <v>19</v>
      </c>
      <c r="C17" s="60">
        <v>17187.68</v>
      </c>
      <c r="D17" s="61" t="s">
        <v>9</v>
      </c>
      <c r="E17" s="62"/>
    </row>
    <row r="18" spans="1:9" ht="15.6" x14ac:dyDescent="0.3">
      <c r="A18" s="4" t="s">
        <v>4</v>
      </c>
      <c r="B18" s="5" t="s">
        <v>20</v>
      </c>
      <c r="C18" s="22">
        <v>10324.73</v>
      </c>
      <c r="D18" s="7" t="s">
        <v>9</v>
      </c>
      <c r="E18" s="8"/>
    </row>
    <row r="19" spans="1:9" ht="15.6" x14ac:dyDescent="0.3">
      <c r="A19" s="4" t="s">
        <v>4</v>
      </c>
      <c r="B19" s="5" t="s">
        <v>22</v>
      </c>
      <c r="C19" s="22">
        <v>29783.98</v>
      </c>
      <c r="D19" s="7" t="s">
        <v>9</v>
      </c>
      <c r="E19" s="8"/>
    </row>
    <row r="20" spans="1:9" ht="15.6" x14ac:dyDescent="0.3">
      <c r="A20" s="4" t="s">
        <v>4</v>
      </c>
      <c r="B20" s="5" t="s">
        <v>23</v>
      </c>
      <c r="C20" s="22">
        <v>13481.02</v>
      </c>
      <c r="D20" s="7" t="s">
        <v>9</v>
      </c>
      <c r="E20" s="29"/>
    </row>
    <row r="21" spans="1:9" ht="15.6" x14ac:dyDescent="0.3">
      <c r="A21" s="4" t="s">
        <v>4</v>
      </c>
      <c r="B21" s="5" t="s">
        <v>24</v>
      </c>
      <c r="C21" s="22">
        <v>10398.280000000001</v>
      </c>
      <c r="D21" s="7" t="s">
        <v>9</v>
      </c>
      <c r="E21" s="8"/>
    </row>
    <row r="22" spans="1:9" ht="15.6" x14ac:dyDescent="0.3">
      <c r="A22" s="12" t="s">
        <v>94</v>
      </c>
      <c r="B22" s="13" t="s">
        <v>25</v>
      </c>
      <c r="C22" s="24">
        <v>3242.82</v>
      </c>
      <c r="D22" s="16">
        <v>83652</v>
      </c>
      <c r="E22" s="24">
        <v>3242.82</v>
      </c>
    </row>
    <row r="23" spans="1:9" ht="15.6" x14ac:dyDescent="0.3">
      <c r="A23" s="4" t="s">
        <v>4</v>
      </c>
      <c r="B23" s="5" t="s">
        <v>26</v>
      </c>
      <c r="C23" s="22">
        <v>6979.86</v>
      </c>
      <c r="D23" s="7" t="s">
        <v>9</v>
      </c>
      <c r="E23" s="29"/>
    </row>
    <row r="24" spans="1:9" ht="15.6" x14ac:dyDescent="0.3">
      <c r="A24" s="58" t="s">
        <v>4</v>
      </c>
      <c r="B24" s="59" t="s">
        <v>66</v>
      </c>
      <c r="C24" s="60">
        <v>0</v>
      </c>
      <c r="D24" s="61"/>
      <c r="E24" s="62"/>
    </row>
    <row r="25" spans="1:9" ht="15.6" x14ac:dyDescent="0.3">
      <c r="A25" s="4" t="s">
        <v>4</v>
      </c>
      <c r="B25" s="5" t="s">
        <v>27</v>
      </c>
      <c r="C25" s="22">
        <v>19152.599999999999</v>
      </c>
      <c r="D25" s="7" t="s">
        <v>9</v>
      </c>
      <c r="E25" s="8"/>
    </row>
    <row r="26" spans="1:9" ht="15.6" x14ac:dyDescent="0.3">
      <c r="A26" s="4" t="s">
        <v>4</v>
      </c>
      <c r="B26" s="59" t="s">
        <v>28</v>
      </c>
      <c r="C26" s="60">
        <v>14846</v>
      </c>
      <c r="D26" s="61" t="s">
        <v>12</v>
      </c>
      <c r="E26" s="62"/>
    </row>
    <row r="27" spans="1:9" ht="15.6" x14ac:dyDescent="0.3">
      <c r="A27" s="4" t="s">
        <v>4</v>
      </c>
      <c r="B27" s="5" t="s">
        <v>29</v>
      </c>
      <c r="C27" s="22">
        <v>11130.68</v>
      </c>
      <c r="D27" s="61" t="s">
        <v>9</v>
      </c>
      <c r="E27" s="8"/>
    </row>
    <row r="28" spans="1:9" ht="15.6" x14ac:dyDescent="0.3">
      <c r="A28" s="4" t="s">
        <v>4</v>
      </c>
      <c r="B28" s="5" t="s">
        <v>30</v>
      </c>
      <c r="C28" s="22">
        <v>11655.1</v>
      </c>
      <c r="D28" s="7" t="s">
        <v>9</v>
      </c>
      <c r="E28" s="8"/>
    </row>
    <row r="29" spans="1:9" ht="15.6" x14ac:dyDescent="0.3">
      <c r="A29" s="12" t="s">
        <v>56</v>
      </c>
      <c r="B29" s="13" t="s">
        <v>88</v>
      </c>
      <c r="C29" s="24">
        <v>3202.55</v>
      </c>
      <c r="D29" s="16">
        <v>74274</v>
      </c>
      <c r="E29" s="24">
        <v>3202.55</v>
      </c>
    </row>
    <row r="30" spans="1:9" ht="15.6" x14ac:dyDescent="0.3">
      <c r="A30" s="4" t="s">
        <v>4</v>
      </c>
      <c r="B30" s="5" t="s">
        <v>64</v>
      </c>
      <c r="C30" s="22">
        <v>5045.59</v>
      </c>
      <c r="D30" s="7" t="s">
        <v>12</v>
      </c>
      <c r="E30" s="8"/>
    </row>
    <row r="31" spans="1:9" ht="15.6" x14ac:dyDescent="0.3">
      <c r="A31" s="4" t="s">
        <v>4</v>
      </c>
      <c r="B31" s="5" t="s">
        <v>31</v>
      </c>
      <c r="C31" s="22">
        <v>28975.35</v>
      </c>
      <c r="D31" s="7" t="s">
        <v>9</v>
      </c>
      <c r="E31" s="8"/>
    </row>
    <row r="32" spans="1:9" ht="15.6" x14ac:dyDescent="0.3">
      <c r="A32" s="58" t="s">
        <v>4</v>
      </c>
      <c r="B32" s="59" t="s">
        <v>32</v>
      </c>
      <c r="C32" s="60">
        <v>4863.5</v>
      </c>
      <c r="D32" s="61">
        <v>23980</v>
      </c>
      <c r="E32" s="62"/>
      <c r="I32" s="74"/>
    </row>
    <row r="33" spans="1:9" ht="15.6" x14ac:dyDescent="0.3">
      <c r="A33" s="58" t="s">
        <v>4</v>
      </c>
      <c r="B33" s="5" t="s">
        <v>33</v>
      </c>
      <c r="C33" s="22">
        <v>6554.78</v>
      </c>
      <c r="D33" s="7" t="s">
        <v>9</v>
      </c>
      <c r="E33" s="29"/>
      <c r="I33" s="74"/>
    </row>
    <row r="34" spans="1:9" ht="15.6" x14ac:dyDescent="0.3">
      <c r="A34" s="4" t="s">
        <v>4</v>
      </c>
      <c r="B34" s="5" t="s">
        <v>35</v>
      </c>
      <c r="C34" s="22">
        <v>30000.02</v>
      </c>
      <c r="D34" s="7" t="s">
        <v>9</v>
      </c>
      <c r="E34" s="8"/>
      <c r="I34" s="74"/>
    </row>
    <row r="35" spans="1:9" ht="15.6" x14ac:dyDescent="0.3">
      <c r="A35" s="69" t="s">
        <v>94</v>
      </c>
      <c r="B35" s="70" t="s">
        <v>59</v>
      </c>
      <c r="C35" s="71">
        <v>5050</v>
      </c>
      <c r="D35" s="70">
        <v>46890</v>
      </c>
      <c r="E35" s="71">
        <v>5050</v>
      </c>
    </row>
    <row r="36" spans="1:9" ht="15.6" x14ac:dyDescent="0.3">
      <c r="A36" s="4" t="s">
        <v>4</v>
      </c>
      <c r="B36" s="5" t="s">
        <v>36</v>
      </c>
      <c r="C36" s="22">
        <v>3175.22</v>
      </c>
      <c r="D36" s="7" t="s">
        <v>9</v>
      </c>
      <c r="E36" s="8"/>
      <c r="I36" s="74"/>
    </row>
    <row r="37" spans="1:9" ht="15.6" x14ac:dyDescent="0.3">
      <c r="A37" s="4" t="s">
        <v>4</v>
      </c>
      <c r="B37" s="5" t="s">
        <v>37</v>
      </c>
      <c r="C37" s="22">
        <v>12683.17</v>
      </c>
      <c r="D37" s="4">
        <v>2461056</v>
      </c>
      <c r="E37" s="29"/>
    </row>
    <row r="38" spans="1:9" ht="15.6" x14ac:dyDescent="0.3">
      <c r="A38" s="4" t="s">
        <v>4</v>
      </c>
      <c r="B38" s="5" t="s">
        <v>38</v>
      </c>
      <c r="C38" s="22">
        <v>3518.27</v>
      </c>
      <c r="D38" s="7" t="s">
        <v>9</v>
      </c>
      <c r="E38" s="8"/>
    </row>
    <row r="39" spans="1:9" ht="15.6" x14ac:dyDescent="0.3">
      <c r="A39" s="69" t="s">
        <v>118</v>
      </c>
      <c r="B39" s="75" t="s">
        <v>39</v>
      </c>
      <c r="C39" s="71">
        <v>26292.3</v>
      </c>
      <c r="D39" s="70" t="s">
        <v>9</v>
      </c>
      <c r="E39" s="76">
        <v>14712.69</v>
      </c>
      <c r="I39" s="74"/>
    </row>
    <row r="40" spans="1:9" ht="15.6" x14ac:dyDescent="0.3">
      <c r="A40" s="4" t="s">
        <v>4</v>
      </c>
      <c r="B40" s="26" t="s">
        <v>41</v>
      </c>
      <c r="C40" s="22">
        <v>5586.28</v>
      </c>
      <c r="D40" s="7">
        <v>835186</v>
      </c>
      <c r="E40" s="8"/>
    </row>
    <row r="41" spans="1:9" ht="15.6" x14ac:dyDescent="0.3">
      <c r="A41" s="4" t="s">
        <v>4</v>
      </c>
      <c r="B41" s="5" t="s">
        <v>43</v>
      </c>
      <c r="C41" s="22">
        <v>11603.07</v>
      </c>
      <c r="D41" s="7" t="s">
        <v>9</v>
      </c>
      <c r="E41" s="8"/>
    </row>
    <row r="42" spans="1:9" ht="15.6" x14ac:dyDescent="0.3">
      <c r="A42" s="31"/>
      <c r="B42" s="32"/>
      <c r="C42" s="33"/>
      <c r="D42" s="34"/>
      <c r="E42" s="35"/>
    </row>
    <row r="43" spans="1:9" ht="15.6" x14ac:dyDescent="0.3">
      <c r="A43" s="124" t="s">
        <v>117</v>
      </c>
      <c r="B43" s="125"/>
      <c r="C43" s="125"/>
      <c r="D43" s="125"/>
      <c r="E43" s="126"/>
    </row>
    <row r="44" spans="1:9" ht="15.6" x14ac:dyDescent="0.3">
      <c r="A44" s="17"/>
      <c r="B44" s="18"/>
      <c r="C44" s="18"/>
      <c r="D44" s="18"/>
      <c r="E44" s="19"/>
    </row>
    <row r="45" spans="1:9" ht="15.6" x14ac:dyDescent="0.3">
      <c r="A45" s="127"/>
      <c r="B45" s="128"/>
      <c r="C45" s="128"/>
      <c r="D45" s="128"/>
      <c r="E45" s="129"/>
    </row>
    <row r="46" spans="1:9" ht="15.6" x14ac:dyDescent="0.3">
      <c r="A46" s="116" t="s">
        <v>45</v>
      </c>
      <c r="B46" s="117"/>
      <c r="C46" s="28">
        <f>SUM(C4:C41)</f>
        <v>395397.63</v>
      </c>
      <c r="D46" s="21"/>
      <c r="E46" s="20"/>
    </row>
  </sheetData>
  <sortState xmlns:xlrd2="http://schemas.microsoft.com/office/spreadsheetml/2017/richdata2" ref="A4:E41">
    <sortCondition ref="B22:B41"/>
  </sortState>
  <mergeCells count="5">
    <mergeCell ref="A1:E1"/>
    <mergeCell ref="A2:E2"/>
    <mergeCell ref="A43:E43"/>
    <mergeCell ref="A45:E45"/>
    <mergeCell ref="A46:B46"/>
  </mergeCells>
  <pageMargins left="0.511811024" right="0.511811024" top="0.78740157499999996" bottom="0.78740157499999996" header="0.31496062000000002" footer="0.31496062000000002"/>
  <pageSetup paperSize="9" scale="8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F416-84EE-4446-859D-7578698961A8}">
  <dimension ref="A1:E43"/>
  <sheetViews>
    <sheetView view="pageBreakPreview" topLeftCell="A27" zoomScaleNormal="100" zoomScaleSheetLayoutView="100" workbookViewId="0">
      <selection activeCell="A44" sqref="A44:XFD45"/>
    </sheetView>
  </sheetViews>
  <sheetFormatPr defaultRowHeight="14.4" x14ac:dyDescent="0.3"/>
  <cols>
    <col min="1" max="1" width="38.77734375" customWidth="1"/>
    <col min="2" max="2" width="21.5546875" bestFit="1" customWidth="1"/>
    <col min="3" max="3" width="16" bestFit="1" customWidth="1"/>
    <col min="4" max="4" width="22.88671875" bestFit="1" customWidth="1"/>
    <col min="5" max="5" width="16" bestFit="1" customWidth="1"/>
  </cols>
  <sheetData>
    <row r="1" spans="1:5" ht="21" x14ac:dyDescent="0.4">
      <c r="A1" s="104" t="s">
        <v>46</v>
      </c>
      <c r="B1" s="105"/>
      <c r="C1" s="105"/>
      <c r="D1" s="105"/>
      <c r="E1" s="106"/>
    </row>
    <row r="2" spans="1:5" x14ac:dyDescent="0.3">
      <c r="A2" s="107"/>
      <c r="B2" s="108"/>
      <c r="C2" s="108"/>
      <c r="D2" s="108"/>
      <c r="E2" s="109"/>
    </row>
    <row r="3" spans="1:5" ht="15.6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61</v>
      </c>
    </row>
    <row r="4" spans="1:5" ht="15.6" x14ac:dyDescent="0.3">
      <c r="A4" s="4" t="s">
        <v>4</v>
      </c>
      <c r="B4" s="5" t="s">
        <v>5</v>
      </c>
      <c r="C4" s="37">
        <v>55000</v>
      </c>
      <c r="D4" s="7" t="s">
        <v>12</v>
      </c>
      <c r="E4" s="8"/>
    </row>
    <row r="5" spans="1:5" ht="15.6" x14ac:dyDescent="0.3">
      <c r="A5" s="12" t="s">
        <v>121</v>
      </c>
      <c r="B5" s="13" t="s">
        <v>6</v>
      </c>
      <c r="C5" s="24">
        <v>48459.68</v>
      </c>
      <c r="D5" s="16" t="s">
        <v>127</v>
      </c>
      <c r="E5" s="14">
        <v>9800</v>
      </c>
    </row>
    <row r="6" spans="1:5" ht="15.6" x14ac:dyDescent="0.3">
      <c r="A6" s="58" t="s">
        <v>4</v>
      </c>
      <c r="B6" s="59" t="s">
        <v>7</v>
      </c>
      <c r="C6" s="22">
        <v>7808</v>
      </c>
      <c r="D6" s="61">
        <v>155836</v>
      </c>
      <c r="E6" s="62"/>
    </row>
    <row r="7" spans="1:5" ht="15.6" x14ac:dyDescent="0.3">
      <c r="A7" s="58" t="s">
        <v>4</v>
      </c>
      <c r="B7" s="5" t="s">
        <v>8</v>
      </c>
      <c r="C7" s="77">
        <v>11857.26</v>
      </c>
      <c r="D7" s="7" t="s">
        <v>9</v>
      </c>
      <c r="E7" s="8"/>
    </row>
    <row r="8" spans="1:5" ht="15.6" x14ac:dyDescent="0.3">
      <c r="A8" s="58" t="s">
        <v>4</v>
      </c>
      <c r="B8" s="59" t="s">
        <v>10</v>
      </c>
      <c r="C8" s="73">
        <v>0</v>
      </c>
      <c r="D8" s="61"/>
      <c r="E8" s="62"/>
    </row>
    <row r="9" spans="1:5" ht="15.6" x14ac:dyDescent="0.3">
      <c r="A9" s="69" t="s">
        <v>56</v>
      </c>
      <c r="B9" s="13" t="s">
        <v>87</v>
      </c>
      <c r="C9" s="24">
        <v>4005.8</v>
      </c>
      <c r="D9" s="16" t="s">
        <v>9</v>
      </c>
      <c r="E9" s="27">
        <v>4005.8</v>
      </c>
    </row>
    <row r="10" spans="1:5" ht="15.6" x14ac:dyDescent="0.3">
      <c r="A10" s="4" t="s">
        <v>4</v>
      </c>
      <c r="B10" s="5" t="s">
        <v>11</v>
      </c>
      <c r="C10" s="22">
        <v>7840</v>
      </c>
      <c r="D10" s="7">
        <v>157124</v>
      </c>
      <c r="E10" s="10"/>
    </row>
    <row r="11" spans="1:5" ht="15.6" x14ac:dyDescent="0.3">
      <c r="A11" s="12" t="s">
        <v>94</v>
      </c>
      <c r="B11" s="13" t="s">
        <v>13</v>
      </c>
      <c r="C11" s="24">
        <v>27934.26</v>
      </c>
      <c r="D11" s="16" t="s">
        <v>12</v>
      </c>
      <c r="E11" s="14">
        <v>5500</v>
      </c>
    </row>
    <row r="12" spans="1:5" ht="15.6" x14ac:dyDescent="0.3">
      <c r="A12" s="12" t="s">
        <v>122</v>
      </c>
      <c r="B12" s="13" t="s">
        <v>14</v>
      </c>
      <c r="C12" s="24">
        <v>10060.4</v>
      </c>
      <c r="D12" s="16" t="s">
        <v>128</v>
      </c>
      <c r="E12" s="14">
        <v>6155.6</v>
      </c>
    </row>
    <row r="13" spans="1:5" ht="15.6" x14ac:dyDescent="0.3">
      <c r="A13" s="4" t="s">
        <v>4</v>
      </c>
      <c r="B13" s="5" t="s">
        <v>15</v>
      </c>
      <c r="C13" s="22">
        <v>0</v>
      </c>
      <c r="D13" s="7"/>
      <c r="E13" s="68"/>
    </row>
    <row r="14" spans="1:5" ht="15.6" x14ac:dyDescent="0.3">
      <c r="A14" s="4" t="s">
        <v>4</v>
      </c>
      <c r="B14" s="5" t="s">
        <v>16</v>
      </c>
      <c r="C14" s="22">
        <v>147.11000000000001</v>
      </c>
      <c r="D14" s="7" t="s">
        <v>9</v>
      </c>
      <c r="E14" s="8"/>
    </row>
    <row r="15" spans="1:5" ht="15.6" x14ac:dyDescent="0.3">
      <c r="A15" s="4" t="s">
        <v>4</v>
      </c>
      <c r="B15" s="5" t="s">
        <v>17</v>
      </c>
      <c r="C15" s="22">
        <v>0</v>
      </c>
      <c r="D15" s="7"/>
      <c r="E15" s="29"/>
    </row>
    <row r="16" spans="1:5" ht="15.6" x14ac:dyDescent="0.3">
      <c r="A16" s="4" t="s">
        <v>4</v>
      </c>
      <c r="B16" s="5" t="s">
        <v>18</v>
      </c>
      <c r="C16" s="22">
        <v>23167.77</v>
      </c>
      <c r="D16" s="7" t="s">
        <v>9</v>
      </c>
      <c r="E16" s="8"/>
    </row>
    <row r="17" spans="1:5" ht="15.6" x14ac:dyDescent="0.3">
      <c r="A17" s="4" t="s">
        <v>4</v>
      </c>
      <c r="B17" s="59" t="s">
        <v>19</v>
      </c>
      <c r="C17" s="77">
        <v>7313.68</v>
      </c>
      <c r="D17" s="7" t="s">
        <v>9</v>
      </c>
      <c r="E17" s="62"/>
    </row>
    <row r="18" spans="1:5" ht="15.6" x14ac:dyDescent="0.3">
      <c r="A18" s="4" t="s">
        <v>4</v>
      </c>
      <c r="B18" s="5" t="s">
        <v>20</v>
      </c>
      <c r="C18" s="77">
        <v>8049.52</v>
      </c>
      <c r="D18" s="7" t="s">
        <v>9</v>
      </c>
      <c r="E18" s="8"/>
    </row>
    <row r="19" spans="1:5" ht="15.6" x14ac:dyDescent="0.3">
      <c r="A19" s="4" t="s">
        <v>4</v>
      </c>
      <c r="B19" s="5" t="s">
        <v>22</v>
      </c>
      <c r="C19" s="77">
        <v>30823.15</v>
      </c>
      <c r="D19" s="7" t="s">
        <v>9</v>
      </c>
      <c r="E19" s="8"/>
    </row>
    <row r="20" spans="1:5" ht="15.6" x14ac:dyDescent="0.3">
      <c r="A20" s="4" t="s">
        <v>4</v>
      </c>
      <c r="B20" s="5" t="s">
        <v>23</v>
      </c>
      <c r="C20" s="77">
        <v>5267.02</v>
      </c>
      <c r="D20" s="7" t="s">
        <v>9</v>
      </c>
      <c r="E20" s="29"/>
    </row>
    <row r="21" spans="1:5" ht="15.6" x14ac:dyDescent="0.3">
      <c r="A21" s="4" t="s">
        <v>4</v>
      </c>
      <c r="B21" s="5" t="s">
        <v>24</v>
      </c>
      <c r="C21" s="22">
        <v>20039.75</v>
      </c>
      <c r="D21" s="7" t="s">
        <v>9</v>
      </c>
      <c r="E21" s="8"/>
    </row>
    <row r="22" spans="1:5" ht="15.6" x14ac:dyDescent="0.3">
      <c r="A22" s="12" t="s">
        <v>94</v>
      </c>
      <c r="B22" s="13" t="s">
        <v>25</v>
      </c>
      <c r="C22" s="24">
        <v>2711.52</v>
      </c>
      <c r="D22" s="16">
        <v>83835</v>
      </c>
      <c r="E22" s="24">
        <v>2711.52</v>
      </c>
    </row>
    <row r="23" spans="1:5" ht="15.6" x14ac:dyDescent="0.3">
      <c r="A23" s="4" t="s">
        <v>4</v>
      </c>
      <c r="B23" s="5" t="s">
        <v>26</v>
      </c>
      <c r="C23" s="77">
        <v>4004.74</v>
      </c>
      <c r="D23" s="7" t="s">
        <v>9</v>
      </c>
      <c r="E23" s="29"/>
    </row>
    <row r="24" spans="1:5" ht="15.6" x14ac:dyDescent="0.3">
      <c r="A24" s="58" t="s">
        <v>4</v>
      </c>
      <c r="B24" s="59" t="s">
        <v>66</v>
      </c>
      <c r="C24" s="60">
        <v>9000</v>
      </c>
      <c r="D24" s="61" t="s">
        <v>9</v>
      </c>
      <c r="E24" s="62"/>
    </row>
    <row r="25" spans="1:5" ht="15.6" x14ac:dyDescent="0.3">
      <c r="A25" s="4" t="s">
        <v>4</v>
      </c>
      <c r="B25" s="5" t="s">
        <v>27</v>
      </c>
      <c r="C25" s="77">
        <v>16089.94</v>
      </c>
      <c r="D25" s="7" t="s">
        <v>9</v>
      </c>
      <c r="E25" s="8"/>
    </row>
    <row r="26" spans="1:5" ht="15.6" x14ac:dyDescent="0.3">
      <c r="A26" s="4" t="s">
        <v>21</v>
      </c>
      <c r="B26" s="59" t="s">
        <v>28</v>
      </c>
      <c r="C26" s="60">
        <v>4000</v>
      </c>
      <c r="D26" s="61" t="s">
        <v>12</v>
      </c>
      <c r="E26" s="62"/>
    </row>
    <row r="27" spans="1:5" ht="15.6" x14ac:dyDescent="0.3">
      <c r="A27" s="4" t="s">
        <v>4</v>
      </c>
      <c r="B27" s="5" t="s">
        <v>29</v>
      </c>
      <c r="C27" s="77">
        <v>11794.61</v>
      </c>
      <c r="D27" s="7" t="s">
        <v>9</v>
      </c>
      <c r="E27" s="8"/>
    </row>
    <row r="28" spans="1:5" ht="15.6" x14ac:dyDescent="0.3">
      <c r="A28" s="4" t="s">
        <v>4</v>
      </c>
      <c r="B28" s="5" t="s">
        <v>30</v>
      </c>
      <c r="C28" s="22">
        <v>5967.76</v>
      </c>
      <c r="D28" s="7" t="s">
        <v>9</v>
      </c>
      <c r="E28" s="8"/>
    </row>
    <row r="29" spans="1:5" ht="15.6" x14ac:dyDescent="0.3">
      <c r="A29" s="4" t="s">
        <v>4</v>
      </c>
      <c r="B29" s="5" t="s">
        <v>64</v>
      </c>
      <c r="C29" s="22">
        <v>3903.2</v>
      </c>
      <c r="D29" s="7" t="s">
        <v>9</v>
      </c>
      <c r="E29" s="8"/>
    </row>
    <row r="30" spans="1:5" ht="15.6" x14ac:dyDescent="0.3">
      <c r="A30" s="12" t="s">
        <v>51</v>
      </c>
      <c r="B30" s="13" t="s">
        <v>31</v>
      </c>
      <c r="C30" s="24">
        <v>68203.429999999993</v>
      </c>
      <c r="D30" s="16" t="s">
        <v>9</v>
      </c>
      <c r="E30" s="14">
        <v>20000</v>
      </c>
    </row>
    <row r="31" spans="1:5" ht="15.6" x14ac:dyDescent="0.3">
      <c r="A31" s="58" t="s">
        <v>4</v>
      </c>
      <c r="B31" s="59" t="s">
        <v>32</v>
      </c>
      <c r="C31" s="60">
        <v>7695</v>
      </c>
      <c r="D31" s="61" t="s">
        <v>126</v>
      </c>
      <c r="E31" s="62"/>
    </row>
    <row r="32" spans="1:5" ht="15.6" x14ac:dyDescent="0.3">
      <c r="A32" s="58" t="s">
        <v>4</v>
      </c>
      <c r="B32" s="5" t="s">
        <v>33</v>
      </c>
      <c r="C32" s="22">
        <v>7059.2</v>
      </c>
      <c r="D32" s="7" t="s">
        <v>9</v>
      </c>
      <c r="E32" s="29"/>
    </row>
    <row r="33" spans="1:5" ht="15.6" x14ac:dyDescent="0.3">
      <c r="A33" s="12" t="s">
        <v>119</v>
      </c>
      <c r="B33" s="13" t="s">
        <v>125</v>
      </c>
      <c r="C33" s="24">
        <v>17700</v>
      </c>
      <c r="D33" s="16" t="s">
        <v>130</v>
      </c>
      <c r="E33" s="27">
        <v>17700</v>
      </c>
    </row>
    <row r="34" spans="1:5" ht="15.6" x14ac:dyDescent="0.3">
      <c r="A34" s="4" t="s">
        <v>4</v>
      </c>
      <c r="B34" s="5" t="s">
        <v>35</v>
      </c>
      <c r="C34" s="22">
        <v>38197.31</v>
      </c>
      <c r="D34" s="7" t="s">
        <v>9</v>
      </c>
      <c r="E34" s="8"/>
    </row>
    <row r="35" spans="1:5" ht="15.6" x14ac:dyDescent="0.3">
      <c r="A35" s="4" t="s">
        <v>4</v>
      </c>
      <c r="B35" s="5" t="s">
        <v>36</v>
      </c>
      <c r="C35" s="60">
        <v>2513.42</v>
      </c>
      <c r="D35" s="7" t="s">
        <v>9</v>
      </c>
      <c r="E35" s="8"/>
    </row>
    <row r="36" spans="1:5" ht="15.6" x14ac:dyDescent="0.3">
      <c r="A36" s="4" t="s">
        <v>4</v>
      </c>
      <c r="B36" s="5" t="s">
        <v>37</v>
      </c>
      <c r="C36" s="22">
        <v>12801.18</v>
      </c>
      <c r="D36" s="7">
        <v>2481450</v>
      </c>
      <c r="E36" s="29"/>
    </row>
    <row r="37" spans="1:5" ht="15.6" x14ac:dyDescent="0.3">
      <c r="A37" s="4" t="s">
        <v>4</v>
      </c>
      <c r="B37" s="5" t="s">
        <v>38</v>
      </c>
      <c r="C37" s="22">
        <v>3614.88</v>
      </c>
      <c r="D37" s="7" t="s">
        <v>9</v>
      </c>
      <c r="E37" s="8"/>
    </row>
    <row r="38" spans="1:5" ht="15.6" x14ac:dyDescent="0.3">
      <c r="A38" s="12" t="s">
        <v>129</v>
      </c>
      <c r="B38" s="13" t="s">
        <v>39</v>
      </c>
      <c r="C38" s="24">
        <v>23234.1</v>
      </c>
      <c r="D38" s="16" t="s">
        <v>9</v>
      </c>
      <c r="E38" s="14">
        <v>15489.4</v>
      </c>
    </row>
    <row r="39" spans="1:5" ht="15.6" x14ac:dyDescent="0.3">
      <c r="A39" s="12" t="s">
        <v>123</v>
      </c>
      <c r="B39" s="13" t="s">
        <v>41</v>
      </c>
      <c r="C39" s="24">
        <v>46725.16</v>
      </c>
      <c r="D39" s="16" t="s">
        <v>124</v>
      </c>
      <c r="E39" s="14">
        <v>27000</v>
      </c>
    </row>
    <row r="40" spans="1:5" ht="15.6" x14ac:dyDescent="0.3">
      <c r="A40" s="4" t="s">
        <v>4</v>
      </c>
      <c r="B40" s="5" t="s">
        <v>43</v>
      </c>
      <c r="C40" s="22">
        <v>7101.61</v>
      </c>
      <c r="D40" s="7" t="s">
        <v>9</v>
      </c>
      <c r="E40" s="8"/>
    </row>
    <row r="41" spans="1:5" ht="15.6" x14ac:dyDescent="0.3">
      <c r="A41" s="110" t="s">
        <v>120</v>
      </c>
      <c r="B41" s="111"/>
      <c r="C41" s="111"/>
      <c r="D41" s="111"/>
      <c r="E41" s="112"/>
    </row>
    <row r="42" spans="1:5" ht="15.6" x14ac:dyDescent="0.3">
      <c r="A42" s="113"/>
      <c r="B42" s="114"/>
      <c r="C42" s="114"/>
      <c r="D42" s="114"/>
      <c r="E42" s="115"/>
    </row>
    <row r="43" spans="1:5" ht="15.6" x14ac:dyDescent="0.3">
      <c r="A43" s="116" t="s">
        <v>45</v>
      </c>
      <c r="B43" s="117"/>
      <c r="C43" s="28">
        <f>SUM(C4:C40)</f>
        <v>560090.45999999985</v>
      </c>
      <c r="D43" s="21"/>
      <c r="E43" s="20"/>
    </row>
  </sheetData>
  <mergeCells count="5">
    <mergeCell ref="A1:E1"/>
    <mergeCell ref="A2:E2"/>
    <mergeCell ref="A41:E41"/>
    <mergeCell ref="A42:E42"/>
    <mergeCell ref="A43:B43"/>
  </mergeCells>
  <pageMargins left="0.511811024" right="0.511811024" top="0.78740157499999996" bottom="0.78740157499999996" header="0.31496062000000002" footer="0.31496062000000002"/>
  <pageSetup paperSize="9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C03F-99CE-4ADB-9325-064D1DB1A3AE}">
  <dimension ref="A1:E40"/>
  <sheetViews>
    <sheetView view="pageBreakPreview" topLeftCell="A22" zoomScaleNormal="100" zoomScaleSheetLayoutView="100" workbookViewId="0">
      <selection activeCell="A41" sqref="A41:XFD42"/>
    </sheetView>
  </sheetViews>
  <sheetFormatPr defaultRowHeight="14.4" x14ac:dyDescent="0.3"/>
  <cols>
    <col min="1" max="1" width="26" customWidth="1"/>
    <col min="2" max="2" width="21.5546875" bestFit="1" customWidth="1"/>
    <col min="3" max="3" width="16" bestFit="1" customWidth="1"/>
    <col min="4" max="4" width="27.21875" bestFit="1" customWidth="1"/>
    <col min="5" max="5" width="16" bestFit="1" customWidth="1"/>
  </cols>
  <sheetData>
    <row r="1" spans="1:5" ht="21" x14ac:dyDescent="0.4">
      <c r="A1" s="104" t="s">
        <v>46</v>
      </c>
      <c r="B1" s="105"/>
      <c r="C1" s="105"/>
      <c r="D1" s="105"/>
      <c r="E1" s="106"/>
    </row>
    <row r="2" spans="1:5" x14ac:dyDescent="0.3">
      <c r="A2" s="107"/>
      <c r="B2" s="108"/>
      <c r="C2" s="108"/>
      <c r="D2" s="108"/>
      <c r="E2" s="109"/>
    </row>
    <row r="3" spans="1:5" ht="15.6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61</v>
      </c>
    </row>
    <row r="4" spans="1:5" ht="15.6" x14ac:dyDescent="0.3">
      <c r="A4" s="4" t="s">
        <v>4</v>
      </c>
      <c r="B4" s="5" t="s">
        <v>5</v>
      </c>
      <c r="C4" s="37">
        <v>0</v>
      </c>
      <c r="D4" s="7"/>
      <c r="E4" s="8"/>
    </row>
    <row r="5" spans="1:5" ht="15.6" x14ac:dyDescent="0.3">
      <c r="A5" s="4" t="s">
        <v>21</v>
      </c>
      <c r="B5" s="5" t="s">
        <v>6</v>
      </c>
      <c r="C5" s="22">
        <v>57969.5</v>
      </c>
      <c r="D5" s="7" t="s">
        <v>132</v>
      </c>
      <c r="E5" s="8"/>
    </row>
    <row r="6" spans="1:5" ht="15.6" x14ac:dyDescent="0.3">
      <c r="A6" s="58" t="s">
        <v>4</v>
      </c>
      <c r="B6" s="59" t="s">
        <v>7</v>
      </c>
      <c r="C6" s="22">
        <v>7776.32</v>
      </c>
      <c r="D6" s="61" t="s">
        <v>133</v>
      </c>
      <c r="E6" s="62"/>
    </row>
    <row r="7" spans="1:5" ht="15.6" x14ac:dyDescent="0.3">
      <c r="A7" s="58" t="s">
        <v>4</v>
      </c>
      <c r="B7" s="5" t="s">
        <v>8</v>
      </c>
      <c r="C7" s="78">
        <v>14617.06</v>
      </c>
      <c r="D7" s="7" t="s">
        <v>9</v>
      </c>
      <c r="E7" s="8"/>
    </row>
    <row r="8" spans="1:5" ht="15.6" x14ac:dyDescent="0.3">
      <c r="A8" s="69" t="s">
        <v>48</v>
      </c>
      <c r="B8" s="75" t="s">
        <v>10</v>
      </c>
      <c r="C8" s="79">
        <v>9873.9599999999991</v>
      </c>
      <c r="D8" s="70" t="s">
        <v>134</v>
      </c>
      <c r="E8" s="76">
        <v>5000</v>
      </c>
    </row>
    <row r="9" spans="1:5" ht="15.6" x14ac:dyDescent="0.3">
      <c r="A9" s="4" t="s">
        <v>4</v>
      </c>
      <c r="B9" s="5" t="s">
        <v>11</v>
      </c>
      <c r="C9" s="22">
        <v>12005</v>
      </c>
      <c r="D9" s="7">
        <v>159881</v>
      </c>
      <c r="E9" s="10"/>
    </row>
    <row r="10" spans="1:5" ht="15.6" x14ac:dyDescent="0.3">
      <c r="A10" s="4" t="s">
        <v>4</v>
      </c>
      <c r="B10" s="5" t="s">
        <v>13</v>
      </c>
      <c r="C10" s="22">
        <v>33161</v>
      </c>
      <c r="D10" s="7" t="s">
        <v>12</v>
      </c>
      <c r="E10" s="8"/>
    </row>
    <row r="11" spans="1:5" ht="15.6" x14ac:dyDescent="0.3">
      <c r="A11" s="12" t="s">
        <v>122</v>
      </c>
      <c r="B11" s="13" t="s">
        <v>14</v>
      </c>
      <c r="C11" s="24">
        <v>7763.3</v>
      </c>
      <c r="D11" s="16" t="s">
        <v>9</v>
      </c>
      <c r="E11" s="14">
        <v>2500</v>
      </c>
    </row>
    <row r="12" spans="1:5" ht="15.6" x14ac:dyDescent="0.3">
      <c r="A12" s="4" t="s">
        <v>4</v>
      </c>
      <c r="B12" s="5" t="s">
        <v>15</v>
      </c>
      <c r="C12" s="22">
        <v>0</v>
      </c>
      <c r="D12" s="7"/>
      <c r="E12" s="68"/>
    </row>
    <row r="13" spans="1:5" ht="15.6" x14ac:dyDescent="0.3">
      <c r="A13" s="4" t="s">
        <v>4</v>
      </c>
      <c r="B13" s="5" t="s">
        <v>16</v>
      </c>
      <c r="C13" s="22">
        <v>0</v>
      </c>
      <c r="D13" s="7"/>
      <c r="E13" s="8"/>
    </row>
    <row r="14" spans="1:5" ht="15.6" x14ac:dyDescent="0.3">
      <c r="A14" s="4" t="s">
        <v>4</v>
      </c>
      <c r="B14" s="5" t="s">
        <v>17</v>
      </c>
      <c r="C14" s="22">
        <v>10000</v>
      </c>
      <c r="D14" s="7" t="s">
        <v>12</v>
      </c>
      <c r="E14" s="29"/>
    </row>
    <row r="15" spans="1:5" ht="15.6" x14ac:dyDescent="0.3">
      <c r="A15" s="4" t="s">
        <v>4</v>
      </c>
      <c r="B15" s="5" t="s">
        <v>18</v>
      </c>
      <c r="C15" s="22">
        <v>25178.29</v>
      </c>
      <c r="D15" s="7" t="s">
        <v>54</v>
      </c>
      <c r="E15" s="8"/>
    </row>
    <row r="16" spans="1:5" ht="15.6" x14ac:dyDescent="0.3">
      <c r="A16" s="4" t="s">
        <v>4</v>
      </c>
      <c r="B16" s="59" t="s">
        <v>19</v>
      </c>
      <c r="C16" s="78">
        <v>18890.689999999999</v>
      </c>
      <c r="D16" s="7" t="s">
        <v>54</v>
      </c>
      <c r="E16" s="62"/>
    </row>
    <row r="17" spans="1:5" ht="15.6" x14ac:dyDescent="0.3">
      <c r="A17" s="4" t="s">
        <v>4</v>
      </c>
      <c r="B17" s="5" t="s">
        <v>20</v>
      </c>
      <c r="C17" s="78">
        <v>7434.27</v>
      </c>
      <c r="D17" s="7" t="s">
        <v>9</v>
      </c>
      <c r="E17" s="8"/>
    </row>
    <row r="18" spans="1:5" ht="15.6" x14ac:dyDescent="0.3">
      <c r="A18" s="4" t="s">
        <v>4</v>
      </c>
      <c r="B18" s="5" t="s">
        <v>22</v>
      </c>
      <c r="C18" s="78">
        <v>28344.06</v>
      </c>
      <c r="D18" s="7" t="s">
        <v>9</v>
      </c>
      <c r="E18" s="8"/>
    </row>
    <row r="19" spans="1:5" ht="15.6" x14ac:dyDescent="0.3">
      <c r="A19" s="4" t="s">
        <v>4</v>
      </c>
      <c r="B19" s="5" t="s">
        <v>23</v>
      </c>
      <c r="C19" s="78">
        <v>10270.56</v>
      </c>
      <c r="D19" s="7" t="s">
        <v>9</v>
      </c>
      <c r="E19" s="29"/>
    </row>
    <row r="20" spans="1:5" ht="15.6" x14ac:dyDescent="0.3">
      <c r="A20" s="4" t="s">
        <v>4</v>
      </c>
      <c r="B20" s="5" t="s">
        <v>24</v>
      </c>
      <c r="C20" s="22">
        <v>15366.15</v>
      </c>
      <c r="D20" s="7" t="s">
        <v>9</v>
      </c>
      <c r="E20" s="8"/>
    </row>
    <row r="21" spans="1:5" ht="15.6" x14ac:dyDescent="0.3">
      <c r="A21" s="4" t="s">
        <v>4</v>
      </c>
      <c r="B21" s="5" t="s">
        <v>26</v>
      </c>
      <c r="C21" s="78">
        <v>2346.4699999999998</v>
      </c>
      <c r="D21" s="7" t="s">
        <v>9</v>
      </c>
      <c r="E21" s="29"/>
    </row>
    <row r="22" spans="1:5" ht="15.6" x14ac:dyDescent="0.3">
      <c r="A22" s="58" t="s">
        <v>4</v>
      </c>
      <c r="B22" s="59" t="s">
        <v>66</v>
      </c>
      <c r="C22" s="60">
        <v>20000</v>
      </c>
      <c r="D22" s="7" t="s">
        <v>9</v>
      </c>
      <c r="E22" s="62"/>
    </row>
    <row r="23" spans="1:5" ht="15.6" x14ac:dyDescent="0.3">
      <c r="A23" s="4" t="s">
        <v>4</v>
      </c>
      <c r="B23" s="5" t="s">
        <v>27</v>
      </c>
      <c r="C23" s="78">
        <v>15084.07</v>
      </c>
      <c r="D23" s="7" t="s">
        <v>9</v>
      </c>
      <c r="E23" s="8"/>
    </row>
    <row r="24" spans="1:5" ht="15.6" x14ac:dyDescent="0.3">
      <c r="A24" s="4" t="s">
        <v>21</v>
      </c>
      <c r="B24" s="59" t="s">
        <v>28</v>
      </c>
      <c r="C24" s="60">
        <v>38069</v>
      </c>
      <c r="D24" s="61" t="s">
        <v>12</v>
      </c>
      <c r="E24" s="62"/>
    </row>
    <row r="25" spans="1:5" ht="15.6" x14ac:dyDescent="0.3">
      <c r="A25" s="4" t="s">
        <v>4</v>
      </c>
      <c r="B25" s="5" t="s">
        <v>29</v>
      </c>
      <c r="C25" s="78">
        <v>14169.24</v>
      </c>
      <c r="D25" s="7" t="s">
        <v>9</v>
      </c>
      <c r="E25" s="8"/>
    </row>
    <row r="26" spans="1:5" ht="15.6" x14ac:dyDescent="0.3">
      <c r="A26" s="4" t="s">
        <v>4</v>
      </c>
      <c r="B26" s="5" t="s">
        <v>30</v>
      </c>
      <c r="C26" s="22">
        <v>8857.2000000000007</v>
      </c>
      <c r="D26" s="7" t="s">
        <v>9</v>
      </c>
      <c r="E26" s="8"/>
    </row>
    <row r="27" spans="1:5" ht="15.6" x14ac:dyDescent="0.3">
      <c r="A27" s="4" t="s">
        <v>4</v>
      </c>
      <c r="B27" s="5" t="s">
        <v>64</v>
      </c>
      <c r="C27" s="22">
        <v>6314.6</v>
      </c>
      <c r="D27" s="7" t="s">
        <v>12</v>
      </c>
      <c r="E27" s="8"/>
    </row>
    <row r="28" spans="1:5" ht="15.6" x14ac:dyDescent="0.3">
      <c r="A28" s="4" t="s">
        <v>21</v>
      </c>
      <c r="B28" s="5" t="s">
        <v>31</v>
      </c>
      <c r="C28" s="22">
        <v>0</v>
      </c>
      <c r="D28" s="7"/>
      <c r="E28" s="8"/>
    </row>
    <row r="29" spans="1:5" ht="15.6" x14ac:dyDescent="0.3">
      <c r="A29" s="58" t="s">
        <v>4</v>
      </c>
      <c r="B29" s="59" t="s">
        <v>32</v>
      </c>
      <c r="C29" s="60">
        <v>0</v>
      </c>
      <c r="D29" s="61"/>
      <c r="E29" s="62"/>
    </row>
    <row r="30" spans="1:5" ht="15.6" x14ac:dyDescent="0.3">
      <c r="A30" s="58" t="s">
        <v>4</v>
      </c>
      <c r="B30" s="5" t="s">
        <v>33</v>
      </c>
      <c r="C30" s="22">
        <v>5643.96</v>
      </c>
      <c r="D30" s="7" t="s">
        <v>9</v>
      </c>
      <c r="E30" s="29"/>
    </row>
    <row r="31" spans="1:5" ht="15.6" x14ac:dyDescent="0.3">
      <c r="A31" s="4" t="s">
        <v>4</v>
      </c>
      <c r="B31" s="5" t="s">
        <v>35</v>
      </c>
      <c r="C31" s="22">
        <v>22465.69</v>
      </c>
      <c r="D31" s="7" t="s">
        <v>9</v>
      </c>
      <c r="E31" s="8"/>
    </row>
    <row r="32" spans="1:5" ht="15.6" x14ac:dyDescent="0.3">
      <c r="A32" s="4" t="s">
        <v>4</v>
      </c>
      <c r="B32" s="5" t="s">
        <v>36</v>
      </c>
      <c r="C32" s="60">
        <v>2451.21</v>
      </c>
      <c r="D32" s="7" t="s">
        <v>9</v>
      </c>
      <c r="E32" s="8"/>
    </row>
    <row r="33" spans="1:5" ht="15.6" x14ac:dyDescent="0.3">
      <c r="A33" s="4" t="s">
        <v>4</v>
      </c>
      <c r="B33" s="5" t="s">
        <v>37</v>
      </c>
      <c r="C33" s="22">
        <v>12441.95</v>
      </c>
      <c r="D33" s="7">
        <v>2487576</v>
      </c>
      <c r="E33" s="29"/>
    </row>
    <row r="34" spans="1:5" ht="15.6" x14ac:dyDescent="0.3">
      <c r="A34" s="4" t="s">
        <v>4</v>
      </c>
      <c r="B34" s="5" t="s">
        <v>38</v>
      </c>
      <c r="C34" s="22">
        <v>3571.84</v>
      </c>
      <c r="D34" s="7" t="s">
        <v>9</v>
      </c>
      <c r="E34" s="8"/>
    </row>
    <row r="35" spans="1:5" ht="15.6" x14ac:dyDescent="0.3">
      <c r="A35" s="4" t="s">
        <v>136</v>
      </c>
      <c r="B35" s="5" t="s">
        <v>39</v>
      </c>
      <c r="C35" s="22">
        <v>58898.52</v>
      </c>
      <c r="D35" s="7" t="s">
        <v>9</v>
      </c>
      <c r="E35" s="8"/>
    </row>
    <row r="36" spans="1:5" ht="15.6" x14ac:dyDescent="0.3">
      <c r="A36" s="12" t="s">
        <v>122</v>
      </c>
      <c r="B36" s="13" t="s">
        <v>41</v>
      </c>
      <c r="C36" s="24">
        <v>59931.360000000001</v>
      </c>
      <c r="D36" s="16" t="s">
        <v>135</v>
      </c>
      <c r="E36" s="14">
        <v>10000</v>
      </c>
    </row>
    <row r="37" spans="1:5" ht="15.6" x14ac:dyDescent="0.3">
      <c r="A37" s="4" t="s">
        <v>4</v>
      </c>
      <c r="B37" s="5" t="s">
        <v>43</v>
      </c>
      <c r="C37" s="22">
        <v>7502.19</v>
      </c>
      <c r="D37" s="7" t="s">
        <v>9</v>
      </c>
      <c r="E37" s="8"/>
    </row>
    <row r="38" spans="1:5" ht="15.6" x14ac:dyDescent="0.3">
      <c r="A38" s="110" t="s">
        <v>131</v>
      </c>
      <c r="B38" s="111"/>
      <c r="C38" s="111"/>
      <c r="D38" s="111"/>
      <c r="E38" s="112"/>
    </row>
    <row r="39" spans="1:5" ht="15.6" x14ac:dyDescent="0.3">
      <c r="A39" s="113"/>
      <c r="B39" s="114"/>
      <c r="C39" s="114"/>
      <c r="D39" s="114"/>
      <c r="E39" s="115"/>
    </row>
    <row r="40" spans="1:5" ht="15.6" x14ac:dyDescent="0.3">
      <c r="A40" s="116" t="s">
        <v>45</v>
      </c>
      <c r="B40" s="117"/>
      <c r="C40" s="28">
        <f>SUM(C4:C37)</f>
        <v>536397.46000000008</v>
      </c>
      <c r="D40" s="21"/>
      <c r="E40" s="20"/>
    </row>
  </sheetData>
  <mergeCells count="5">
    <mergeCell ref="A1:E1"/>
    <mergeCell ref="A2:E2"/>
    <mergeCell ref="A38:E38"/>
    <mergeCell ref="A39:E39"/>
    <mergeCell ref="A40:B40"/>
  </mergeCells>
  <pageMargins left="0.511811024" right="0.511811024" top="0.78740157499999996" bottom="0.78740157499999996" header="0.31496062000000002" footer="0.31496062000000002"/>
  <pageSetup paperSize="9" scale="8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47F1-973F-4DCC-8871-613585E83865}">
  <dimension ref="A1:E42"/>
  <sheetViews>
    <sheetView view="pageBreakPreview" topLeftCell="A36" zoomScaleNormal="100" zoomScaleSheetLayoutView="100" workbookViewId="0">
      <selection activeCell="A43" sqref="A43:XFD44"/>
    </sheetView>
  </sheetViews>
  <sheetFormatPr defaultRowHeight="14.4" x14ac:dyDescent="0.3"/>
  <cols>
    <col min="1" max="1" width="24.5546875" bestFit="1" customWidth="1"/>
    <col min="2" max="2" width="21.5546875" bestFit="1" customWidth="1"/>
    <col min="3" max="3" width="16" bestFit="1" customWidth="1"/>
    <col min="4" max="4" width="30.109375" bestFit="1" customWidth="1"/>
    <col min="5" max="5" width="16" bestFit="1" customWidth="1"/>
  </cols>
  <sheetData>
    <row r="1" spans="1:5" ht="21" x14ac:dyDescent="0.4">
      <c r="A1" s="104" t="s">
        <v>46</v>
      </c>
      <c r="B1" s="105"/>
      <c r="C1" s="105"/>
      <c r="D1" s="105"/>
      <c r="E1" s="106"/>
    </row>
    <row r="2" spans="1:5" x14ac:dyDescent="0.3">
      <c r="A2" s="107"/>
      <c r="B2" s="108"/>
      <c r="C2" s="108"/>
      <c r="D2" s="108"/>
      <c r="E2" s="109"/>
    </row>
    <row r="3" spans="1:5" ht="15.6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61</v>
      </c>
    </row>
    <row r="4" spans="1:5" ht="15.6" x14ac:dyDescent="0.3">
      <c r="A4" s="4" t="s">
        <v>4</v>
      </c>
      <c r="B4" s="5" t="s">
        <v>5</v>
      </c>
      <c r="C4" s="37"/>
      <c r="D4" s="7"/>
      <c r="E4" s="8"/>
    </row>
    <row r="5" spans="1:5" ht="15.6" x14ac:dyDescent="0.3">
      <c r="A5" s="4" t="s">
        <v>21</v>
      </c>
      <c r="B5" s="5" t="s">
        <v>6</v>
      </c>
      <c r="C5" s="22">
        <v>10373.4</v>
      </c>
      <c r="D5" s="7">
        <v>9916</v>
      </c>
      <c r="E5" s="8"/>
    </row>
    <row r="6" spans="1:5" ht="15.6" x14ac:dyDescent="0.3">
      <c r="A6" s="69" t="s">
        <v>100</v>
      </c>
      <c r="B6" s="75" t="s">
        <v>7</v>
      </c>
      <c r="C6" s="24">
        <v>7776.32</v>
      </c>
      <c r="D6" s="70">
        <v>157975</v>
      </c>
      <c r="E6" s="76">
        <v>5000</v>
      </c>
    </row>
    <row r="7" spans="1:5" ht="15.6" x14ac:dyDescent="0.3">
      <c r="A7" s="58" t="s">
        <v>4</v>
      </c>
      <c r="B7" s="5" t="s">
        <v>8</v>
      </c>
      <c r="C7" s="78">
        <v>9220.36</v>
      </c>
      <c r="D7" s="7" t="s">
        <v>9</v>
      </c>
      <c r="E7" s="8"/>
    </row>
    <row r="8" spans="1:5" ht="15.6" x14ac:dyDescent="0.3">
      <c r="A8" s="58" t="s">
        <v>21</v>
      </c>
      <c r="B8" s="59" t="s">
        <v>10</v>
      </c>
      <c r="C8" s="73">
        <v>9865.9500000000007</v>
      </c>
      <c r="D8" s="61" t="s">
        <v>12</v>
      </c>
      <c r="E8" s="62"/>
    </row>
    <row r="9" spans="1:5" ht="15.6" x14ac:dyDescent="0.3">
      <c r="A9" s="4" t="s">
        <v>4</v>
      </c>
      <c r="B9" s="5" t="s">
        <v>11</v>
      </c>
      <c r="C9" s="22">
        <v>18407.2</v>
      </c>
      <c r="D9" s="7">
        <v>163701</v>
      </c>
      <c r="E9" s="10"/>
    </row>
    <row r="10" spans="1:5" ht="15.6" x14ac:dyDescent="0.3">
      <c r="A10" s="4" t="s">
        <v>21</v>
      </c>
      <c r="B10" s="5" t="s">
        <v>13</v>
      </c>
      <c r="C10" s="22">
        <v>23769.13</v>
      </c>
      <c r="D10" s="7" t="s">
        <v>12</v>
      </c>
      <c r="E10" s="8"/>
    </row>
    <row r="11" spans="1:5" ht="15.6" x14ac:dyDescent="0.3">
      <c r="A11" s="4" t="s">
        <v>21</v>
      </c>
      <c r="B11" s="5" t="s">
        <v>14</v>
      </c>
      <c r="C11" s="81">
        <v>3951.83</v>
      </c>
      <c r="D11" s="7" t="s">
        <v>9</v>
      </c>
      <c r="E11" s="8"/>
    </row>
    <row r="12" spans="1:5" ht="15.6" x14ac:dyDescent="0.3">
      <c r="A12" s="4" t="s">
        <v>21</v>
      </c>
      <c r="B12" s="5" t="s">
        <v>15</v>
      </c>
      <c r="C12" s="22">
        <v>32427.63</v>
      </c>
      <c r="D12" s="7" t="s">
        <v>140</v>
      </c>
      <c r="E12" s="68"/>
    </row>
    <row r="13" spans="1:5" ht="15.6" x14ac:dyDescent="0.3">
      <c r="A13" s="4" t="s">
        <v>4</v>
      </c>
      <c r="B13" s="5" t="s">
        <v>16</v>
      </c>
      <c r="C13" s="80">
        <v>12150</v>
      </c>
      <c r="D13" s="7" t="s">
        <v>9</v>
      </c>
      <c r="E13" s="8"/>
    </row>
    <row r="14" spans="1:5" ht="15.6" x14ac:dyDescent="0.3">
      <c r="A14" s="4" t="s">
        <v>4</v>
      </c>
      <c r="B14" s="5" t="s">
        <v>17</v>
      </c>
      <c r="C14" s="22">
        <v>20000</v>
      </c>
      <c r="D14" s="7" t="s">
        <v>12</v>
      </c>
      <c r="E14" s="29"/>
    </row>
    <row r="15" spans="1:5" ht="15.6" x14ac:dyDescent="0.3">
      <c r="A15" s="4" t="s">
        <v>4</v>
      </c>
      <c r="B15" s="5" t="s">
        <v>18</v>
      </c>
      <c r="C15" s="80">
        <v>14155.28</v>
      </c>
      <c r="D15" s="7" t="s">
        <v>9</v>
      </c>
      <c r="E15" s="8"/>
    </row>
    <row r="16" spans="1:5" ht="15.6" x14ac:dyDescent="0.3">
      <c r="A16" s="4" t="s">
        <v>4</v>
      </c>
      <c r="B16" s="59" t="s">
        <v>19</v>
      </c>
      <c r="C16" s="80">
        <v>12563.91</v>
      </c>
      <c r="D16" s="7" t="s">
        <v>9</v>
      </c>
      <c r="E16" s="62"/>
    </row>
    <row r="17" spans="1:5" ht="15.6" x14ac:dyDescent="0.3">
      <c r="A17" s="4" t="s">
        <v>4</v>
      </c>
      <c r="B17" s="5" t="s">
        <v>20</v>
      </c>
      <c r="C17" s="80">
        <v>6297.54</v>
      </c>
      <c r="D17" s="7" t="s">
        <v>9</v>
      </c>
      <c r="E17" s="8"/>
    </row>
    <row r="18" spans="1:5" ht="15.6" x14ac:dyDescent="0.3">
      <c r="A18" s="4" t="s">
        <v>4</v>
      </c>
      <c r="B18" s="5" t="s">
        <v>22</v>
      </c>
      <c r="C18" s="80">
        <v>28317.13</v>
      </c>
      <c r="D18" s="7" t="s">
        <v>9</v>
      </c>
      <c r="E18" s="8"/>
    </row>
    <row r="19" spans="1:5" ht="15.6" x14ac:dyDescent="0.3">
      <c r="A19" s="4" t="s">
        <v>4</v>
      </c>
      <c r="B19" s="5" t="s">
        <v>23</v>
      </c>
      <c r="C19" s="80">
        <v>9417.67</v>
      </c>
      <c r="D19" s="7" t="s">
        <v>9</v>
      </c>
      <c r="E19" s="29"/>
    </row>
    <row r="20" spans="1:5" ht="15.6" x14ac:dyDescent="0.3">
      <c r="A20" s="4" t="s">
        <v>4</v>
      </c>
      <c r="B20" s="5" t="s">
        <v>24</v>
      </c>
      <c r="C20" s="22">
        <v>10907.54</v>
      </c>
      <c r="D20" s="7" t="s">
        <v>9</v>
      </c>
      <c r="E20" s="8"/>
    </row>
    <row r="21" spans="1:5" ht="15.6" x14ac:dyDescent="0.3">
      <c r="A21" s="4" t="s">
        <v>4</v>
      </c>
      <c r="B21" s="5" t="s">
        <v>26</v>
      </c>
      <c r="C21" s="80">
        <v>6551.58</v>
      </c>
      <c r="D21" s="7" t="s">
        <v>9</v>
      </c>
      <c r="E21" s="29"/>
    </row>
    <row r="22" spans="1:5" ht="15.6" x14ac:dyDescent="0.3">
      <c r="A22" s="58" t="s">
        <v>4</v>
      </c>
      <c r="B22" s="59" t="s">
        <v>66</v>
      </c>
      <c r="C22" s="60">
        <v>0</v>
      </c>
      <c r="D22" s="7" t="s">
        <v>9</v>
      </c>
      <c r="E22" s="62"/>
    </row>
    <row r="23" spans="1:5" ht="15.6" x14ac:dyDescent="0.3">
      <c r="A23" s="4" t="s">
        <v>4</v>
      </c>
      <c r="B23" s="5" t="s">
        <v>27</v>
      </c>
      <c r="C23" s="80">
        <v>4339.08</v>
      </c>
      <c r="D23" s="7" t="s">
        <v>9</v>
      </c>
      <c r="E23" s="8"/>
    </row>
    <row r="24" spans="1:5" ht="15.6" x14ac:dyDescent="0.3">
      <c r="A24" s="12" t="s">
        <v>51</v>
      </c>
      <c r="B24" s="75" t="s">
        <v>28</v>
      </c>
      <c r="C24" s="71">
        <v>51329.26</v>
      </c>
      <c r="D24" s="70" t="s">
        <v>12</v>
      </c>
      <c r="E24" s="76">
        <v>15000</v>
      </c>
    </row>
    <row r="25" spans="1:5" ht="15.6" x14ac:dyDescent="0.3">
      <c r="A25" s="4" t="s">
        <v>4</v>
      </c>
      <c r="B25" s="5" t="s">
        <v>29</v>
      </c>
      <c r="C25" s="78">
        <v>5828.71</v>
      </c>
      <c r="D25" s="7" t="s">
        <v>9</v>
      </c>
      <c r="E25" s="8"/>
    </row>
    <row r="26" spans="1:5" ht="15.6" x14ac:dyDescent="0.3">
      <c r="A26" s="4" t="s">
        <v>4</v>
      </c>
      <c r="B26" s="5" t="s">
        <v>30</v>
      </c>
      <c r="C26" s="22">
        <v>9249.2800000000007</v>
      </c>
      <c r="D26" s="7" t="s">
        <v>9</v>
      </c>
      <c r="E26" s="8"/>
    </row>
    <row r="27" spans="1:5" ht="15.6" x14ac:dyDescent="0.3">
      <c r="A27" s="4" t="s">
        <v>4</v>
      </c>
      <c r="B27" s="5" t="s">
        <v>64</v>
      </c>
      <c r="C27" s="22">
        <v>5822.53</v>
      </c>
      <c r="D27" s="7" t="s">
        <v>12</v>
      </c>
      <c r="E27" s="8"/>
    </row>
    <row r="28" spans="1:5" ht="15.6" x14ac:dyDescent="0.3">
      <c r="A28" s="12" t="s">
        <v>100</v>
      </c>
      <c r="B28" s="13" t="s">
        <v>31</v>
      </c>
      <c r="C28" s="24">
        <v>39905.07</v>
      </c>
      <c r="D28" s="16">
        <v>31678</v>
      </c>
      <c r="E28" s="14">
        <v>9000</v>
      </c>
    </row>
    <row r="29" spans="1:5" ht="15.6" x14ac:dyDescent="0.3">
      <c r="A29" s="58" t="s">
        <v>4</v>
      </c>
      <c r="B29" s="59" t="s">
        <v>32</v>
      </c>
      <c r="C29" s="60">
        <v>3696</v>
      </c>
      <c r="D29" s="61">
        <v>32476</v>
      </c>
      <c r="E29" s="62"/>
    </row>
    <row r="30" spans="1:5" ht="15.6" x14ac:dyDescent="0.3">
      <c r="A30" s="58" t="s">
        <v>4</v>
      </c>
      <c r="B30" s="5" t="s">
        <v>33</v>
      </c>
      <c r="C30" s="80">
        <v>5720.09</v>
      </c>
      <c r="D30" s="7" t="s">
        <v>9</v>
      </c>
      <c r="E30" s="29"/>
    </row>
    <row r="31" spans="1:5" ht="15.6" x14ac:dyDescent="0.3">
      <c r="A31" s="58" t="s">
        <v>4</v>
      </c>
      <c r="B31" s="5" t="s">
        <v>139</v>
      </c>
      <c r="C31" s="22">
        <v>24000</v>
      </c>
      <c r="D31" s="7" t="s">
        <v>9</v>
      </c>
      <c r="E31" s="29"/>
    </row>
    <row r="32" spans="1:5" ht="15.6" x14ac:dyDescent="0.3">
      <c r="A32" s="4" t="s">
        <v>21</v>
      </c>
      <c r="B32" s="5" t="s">
        <v>35</v>
      </c>
      <c r="C32" s="22">
        <v>35835.46</v>
      </c>
      <c r="D32" s="7" t="s">
        <v>9</v>
      </c>
      <c r="E32" s="8"/>
    </row>
    <row r="33" spans="1:5" ht="15.6" x14ac:dyDescent="0.3">
      <c r="A33" s="4" t="s">
        <v>4</v>
      </c>
      <c r="B33" s="5" t="s">
        <v>36</v>
      </c>
      <c r="C33" s="60">
        <v>2517.91</v>
      </c>
      <c r="D33" s="7" t="s">
        <v>9</v>
      </c>
      <c r="E33" s="8"/>
    </row>
    <row r="34" spans="1:5" ht="15.6" x14ac:dyDescent="0.3">
      <c r="A34" s="4" t="s">
        <v>4</v>
      </c>
      <c r="B34" s="5" t="s">
        <v>138</v>
      </c>
      <c r="C34" s="60">
        <v>5834</v>
      </c>
      <c r="D34" s="7" t="s">
        <v>12</v>
      </c>
      <c r="E34" s="8"/>
    </row>
    <row r="35" spans="1:5" ht="15.6" x14ac:dyDescent="0.3">
      <c r="A35" s="4" t="s">
        <v>4</v>
      </c>
      <c r="B35" s="5" t="s">
        <v>37</v>
      </c>
      <c r="C35" s="22">
        <v>12586.81</v>
      </c>
      <c r="D35" s="7">
        <v>2518799</v>
      </c>
      <c r="E35" s="29"/>
    </row>
    <row r="36" spans="1:5" ht="15.6" x14ac:dyDescent="0.3">
      <c r="A36" s="4" t="s">
        <v>4</v>
      </c>
      <c r="B36" s="5" t="s">
        <v>38</v>
      </c>
      <c r="C36" s="22">
        <v>1788.5</v>
      </c>
      <c r="D36" s="7" t="s">
        <v>9</v>
      </c>
      <c r="E36" s="8"/>
    </row>
    <row r="37" spans="1:5" ht="15.6" x14ac:dyDescent="0.3">
      <c r="A37" s="4" t="s">
        <v>136</v>
      </c>
      <c r="B37" s="5" t="s">
        <v>39</v>
      </c>
      <c r="C37" s="22">
        <v>18828.919999999998</v>
      </c>
      <c r="D37" s="7" t="s">
        <v>9</v>
      </c>
      <c r="E37" s="82">
        <v>9414.4599999999991</v>
      </c>
    </row>
    <row r="38" spans="1:5" ht="15.6" x14ac:dyDescent="0.3">
      <c r="A38" s="4" t="s">
        <v>44</v>
      </c>
      <c r="B38" s="5" t="s">
        <v>41</v>
      </c>
      <c r="C38" s="22">
        <v>2862.09</v>
      </c>
      <c r="D38" s="7">
        <v>939521</v>
      </c>
      <c r="E38" s="8"/>
    </row>
    <row r="39" spans="1:5" ht="15.6" x14ac:dyDescent="0.3">
      <c r="A39" s="4" t="s">
        <v>4</v>
      </c>
      <c r="B39" s="5" t="s">
        <v>43</v>
      </c>
      <c r="C39" s="80">
        <v>8385.61</v>
      </c>
      <c r="D39" s="7" t="s">
        <v>9</v>
      </c>
      <c r="E39" s="8"/>
    </row>
    <row r="40" spans="1:5" ht="15.6" x14ac:dyDescent="0.3">
      <c r="A40" s="110" t="s">
        <v>137</v>
      </c>
      <c r="B40" s="111"/>
      <c r="C40" s="111"/>
      <c r="D40" s="111"/>
      <c r="E40" s="112"/>
    </row>
    <row r="41" spans="1:5" ht="15.6" x14ac:dyDescent="0.3">
      <c r="A41" s="113"/>
      <c r="B41" s="114"/>
      <c r="C41" s="114"/>
      <c r="D41" s="114"/>
      <c r="E41" s="115"/>
    </row>
    <row r="42" spans="1:5" ht="15.6" x14ac:dyDescent="0.3">
      <c r="A42" s="116" t="s">
        <v>45</v>
      </c>
      <c r="B42" s="117"/>
      <c r="C42" s="28">
        <f>SUM(C4:C39)</f>
        <v>474681.7900000001</v>
      </c>
      <c r="D42" s="21"/>
      <c r="E42" s="20"/>
    </row>
  </sheetData>
  <mergeCells count="5">
    <mergeCell ref="A1:E1"/>
    <mergeCell ref="A2:E2"/>
    <mergeCell ref="A40:E40"/>
    <mergeCell ref="A41:E41"/>
    <mergeCell ref="A42:B42"/>
  </mergeCells>
  <pageMargins left="0.511811024" right="0.511811024" top="0.78740157499999996" bottom="0.78740157499999996" header="0.31496062000000002" footer="0.31496062000000002"/>
  <pageSetup paperSize="9" scale="8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8345-1527-4682-A4A0-FE15A293D3FF}">
  <dimension ref="A1:E44"/>
  <sheetViews>
    <sheetView view="pageBreakPreview" topLeftCell="A33" zoomScaleNormal="100" zoomScaleSheetLayoutView="100" workbookViewId="0">
      <selection activeCell="A45" sqref="A45:XFD46"/>
    </sheetView>
  </sheetViews>
  <sheetFormatPr defaultRowHeight="14.4" x14ac:dyDescent="0.3"/>
  <cols>
    <col min="1" max="1" width="24.109375" customWidth="1"/>
    <col min="2" max="2" width="21.5546875" bestFit="1" customWidth="1"/>
    <col min="3" max="3" width="16" bestFit="1" customWidth="1"/>
    <col min="4" max="4" width="29.6640625" bestFit="1" customWidth="1"/>
    <col min="5" max="5" width="16" bestFit="1" customWidth="1"/>
  </cols>
  <sheetData>
    <row r="1" spans="1:5" ht="21" x14ac:dyDescent="0.4">
      <c r="A1" s="104" t="s">
        <v>46</v>
      </c>
      <c r="B1" s="105"/>
      <c r="C1" s="105"/>
      <c r="D1" s="105"/>
      <c r="E1" s="106"/>
    </row>
    <row r="2" spans="1:5" x14ac:dyDescent="0.3">
      <c r="A2" s="107"/>
      <c r="B2" s="108"/>
      <c r="C2" s="108"/>
      <c r="D2" s="108"/>
      <c r="E2" s="109"/>
    </row>
    <row r="3" spans="1:5" ht="15.6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61</v>
      </c>
    </row>
    <row r="4" spans="1:5" ht="15.6" x14ac:dyDescent="0.3">
      <c r="A4" s="4" t="s">
        <v>143</v>
      </c>
      <c r="B4" s="5" t="s">
        <v>5</v>
      </c>
      <c r="C4" s="37">
        <v>406.3</v>
      </c>
      <c r="D4" s="7">
        <v>807797</v>
      </c>
      <c r="E4" s="8"/>
    </row>
    <row r="5" spans="1:5" ht="15.6" x14ac:dyDescent="0.3">
      <c r="A5" s="4" t="s">
        <v>4</v>
      </c>
      <c r="B5" s="5" t="s">
        <v>6</v>
      </c>
      <c r="C5" s="22">
        <v>63460.800000000003</v>
      </c>
      <c r="D5" s="7" t="s">
        <v>141</v>
      </c>
      <c r="E5" s="8"/>
    </row>
    <row r="6" spans="1:5" ht="15.6" x14ac:dyDescent="0.3">
      <c r="A6" s="12" t="s">
        <v>100</v>
      </c>
      <c r="B6" s="13" t="s">
        <v>7</v>
      </c>
      <c r="C6" s="24">
        <v>10623.36</v>
      </c>
      <c r="D6" s="16" t="s">
        <v>148</v>
      </c>
      <c r="E6" s="14">
        <v>7500</v>
      </c>
    </row>
    <row r="7" spans="1:5" ht="15.6" x14ac:dyDescent="0.3">
      <c r="A7" s="58" t="s">
        <v>4</v>
      </c>
      <c r="B7" s="5" t="s">
        <v>8</v>
      </c>
      <c r="C7" s="78">
        <v>13623.7</v>
      </c>
      <c r="D7" s="7" t="s">
        <v>9</v>
      </c>
      <c r="E7" s="8"/>
    </row>
    <row r="8" spans="1:5" ht="15.6" x14ac:dyDescent="0.3">
      <c r="A8" s="58" t="s">
        <v>4</v>
      </c>
      <c r="B8" s="59" t="s">
        <v>10</v>
      </c>
      <c r="C8" s="73">
        <v>8483.18</v>
      </c>
      <c r="D8" s="61" t="s">
        <v>12</v>
      </c>
      <c r="E8" s="62"/>
    </row>
    <row r="9" spans="1:5" ht="15.6" x14ac:dyDescent="0.3">
      <c r="A9" s="58" t="s">
        <v>4</v>
      </c>
      <c r="B9" s="5" t="s">
        <v>11</v>
      </c>
      <c r="C9" s="22">
        <v>14532</v>
      </c>
      <c r="D9" s="7">
        <v>166131</v>
      </c>
      <c r="E9" s="10"/>
    </row>
    <row r="10" spans="1:5" ht="15.6" x14ac:dyDescent="0.3">
      <c r="A10" s="58" t="s">
        <v>4</v>
      </c>
      <c r="B10" s="5" t="s">
        <v>13</v>
      </c>
      <c r="C10" s="22">
        <v>19634.57</v>
      </c>
      <c r="D10" s="7" t="s">
        <v>12</v>
      </c>
      <c r="E10" s="8"/>
    </row>
    <row r="11" spans="1:5" ht="15.6" x14ac:dyDescent="0.3">
      <c r="A11" s="69" t="s">
        <v>149</v>
      </c>
      <c r="B11" s="13" t="s">
        <v>14</v>
      </c>
      <c r="C11" s="85">
        <v>6183.79</v>
      </c>
      <c r="D11" s="16" t="s">
        <v>9</v>
      </c>
      <c r="E11" s="85">
        <v>6183.79</v>
      </c>
    </row>
    <row r="12" spans="1:5" ht="15.6" x14ac:dyDescent="0.3">
      <c r="A12" s="58" t="s">
        <v>4</v>
      </c>
      <c r="B12" s="5" t="s">
        <v>15</v>
      </c>
      <c r="C12" s="22">
        <v>10427.780000000001</v>
      </c>
      <c r="D12" s="7" t="s">
        <v>12</v>
      </c>
      <c r="E12" s="68"/>
    </row>
    <row r="13" spans="1:5" ht="15.6" x14ac:dyDescent="0.3">
      <c r="A13" s="58" t="s">
        <v>4</v>
      </c>
      <c r="B13" s="5" t="s">
        <v>16</v>
      </c>
      <c r="C13" s="80">
        <v>1409.4</v>
      </c>
      <c r="D13" s="7" t="s">
        <v>9</v>
      </c>
      <c r="E13" s="8"/>
    </row>
    <row r="14" spans="1:5" ht="15.6" x14ac:dyDescent="0.3">
      <c r="A14" s="58" t="s">
        <v>4</v>
      </c>
      <c r="B14" s="5" t="s">
        <v>17</v>
      </c>
      <c r="C14" s="22">
        <v>0</v>
      </c>
      <c r="D14" s="7"/>
      <c r="E14" s="29"/>
    </row>
    <row r="15" spans="1:5" ht="15.6" x14ac:dyDescent="0.3">
      <c r="A15" s="4" t="s">
        <v>4</v>
      </c>
      <c r="B15" s="5" t="s">
        <v>18</v>
      </c>
      <c r="C15" s="84">
        <v>12436.81</v>
      </c>
      <c r="D15" s="7" t="s">
        <v>9</v>
      </c>
      <c r="E15" s="8"/>
    </row>
    <row r="16" spans="1:5" ht="15.6" x14ac:dyDescent="0.3">
      <c r="A16" s="4" t="s">
        <v>4</v>
      </c>
      <c r="B16" s="59" t="s">
        <v>19</v>
      </c>
      <c r="C16" s="80">
        <v>16133.43</v>
      </c>
      <c r="D16" s="7" t="s">
        <v>142</v>
      </c>
      <c r="E16" s="62"/>
    </row>
    <row r="17" spans="1:5" ht="15.6" x14ac:dyDescent="0.3">
      <c r="A17" s="4" t="s">
        <v>4</v>
      </c>
      <c r="B17" s="5" t="s">
        <v>20</v>
      </c>
      <c r="C17" s="80">
        <v>5145.37</v>
      </c>
      <c r="D17" s="7" t="s">
        <v>9</v>
      </c>
      <c r="E17" s="8"/>
    </row>
    <row r="18" spans="1:5" ht="15.6" x14ac:dyDescent="0.3">
      <c r="A18" s="4" t="s">
        <v>4</v>
      </c>
      <c r="B18" s="5" t="s">
        <v>22</v>
      </c>
      <c r="C18" s="80">
        <v>21778.44</v>
      </c>
      <c r="D18" s="7" t="s">
        <v>9</v>
      </c>
      <c r="E18" s="8"/>
    </row>
    <row r="19" spans="1:5" ht="15.6" x14ac:dyDescent="0.3">
      <c r="A19" s="4" t="s">
        <v>4</v>
      </c>
      <c r="B19" s="5" t="s">
        <v>23</v>
      </c>
      <c r="C19" s="80">
        <v>9022.25</v>
      </c>
      <c r="D19" s="7" t="s">
        <v>9</v>
      </c>
      <c r="E19" s="29"/>
    </row>
    <row r="20" spans="1:5" ht="15.6" x14ac:dyDescent="0.3">
      <c r="A20" s="4" t="s">
        <v>4</v>
      </c>
      <c r="B20" s="5" t="s">
        <v>24</v>
      </c>
      <c r="C20" s="22">
        <v>12516.15</v>
      </c>
      <c r="D20" s="7" t="s">
        <v>9</v>
      </c>
      <c r="E20" s="8"/>
    </row>
    <row r="21" spans="1:5" ht="15.6" x14ac:dyDescent="0.3">
      <c r="A21" s="4" t="s">
        <v>4</v>
      </c>
      <c r="B21" s="5" t="s">
        <v>26</v>
      </c>
      <c r="C21" s="80">
        <v>4399.5</v>
      </c>
      <c r="D21" s="7" t="s">
        <v>9</v>
      </c>
      <c r="E21" s="29"/>
    </row>
    <row r="22" spans="1:5" ht="15.6" x14ac:dyDescent="0.3">
      <c r="A22" s="58" t="s">
        <v>4</v>
      </c>
      <c r="B22" s="59" t="s">
        <v>66</v>
      </c>
      <c r="C22" s="60">
        <v>11500</v>
      </c>
      <c r="D22" s="7" t="s">
        <v>9</v>
      </c>
      <c r="E22" s="62"/>
    </row>
    <row r="23" spans="1:5" ht="15.6" x14ac:dyDescent="0.3">
      <c r="A23" s="58" t="s">
        <v>4</v>
      </c>
      <c r="B23" s="5" t="s">
        <v>27</v>
      </c>
      <c r="C23" s="80">
        <v>23691.03</v>
      </c>
      <c r="D23" s="7" t="s">
        <v>9</v>
      </c>
      <c r="E23" s="8"/>
    </row>
    <row r="24" spans="1:5" ht="15.6" x14ac:dyDescent="0.3">
      <c r="A24" s="12" t="s">
        <v>94</v>
      </c>
      <c r="B24" s="75" t="s">
        <v>28</v>
      </c>
      <c r="C24" s="71">
        <v>8999</v>
      </c>
      <c r="D24" s="70" t="s">
        <v>12</v>
      </c>
      <c r="E24" s="71">
        <v>8999</v>
      </c>
    </row>
    <row r="25" spans="1:5" ht="15.6" x14ac:dyDescent="0.3">
      <c r="A25" s="4" t="s">
        <v>4</v>
      </c>
      <c r="B25" s="5" t="s">
        <v>29</v>
      </c>
      <c r="C25" s="78">
        <v>13234.16</v>
      </c>
      <c r="D25" s="7" t="s">
        <v>9</v>
      </c>
      <c r="E25" s="8"/>
    </row>
    <row r="26" spans="1:5" ht="15.6" x14ac:dyDescent="0.3">
      <c r="A26" s="4" t="s">
        <v>143</v>
      </c>
      <c r="B26" s="5" t="s">
        <v>30</v>
      </c>
      <c r="C26" s="22">
        <v>9397.31</v>
      </c>
      <c r="D26" s="7" t="s">
        <v>145</v>
      </c>
      <c r="E26" s="8"/>
    </row>
    <row r="27" spans="1:5" ht="15.6" x14ac:dyDescent="0.3">
      <c r="A27" s="4" t="s">
        <v>4</v>
      </c>
      <c r="B27" s="5" t="s">
        <v>64</v>
      </c>
      <c r="C27" s="22">
        <v>9396.84</v>
      </c>
      <c r="D27" s="7" t="s">
        <v>12</v>
      </c>
      <c r="E27" s="8"/>
    </row>
    <row r="28" spans="1:5" ht="15.6" x14ac:dyDescent="0.3">
      <c r="A28" s="4" t="s">
        <v>4</v>
      </c>
      <c r="B28" s="5" t="s">
        <v>31</v>
      </c>
      <c r="C28" s="22">
        <v>30404.69</v>
      </c>
      <c r="D28" s="7" t="s">
        <v>9</v>
      </c>
      <c r="E28" s="8"/>
    </row>
    <row r="29" spans="1:5" ht="15.6" x14ac:dyDescent="0.3">
      <c r="A29" s="4" t="s">
        <v>4</v>
      </c>
      <c r="B29" s="59" t="s">
        <v>32</v>
      </c>
      <c r="C29" s="60">
        <v>0</v>
      </c>
      <c r="D29" s="61"/>
      <c r="E29" s="62"/>
    </row>
    <row r="30" spans="1:5" ht="15.6" x14ac:dyDescent="0.3">
      <c r="A30" s="58" t="s">
        <v>4</v>
      </c>
      <c r="B30" s="5" t="s">
        <v>33</v>
      </c>
      <c r="C30" s="80">
        <v>4757.7</v>
      </c>
      <c r="D30" s="7" t="s">
        <v>9</v>
      </c>
      <c r="E30" s="29"/>
    </row>
    <row r="31" spans="1:5" ht="15.6" x14ac:dyDescent="0.3">
      <c r="A31" s="58" t="s">
        <v>4</v>
      </c>
      <c r="B31" s="5" t="s">
        <v>139</v>
      </c>
      <c r="C31" s="22">
        <v>12000</v>
      </c>
      <c r="D31" s="7" t="s">
        <v>9</v>
      </c>
      <c r="E31" s="29"/>
    </row>
    <row r="32" spans="1:5" ht="15.6" x14ac:dyDescent="0.3">
      <c r="A32" s="58" t="s">
        <v>4</v>
      </c>
      <c r="B32" s="5" t="s">
        <v>35</v>
      </c>
      <c r="C32" s="22">
        <v>0</v>
      </c>
      <c r="D32" s="7"/>
      <c r="E32" s="8"/>
    </row>
    <row r="33" spans="1:5" ht="15.6" x14ac:dyDescent="0.3">
      <c r="A33" s="58" t="s">
        <v>4</v>
      </c>
      <c r="B33" s="5" t="s">
        <v>36</v>
      </c>
      <c r="C33" s="60">
        <v>1818.38</v>
      </c>
      <c r="D33" s="7" t="s">
        <v>9</v>
      </c>
      <c r="E33" s="8"/>
    </row>
    <row r="34" spans="1:5" ht="15.6" x14ac:dyDescent="0.3">
      <c r="A34" s="58" t="s">
        <v>4</v>
      </c>
      <c r="B34" s="5" t="s">
        <v>138</v>
      </c>
      <c r="C34" s="60">
        <v>0</v>
      </c>
      <c r="D34" s="7"/>
      <c r="E34" s="8"/>
    </row>
    <row r="35" spans="1:5" ht="15.6" x14ac:dyDescent="0.3">
      <c r="A35" s="4" t="s">
        <v>4</v>
      </c>
      <c r="B35" s="5" t="s">
        <v>37</v>
      </c>
      <c r="C35" s="22">
        <v>12710.8</v>
      </c>
      <c r="D35" s="7">
        <v>2532754</v>
      </c>
      <c r="E35" s="29"/>
    </row>
    <row r="36" spans="1:5" ht="15.6" x14ac:dyDescent="0.3">
      <c r="A36" s="4" t="s">
        <v>4</v>
      </c>
      <c r="B36" s="5" t="s">
        <v>38</v>
      </c>
      <c r="C36" s="22">
        <v>3467.54</v>
      </c>
      <c r="D36" s="7" t="s">
        <v>9</v>
      </c>
      <c r="E36" s="8"/>
    </row>
    <row r="37" spans="1:5" ht="15.6" x14ac:dyDescent="0.3">
      <c r="A37" s="12" t="s">
        <v>118</v>
      </c>
      <c r="B37" s="13" t="s">
        <v>39</v>
      </c>
      <c r="C37" s="24">
        <v>21127.360000000001</v>
      </c>
      <c r="D37" s="16" t="s">
        <v>9</v>
      </c>
      <c r="E37" s="82">
        <v>10321.040000000001</v>
      </c>
    </row>
    <row r="38" spans="1:5" ht="15.6" x14ac:dyDescent="0.3">
      <c r="A38" s="4" t="s">
        <v>4</v>
      </c>
      <c r="B38" s="5" t="s">
        <v>41</v>
      </c>
      <c r="C38" s="22">
        <v>26021.54</v>
      </c>
      <c r="D38" s="4" t="s">
        <v>12</v>
      </c>
      <c r="E38" s="8"/>
    </row>
    <row r="39" spans="1:5" ht="15.6" x14ac:dyDescent="0.3">
      <c r="A39" s="4" t="s">
        <v>4</v>
      </c>
      <c r="B39" s="5" t="s">
        <v>43</v>
      </c>
      <c r="C39" s="22">
        <v>7049.22</v>
      </c>
      <c r="D39" s="83" t="s">
        <v>9</v>
      </c>
      <c r="E39" s="8"/>
    </row>
    <row r="40" spans="1:5" ht="15.6" x14ac:dyDescent="0.3">
      <c r="A40" s="4" t="s">
        <v>143</v>
      </c>
      <c r="B40" s="5" t="s">
        <v>144</v>
      </c>
      <c r="C40" s="22">
        <v>2211.48</v>
      </c>
      <c r="D40" s="83">
        <v>199523</v>
      </c>
      <c r="E40" s="8"/>
    </row>
    <row r="41" spans="1:5" ht="15.6" x14ac:dyDescent="0.3">
      <c r="A41" s="4" t="s">
        <v>147</v>
      </c>
      <c r="B41" s="5" t="s">
        <v>146</v>
      </c>
      <c r="C41" s="80">
        <v>8672.7900000000009</v>
      </c>
      <c r="D41" s="7"/>
      <c r="E41" s="8"/>
    </row>
    <row r="42" spans="1:5" ht="15.6" x14ac:dyDescent="0.3">
      <c r="A42" s="110" t="s">
        <v>150</v>
      </c>
      <c r="B42" s="111"/>
      <c r="C42" s="111"/>
      <c r="D42" s="111"/>
      <c r="E42" s="112"/>
    </row>
    <row r="43" spans="1:5" ht="15.6" x14ac:dyDescent="0.3">
      <c r="A43" s="113"/>
      <c r="B43" s="114"/>
      <c r="C43" s="114"/>
      <c r="D43" s="114"/>
      <c r="E43" s="115"/>
    </row>
    <row r="44" spans="1:5" ht="15.6" x14ac:dyDescent="0.3">
      <c r="A44" s="116" t="s">
        <v>45</v>
      </c>
      <c r="B44" s="117"/>
      <c r="C44" s="28">
        <f>SUM(C4:C41)</f>
        <v>436676.66999999987</v>
      </c>
      <c r="D44" s="21"/>
      <c r="E44" s="20"/>
    </row>
  </sheetData>
  <mergeCells count="5">
    <mergeCell ref="A1:E1"/>
    <mergeCell ref="A2:E2"/>
    <mergeCell ref="A42:E42"/>
    <mergeCell ref="A43:E43"/>
    <mergeCell ref="A44:B44"/>
  </mergeCells>
  <pageMargins left="0.511811024" right="0.511811024" top="0.78740157499999996" bottom="0.78740157499999996" header="0.31496062000000002" footer="0.31496062000000002"/>
  <pageSetup paperSize="9" scale="8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1B6E-7C6B-41D8-B97A-61B93F600484}">
  <dimension ref="A1:E42"/>
  <sheetViews>
    <sheetView view="pageBreakPreview" topLeftCell="A30" zoomScaleNormal="100" zoomScaleSheetLayoutView="100" workbookViewId="0">
      <selection activeCell="A43" sqref="A43:XFD44"/>
    </sheetView>
  </sheetViews>
  <sheetFormatPr defaultRowHeight="14.4" x14ac:dyDescent="0.3"/>
  <cols>
    <col min="1" max="1" width="19.88671875" bestFit="1" customWidth="1"/>
    <col min="2" max="2" width="21.5546875" bestFit="1" customWidth="1"/>
    <col min="3" max="3" width="17.33203125" bestFit="1" customWidth="1"/>
    <col min="4" max="4" width="25.88671875" bestFit="1" customWidth="1"/>
    <col min="5" max="5" width="16" bestFit="1" customWidth="1"/>
  </cols>
  <sheetData>
    <row r="1" spans="1:5" ht="21" x14ac:dyDescent="0.4">
      <c r="A1" s="104" t="s">
        <v>46</v>
      </c>
      <c r="B1" s="105"/>
      <c r="C1" s="105"/>
      <c r="D1" s="105"/>
      <c r="E1" s="106"/>
    </row>
    <row r="2" spans="1:5" x14ac:dyDescent="0.3">
      <c r="A2" s="107"/>
      <c r="B2" s="108"/>
      <c r="C2" s="108"/>
      <c r="D2" s="108"/>
      <c r="E2" s="109"/>
    </row>
    <row r="3" spans="1:5" ht="15.6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61</v>
      </c>
    </row>
    <row r="4" spans="1:5" ht="15.6" x14ac:dyDescent="0.3">
      <c r="A4" s="86" t="s">
        <v>4</v>
      </c>
      <c r="B4" s="87" t="s">
        <v>5</v>
      </c>
      <c r="C4" s="88">
        <v>0</v>
      </c>
      <c r="D4" s="89"/>
      <c r="E4" s="90"/>
    </row>
    <row r="5" spans="1:5" ht="15.6" x14ac:dyDescent="0.3">
      <c r="A5" s="86" t="s">
        <v>4</v>
      </c>
      <c r="B5" s="87" t="s">
        <v>6</v>
      </c>
      <c r="C5" s="91">
        <v>36612</v>
      </c>
      <c r="D5" s="89">
        <v>10718</v>
      </c>
      <c r="E5" s="90"/>
    </row>
    <row r="6" spans="1:5" ht="15.6" x14ac:dyDescent="0.3">
      <c r="A6" s="12" t="s">
        <v>100</v>
      </c>
      <c r="B6" s="13" t="s">
        <v>7</v>
      </c>
      <c r="C6" s="24">
        <v>7500</v>
      </c>
      <c r="D6" s="16" t="s">
        <v>12</v>
      </c>
      <c r="E6" s="14">
        <v>5500</v>
      </c>
    </row>
    <row r="7" spans="1:5" ht="15.6" x14ac:dyDescent="0.3">
      <c r="A7" s="92" t="s">
        <v>4</v>
      </c>
      <c r="B7" s="87" t="s">
        <v>8</v>
      </c>
      <c r="C7" s="93">
        <v>12733.85</v>
      </c>
      <c r="D7" s="89" t="s">
        <v>9</v>
      </c>
      <c r="E7" s="90"/>
    </row>
    <row r="8" spans="1:5" ht="15.6" x14ac:dyDescent="0.3">
      <c r="A8" s="92" t="s">
        <v>4</v>
      </c>
      <c r="B8" s="94" t="s">
        <v>10</v>
      </c>
      <c r="C8" s="95">
        <v>7067.1</v>
      </c>
      <c r="D8" s="96" t="s">
        <v>12</v>
      </c>
      <c r="E8" s="97"/>
    </row>
    <row r="9" spans="1:5" ht="15.6" x14ac:dyDescent="0.3">
      <c r="A9" s="92" t="s">
        <v>4</v>
      </c>
      <c r="B9" s="87" t="s">
        <v>11</v>
      </c>
      <c r="C9" s="91">
        <v>13671</v>
      </c>
      <c r="D9" s="89">
        <v>168378</v>
      </c>
      <c r="E9" s="98"/>
    </row>
    <row r="10" spans="1:5" ht="15.6" x14ac:dyDescent="0.3">
      <c r="A10" s="92" t="s">
        <v>4</v>
      </c>
      <c r="B10" s="87" t="s">
        <v>13</v>
      </c>
      <c r="C10" s="91">
        <v>18434.66</v>
      </c>
      <c r="D10" s="89" t="s">
        <v>12</v>
      </c>
      <c r="E10" s="90"/>
    </row>
    <row r="11" spans="1:5" ht="15.6" x14ac:dyDescent="0.3">
      <c r="A11" s="92" t="s">
        <v>4</v>
      </c>
      <c r="B11" s="87" t="s">
        <v>14</v>
      </c>
      <c r="C11" s="99">
        <v>13037.36</v>
      </c>
      <c r="D11" s="89" t="s">
        <v>9</v>
      </c>
      <c r="E11" s="99"/>
    </row>
    <row r="12" spans="1:5" ht="15.6" x14ac:dyDescent="0.3">
      <c r="A12" s="92" t="s">
        <v>4</v>
      </c>
      <c r="B12" s="87" t="s">
        <v>15</v>
      </c>
      <c r="C12" s="91">
        <v>11080.64</v>
      </c>
      <c r="D12" s="89" t="s">
        <v>12</v>
      </c>
      <c r="E12" s="100"/>
    </row>
    <row r="13" spans="1:5" ht="15.6" x14ac:dyDescent="0.3">
      <c r="A13" s="92" t="s">
        <v>4</v>
      </c>
      <c r="B13" s="87" t="s">
        <v>16</v>
      </c>
      <c r="C13" s="99">
        <v>0</v>
      </c>
      <c r="D13" s="89"/>
      <c r="E13" s="90"/>
    </row>
    <row r="14" spans="1:5" ht="15.6" x14ac:dyDescent="0.3">
      <c r="A14" s="92" t="s">
        <v>4</v>
      </c>
      <c r="B14" s="87" t="s">
        <v>17</v>
      </c>
      <c r="C14" s="91">
        <v>20000</v>
      </c>
      <c r="D14" s="89" t="s">
        <v>12</v>
      </c>
      <c r="E14" s="101"/>
    </row>
    <row r="15" spans="1:5" ht="15.6" x14ac:dyDescent="0.3">
      <c r="A15" s="86" t="s">
        <v>4</v>
      </c>
      <c r="B15" s="87" t="s">
        <v>18</v>
      </c>
      <c r="C15" s="102">
        <v>8694.5</v>
      </c>
      <c r="D15" s="89" t="s">
        <v>9</v>
      </c>
      <c r="E15" s="90"/>
    </row>
    <row r="16" spans="1:5" ht="15.6" x14ac:dyDescent="0.3">
      <c r="A16" s="86" t="s">
        <v>4</v>
      </c>
      <c r="B16" s="94" t="s">
        <v>19</v>
      </c>
      <c r="C16" s="99">
        <v>11403.15</v>
      </c>
      <c r="D16" s="89" t="s">
        <v>9</v>
      </c>
      <c r="E16" s="97"/>
    </row>
    <row r="17" spans="1:5" ht="15.6" x14ac:dyDescent="0.3">
      <c r="A17" s="86" t="s">
        <v>4</v>
      </c>
      <c r="B17" s="87" t="s">
        <v>20</v>
      </c>
      <c r="C17" s="99">
        <v>6092.93</v>
      </c>
      <c r="D17" s="89" t="s">
        <v>9</v>
      </c>
      <c r="E17" s="90"/>
    </row>
    <row r="18" spans="1:5" ht="15.6" x14ac:dyDescent="0.3">
      <c r="A18" s="86" t="s">
        <v>4</v>
      </c>
      <c r="B18" s="87" t="s">
        <v>22</v>
      </c>
      <c r="C18" s="99">
        <v>29406.58</v>
      </c>
      <c r="D18" s="89" t="s">
        <v>9</v>
      </c>
      <c r="E18" s="90"/>
    </row>
    <row r="19" spans="1:5" ht="15.6" x14ac:dyDescent="0.3">
      <c r="A19" s="86" t="s">
        <v>4</v>
      </c>
      <c r="B19" s="87" t="s">
        <v>23</v>
      </c>
      <c r="C19" s="99">
        <v>20570.36</v>
      </c>
      <c r="D19" s="89" t="s">
        <v>67</v>
      </c>
      <c r="E19" s="101"/>
    </row>
    <row r="20" spans="1:5" ht="15.6" x14ac:dyDescent="0.3">
      <c r="A20" s="86" t="s">
        <v>4</v>
      </c>
      <c r="B20" s="87" t="s">
        <v>24</v>
      </c>
      <c r="C20" s="91">
        <v>15959.39</v>
      </c>
      <c r="D20" s="89" t="s">
        <v>9</v>
      </c>
      <c r="E20" s="90"/>
    </row>
    <row r="21" spans="1:5" ht="15.6" x14ac:dyDescent="0.3">
      <c r="A21" s="86" t="s">
        <v>4</v>
      </c>
      <c r="B21" s="87" t="s">
        <v>26</v>
      </c>
      <c r="C21" s="99">
        <v>5588.12</v>
      </c>
      <c r="D21" s="89" t="s">
        <v>9</v>
      </c>
      <c r="E21" s="101"/>
    </row>
    <row r="22" spans="1:5" ht="15.6" x14ac:dyDescent="0.3">
      <c r="A22" s="92" t="s">
        <v>4</v>
      </c>
      <c r="B22" s="94" t="s">
        <v>66</v>
      </c>
      <c r="C22" s="103">
        <v>0</v>
      </c>
      <c r="D22" s="89" t="s">
        <v>9</v>
      </c>
      <c r="E22" s="97"/>
    </row>
    <row r="23" spans="1:5" ht="15.6" x14ac:dyDescent="0.3">
      <c r="A23" s="92" t="s">
        <v>4</v>
      </c>
      <c r="B23" s="87" t="s">
        <v>27</v>
      </c>
      <c r="C23" s="99">
        <v>18796.900000000001</v>
      </c>
      <c r="D23" s="89" t="s">
        <v>9</v>
      </c>
      <c r="E23" s="90"/>
    </row>
    <row r="24" spans="1:5" ht="15.6" x14ac:dyDescent="0.3">
      <c r="A24" s="86" t="s">
        <v>4</v>
      </c>
      <c r="B24" s="94" t="s">
        <v>28</v>
      </c>
      <c r="C24" s="103">
        <v>108712.02</v>
      </c>
      <c r="D24" s="96" t="s">
        <v>9</v>
      </c>
      <c r="E24" s="103"/>
    </row>
    <row r="25" spans="1:5" ht="15.6" x14ac:dyDescent="0.3">
      <c r="A25" s="86" t="s">
        <v>4</v>
      </c>
      <c r="B25" s="87" t="s">
        <v>29</v>
      </c>
      <c r="C25" s="93">
        <v>8128.17</v>
      </c>
      <c r="D25" s="96" t="s">
        <v>9</v>
      </c>
      <c r="E25" s="90"/>
    </row>
    <row r="26" spans="1:5" ht="15.6" x14ac:dyDescent="0.3">
      <c r="A26" s="86" t="s">
        <v>4</v>
      </c>
      <c r="B26" s="87" t="s">
        <v>30</v>
      </c>
      <c r="C26" s="91">
        <v>12472.4</v>
      </c>
      <c r="D26" s="96" t="s">
        <v>9</v>
      </c>
      <c r="E26" s="90"/>
    </row>
    <row r="27" spans="1:5" ht="15.6" x14ac:dyDescent="0.3">
      <c r="A27" s="86" t="s">
        <v>4</v>
      </c>
      <c r="B27" s="87" t="s">
        <v>64</v>
      </c>
      <c r="C27" s="91">
        <v>4861.63</v>
      </c>
      <c r="D27" s="89" t="s">
        <v>12</v>
      </c>
      <c r="E27" s="90"/>
    </row>
    <row r="28" spans="1:5" ht="15.6" x14ac:dyDescent="0.3">
      <c r="A28" s="12" t="s">
        <v>151</v>
      </c>
      <c r="B28" s="13" t="s">
        <v>31</v>
      </c>
      <c r="C28" s="24">
        <v>74840.23</v>
      </c>
      <c r="D28" s="16"/>
      <c r="E28" s="14">
        <v>9000</v>
      </c>
    </row>
    <row r="29" spans="1:5" ht="15.6" x14ac:dyDescent="0.3">
      <c r="A29" s="86" t="s">
        <v>4</v>
      </c>
      <c r="B29" s="94" t="s">
        <v>32</v>
      </c>
      <c r="C29" s="103">
        <v>6695</v>
      </c>
      <c r="D29" s="96">
        <v>36710</v>
      </c>
      <c r="E29" s="97"/>
    </row>
    <row r="30" spans="1:5" ht="15.6" x14ac:dyDescent="0.3">
      <c r="A30" s="92" t="s">
        <v>4</v>
      </c>
      <c r="B30" s="87" t="s">
        <v>33</v>
      </c>
      <c r="C30" s="99">
        <v>6531.81</v>
      </c>
      <c r="D30" s="89" t="s">
        <v>9</v>
      </c>
      <c r="E30" s="101"/>
    </row>
    <row r="31" spans="1:5" ht="15.6" x14ac:dyDescent="0.3">
      <c r="A31" s="92" t="s">
        <v>4</v>
      </c>
      <c r="B31" s="87" t="s">
        <v>139</v>
      </c>
      <c r="C31" s="91">
        <v>12000</v>
      </c>
      <c r="D31" s="89" t="s">
        <v>9</v>
      </c>
      <c r="E31" s="101"/>
    </row>
    <row r="32" spans="1:5" ht="15.6" x14ac:dyDescent="0.3">
      <c r="A32" s="92" t="s">
        <v>4</v>
      </c>
      <c r="B32" s="87" t="s">
        <v>35</v>
      </c>
      <c r="C32" s="91">
        <v>73839.38</v>
      </c>
      <c r="D32" s="89" t="s">
        <v>12</v>
      </c>
      <c r="E32" s="90"/>
    </row>
    <row r="33" spans="1:5" ht="15.6" x14ac:dyDescent="0.3">
      <c r="A33" s="92" t="s">
        <v>4</v>
      </c>
      <c r="B33" s="87" t="s">
        <v>36</v>
      </c>
      <c r="C33" s="103">
        <v>2364.39</v>
      </c>
      <c r="D33" s="89" t="s">
        <v>9</v>
      </c>
      <c r="E33" s="90"/>
    </row>
    <row r="34" spans="1:5" ht="15.6" x14ac:dyDescent="0.3">
      <c r="A34" s="92" t="s">
        <v>4</v>
      </c>
      <c r="B34" s="87" t="s">
        <v>138</v>
      </c>
      <c r="C34" s="103">
        <v>5834</v>
      </c>
      <c r="D34" s="89" t="s">
        <v>12</v>
      </c>
      <c r="E34" s="90"/>
    </row>
    <row r="35" spans="1:5" ht="15.6" x14ac:dyDescent="0.3">
      <c r="A35" s="86" t="s">
        <v>4</v>
      </c>
      <c r="B35" s="87" t="s">
        <v>37</v>
      </c>
      <c r="C35" s="91">
        <v>11203.2</v>
      </c>
      <c r="D35" s="89">
        <v>2558015</v>
      </c>
      <c r="E35" s="101"/>
    </row>
    <row r="36" spans="1:5" ht="15.6" x14ac:dyDescent="0.3">
      <c r="A36" s="86" t="s">
        <v>4</v>
      </c>
      <c r="B36" s="87" t="s">
        <v>38</v>
      </c>
      <c r="C36" s="91">
        <v>1729.36</v>
      </c>
      <c r="D36" s="89" t="s">
        <v>9</v>
      </c>
      <c r="E36" s="90"/>
    </row>
    <row r="37" spans="1:5" ht="15.6" x14ac:dyDescent="0.3">
      <c r="A37" s="86" t="s">
        <v>118</v>
      </c>
      <c r="B37" s="87" t="s">
        <v>39</v>
      </c>
      <c r="C37" s="91">
        <v>25637.43</v>
      </c>
      <c r="D37" s="89" t="s">
        <v>9</v>
      </c>
      <c r="E37" s="82">
        <v>12818.71</v>
      </c>
    </row>
    <row r="38" spans="1:5" ht="15.6" x14ac:dyDescent="0.3">
      <c r="A38" s="86" t="s">
        <v>4</v>
      </c>
      <c r="B38" s="87" t="s">
        <v>41</v>
      </c>
      <c r="C38" s="91">
        <v>46133.21</v>
      </c>
      <c r="D38" s="86" t="s">
        <v>12</v>
      </c>
      <c r="E38" s="90"/>
    </row>
    <row r="39" spans="1:5" ht="15.6" x14ac:dyDescent="0.3">
      <c r="A39" s="86" t="s">
        <v>4</v>
      </c>
      <c r="B39" s="87" t="s">
        <v>43</v>
      </c>
      <c r="C39" s="91">
        <v>8982.9599999999991</v>
      </c>
      <c r="D39" s="86" t="s">
        <v>12</v>
      </c>
      <c r="E39" s="90"/>
    </row>
    <row r="40" spans="1:5" ht="15.6" x14ac:dyDescent="0.3">
      <c r="A40" s="110" t="s">
        <v>152</v>
      </c>
      <c r="B40" s="111"/>
      <c r="C40" s="111"/>
      <c r="D40" s="111"/>
      <c r="E40" s="112"/>
    </row>
    <row r="41" spans="1:5" ht="15.6" x14ac:dyDescent="0.3">
      <c r="A41" s="113"/>
      <c r="B41" s="114"/>
      <c r="C41" s="114"/>
      <c r="D41" s="114"/>
      <c r="E41" s="115"/>
    </row>
    <row r="42" spans="1:5" ht="15.6" x14ac:dyDescent="0.3">
      <c r="A42" s="116" t="s">
        <v>45</v>
      </c>
      <c r="B42" s="117"/>
      <c r="C42" s="28">
        <f>SUM(C4:C39)</f>
        <v>666613.72999999986</v>
      </c>
      <c r="D42" s="21"/>
      <c r="E42" s="20"/>
    </row>
  </sheetData>
  <mergeCells count="5">
    <mergeCell ref="A1:E1"/>
    <mergeCell ref="A2:E2"/>
    <mergeCell ref="A40:E40"/>
    <mergeCell ref="A41:E41"/>
    <mergeCell ref="A42:B42"/>
  </mergeCells>
  <pageMargins left="0.511811024" right="0.511811024" top="0.78740157499999996" bottom="0.78740157499999996" header="0.31496062000000002" footer="0.31496062000000002"/>
  <pageSetup paperSize="9" scale="91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3</vt:i4>
      </vt:variant>
    </vt:vector>
  </HeadingPairs>
  <TitlesOfParts>
    <vt:vector size="15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DEZEMBRO!Area_de_impressao</vt:lpstr>
      <vt:lpstr>FEVEREIRO!Area_de_impressao</vt:lpstr>
      <vt:lpstr>MARÇO!Area_de_impressao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 PMG.</dc:creator>
  <cp:lastModifiedBy>Marketing PMG.</cp:lastModifiedBy>
  <cp:lastPrinted>2026-01-08T11:29:23Z</cp:lastPrinted>
  <dcterms:created xsi:type="dcterms:W3CDTF">2025-02-04T11:41:38Z</dcterms:created>
  <dcterms:modified xsi:type="dcterms:W3CDTF">2026-08-18T16:55:21Z</dcterms:modified>
</cp:coreProperties>
</file>