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dos" sheetId="2" state="veryHidden" r:id="rId2"/>
    <sheet xmlns:r="http://schemas.openxmlformats.org/officeDocument/2006/relationships" name="Calc" sheetId="3" state="veryHidden" r:id="rId3"/>
  </sheets>
  <definedNames>
    <definedName name="_xlnm.Print_Area" localSheetId="0">'Dashboard'!$A$1:$AZ$47</definedName>
  </definedNames>
  <calcPr calcId="124519" fullCalcOnLoad="1"/>
</workbook>
</file>

<file path=xl/styles.xml><?xml version="1.0" encoding="utf-8"?>
<styleSheet xmlns="http://schemas.openxmlformats.org/spreadsheetml/2006/main">
  <numFmts count="12">
    <numFmt numFmtId="164" formatCode="&quot;R$ &quot;#,##0.00,,&quot; mi&quot;"/>
    <numFmt numFmtId="165" formatCode="&quot;▲ &quot;0.0%;&quot;▼ &quot;0.0%;&quot;– &quot;0.0%"/>
    <numFmt numFmtId="166" formatCode="&quot;vs R$ &quot;#,##0.00,,&quot; mi&quot;"/>
    <numFmt numFmtId="167" formatCode="#,##0.0,&quot; t&quot;"/>
    <numFmt numFmtId="168" formatCode="&quot;vs &quot;#,##0.0,&quot; t&quot;"/>
    <numFmt numFmtId="169" formatCode="&quot;vs &quot;#,##0"/>
    <numFmt numFmtId="170" formatCode="&quot;R$ &quot;#,##0"/>
    <numFmt numFmtId="171" formatCode="&quot;vs R$ &quot;#,##0"/>
    <numFmt numFmtId="172" formatCode="0.0%"/>
    <numFmt numFmtId="173" formatCode="0.0%;-0.0%;&quot;—&quot;"/>
    <numFmt numFmtId="174" formatCode="#,##0;-#,##0;&quot;—&quot;"/>
    <numFmt numFmtId="175" formatCode="#,##0.0,&quot; t&quot;;-#,##0.0,&quot; t&quot;;&quot;—&quot;"/>
  </numFmts>
  <fonts count="17">
    <font>
      <name val="Calibri"/>
      <family val="2"/>
      <color theme="1"/>
      <sz val="11"/>
      <scheme val="minor"/>
    </font>
    <font>
      <name val="Segoe UI"/>
      <b val="1"/>
      <color rgb="001FD173"/>
      <sz val="9"/>
    </font>
    <font>
      <name val="Segoe UI"/>
      <b val="1"/>
      <color rgb="00EEF3F0"/>
      <sz val="30"/>
    </font>
    <font>
      <name val="Segoe UI"/>
      <color rgb="00A7B4AD"/>
      <sz val="11"/>
    </font>
    <font>
      <name val="Segoe UI"/>
      <color rgb="00A7B4AD"/>
      <sz val="9"/>
    </font>
    <font>
      <name val="Segoe UI"/>
      <color rgb="008C9A93"/>
      <sz val="9"/>
    </font>
    <font>
      <name val="Segoe UI"/>
      <b val="1"/>
      <color rgb="008C9A93"/>
      <sz val="8"/>
    </font>
    <font>
      <name val="Segoe UI"/>
      <b val="1"/>
      <color rgb="00EEF3F0"/>
      <sz val="11"/>
    </font>
    <font>
      <name val="Segoe UI"/>
      <color rgb="00A7B4AD"/>
      <sz val="10"/>
    </font>
    <font>
      <name val="Segoe UI"/>
      <b val="1"/>
      <color rgb="00EEF3F0"/>
      <sz val="22"/>
    </font>
    <font>
      <name val="Segoe UI"/>
      <b val="1"/>
      <color rgb="00A7B4AD"/>
      <sz val="10"/>
    </font>
    <font>
      <name val="Segoe UI"/>
      <b val="1"/>
      <color rgb="00EEF3F0"/>
      <sz val="13"/>
    </font>
    <font>
      <name val="Segoe UI"/>
      <color rgb="00EEF3F0"/>
      <sz val="10"/>
    </font>
    <font>
      <name val="Consolas"/>
      <color rgb="001FD173"/>
      <sz val="9"/>
    </font>
    <font>
      <name val="Consolas"/>
      <color rgb="006F7F77"/>
      <sz val="9"/>
    </font>
    <font>
      <name val="Segoe UI"/>
      <b val="1"/>
      <color rgb="00EEF3F0"/>
      <sz val="10"/>
    </font>
    <font>
      <name val="Segoe UI"/>
      <color rgb="008C9A93"/>
      <sz val="8"/>
    </font>
  </fonts>
  <fills count="5">
    <fill>
      <patternFill/>
    </fill>
    <fill>
      <patternFill patternType="gray125"/>
    </fill>
    <fill>
      <patternFill patternType="solid">
        <fgColor rgb="000B0F0D"/>
        <bgColor rgb="000B0F0D"/>
      </patternFill>
    </fill>
    <fill>
      <patternFill patternType="solid">
        <fgColor rgb="001C2420"/>
        <bgColor rgb="001C2420"/>
      </patternFill>
    </fill>
    <fill>
      <patternFill patternType="solid">
        <fgColor rgb="00141A17"/>
        <bgColor rgb="00141A17"/>
      </patternFill>
    </fill>
  </fills>
  <borders count="14">
    <border>
      <left/>
      <right/>
      <top/>
      <bottom/>
      <diagonal/>
    </border>
    <border>
      <left style="thin">
        <color rgb="002E3D36"/>
      </left>
      <top style="thin">
        <color rgb="002E3D36"/>
      </top>
      <bottom style="thin">
        <color rgb="002E3D36"/>
      </bottom>
    </border>
    <border>
      <top style="thin">
        <color rgb="002E3D36"/>
      </top>
      <bottom style="thin">
        <color rgb="002E3D36"/>
      </bottom>
    </border>
    <border>
      <right style="thin">
        <color rgb="002E3D36"/>
      </right>
      <top style="thin">
        <color rgb="002E3D36"/>
      </top>
      <bottom style="thin">
        <color rgb="002E3D36"/>
      </bottom>
    </border>
    <border>
      <left style="thin">
        <color rgb="002E3D36"/>
      </left>
      <right style="thin">
        <color rgb="002E3D36"/>
      </right>
      <top style="thin">
        <color rgb="002E3D36"/>
      </top>
      <bottom style="thin">
        <color rgb="002E3D36"/>
      </bottom>
    </border>
    <border>
      <left style="thin">
        <color rgb="0023302A"/>
      </left>
      <top style="thin">
        <color rgb="0023302A"/>
      </top>
    </border>
    <border>
      <top style="thin">
        <color rgb="0023302A"/>
      </top>
    </border>
    <border>
      <right style="thin">
        <color rgb="0023302A"/>
      </right>
      <top style="thin">
        <color rgb="0023302A"/>
      </top>
    </border>
    <border>
      <left style="thin">
        <color rgb="0023302A"/>
      </left>
    </border>
    <border/>
    <border>
      <right style="thin">
        <color rgb="0023302A"/>
      </right>
    </border>
    <border>
      <left style="thin">
        <color rgb="0023302A"/>
      </left>
      <bottom style="thin">
        <color rgb="0023302A"/>
      </bottom>
    </border>
    <border>
      <bottom style="thin">
        <color rgb="0023302A"/>
      </bottom>
    </border>
    <border>
      <right style="thin">
        <color rgb="0023302A"/>
      </right>
      <bottom style="thin">
        <color rgb="0023302A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2" borderId="0" applyProtection="1" pivotButton="0" quotePrefix="0" xfId="0">
      <protection locked="1" hidden="1"/>
    </xf>
    <xf numFmtId="0" fontId="1" fillId="2" borderId="0" applyAlignment="1" applyProtection="1" pivotButton="0" quotePrefix="0" xfId="0">
      <alignment horizontal="left" vertical="center"/>
      <protection locked="1" hidden="1"/>
    </xf>
    <xf numFmtId="0" fontId="0" fillId="0" borderId="0" applyProtection="1" pivotButton="0" quotePrefix="0" xfId="0">
      <protection locked="1" hidden="1"/>
    </xf>
    <xf numFmtId="0" fontId="4" fillId="2" borderId="0" applyAlignment="1" applyProtection="1" pivotButton="0" quotePrefix="0" xfId="0">
      <alignment horizontal="right" vertical="center"/>
      <protection locked="1" hidden="1"/>
    </xf>
    <xf numFmtId="0" fontId="2" fillId="2" borderId="0" applyAlignment="1" applyProtection="1" pivotButton="0" quotePrefix="0" xfId="0">
      <alignment horizontal="left" vertical="bottom"/>
      <protection locked="1" hidden="1"/>
    </xf>
    <xf numFmtId="0" fontId="4" fillId="2" borderId="0" applyAlignment="1" applyProtection="1" pivotButton="0" quotePrefix="0" xfId="0">
      <alignment horizontal="right" vertical="bottom"/>
      <protection locked="1" hidden="1"/>
    </xf>
    <xf numFmtId="0" fontId="3" fillId="2" borderId="0" applyAlignment="1" applyProtection="1" pivotButton="0" quotePrefix="0" xfId="0">
      <alignment horizontal="left" vertical="center"/>
      <protection locked="1" hidden="1"/>
    </xf>
    <xf numFmtId="0" fontId="5" fillId="2" borderId="0" applyAlignment="1" applyProtection="1" pivotButton="0" quotePrefix="0" xfId="0">
      <alignment horizontal="right" vertical="center"/>
      <protection locked="1" hidden="1"/>
    </xf>
    <xf numFmtId="0" fontId="6" fillId="2" borderId="0" applyAlignment="1" applyProtection="1" pivotButton="0" quotePrefix="0" xfId="0">
      <alignment horizontal="left" vertical="bottom"/>
      <protection locked="1" hidden="1"/>
    </xf>
    <xf numFmtId="0" fontId="7" fillId="3" borderId="1" applyAlignment="1" applyProtection="1" pivotButton="0" quotePrefix="0" xfId="0">
      <alignment horizontal="left" vertical="center" indent="1"/>
      <protection locked="0" hidden="0"/>
    </xf>
    <xf numFmtId="0" fontId="0" fillId="3" borderId="2" applyProtection="1" pivotButton="0" quotePrefix="0" xfId="0">
      <protection locked="1" hidden="1"/>
    </xf>
    <xf numFmtId="0" fontId="0" fillId="3" borderId="3" applyProtection="1" pivotButton="0" quotePrefix="0" xfId="0">
      <protection locked="1" hidden="1"/>
    </xf>
    <xf numFmtId="0" fontId="7" fillId="3" borderId="4" applyAlignment="1" applyProtection="1" pivotButton="0" quotePrefix="0" xfId="0">
      <alignment horizontal="left" vertical="center" indent="1"/>
      <protection locked="0" hidden="0"/>
    </xf>
    <xf numFmtId="0" fontId="0" fillId="4" borderId="5" applyProtection="1" pivotButton="0" quotePrefix="0" xfId="0">
      <protection locked="1" hidden="1"/>
    </xf>
    <xf numFmtId="0" fontId="0" fillId="4" borderId="6" applyProtection="1" pivotButton="0" quotePrefix="0" xfId="0">
      <protection locked="1" hidden="1"/>
    </xf>
    <xf numFmtId="0" fontId="0" fillId="4" borderId="7" applyProtection="1" pivotButton="0" quotePrefix="0" xfId="0">
      <protection locked="1" hidden="1"/>
    </xf>
    <xf numFmtId="0" fontId="0" fillId="4" borderId="8" applyProtection="1" pivotButton="0" quotePrefix="0" xfId="0">
      <protection locked="1" hidden="1"/>
    </xf>
    <xf numFmtId="0" fontId="0" fillId="4" borderId="9" applyProtection="1" pivotButton="0" quotePrefix="0" xfId="0">
      <protection locked="1" hidden="1"/>
    </xf>
    <xf numFmtId="0" fontId="8" fillId="4" borderId="9" applyAlignment="1" applyProtection="1" pivotButton="0" quotePrefix="0" xfId="0">
      <alignment horizontal="left" vertical="center"/>
      <protection locked="1" hidden="1"/>
    </xf>
    <xf numFmtId="0" fontId="0" fillId="4" borderId="10" applyProtection="1" pivotButton="0" quotePrefix="0" xfId="0">
      <protection locked="1" hidden="1"/>
    </xf>
    <xf numFmtId="164" fontId="9" fillId="4" borderId="9" applyAlignment="1" applyProtection="1" pivotButton="0" quotePrefix="0" xfId="0">
      <alignment horizontal="left" vertical="center"/>
      <protection locked="1" hidden="1"/>
    </xf>
    <xf numFmtId="167" fontId="9" fillId="4" borderId="9" applyAlignment="1" applyProtection="1" pivotButton="0" quotePrefix="0" xfId="0">
      <alignment horizontal="left" vertical="center"/>
      <protection locked="1" hidden="1"/>
    </xf>
    <xf numFmtId="3" fontId="9" fillId="4" borderId="9" applyAlignment="1" applyProtection="1" pivotButton="0" quotePrefix="0" xfId="0">
      <alignment horizontal="left" vertical="center"/>
      <protection locked="1" hidden="1"/>
    </xf>
    <xf numFmtId="170" fontId="9" fillId="4" borderId="9" applyAlignment="1" applyProtection="1" pivotButton="0" quotePrefix="0" xfId="0">
      <alignment horizontal="left" vertical="center"/>
      <protection locked="1" hidden="1"/>
    </xf>
    <xf numFmtId="165" fontId="10" fillId="4" borderId="9" applyAlignment="1" applyProtection="1" pivotButton="0" quotePrefix="0" xfId="0">
      <alignment horizontal="left" vertical="center"/>
      <protection locked="1" hidden="1"/>
    </xf>
    <xf numFmtId="166" fontId="8" fillId="4" borderId="9" applyAlignment="1" applyProtection="1" pivotButton="0" quotePrefix="0" xfId="0">
      <alignment horizontal="left" vertical="center"/>
      <protection locked="1" hidden="1"/>
    </xf>
    <xf numFmtId="168" fontId="8" fillId="4" borderId="9" applyAlignment="1" applyProtection="1" pivotButton="0" quotePrefix="0" xfId="0">
      <alignment horizontal="left" vertical="center"/>
      <protection locked="1" hidden="1"/>
    </xf>
    <xf numFmtId="169" fontId="8" fillId="4" borderId="9" applyAlignment="1" applyProtection="1" pivotButton="0" quotePrefix="0" xfId="0">
      <alignment horizontal="left" vertical="center"/>
      <protection locked="1" hidden="1"/>
    </xf>
    <xf numFmtId="171" fontId="8" fillId="4" borderId="9" applyAlignment="1" applyProtection="1" pivotButton="0" quotePrefix="0" xfId="0">
      <alignment horizontal="left" vertical="center"/>
      <protection locked="1" hidden="1"/>
    </xf>
    <xf numFmtId="0" fontId="0" fillId="4" borderId="11" applyProtection="1" pivotButton="0" quotePrefix="0" xfId="0">
      <protection locked="1" hidden="1"/>
    </xf>
    <xf numFmtId="0" fontId="0" fillId="4" borderId="12" applyProtection="1" pivotButton="0" quotePrefix="0" xfId="0">
      <protection locked="1" hidden="1"/>
    </xf>
    <xf numFmtId="0" fontId="0" fillId="4" borderId="13" applyProtection="1" pivotButton="0" quotePrefix="0" xfId="0">
      <protection locked="1" hidden="1"/>
    </xf>
    <xf numFmtId="0" fontId="11" fillId="4" borderId="9" applyAlignment="1" applyProtection="1" pivotButton="0" quotePrefix="0" xfId="0">
      <alignment horizontal="left" vertical="center"/>
      <protection locked="1" hidden="1"/>
    </xf>
    <xf numFmtId="0" fontId="6" fillId="4" borderId="9" applyAlignment="1" applyProtection="1" pivotButton="0" quotePrefix="0" xfId="0">
      <alignment horizontal="left" vertical="center"/>
      <protection locked="1" hidden="1"/>
    </xf>
    <xf numFmtId="0" fontId="6" fillId="4" borderId="9" applyAlignment="1" applyProtection="1" pivotButton="0" quotePrefix="0" xfId="0">
      <alignment horizontal="right" vertical="center"/>
      <protection locked="1" hidden="1"/>
    </xf>
    <xf numFmtId="0" fontId="12" fillId="4" borderId="9" applyAlignment="1" applyProtection="1" pivotButton="0" quotePrefix="0" xfId="0">
      <alignment horizontal="left" vertical="center"/>
      <protection locked="1" hidden="1"/>
    </xf>
    <xf numFmtId="0" fontId="13" fillId="4" borderId="9" applyAlignment="1" applyProtection="1" pivotButton="0" quotePrefix="0" xfId="0">
      <alignment horizontal="left" vertical="center"/>
      <protection locked="1" hidden="1"/>
    </xf>
    <xf numFmtId="172" fontId="12" fillId="4" borderId="9" applyAlignment="1" applyProtection="1" pivotButton="0" quotePrefix="0" xfId="0">
      <alignment horizontal="right" vertical="center"/>
      <protection locked="1" hidden="1"/>
    </xf>
    <xf numFmtId="165" fontId="10" fillId="4" borderId="9" applyAlignment="1" applyProtection="1" pivotButton="0" quotePrefix="0" xfId="0">
      <alignment horizontal="right" vertical="center"/>
      <protection locked="1" hidden="1"/>
    </xf>
    <xf numFmtId="0" fontId="14" fillId="4" borderId="9" applyAlignment="1" applyProtection="1" pivotButton="0" quotePrefix="0" xfId="0">
      <alignment horizontal="left" vertical="center"/>
      <protection locked="1" hidden="1"/>
    </xf>
    <xf numFmtId="172" fontId="8" fillId="4" borderId="9" applyAlignment="1" applyProtection="1" pivotButton="0" quotePrefix="0" xfId="0">
      <alignment horizontal="right" vertical="center"/>
      <protection locked="1" hidden="1"/>
    </xf>
    <xf numFmtId="0" fontId="15" fillId="4" borderId="6" applyAlignment="1" applyProtection="1" pivotButton="0" quotePrefix="0" xfId="0">
      <alignment horizontal="left" vertical="center"/>
      <protection locked="1" hidden="1"/>
    </xf>
    <xf numFmtId="0" fontId="0" fillId="0" borderId="6" applyProtection="1" pivotButton="0" quotePrefix="0" xfId="0">
      <protection locked="1" hidden="1"/>
    </xf>
    <xf numFmtId="0" fontId="5" fillId="4" borderId="6" applyAlignment="1" applyProtection="1" pivotButton="0" quotePrefix="0" xfId="0">
      <alignment horizontal="left" vertical="center"/>
      <protection locked="1" hidden="1"/>
    </xf>
    <xf numFmtId="0" fontId="13" fillId="4" borderId="6" applyAlignment="1" applyProtection="1" pivotButton="0" quotePrefix="0" xfId="0">
      <alignment horizontal="left" vertical="center"/>
      <protection locked="1" hidden="1"/>
    </xf>
    <xf numFmtId="173" fontId="12" fillId="4" borderId="6" applyAlignment="1" applyProtection="1" pivotButton="0" quotePrefix="0" xfId="0">
      <alignment horizontal="right" vertical="center"/>
      <protection locked="1" hidden="1"/>
    </xf>
    <xf numFmtId="174" fontId="12" fillId="4" borderId="6" applyAlignment="1" applyProtection="1" pivotButton="0" quotePrefix="0" xfId="0">
      <alignment horizontal="right" vertical="center"/>
      <protection locked="1" hidden="1"/>
    </xf>
    <xf numFmtId="175" fontId="12" fillId="4" borderId="6" applyAlignment="1" applyProtection="1" pivotButton="0" quotePrefix="0" xfId="0">
      <alignment horizontal="right" vertical="center"/>
      <protection locked="1" hidden="1"/>
    </xf>
    <xf numFmtId="165" fontId="10" fillId="4" borderId="6" applyAlignment="1" applyProtection="1" pivotButton="0" quotePrefix="0" xfId="0">
      <alignment horizontal="right" vertical="center"/>
      <protection locked="1" hidden="1"/>
    </xf>
    <xf numFmtId="0" fontId="16" fillId="2" borderId="0" applyAlignment="1" applyProtection="1" pivotButton="0" quotePrefix="0" xfId="0">
      <alignment horizontal="left" vertical="center"/>
      <protection locked="1" hidden="1"/>
    </xf>
  </cellXfs>
  <cellStyles count="1">
    <cellStyle name="Normal" xfId="0" builtinId="0" hidden="0"/>
  </cellStyles>
  <dxfs count="2">
    <dxf>
      <font>
        <b val="1"/>
        <color rgb="003DDC84"/>
      </font>
    </dxf>
    <dxf>
      <font>
        <b val="1"/>
        <color rgb="00FF8A7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roundedCorners val="0"/>
  <chart>
    <plotArea>
      <lineChart>
        <grouping val="standard"/>
        <ser>
          <idx val="0"/>
          <order val="0"/>
          <tx>
            <strRef>
              <f>'Calc'!B19</f>
            </strRef>
          </tx>
          <spPr>
            <a:ln xmlns:a="http://schemas.openxmlformats.org/drawingml/2006/main" w="22225">
              <a:solidFill>
                <a:srgbClr val="6F7F7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'Calc'!$A$20:$A$31</f>
            </numRef>
          </cat>
          <val>
            <numRef>
              <f>'Calc'!$B$20:$B$31</f>
            </numRef>
          </val>
          <smooth val="0"/>
        </ser>
        <ser>
          <idx val="1"/>
          <order val="1"/>
          <tx>
            <strRef>
              <f>'Calc'!C19</f>
            </strRef>
          </tx>
          <spPr>
            <a:ln xmlns:a="http://schemas.openxmlformats.org/drawingml/2006/main" w="22225">
              <a:solidFill>
                <a:srgbClr val="A9BAB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'Calc'!$A$20:$A$31</f>
            </numRef>
          </cat>
          <val>
            <numRef>
              <f>'Calc'!$C$20:$C$31</f>
            </numRef>
          </val>
          <smooth val="0"/>
        </ser>
        <ser>
          <idx val="2"/>
          <order val="2"/>
          <tx>
            <strRef>
              <f>'Calc'!D19</f>
            </strRef>
          </tx>
          <spPr>
            <a:ln xmlns:a="http://schemas.openxmlformats.org/drawingml/2006/main" w="34925">
              <a:solidFill>
                <a:srgbClr val="1FD173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FD173"/>
              </a:solidFill>
              <a:ln xmlns:a="http://schemas.openxmlformats.org/drawingml/2006/main" w="19050">
                <a:solidFill>
                  <a:srgbClr val="141A17"/>
                </a:solidFill>
                <a:prstDash val="solid"/>
              </a:ln>
            </spPr>
          </marker>
          <cat>
            <numRef>
              <f>'Calc'!$A$20:$A$31</f>
            </numRef>
          </cat>
          <val>
            <numRef>
              <f>'Calc'!$D$20:$D$31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3A4A4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8C9A93"/>
                </a:solidFill>
                <a:latin typeface="Segoe UI"/>
              </a:defRPr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23302A"/>
              </a:solidFill>
              <a:prstDash val="solid"/>
            </a:ln>
          </spPr>
        </majorGridlines>
        <numFmt formatCode="#,##0,&quot; mil&quot;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8C9A93"/>
                </a:solidFill>
                <a:latin typeface="Segoe UI"/>
              </a:defRPr>
            </a:pPr>
            <a:r>
              <a:t/>
            </a:r>
            <a:endParaRPr/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t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A7B4AD"/>
              </a:solidFill>
              <a:latin typeface="Segoe UI"/>
            </a:defRPr>
          </a:pPr>
          <a:r>
            <a:t/>
          </a:r>
          <a:endParaRPr/>
        </a:p>
      </txPr>
    </legend>
    <plotVisOnly val="1"/>
    <dispBlanksAs val="gap"/>
  </chart>
  <spPr>
    <a:solidFill xmlns:a="http://schemas.openxmlformats.org/drawingml/2006/main">
      <a:srgbClr val="141A17"/>
    </a:soli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roundedCorners val="0"/>
  <chart>
    <plotArea>
      <barChart>
        <barDir val="col"/>
        <grouping val="clustered"/>
        <ser>
          <idx val="0"/>
          <order val="0"/>
          <tx>
            <strRef>
              <f>'Calc'!E19</f>
            </strRef>
          </tx>
          <spPr>
            <a:solidFill xmlns:a="http://schemas.openxmlformats.org/drawingml/2006/main">
              <a:srgbClr val="1FD173"/>
            </a:solidFill>
            <a:ln xmlns:a="http://schemas.openxmlformats.org/drawingml/2006/main">
              <a:noFill/>
              <a:prstDash val="solid"/>
            </a:ln>
          </spPr>
          <cat>
            <numRef>
              <f>'Calc'!$A$20:$A$31</f>
            </numRef>
          </cat>
          <val>
            <numRef>
              <f>'Calc'!$E$20:$E$31</f>
            </numRef>
          </val>
        </ser>
        <gapWidth val="70"/>
        <axId val="10"/>
        <axId val="100"/>
      </barChart>
      <lineChart>
        <grouping val="standard"/>
        <ser>
          <idx val="1"/>
          <order val="1"/>
          <tx>
            <strRef>
              <f>'Calc'!F19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dash"/>
            <size val="14"/>
            <spPr>
              <a:solidFill xmlns:a="http://schemas.openxmlformats.org/drawingml/2006/main">
                <a:srgbClr val="A9BAB1"/>
              </a:solidFill>
              <a:ln xmlns:a="http://schemas.openxmlformats.org/drawingml/2006/main">
                <a:solidFill>
                  <a:srgbClr val="A9BAB1"/>
                </a:solidFill>
                <a:prstDash val="solid"/>
              </a:ln>
            </spPr>
          </marker>
          <cat>
            <numRef>
              <f>'Calc'!$A$20:$A$31</f>
            </numRef>
          </cat>
          <val>
            <numRef>
              <f>'Calc'!$F$20:$F$31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3A4A42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8C9A93"/>
                </a:solidFill>
                <a:latin typeface="Segoe UI"/>
              </a:defRPr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23302A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8C9A93"/>
                </a:solidFill>
                <a:latin typeface="Segoe UI"/>
              </a:defRPr>
            </a:pPr>
            <a:r>
              <a:t/>
            </a:r>
            <a:endParaRPr/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t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A7B4AD"/>
              </a:solidFill>
              <a:latin typeface="Segoe UI"/>
            </a:defRPr>
          </a:pPr>
          <a:r>
            <a:t/>
          </a:r>
          <a:endParaRPr/>
        </a:p>
      </txPr>
    </legend>
    <plotVisOnly val="1"/>
    <dispBlanksAs val="gap"/>
  </chart>
  <spPr>
    <a:solidFill xmlns:a="http://schemas.openxmlformats.org/drawingml/2006/main">
      <a:srgbClr val="141A17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2</col>
      <colOff>0</colOff>
      <row>18</row>
      <rowOff>0</rowOff>
    </from>
    <to>
      <col>28</col>
      <colOff>0</colOff>
      <row>28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32</col>
      <colOff>0</colOff>
      <row>34</row>
      <rowOff>0</rowOff>
    </from>
    <to>
      <col>50</col>
      <colOff>0</colOff>
      <row>42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D173"/>
    <outlinePr summaryBelow="1" summaryRight="1"/>
    <pageSetUpPr fitToPage="1"/>
  </sheetPr>
  <dimension ref="A1:AZ47"/>
  <sheetViews>
    <sheetView showGridLines="0" showRowColHeaders="0" zoomScale="90" workbookViewId="0">
      <selection activeCell="A1" sqref="A1"/>
    </sheetView>
  </sheetViews>
  <sheetFormatPr baseColWidth="8" defaultRowHeight="15" zeroHeight="1"/>
  <cols>
    <col width="2.714285714285714" customWidth="1" min="1" max="1"/>
    <col width="0.8333333333333334" customWidth="1" min="2" max="2"/>
    <col width="0.5" customWidth="1" min="3" max="3"/>
    <col width="0.1666666666666667" customWidth="1" min="4" max="4"/>
    <col width="11" customWidth="1" min="5" max="5"/>
    <col width="1.571428571428571" customWidth="1" min="6" max="6"/>
    <col width="1.571428571428571" customWidth="1" min="7" max="7"/>
    <col width="15.85714285714286" customWidth="1" min="8" max="8"/>
    <col width="0.8333333333333334" customWidth="1" min="9" max="9"/>
    <col width="0.5" customWidth="1" min="10" max="10"/>
    <col width="1" customWidth="1" min="11" max="11"/>
    <col width="1.571428571428571" customWidth="1" min="12" max="12"/>
    <col width="7" customWidth="1" min="13" max="13"/>
    <col width="3.571428571428572" customWidth="1" min="14" max="14"/>
    <col width="8.428571428571429" customWidth="1" min="15" max="15"/>
    <col width="6.428571428571429" customWidth="1" min="16" max="16"/>
    <col width="4.142857142857143" customWidth="1" min="17" max="17"/>
    <col width="1.571428571428571" customWidth="1" min="18" max="18"/>
    <col width="0.3333333333333333" customWidth="1" min="19" max="19"/>
    <col width="0.6666666666666666" customWidth="1" min="20" max="20"/>
    <col width="0.6666666666666666" customWidth="1" min="21" max="21"/>
    <col width="0.6666666666666666" customWidth="1" min="22" max="22"/>
    <col width="1" customWidth="1" min="23" max="23"/>
    <col width="8.714285714285714" customWidth="1" min="24" max="24"/>
    <col width="0.5" customWidth="1" min="25" max="25"/>
    <col width="7" customWidth="1" min="26" max="26"/>
    <col width="10.14285714285714" customWidth="1" min="27" max="27"/>
    <col width="0.6666666666666666" customWidth="1" min="28" max="28"/>
    <col width="0.8333333333333334" customWidth="1" min="29" max="29"/>
    <col width="1" customWidth="1" min="30" max="30"/>
    <col width="0.3333333333333333" customWidth="1" min="31" max="31"/>
    <col width="0.5" customWidth="1" min="32" max="32"/>
    <col width="0.5" customWidth="1" min="33" max="33"/>
    <col width="0.1666666666666667" customWidth="1" min="34" max="34"/>
    <col width="0.8333333333333334" customWidth="1" min="35" max="35"/>
    <col width="0.3333333333333333" customWidth="1" min="36" max="36"/>
    <col width="7.285714285714286" customWidth="1" min="37" max="37"/>
    <col width="3.285714285714286" customWidth="1" min="38" max="38"/>
    <col width="7.857142857142857" customWidth="1" min="39" max="39"/>
    <col width="1" customWidth="1" min="40" max="40"/>
    <col width="10.14285714285714" customWidth="1" min="41" max="41"/>
    <col width="1.571428571428571" customWidth="1" min="42" max="42"/>
    <col width="1" customWidth="1" min="43" max="43"/>
    <col width="1.571428571428571" customWidth="1" min="44" max="44"/>
    <col width="9.285714285714286" customWidth="1" min="45" max="45"/>
    <col width="1.285714285714286" customWidth="1" min="46" max="46"/>
    <col width="7.571428571428571" customWidth="1" min="47" max="47"/>
    <col width="11.85714285714286" customWidth="1" min="48" max="48"/>
    <col width="0.1666666666666667" customWidth="1" min="49" max="49"/>
    <col width="0.5" customWidth="1" min="50" max="50"/>
    <col width="0.8333333333333334" customWidth="1" min="51" max="51"/>
    <col width="2.714285714285714" customWidth="1" min="52" max="52"/>
    <col hidden="1" width="13" customWidth="1" min="53" max="16384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</row>
    <row r="2" ht="15" customHeight="1">
      <c r="A2" s="1" t="n"/>
      <c r="B2" s="2" t="inlineStr">
        <is>
          <t>PMG ATACADISTA  ·  RELATÓRIO DE SELL-OUT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1" t="n"/>
      <c r="AM2" s="1" t="n"/>
      <c r="AN2" s="4" t="inlineStr">
        <is>
          <t>Atualizado em 30/09/2026</t>
        </is>
      </c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1" t="n"/>
    </row>
    <row r="3" ht="37.5" customHeight="1">
      <c r="A3" s="1" t="n"/>
      <c r="B3" s="5" t="str">
        <f>Dados!$AA$2</f>
        <v>Alibra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1" t="n"/>
      <c r="AM3" s="1" t="n"/>
      <c r="AN3" s="6" t="inlineStr">
        <is>
          <t>Base: jan/2024 a set/2026</t>
        </is>
      </c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1" t="n"/>
    </row>
    <row r="4" ht="16.5" customHeight="1">
      <c r="A4" s="1" t="n"/>
      <c r="B4" s="7" t="str">
        <f>Calc!$B$121</f>
        <v>Vendas da PMG para o food service · jan–set 2026, comparado com o mesmo período de 2025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1" t="n"/>
      <c r="AM4" s="1" t="n"/>
      <c r="AN4" s="8" t="inlineStr">
        <is>
          <t>Clique nos filtros para mudar o recorte</t>
        </is>
      </c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1" t="n"/>
    </row>
    <row r="5" ht="13.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</row>
    <row r="6" ht="13.5" customHeight="1">
      <c r="A6" s="1" t="n"/>
      <c r="B6" s="9" t="inlineStr">
        <is>
          <t>ANO</t>
        </is>
      </c>
      <c r="C6" s="3" t="n"/>
      <c r="D6" s="3" t="n"/>
      <c r="E6" s="3" t="n"/>
      <c r="F6" s="3" t="n"/>
      <c r="G6" s="1" t="n"/>
      <c r="H6" s="9" t="inlineStr">
        <is>
          <t>ATÉ O MÊS</t>
        </is>
      </c>
      <c r="I6" s="1" t="n"/>
      <c r="J6" s="1" t="n"/>
      <c r="K6" s="9" t="inlineStr">
        <is>
          <t>PRODUTO</t>
        </is>
      </c>
      <c r="L6" s="3" t="n"/>
      <c r="M6" s="3" t="n"/>
      <c r="N6" s="3" t="n"/>
      <c r="O6" s="3" t="n"/>
      <c r="P6" s="3" t="n"/>
      <c r="Q6" s="3" t="n"/>
      <c r="R6" s="3" t="n"/>
      <c r="S6" s="3" t="n"/>
      <c r="T6" s="1" t="n"/>
      <c r="U6" s="1" t="n"/>
      <c r="V6" s="9" t="inlineStr">
        <is>
          <t>SEGMENTO</t>
        </is>
      </c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</row>
    <row r="7" ht="27" customHeight="1">
      <c r="A7" s="1" t="n"/>
      <c r="B7" s="10" t="n">
        <v>2026</v>
      </c>
      <c r="C7" s="11" t="n"/>
      <c r="D7" s="11" t="n"/>
      <c r="E7" s="11" t="n"/>
      <c r="F7" s="12" t="n"/>
      <c r="G7" s="1" t="n"/>
      <c r="H7" s="13" t="inlineStr">
        <is>
          <t>set</t>
        </is>
      </c>
      <c r="I7" s="1" t="n"/>
      <c r="J7" s="1" t="n"/>
      <c r="K7" s="10" t="inlineStr">
        <is>
          <t>Todos</t>
        </is>
      </c>
      <c r="L7" s="11" t="n"/>
      <c r="M7" s="11" t="n"/>
      <c r="N7" s="11" t="n"/>
      <c r="O7" s="11" t="n"/>
      <c r="P7" s="11" t="n"/>
      <c r="Q7" s="11" t="n"/>
      <c r="R7" s="11" t="n"/>
      <c r="S7" s="12" t="n"/>
      <c r="T7" s="1" t="n"/>
      <c r="U7" s="1" t="n"/>
      <c r="V7" s="10" t="inlineStr">
        <is>
          <t>Todos</t>
        </is>
      </c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2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</row>
    <row r="8" ht="13.5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</row>
    <row r="9" ht="10.5" customHeight="1">
      <c r="A9" s="1" t="n"/>
      <c r="B9" s="14" t="n"/>
      <c r="C9" s="15" t="n"/>
      <c r="D9" s="15" t="n"/>
      <c r="E9" s="15" t="n"/>
      <c r="F9" s="15" t="n"/>
      <c r="G9" s="15" t="n"/>
      <c r="H9" s="15" t="n"/>
      <c r="I9" s="15" t="n"/>
      <c r="J9" s="16" t="n"/>
      <c r="K9" s="1" t="n"/>
      <c r="L9" s="14" t="n"/>
      <c r="M9" s="15" t="n"/>
      <c r="N9" s="15" t="n"/>
      <c r="O9" s="15" t="n"/>
      <c r="P9" s="15" t="n"/>
      <c r="Q9" s="15" t="n"/>
      <c r="R9" s="16" t="n"/>
      <c r="S9" s="1" t="n"/>
      <c r="T9" s="1" t="n"/>
      <c r="U9" s="14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6" t="n"/>
      <c r="AF9" s="1" t="n"/>
      <c r="AG9" s="1" t="n"/>
      <c r="AH9" s="14" t="n"/>
      <c r="AI9" s="15" t="n"/>
      <c r="AJ9" s="15" t="n"/>
      <c r="AK9" s="15" t="n"/>
      <c r="AL9" s="15" t="n"/>
      <c r="AM9" s="15" t="n"/>
      <c r="AN9" s="15" t="n"/>
      <c r="AO9" s="15" t="n"/>
      <c r="AP9" s="16" t="n"/>
      <c r="AQ9" s="1" t="n"/>
      <c r="AR9" s="14" t="n"/>
      <c r="AS9" s="15" t="n"/>
      <c r="AT9" s="15" t="n"/>
      <c r="AU9" s="15" t="n"/>
      <c r="AV9" s="15" t="n"/>
      <c r="AW9" s="15" t="n"/>
      <c r="AX9" s="15" t="n"/>
      <c r="AY9" s="16" t="n"/>
      <c r="AZ9" s="1" t="n"/>
    </row>
    <row r="10" ht="15" customHeight="1">
      <c r="A10" s="1" t="n"/>
      <c r="B10" s="17" t="n"/>
      <c r="C10" s="18" t="n"/>
      <c r="D10" s="19" t="inlineStr">
        <is>
          <t>Faturamento</t>
        </is>
      </c>
      <c r="E10" s="3" t="n"/>
      <c r="F10" s="3" t="n"/>
      <c r="G10" s="3" t="n"/>
      <c r="H10" s="3" t="n"/>
      <c r="I10" s="18" t="n"/>
      <c r="J10" s="20" t="n"/>
      <c r="K10" s="1" t="n"/>
      <c r="L10" s="17" t="n"/>
      <c r="M10" s="19" t="inlineStr">
        <is>
          <t>Volume</t>
        </is>
      </c>
      <c r="N10" s="3" t="n"/>
      <c r="O10" s="3" t="n"/>
      <c r="P10" s="3" t="n"/>
      <c r="Q10" s="3" t="n"/>
      <c r="R10" s="20" t="n"/>
      <c r="S10" s="1" t="n"/>
      <c r="T10" s="1" t="n"/>
      <c r="U10" s="17" t="n"/>
      <c r="V10" s="18" t="n"/>
      <c r="W10" s="19" t="inlineStr">
        <is>
          <t>Clientes positivados</t>
        </is>
      </c>
      <c r="X10" s="3" t="n"/>
      <c r="Y10" s="3" t="n"/>
      <c r="Z10" s="3" t="n"/>
      <c r="AA10" s="3" t="n"/>
      <c r="AB10" s="3" t="n"/>
      <c r="AC10" s="3" t="n"/>
      <c r="AD10" s="18" t="n"/>
      <c r="AE10" s="20" t="n"/>
      <c r="AF10" s="1" t="n"/>
      <c r="AG10" s="1" t="n"/>
      <c r="AH10" s="17" t="n"/>
      <c r="AI10" s="18" t="n"/>
      <c r="AJ10" s="18" t="n"/>
      <c r="AK10" s="19" t="inlineStr">
        <is>
          <t>Pedidos</t>
        </is>
      </c>
      <c r="AL10" s="3" t="n"/>
      <c r="AM10" s="3" t="n"/>
      <c r="AN10" s="3" t="n"/>
      <c r="AO10" s="3" t="n"/>
      <c r="AP10" s="20" t="n"/>
      <c r="AQ10" s="1" t="n"/>
      <c r="AR10" s="17" t="n"/>
      <c r="AS10" s="19" t="inlineStr">
        <is>
          <t>Ticket médio por pedido</t>
        </is>
      </c>
      <c r="AT10" s="3" t="n"/>
      <c r="AU10" s="3" t="n"/>
      <c r="AV10" s="3" t="n"/>
      <c r="AW10" s="3" t="n"/>
      <c r="AX10" s="18" t="n"/>
      <c r="AY10" s="20" t="n"/>
      <c r="AZ10" s="1" t="n"/>
    </row>
    <row r="11" ht="31.5" customHeight="1">
      <c r="A11" s="1" t="n"/>
      <c r="B11" s="17" t="n"/>
      <c r="C11" s="18" t="n"/>
      <c r="D11" s="21">
        <f>Calc!$B$12</f>
        <v>2713238.81</v>
      </c>
      <c r="E11" s="3" t="n"/>
      <c r="F11" s="3" t="n"/>
      <c r="G11" s="3" t="n"/>
      <c r="H11" s="3" t="n"/>
      <c r="I11" s="18" t="n"/>
      <c r="J11" s="20" t="n"/>
      <c r="K11" s="1" t="n"/>
      <c r="L11" s="17" t="n"/>
      <c r="M11" s="22">
        <f>Calc!$B$13</f>
        <v>126898.36</v>
      </c>
      <c r="N11" s="3" t="n"/>
      <c r="O11" s="3" t="n"/>
      <c r="P11" s="3" t="n"/>
      <c r="Q11" s="3" t="n"/>
      <c r="R11" s="20" t="n"/>
      <c r="S11" s="1" t="n"/>
      <c r="T11" s="1" t="n"/>
      <c r="U11" s="17" t="n"/>
      <c r="V11" s="18" t="n"/>
      <c r="W11" s="23">
        <f>Calc!$B$14</f>
        <v>674</v>
      </c>
      <c r="X11" s="3" t="n"/>
      <c r="Y11" s="3" t="n"/>
      <c r="Z11" s="3" t="n"/>
      <c r="AA11" s="3" t="n"/>
      <c r="AB11" s="3" t="n"/>
      <c r="AC11" s="3" t="n"/>
      <c r="AD11" s="18" t="n"/>
      <c r="AE11" s="20" t="n"/>
      <c r="AF11" s="1" t="n"/>
      <c r="AG11" s="1" t="n"/>
      <c r="AH11" s="17" t="n"/>
      <c r="AI11" s="18" t="n"/>
      <c r="AJ11" s="18" t="n"/>
      <c r="AK11" s="23">
        <f>Calc!$B$15</f>
        <v>4635</v>
      </c>
      <c r="AL11" s="3" t="n"/>
      <c r="AM11" s="3" t="n"/>
      <c r="AN11" s="3" t="n"/>
      <c r="AO11" s="3" t="n"/>
      <c r="AP11" s="20" t="n"/>
      <c r="AQ11" s="1" t="n"/>
      <c r="AR11" s="17" t="n"/>
      <c r="AS11" s="24">
        <f>Calc!$B$17</f>
        <v>585.380541531823</v>
      </c>
      <c r="AT11" s="3" t="n"/>
      <c r="AU11" s="3" t="n"/>
      <c r="AV11" s="3" t="n"/>
      <c r="AW11" s="3" t="n"/>
      <c r="AX11" s="18" t="n"/>
      <c r="AY11" s="20" t="n"/>
      <c r="AZ11" s="1" t="n"/>
    </row>
    <row r="12" ht="16.5" customHeight="1">
      <c r="A12" s="1" t="n"/>
      <c r="B12" s="17" t="n"/>
      <c r="C12" s="18" t="n"/>
      <c r="D12" s="25">
        <f>Calc!$D$12</f>
        <v>0.152689649943671</v>
      </c>
      <c r="E12" s="3" t="n"/>
      <c r="F12" s="26">
        <f>Calc!$E$12</f>
        <v>2353832.89</v>
      </c>
      <c r="G12" s="3" t="n"/>
      <c r="H12" s="3" t="n"/>
      <c r="I12" s="18" t="n"/>
      <c r="J12" s="20" t="n"/>
      <c r="K12" s="1" t="n"/>
      <c r="L12" s="17" t="n"/>
      <c r="M12" s="25">
        <f>Calc!$D$13</f>
        <v>0.174493267632435</v>
      </c>
      <c r="N12" s="3" t="n"/>
      <c r="O12" s="27">
        <f>Calc!$E$13</f>
        <v>108045.2</v>
      </c>
      <c r="P12" s="3" t="n"/>
      <c r="Q12" s="3" t="n"/>
      <c r="R12" s="20" t="n"/>
      <c r="S12" s="1" t="n"/>
      <c r="T12" s="1" t="n"/>
      <c r="U12" s="17" t="n"/>
      <c r="V12" s="18" t="n"/>
      <c r="W12" s="25">
        <f>Calc!$D$14</f>
        <v>0.123333333333333</v>
      </c>
      <c r="X12" s="3" t="n"/>
      <c r="Y12" s="3" t="n"/>
      <c r="Z12" s="19" t="str">
        <f>IF(Calc!$E$14="","",IF(Calc!$B$16="","vs "&amp;Calc!$E$14,"vs "&amp;Calc!$E$14&amp;" · "&amp;Calc!$B$16&amp;" novos"))</f>
        <v>vs 600 · 385 novos</v>
      </c>
      <c r="AA12" s="3" t="n"/>
      <c r="AB12" s="3" t="n"/>
      <c r="AC12" s="3" t="n"/>
      <c r="AD12" s="18" t="n"/>
      <c r="AE12" s="20" t="n"/>
      <c r="AF12" s="1" t="n"/>
      <c r="AG12" s="1" t="n"/>
      <c r="AH12" s="17" t="n"/>
      <c r="AI12" s="18" t="n"/>
      <c r="AJ12" s="18" t="n"/>
      <c r="AK12" s="25">
        <f>Calc!$D$15</f>
        <v>0.0885392202912165</v>
      </c>
      <c r="AL12" s="3" t="n"/>
      <c r="AM12" s="28">
        <f>Calc!$E$15</f>
        <v>4258</v>
      </c>
      <c r="AN12" s="3" t="n"/>
      <c r="AO12" s="3" t="n"/>
      <c r="AP12" s="20" t="n"/>
      <c r="AQ12" s="1" t="n"/>
      <c r="AR12" s="17" t="n"/>
      <c r="AS12" s="25">
        <f>Calc!$D$17</f>
        <v>0.058932584565297</v>
      </c>
      <c r="AT12" s="3" t="n"/>
      <c r="AU12" s="29">
        <f>Calc!$E$17</f>
        <v>552.802463597933</v>
      </c>
      <c r="AV12" s="3" t="n"/>
      <c r="AW12" s="3" t="n"/>
      <c r="AX12" s="18" t="n"/>
      <c r="AY12" s="20" t="n"/>
      <c r="AZ12" s="1" t="n"/>
    </row>
    <row r="13" ht="12" customHeight="1">
      <c r="A13" s="1" t="n"/>
      <c r="B13" s="30" t="n"/>
      <c r="C13" s="31" t="n"/>
      <c r="D13" s="31" t="n"/>
      <c r="E13" s="31" t="n"/>
      <c r="F13" s="31" t="n"/>
      <c r="G13" s="31" t="n"/>
      <c r="H13" s="31" t="n"/>
      <c r="I13" s="31" t="n"/>
      <c r="J13" s="32" t="n"/>
      <c r="K13" s="1" t="n"/>
      <c r="L13" s="30" t="n"/>
      <c r="M13" s="31" t="n"/>
      <c r="N13" s="31" t="n"/>
      <c r="O13" s="31" t="n"/>
      <c r="P13" s="31" t="n"/>
      <c r="Q13" s="31" t="n"/>
      <c r="R13" s="32" t="n"/>
      <c r="S13" s="1" t="n"/>
      <c r="T13" s="1" t="n"/>
      <c r="U13" s="30" t="n"/>
      <c r="V13" s="31" t="n"/>
      <c r="W13" s="31" t="n"/>
      <c r="X13" s="31" t="n"/>
      <c r="Y13" s="31" t="n"/>
      <c r="Z13" s="31" t="n"/>
      <c r="AA13" s="31" t="n"/>
      <c r="AB13" s="31" t="n"/>
      <c r="AC13" s="31" t="n"/>
      <c r="AD13" s="31" t="n"/>
      <c r="AE13" s="32" t="n"/>
      <c r="AF13" s="1" t="n"/>
      <c r="AG13" s="1" t="n"/>
      <c r="AH13" s="30" t="n"/>
      <c r="AI13" s="31" t="n"/>
      <c r="AJ13" s="31" t="n"/>
      <c r="AK13" s="31" t="n"/>
      <c r="AL13" s="31" t="n"/>
      <c r="AM13" s="31" t="n"/>
      <c r="AN13" s="31" t="n"/>
      <c r="AO13" s="31" t="n"/>
      <c r="AP13" s="32" t="n"/>
      <c r="AQ13" s="1" t="n"/>
      <c r="AR13" s="30" t="n"/>
      <c r="AS13" s="31" t="n"/>
      <c r="AT13" s="31" t="n"/>
      <c r="AU13" s="31" t="n"/>
      <c r="AV13" s="31" t="n"/>
      <c r="AW13" s="31" t="n"/>
      <c r="AX13" s="31" t="n"/>
      <c r="AY13" s="32" t="n"/>
      <c r="AZ13" s="1" t="n"/>
    </row>
    <row r="14" ht="9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</row>
    <row r="15" ht="12" customHeight="1">
      <c r="A15" s="1" t="n"/>
      <c r="B15" s="14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6" t="n"/>
      <c r="AD15" s="1" t="n"/>
      <c r="AE15" s="14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6" t="n"/>
      <c r="AZ15" s="1" t="n"/>
    </row>
    <row r="16" ht="19.5" customHeight="1">
      <c r="A16" s="1" t="n"/>
      <c r="B16" s="17" t="n"/>
      <c r="C16" s="18" t="n"/>
      <c r="D16" s="18" t="n"/>
      <c r="E16" s="33" t="inlineStr">
        <is>
          <t>Faturamento mensal, ano contra ano</t>
        </is>
      </c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18" t="n"/>
      <c r="AC16" s="20" t="n"/>
      <c r="AD16" s="1" t="n"/>
      <c r="AE16" s="17" t="n"/>
      <c r="AF16" s="18" t="n"/>
      <c r="AG16" s="18" t="n"/>
      <c r="AH16" s="18" t="n"/>
      <c r="AI16" s="33" t="inlineStr">
        <is>
          <t>Faturamento por segmento</t>
        </is>
      </c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18" t="n"/>
      <c r="AX16" s="18" t="n"/>
      <c r="AY16" s="20" t="n"/>
      <c r="AZ16" s="1" t="n"/>
    </row>
    <row r="17" ht="15" customHeight="1">
      <c r="A17" s="1" t="n"/>
      <c r="B17" s="17" t="n"/>
      <c r="C17" s="18" t="n"/>
      <c r="D17" s="18" t="n"/>
      <c r="E17" s="19" t="str">
        <f>Calc!$B$33</f>
        <v>Melhor mês de 2026: set/26 · R$ 391 mil</v>
      </c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18" t="n"/>
      <c r="AC17" s="20" t="n"/>
      <c r="AD17" s="1" t="n"/>
      <c r="AE17" s="17" t="n"/>
      <c r="AF17" s="18" t="n"/>
      <c r="AG17" s="18" t="n"/>
      <c r="AH17" s="18" t="n"/>
      <c r="AI17" s="19" t="str">
        <f>Calc!$B$90</f>
        <v>Pizzaria responde por 41,5% do faturamento e cresceu 36,1%</v>
      </c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18" t="n"/>
      <c r="AX17" s="18" t="n"/>
      <c r="AY17" s="20" t="n"/>
      <c r="AZ17" s="1" t="n"/>
    </row>
    <row r="18" ht="7.5" customHeight="1">
      <c r="A18" s="1" t="n"/>
      <c r="B18" s="17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20" t="n"/>
      <c r="AD18" s="1" t="n"/>
      <c r="AE18" s="17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20" t="n"/>
      <c r="AZ18" s="1" t="n"/>
    </row>
    <row r="19" ht="18" customHeight="1">
      <c r="A19" s="1" t="n"/>
      <c r="B19" s="17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20" t="n"/>
      <c r="AD19" s="1" t="n"/>
      <c r="AE19" s="17" t="n"/>
      <c r="AF19" s="18" t="n"/>
      <c r="AG19" s="18" t="n"/>
      <c r="AH19" s="18" t="n"/>
      <c r="AI19" s="34" t="inlineStr">
        <is>
          <t>SEGMENTO</t>
        </is>
      </c>
      <c r="AJ19" s="3" t="n"/>
      <c r="AK19" s="3" t="n"/>
      <c r="AL19" s="3" t="n"/>
      <c r="AM19" s="3" t="n"/>
      <c r="AN19" s="3" t="n"/>
      <c r="AO19" s="34" t="inlineStr">
        <is>
          <t>R$ NO PERÍODO</t>
        </is>
      </c>
      <c r="AP19" s="3" t="n"/>
      <c r="AQ19" s="3" t="n"/>
      <c r="AR19" s="3" t="n"/>
      <c r="AS19" s="3" t="n"/>
      <c r="AT19" s="35" t="inlineStr">
        <is>
          <t>PART.</t>
        </is>
      </c>
      <c r="AU19" s="3" t="n"/>
      <c r="AV19" s="35" t="inlineStr">
        <is>
          <t>VS ANO ANT.</t>
        </is>
      </c>
      <c r="AW19" s="18" t="n"/>
      <c r="AX19" s="18" t="n"/>
      <c r="AY19" s="20" t="n"/>
      <c r="AZ19" s="1" t="n"/>
    </row>
    <row r="20" ht="21" customHeight="1">
      <c r="A20" s="1" t="n"/>
      <c r="B20" s="17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20" t="n"/>
      <c r="AD20" s="1" t="n"/>
      <c r="AE20" s="17" t="n"/>
      <c r="AF20" s="18" t="n"/>
      <c r="AG20" s="18" t="n"/>
      <c r="AH20" s="18" t="n"/>
      <c r="AI20" s="36" t="str">
        <f>Calc!$B$80</f>
        <v>Pizzaria</v>
      </c>
      <c r="AJ20" s="3" t="n"/>
      <c r="AK20" s="3" t="n"/>
      <c r="AL20" s="3" t="n"/>
      <c r="AM20" s="3" t="n"/>
      <c r="AN20" s="3" t="n"/>
      <c r="AO20" s="37" t="str">
        <f>Calc!$G$80</f>
        <v>██████████████████████</v>
      </c>
      <c r="AP20" s="3" t="n"/>
      <c r="AQ20" s="3" t="n"/>
      <c r="AR20" s="3" t="n"/>
      <c r="AS20" s="3" t="n"/>
      <c r="AT20" s="38">
        <f>Calc!$E$80</f>
        <v>0.415314625401514</v>
      </c>
      <c r="AU20" s="3" t="n"/>
      <c r="AV20" s="39">
        <f>Calc!$F$80</f>
        <v>0.361018474064385</v>
      </c>
      <c r="AW20" s="18" t="n"/>
      <c r="AX20" s="18" t="n"/>
      <c r="AY20" s="20" t="n"/>
      <c r="AZ20" s="1" t="n"/>
    </row>
    <row r="21" ht="21" customHeight="1">
      <c r="A21" s="1" t="n"/>
      <c r="B21" s="17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20" t="n"/>
      <c r="AD21" s="1" t="n"/>
      <c r="AE21" s="17" t="n"/>
      <c r="AF21" s="18" t="n"/>
      <c r="AG21" s="18" t="n"/>
      <c r="AH21" s="18" t="n"/>
      <c r="AI21" s="36" t="str">
        <f>Calc!$B$81</f>
        <v>Restaurante / Cantina</v>
      </c>
      <c r="AJ21" s="3" t="n"/>
      <c r="AK21" s="3" t="n"/>
      <c r="AL21" s="3" t="n"/>
      <c r="AM21" s="3" t="n"/>
      <c r="AN21" s="3" t="n"/>
      <c r="AO21" s="37" t="str">
        <f>Calc!$G$81</f>
        <v>█████████</v>
      </c>
      <c r="AP21" s="3" t="n"/>
      <c r="AQ21" s="3" t="n"/>
      <c r="AR21" s="3" t="n"/>
      <c r="AS21" s="3" t="n"/>
      <c r="AT21" s="38">
        <f>Calc!$E$81</f>
        <v>0.177463040932987</v>
      </c>
      <c r="AU21" s="3" t="n"/>
      <c r="AV21" s="39">
        <f>Calc!$F$81</f>
        <v>-0.0567232443151661</v>
      </c>
      <c r="AW21" s="18" t="n"/>
      <c r="AX21" s="18" t="n"/>
      <c r="AY21" s="20" t="n"/>
      <c r="AZ21" s="1" t="n"/>
    </row>
    <row r="22" ht="21" customHeight="1">
      <c r="A22" s="1" t="n"/>
      <c r="B22" s="17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20" t="n"/>
      <c r="AD22" s="1" t="n"/>
      <c r="AE22" s="17" t="n"/>
      <c r="AF22" s="18" t="n"/>
      <c r="AG22" s="18" t="n"/>
      <c r="AH22" s="18" t="n"/>
      <c r="AI22" s="36" t="str">
        <f>Calc!$B$82</f>
        <v>Cozinha Industrial</v>
      </c>
      <c r="AJ22" s="3" t="n"/>
      <c r="AK22" s="3" t="n"/>
      <c r="AL22" s="3" t="n"/>
      <c r="AM22" s="3" t="n"/>
      <c r="AN22" s="3" t="n"/>
      <c r="AO22" s="37" t="str">
        <f>Calc!$G$82</f>
        <v>██████</v>
      </c>
      <c r="AP22" s="3" t="n"/>
      <c r="AQ22" s="3" t="n"/>
      <c r="AR22" s="3" t="n"/>
      <c r="AS22" s="3" t="n"/>
      <c r="AT22" s="38">
        <f>Calc!$E$82</f>
        <v>0.119130365085704</v>
      </c>
      <c r="AU22" s="3" t="n"/>
      <c r="AV22" s="39">
        <f>Calc!$F$82</f>
        <v>1.57494247529728</v>
      </c>
      <c r="AW22" s="18" t="n"/>
      <c r="AX22" s="18" t="n"/>
      <c r="AY22" s="20" t="n"/>
      <c r="AZ22" s="1" t="n"/>
    </row>
    <row r="23" ht="21" customHeight="1">
      <c r="A23" s="1" t="n"/>
      <c r="B23" s="17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20" t="n"/>
      <c r="AD23" s="1" t="n"/>
      <c r="AE23" s="17" t="n"/>
      <c r="AF23" s="18" t="n"/>
      <c r="AG23" s="18" t="n"/>
      <c r="AH23" s="18" t="n"/>
      <c r="AI23" s="36" t="str">
        <f>Calc!$B$83</f>
        <v>Fábrica de Massas</v>
      </c>
      <c r="AJ23" s="3" t="n"/>
      <c r="AK23" s="3" t="n"/>
      <c r="AL23" s="3" t="n"/>
      <c r="AM23" s="3" t="n"/>
      <c r="AN23" s="3" t="n"/>
      <c r="AO23" s="37" t="str">
        <f>Calc!$G$83</f>
        <v>███</v>
      </c>
      <c r="AP23" s="3" t="n"/>
      <c r="AQ23" s="3" t="n"/>
      <c r="AR23" s="3" t="n"/>
      <c r="AS23" s="3" t="n"/>
      <c r="AT23" s="38">
        <f>Calc!$E$83</f>
        <v>0.0517199811099562</v>
      </c>
      <c r="AU23" s="3" t="n"/>
      <c r="AV23" s="39">
        <f>Calc!$F$83</f>
        <v>-0.475422390313617</v>
      </c>
      <c r="AW23" s="18" t="n"/>
      <c r="AX23" s="18" t="n"/>
      <c r="AY23" s="20" t="n"/>
      <c r="AZ23" s="1" t="n"/>
    </row>
    <row r="24" ht="21" customHeight="1">
      <c r="A24" s="1" t="n"/>
      <c r="B24" s="17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20" t="n"/>
      <c r="AD24" s="1" t="n"/>
      <c r="AE24" s="17" t="n"/>
      <c r="AF24" s="18" t="n"/>
      <c r="AG24" s="18" t="n"/>
      <c r="AH24" s="18" t="n"/>
      <c r="AI24" s="36" t="str">
        <f>Calc!$B$84</f>
        <v>Pessoa Física</v>
      </c>
      <c r="AJ24" s="3" t="n"/>
      <c r="AK24" s="3" t="n"/>
      <c r="AL24" s="3" t="n"/>
      <c r="AM24" s="3" t="n"/>
      <c r="AN24" s="3" t="n"/>
      <c r="AO24" s="37" t="str">
        <f>Calc!$G$84</f>
        <v>██</v>
      </c>
      <c r="AP24" s="3" t="n"/>
      <c r="AQ24" s="3" t="n"/>
      <c r="AR24" s="3" t="n"/>
      <c r="AS24" s="3" t="n"/>
      <c r="AT24" s="38">
        <f>Calc!$E$84</f>
        <v>0.0333133374278986</v>
      </c>
      <c r="AU24" s="3" t="n"/>
      <c r="AV24" s="39">
        <f>Calc!$F$84</f>
        <v>0.299884690598904</v>
      </c>
      <c r="AW24" s="18" t="n"/>
      <c r="AX24" s="18" t="n"/>
      <c r="AY24" s="20" t="n"/>
      <c r="AZ24" s="1" t="n"/>
    </row>
    <row r="25" ht="21" customHeight="1">
      <c r="A25" s="1" t="n"/>
      <c r="B25" s="17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20" t="n"/>
      <c r="AD25" s="1" t="n"/>
      <c r="AE25" s="17" t="n"/>
      <c r="AF25" s="18" t="n"/>
      <c r="AG25" s="18" t="n"/>
      <c r="AH25" s="18" t="n"/>
      <c r="AI25" s="36" t="str">
        <f>Calc!$B$85</f>
        <v>Lanchonete / Cafeteria</v>
      </c>
      <c r="AJ25" s="3" t="n"/>
      <c r="AK25" s="3" t="n"/>
      <c r="AL25" s="3" t="n"/>
      <c r="AM25" s="3" t="n"/>
      <c r="AN25" s="3" t="n"/>
      <c r="AO25" s="37" t="str">
        <f>Calc!$G$85</f>
        <v>██</v>
      </c>
      <c r="AP25" s="3" t="n"/>
      <c r="AQ25" s="3" t="n"/>
      <c r="AR25" s="3" t="n"/>
      <c r="AS25" s="3" t="n"/>
      <c r="AT25" s="38">
        <f>Calc!$E$85</f>
        <v>0.030828137829858</v>
      </c>
      <c r="AU25" s="3" t="n"/>
      <c r="AV25" s="39">
        <f>Calc!$F$85</f>
        <v>1.20280509422429</v>
      </c>
      <c r="AW25" s="18" t="n"/>
      <c r="AX25" s="18" t="n"/>
      <c r="AY25" s="20" t="n"/>
      <c r="AZ25" s="1" t="n"/>
    </row>
    <row r="26" ht="21" customHeight="1">
      <c r="A26" s="1" t="n"/>
      <c r="B26" s="17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20" t="n"/>
      <c r="AD26" s="1" t="n"/>
      <c r="AE26" s="17" t="n"/>
      <c r="AF26" s="18" t="n"/>
      <c r="AG26" s="18" t="n"/>
      <c r="AH26" s="18" t="n"/>
      <c r="AI26" s="36" t="str">
        <f>Calc!$B$86</f>
        <v>Esfiharia</v>
      </c>
      <c r="AJ26" s="3" t="n"/>
      <c r="AK26" s="3" t="n"/>
      <c r="AL26" s="3" t="n"/>
      <c r="AM26" s="3" t="n"/>
      <c r="AN26" s="3" t="n"/>
      <c r="AO26" s="37" t="str">
        <f>Calc!$G$86</f>
        <v>██</v>
      </c>
      <c r="AP26" s="3" t="n"/>
      <c r="AQ26" s="3" t="n"/>
      <c r="AR26" s="3" t="n"/>
      <c r="AS26" s="3" t="n"/>
      <c r="AT26" s="38">
        <f>Calc!$E$86</f>
        <v>0.0300584267405492</v>
      </c>
      <c r="AU26" s="3" t="n"/>
      <c r="AV26" s="39">
        <f>Calc!$F$86</f>
        <v>0.570901461173512</v>
      </c>
      <c r="AW26" s="18" t="n"/>
      <c r="AX26" s="18" t="n"/>
      <c r="AY26" s="20" t="n"/>
      <c r="AZ26" s="1" t="n"/>
    </row>
    <row r="27" ht="21" customHeight="1">
      <c r="A27" s="1" t="n"/>
      <c r="B27" s="17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20" t="n"/>
      <c r="AD27" s="1" t="n"/>
      <c r="AE27" s="17" t="n"/>
      <c r="AF27" s="18" t="n"/>
      <c r="AG27" s="18" t="n"/>
      <c r="AH27" s="18" t="n"/>
      <c r="AI27" s="36" t="str">
        <f>Calc!$B$87</f>
        <v>Rotisserie</v>
      </c>
      <c r="AJ27" s="3" t="n"/>
      <c r="AK27" s="3" t="n"/>
      <c r="AL27" s="3" t="n"/>
      <c r="AM27" s="3" t="n"/>
      <c r="AN27" s="3" t="n"/>
      <c r="AO27" s="37" t="str">
        <f>Calc!$G$87</f>
        <v>█</v>
      </c>
      <c r="AP27" s="3" t="n"/>
      <c r="AQ27" s="3" t="n"/>
      <c r="AR27" s="3" t="n"/>
      <c r="AS27" s="3" t="n"/>
      <c r="AT27" s="38">
        <f>Calc!$E$87</f>
        <v>0.0255042275471506</v>
      </c>
      <c r="AU27" s="3" t="n"/>
      <c r="AV27" s="39">
        <f>Calc!$F$87</f>
        <v>24.5943026012598</v>
      </c>
      <c r="AW27" s="18" t="n"/>
      <c r="AX27" s="18" t="n"/>
      <c r="AY27" s="20" t="n"/>
      <c r="AZ27" s="1" t="n"/>
    </row>
    <row r="28" ht="21" customHeight="1">
      <c r="A28" s="1" t="n"/>
      <c r="B28" s="17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20" t="n"/>
      <c r="AD28" s="1" t="n"/>
      <c r="AE28" s="17" t="n"/>
      <c r="AF28" s="18" t="n"/>
      <c r="AG28" s="18" t="n"/>
      <c r="AH28" s="18" t="n"/>
      <c r="AI28" s="19" t="str">
        <f>Calc!$B$88</f>
        <v>Demais 24 segmentos</v>
      </c>
      <c r="AJ28" s="3" t="n"/>
      <c r="AK28" s="3" t="n"/>
      <c r="AL28" s="3" t="n"/>
      <c r="AM28" s="3" t="n"/>
      <c r="AN28" s="3" t="n"/>
      <c r="AO28" s="40" t="str">
        <f>Calc!$G$88</f>
        <v>██████</v>
      </c>
      <c r="AP28" s="3" t="n"/>
      <c r="AQ28" s="3" t="n"/>
      <c r="AR28" s="3" t="n"/>
      <c r="AS28" s="3" t="n"/>
      <c r="AT28" s="41">
        <f>Calc!$E$88</f>
        <v>0.116667857924382</v>
      </c>
      <c r="AU28" s="3" t="n"/>
      <c r="AV28" s="39">
        <f>Calc!$F$88</f>
        <v>-0.312258014896005</v>
      </c>
      <c r="AW28" s="18" t="n"/>
      <c r="AX28" s="18" t="n"/>
      <c r="AY28" s="20" t="n"/>
      <c r="AZ28" s="1" t="n"/>
    </row>
    <row r="29" ht="12" customHeight="1">
      <c r="A29" s="1" t="n"/>
      <c r="B29" s="30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B29" s="31" t="n"/>
      <c r="AC29" s="32" t="n"/>
      <c r="AD29" s="1" t="n"/>
      <c r="AE29" s="30" t="n"/>
      <c r="AF29" s="31" t="n"/>
      <c r="AG29" s="31" t="n"/>
      <c r="AH29" s="31" t="n"/>
      <c r="AI29" s="31" t="n"/>
      <c r="AJ29" s="31" t="n"/>
      <c r="AK29" s="31" t="n"/>
      <c r="AL29" s="31" t="n"/>
      <c r="AM29" s="31" t="n"/>
      <c r="AN29" s="31" t="n"/>
      <c r="AO29" s="31" t="n"/>
      <c r="AP29" s="31" t="n"/>
      <c r="AQ29" s="31" t="n"/>
      <c r="AR29" s="31" t="n"/>
      <c r="AS29" s="31" t="n"/>
      <c r="AT29" s="31" t="n"/>
      <c r="AU29" s="31" t="n"/>
      <c r="AV29" s="31" t="n"/>
      <c r="AW29" s="31" t="n"/>
      <c r="AX29" s="31" t="n"/>
      <c r="AY29" s="32" t="n"/>
      <c r="AZ29" s="1" t="n"/>
    </row>
    <row r="30" ht="9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</row>
    <row r="31" ht="12" customHeight="1">
      <c r="A31" s="1" t="n"/>
      <c r="B31" s="14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6" t="n"/>
      <c r="AD31" s="1" t="n"/>
      <c r="AE31" s="14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  <c r="AS31" s="15" t="n"/>
      <c r="AT31" s="15" t="n"/>
      <c r="AU31" s="15" t="n"/>
      <c r="AV31" s="15" t="n"/>
      <c r="AW31" s="15" t="n"/>
      <c r="AX31" s="15" t="n"/>
      <c r="AY31" s="16" t="n"/>
      <c r="AZ31" s="1" t="n"/>
    </row>
    <row r="32" ht="19.5" customHeight="1">
      <c r="A32" s="1" t="n"/>
      <c r="B32" s="17" t="n"/>
      <c r="C32" s="18" t="n"/>
      <c r="D32" s="18" t="n"/>
      <c r="E32" s="33" t="inlineStr">
        <is>
          <t>Mix de produtos</t>
        </is>
      </c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18" t="n"/>
      <c r="AC32" s="20" t="n"/>
      <c r="AD32" s="1" t="n"/>
      <c r="AE32" s="17" t="n"/>
      <c r="AF32" s="18" t="n"/>
      <c r="AG32" s="18" t="n"/>
      <c r="AH32" s="18" t="n"/>
      <c r="AI32" s="33" t="inlineStr">
        <is>
          <t>Clientes ativos por mês</t>
        </is>
      </c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18" t="n"/>
      <c r="AX32" s="18" t="n"/>
      <c r="AY32" s="20" t="n"/>
      <c r="AZ32" s="1" t="n"/>
    </row>
    <row r="33" ht="15" customHeight="1">
      <c r="A33" s="1" t="n"/>
      <c r="B33" s="17" t="n"/>
      <c r="C33" s="18" t="n"/>
      <c r="D33" s="18" t="n"/>
      <c r="E33" s="19" t="str">
        <f>Calc!$B$120</f>
        <v>Muçarela Mozzana 2 kg concentra 77,6% do faturamento</v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18" t="n"/>
      <c r="AC33" s="20" t="n"/>
      <c r="AD33" s="1" t="n"/>
      <c r="AE33" s="17" t="n"/>
      <c r="AF33" s="18" t="n"/>
      <c r="AG33" s="18" t="n"/>
      <c r="AH33" s="18" t="n"/>
      <c r="AI33" s="19" t="str">
        <f>Calc!$B$34</f>
        <v>Pico de 301 clientes comprando em jul</v>
      </c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18" t="n"/>
      <c r="AX33" s="18" t="n"/>
      <c r="AY33" s="20" t="n"/>
      <c r="AZ33" s="1" t="n"/>
    </row>
    <row r="34" ht="7.5" customHeight="1">
      <c r="A34" s="1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20" t="n"/>
      <c r="AD34" s="1" t="n"/>
      <c r="AE34" s="17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20" t="n"/>
      <c r="AZ34" s="1" t="n"/>
    </row>
    <row r="35" ht="19.5" customHeight="1">
      <c r="A35" s="1" t="n"/>
      <c r="B35" s="17" t="n"/>
      <c r="C35" s="18" t="n"/>
      <c r="D35" s="18" t="n"/>
      <c r="E35" s="34" t="inlineStr">
        <is>
          <t>PRODUTO</t>
        </is>
      </c>
      <c r="F35" s="3" t="n"/>
      <c r="G35" s="3" t="n"/>
      <c r="H35" s="3" t="n"/>
      <c r="I35" s="3" t="n"/>
      <c r="J35" s="34" t="inlineStr">
        <is>
          <t>CÓD.</t>
        </is>
      </c>
      <c r="K35" s="3" t="n"/>
      <c r="L35" s="3" t="n"/>
      <c r="M35" s="3" t="n"/>
      <c r="N35" s="34" t="inlineStr">
        <is>
          <t>PARTICIPAÇÃO</t>
        </is>
      </c>
      <c r="O35" s="3" t="n"/>
      <c r="P35" s="35" t="inlineStr"/>
      <c r="Q35" s="35" t="inlineStr">
        <is>
          <t>R$</t>
        </is>
      </c>
      <c r="R35" s="3" t="n"/>
      <c r="S35" s="3" t="n"/>
      <c r="T35" s="3" t="n"/>
      <c r="U35" s="3" t="n"/>
      <c r="V35" s="3" t="n"/>
      <c r="W35" s="3" t="n"/>
      <c r="X35" s="35" t="inlineStr">
        <is>
          <t>VOLUME</t>
        </is>
      </c>
      <c r="Y35" s="35" t="inlineStr">
        <is>
          <t>CLIENTES</t>
        </is>
      </c>
      <c r="Z35" s="3" t="n"/>
      <c r="AA35" s="35" t="inlineStr">
        <is>
          <t>VS ANO ANT.</t>
        </is>
      </c>
      <c r="AB35" s="18" t="n"/>
      <c r="AC35" s="20" t="n"/>
      <c r="AD35" s="1" t="n"/>
      <c r="AE35" s="17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20" t="n"/>
      <c r="AZ35" s="1" t="n"/>
    </row>
    <row r="36" ht="30" customHeight="1">
      <c r="A36" s="1" t="n"/>
      <c r="B36" s="17" t="n"/>
      <c r="C36" s="18" t="n"/>
      <c r="D36" s="18" t="n"/>
      <c r="E36" s="42" t="str">
        <f>Calc!$A$110</f>
        <v>Muçarela Mozzana 2 kg</v>
      </c>
      <c r="F36" s="43" t="n"/>
      <c r="G36" s="43" t="n"/>
      <c r="H36" s="43" t="n"/>
      <c r="I36" s="43" t="n"/>
      <c r="J36" s="44" t="str">
        <f>Calc!$B$110</f>
        <v>4657 · 8556</v>
      </c>
      <c r="K36" s="43" t="n"/>
      <c r="L36" s="43" t="n"/>
      <c r="M36" s="43" t="n"/>
      <c r="N36" s="45" t="str">
        <f>Calc!$I$110</f>
        <v>████████████</v>
      </c>
      <c r="O36" s="43" t="n"/>
      <c r="P36" s="46">
        <f>Calc!$G$110</f>
        <v>0.77637451677171</v>
      </c>
      <c r="Q36" s="47">
        <f>Calc!$C$110</f>
        <v>2106489.47</v>
      </c>
      <c r="R36" s="43" t="n"/>
      <c r="S36" s="43" t="n"/>
      <c r="T36" s="43" t="n"/>
      <c r="U36" s="43" t="n"/>
      <c r="V36" s="43" t="n"/>
      <c r="W36" s="43" t="n"/>
      <c r="X36" s="48">
        <f>Calc!$E$110</f>
        <v>98709.32</v>
      </c>
      <c r="Y36" s="47">
        <f>Calc!$F$110</f>
        <v>343</v>
      </c>
      <c r="Z36" s="43" t="n"/>
      <c r="AA36" s="49">
        <f>Calc!$H$110</f>
        <v>0.668182110582203</v>
      </c>
      <c r="AB36" s="18" t="n"/>
      <c r="AC36" s="20" t="n"/>
      <c r="AD36" s="1" t="n"/>
      <c r="AE36" s="17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20" t="n"/>
      <c r="AZ36" s="1" t="n"/>
    </row>
    <row r="37" ht="30" customHeight="1">
      <c r="A37" s="1" t="n"/>
      <c r="B37" s="17" t="n"/>
      <c r="C37" s="18" t="n"/>
      <c r="D37" s="18" t="n"/>
      <c r="E37" s="42" t="str">
        <f>Calc!$A$111</f>
        <v>Muçarela Mozzalet 2 kg</v>
      </c>
      <c r="F37" s="43" t="n"/>
      <c r="G37" s="43" t="n"/>
      <c r="H37" s="43" t="n"/>
      <c r="I37" s="43" t="n"/>
      <c r="J37" s="44" t="str">
        <f>Calc!$B$111</f>
        <v>4785</v>
      </c>
      <c r="K37" s="43" t="n"/>
      <c r="L37" s="43" t="n"/>
      <c r="M37" s="43" t="n"/>
      <c r="N37" s="45" t="str">
        <f>Calc!$I$111</f>
        <v>██</v>
      </c>
      <c r="O37" s="43" t="n"/>
      <c r="P37" s="46">
        <f>Calc!$G$111</f>
        <v>0.155434489749172</v>
      </c>
      <c r="Q37" s="47">
        <f>Calc!$C$111</f>
        <v>421730.89</v>
      </c>
      <c r="R37" s="43" t="n"/>
      <c r="S37" s="43" t="n"/>
      <c r="T37" s="43" t="n"/>
      <c r="U37" s="43" t="n"/>
      <c r="V37" s="43" t="n"/>
      <c r="W37" s="43" t="n"/>
      <c r="X37" s="48">
        <f>Calc!$E$111</f>
        <v>18254</v>
      </c>
      <c r="Y37" s="47">
        <f>Calc!$F$111</f>
        <v>42</v>
      </c>
      <c r="Z37" s="43" t="n"/>
      <c r="AA37" s="49">
        <f>Calc!$H$111</f>
        <v>-0.531465024109508</v>
      </c>
      <c r="AB37" s="18" t="n"/>
      <c r="AC37" s="20" t="n"/>
      <c r="AD37" s="1" t="n"/>
      <c r="AE37" s="17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20" t="n"/>
      <c r="AZ37" s="1" t="n"/>
    </row>
    <row r="38" ht="30" customHeight="1">
      <c r="A38" s="1" t="n"/>
      <c r="B38" s="17" t="n"/>
      <c r="C38" s="18" t="n"/>
      <c r="D38" s="18" t="n"/>
      <c r="E38" s="42" t="str">
        <f>Calc!$A$112</f>
        <v>Chocolate em pó 50% 1 kg</v>
      </c>
      <c r="F38" s="43" t="n"/>
      <c r="G38" s="43" t="n"/>
      <c r="H38" s="43" t="n"/>
      <c r="I38" s="43" t="n"/>
      <c r="J38" s="44" t="str">
        <f>Calc!$B$112</f>
        <v>4810</v>
      </c>
      <c r="K38" s="43" t="n"/>
      <c r="L38" s="43" t="n"/>
      <c r="M38" s="43" t="n"/>
      <c r="N38" s="45" t="str">
        <f>Calc!$I$112</f>
        <v>█</v>
      </c>
      <c r="O38" s="43" t="n"/>
      <c r="P38" s="46">
        <f>Calc!$G$112</f>
        <v>0.0305362025983994</v>
      </c>
      <c r="Q38" s="47">
        <f>Calc!$C$112</f>
        <v>82852.01</v>
      </c>
      <c r="R38" s="43" t="n"/>
      <c r="S38" s="43" t="n"/>
      <c r="T38" s="43" t="n"/>
      <c r="U38" s="43" t="n"/>
      <c r="V38" s="43" t="n"/>
      <c r="W38" s="43" t="n"/>
      <c r="X38" s="48">
        <f>Calc!$E$112</f>
        <v>1934.94</v>
      </c>
      <c r="Y38" s="47">
        <f>Calc!$F$112</f>
        <v>259</v>
      </c>
      <c r="Z38" s="43" t="n"/>
      <c r="AA38" s="49">
        <f>Calc!$H$112</f>
        <v>0.659348021227924</v>
      </c>
      <c r="AB38" s="18" t="n"/>
      <c r="AC38" s="20" t="n"/>
      <c r="AD38" s="1" t="n"/>
      <c r="AE38" s="17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20" t="n"/>
      <c r="AZ38" s="1" t="n"/>
    </row>
    <row r="39" ht="30" customHeight="1">
      <c r="A39" s="1" t="n"/>
      <c r="B39" s="17" t="n"/>
      <c r="C39" s="18" t="n"/>
      <c r="D39" s="18" t="n"/>
      <c r="E39" s="42" t="str">
        <f>Calc!$A$113</f>
        <v>Requeijão Pizzalet 1.8 kg</v>
      </c>
      <c r="F39" s="43" t="n"/>
      <c r="G39" s="43" t="n"/>
      <c r="H39" s="43" t="n"/>
      <c r="I39" s="43" t="n"/>
      <c r="J39" s="44" t="str">
        <f>Calc!$B$113</f>
        <v>4701</v>
      </c>
      <c r="K39" s="43" t="n"/>
      <c r="L39" s="43" t="n"/>
      <c r="M39" s="43" t="n"/>
      <c r="N39" s="45" t="str">
        <f>Calc!$I$113</f>
        <v>█</v>
      </c>
      <c r="O39" s="43" t="n"/>
      <c r="P39" s="46">
        <f>Calc!$G$113</f>
        <v>0.0187440964697096</v>
      </c>
      <c r="Q39" s="47">
        <f>Calc!$C$113</f>
        <v>50857.21</v>
      </c>
      <c r="R39" s="43" t="n"/>
      <c r="S39" s="43" t="n"/>
      <c r="T39" s="43" t="n"/>
      <c r="U39" s="43" t="n"/>
      <c r="V39" s="43" t="n"/>
      <c r="W39" s="43" t="n"/>
      <c r="X39" s="48">
        <f>Calc!$E$113</f>
        <v>5646.96</v>
      </c>
      <c r="Y39" s="47">
        <f>Calc!$F$113</f>
        <v>20</v>
      </c>
      <c r="Z39" s="43" t="n"/>
      <c r="AA39" s="49">
        <f>Calc!$H$113</f>
        <v>-0.425538874886776</v>
      </c>
      <c r="AB39" s="18" t="n"/>
      <c r="AC39" s="20" t="n"/>
      <c r="AD39" s="1" t="n"/>
      <c r="AE39" s="17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20" t="n"/>
      <c r="AZ39" s="1" t="n"/>
    </row>
    <row r="40" ht="30" customHeight="1">
      <c r="A40" s="1" t="n"/>
      <c r="B40" s="17" t="n"/>
      <c r="C40" s="18" t="n"/>
      <c r="D40" s="18" t="n"/>
      <c r="E40" s="42" t="str">
        <f>Calc!$A$114</f>
        <v>Composto lácteo Alibralac 1 kg</v>
      </c>
      <c r="F40" s="43" t="n"/>
      <c r="G40" s="43" t="n"/>
      <c r="H40" s="43" t="n"/>
      <c r="I40" s="43" t="n"/>
      <c r="J40" s="44" t="str">
        <f>Calc!$B$114</f>
        <v>6335</v>
      </c>
      <c r="K40" s="43" t="n"/>
      <c r="L40" s="43" t="n"/>
      <c r="M40" s="43" t="n"/>
      <c r="N40" s="45" t="str">
        <f>Calc!$I$114</f>
        <v>█</v>
      </c>
      <c r="O40" s="43" t="n"/>
      <c r="P40" s="46">
        <f>Calc!$G$114</f>
        <v>0.0104075763238843</v>
      </c>
      <c r="Q40" s="47">
        <f>Calc!$C$114</f>
        <v>28238.24</v>
      </c>
      <c r="R40" s="43" t="n"/>
      <c r="S40" s="43" t="n"/>
      <c r="T40" s="43" t="n"/>
      <c r="U40" s="43" t="n"/>
      <c r="V40" s="43" t="n"/>
      <c r="W40" s="43" t="n"/>
      <c r="X40" s="48">
        <f>Calc!$E$114</f>
        <v>1146.48</v>
      </c>
      <c r="Y40" s="47">
        <f>Calc!$F$114</f>
        <v>29</v>
      </c>
      <c r="Z40" s="43" t="n"/>
      <c r="AA40" s="49">
        <f>Calc!$H$114</f>
        <v>-0.00336315312634883</v>
      </c>
      <c r="AB40" s="18" t="n"/>
      <c r="AC40" s="20" t="n"/>
      <c r="AD40" s="1" t="n"/>
      <c r="AE40" s="17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20" t="n"/>
      <c r="AZ40" s="1" t="n"/>
    </row>
    <row r="41" ht="30" customHeight="1">
      <c r="A41" s="1" t="n"/>
      <c r="B41" s="17" t="n"/>
      <c r="C41" s="18" t="n"/>
      <c r="D41" s="18" t="n"/>
      <c r="E41" s="42" t="str">
        <f>Calc!$A$115</f>
        <v>Composto lácteo Merilú 400 g</v>
      </c>
      <c r="F41" s="43" t="n"/>
      <c r="G41" s="43" t="n"/>
      <c r="H41" s="43" t="n"/>
      <c r="I41" s="43" t="n"/>
      <c r="J41" s="44" t="str">
        <f>Calc!$B$115</f>
        <v>6336</v>
      </c>
      <c r="K41" s="43" t="n"/>
      <c r="L41" s="43" t="n"/>
      <c r="M41" s="43" t="n"/>
      <c r="N41" s="45" t="str">
        <f>Calc!$I$115</f>
        <v>█</v>
      </c>
      <c r="O41" s="43" t="n"/>
      <c r="P41" s="46">
        <f>Calc!$G$115</f>
        <v>0.00850311808712481</v>
      </c>
      <c r="Q41" s="47">
        <f>Calc!$C$115</f>
        <v>23070.99</v>
      </c>
      <c r="R41" s="43" t="n"/>
      <c r="S41" s="43" t="n"/>
      <c r="T41" s="43" t="n"/>
      <c r="U41" s="43" t="n"/>
      <c r="V41" s="43" t="n"/>
      <c r="W41" s="43" t="n"/>
      <c r="X41" s="48">
        <f>Calc!$E$115</f>
        <v>1206.66</v>
      </c>
      <c r="Y41" s="47">
        <f>Calc!$F$115</f>
        <v>35</v>
      </c>
      <c r="Z41" s="43" t="n"/>
      <c r="AA41" s="49">
        <f>Calc!$H$115</f>
        <v>0.253198860599424</v>
      </c>
      <c r="AB41" s="18" t="n"/>
      <c r="AC41" s="20" t="n"/>
      <c r="AD41" s="1" t="n"/>
      <c r="AE41" s="17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20" t="n"/>
      <c r="AZ41" s="1" t="n"/>
    </row>
    <row r="42" ht="30" customHeight="1">
      <c r="A42" s="1" t="n"/>
      <c r="B42" s="17" t="n"/>
      <c r="C42" s="18" t="n"/>
      <c r="D42" s="18" t="n"/>
      <c r="E42" s="42" t="str">
        <f>Calc!$A$116</f>
        <v>Parmesão ralado Parmozzana 1 kg</v>
      </c>
      <c r="F42" s="43" t="n"/>
      <c r="G42" s="43" t="n"/>
      <c r="H42" s="43" t="n"/>
      <c r="I42" s="43" t="n"/>
      <c r="J42" s="44" t="str">
        <f>Calc!$B$116</f>
        <v>7891 · 8283</v>
      </c>
      <c r="K42" s="43" t="n"/>
      <c r="L42" s="43" t="n"/>
      <c r="M42" s="43" t="n"/>
      <c r="N42" s="45" t="str">
        <f>Calc!$I$116</f>
        <v/>
      </c>
      <c r="O42" s="43" t="n"/>
      <c r="P42" s="46">
        <f>Calc!$G$116</f>
        <v>0</v>
      </c>
      <c r="Q42" s="47">
        <f>Calc!$C$116</f>
        <v>0</v>
      </c>
      <c r="R42" s="43" t="n"/>
      <c r="S42" s="43" t="n"/>
      <c r="T42" s="43" t="n"/>
      <c r="U42" s="43" t="n"/>
      <c r="V42" s="43" t="n"/>
      <c r="W42" s="43" t="n"/>
      <c r="X42" s="48">
        <f>Calc!$E$116</f>
        <v>0</v>
      </c>
      <c r="Y42" s="47">
        <f>Calc!$F$116</f>
        <v>0</v>
      </c>
      <c r="Z42" s="43" t="n"/>
      <c r="AA42" s="49" t="str">
        <f>Calc!$H$116</f>
        <v>sem venda</v>
      </c>
      <c r="AB42" s="18" t="n"/>
      <c r="AC42" s="20" t="n"/>
      <c r="AD42" s="1" t="n"/>
      <c r="AE42" s="17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20" t="n"/>
      <c r="AZ42" s="1" t="n"/>
    </row>
    <row r="43" ht="12" customHeight="1">
      <c r="A43" s="1" t="n"/>
      <c r="B43" s="30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B43" s="31" t="n"/>
      <c r="AC43" s="32" t="n"/>
      <c r="AD43" s="1" t="n"/>
      <c r="AE43" s="30" t="n"/>
      <c r="AF43" s="31" t="n"/>
      <c r="AG43" s="31" t="n"/>
      <c r="AH43" s="31" t="n"/>
      <c r="AI43" s="31" t="n"/>
      <c r="AJ43" s="31" t="n"/>
      <c r="AK43" s="31" t="n"/>
      <c r="AL43" s="31" t="n"/>
      <c r="AM43" s="31" t="n"/>
      <c r="AN43" s="31" t="n"/>
      <c r="AO43" s="31" t="n"/>
      <c r="AP43" s="31" t="n"/>
      <c r="AQ43" s="31" t="n"/>
      <c r="AR43" s="31" t="n"/>
      <c r="AS43" s="31" t="n"/>
      <c r="AT43" s="31" t="n"/>
      <c r="AU43" s="31" t="n"/>
      <c r="AV43" s="31" t="n"/>
      <c r="AW43" s="31" t="n"/>
      <c r="AX43" s="31" t="n"/>
      <c r="AY43" s="32" t="n"/>
      <c r="AZ43" s="1" t="n"/>
    </row>
    <row r="44" ht="10.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</row>
    <row r="45" ht="13.5" customHeight="1">
      <c r="A45" s="1" t="n"/>
      <c r="B45" s="50" t="inlineStr">
        <is>
          <t>Fonte: base de pedidos PMG Atacadista  ·  Comparações sempre com o mesmo período do ano anterior  ·  Mozzana 2 kg soma os códigos 4657 e 8556  ·  Segmentos com nomes duplicados foram unificados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1" t="n"/>
    </row>
    <row r="46" ht="13.5" customHeight="1">
      <c r="A46" s="1" t="n"/>
      <c r="B46" s="50" t="inlineStr">
        <is>
          <t>Novos = clientes que compraram o fornecedor na PMG pela primeira vez desde jan/2024  ·  Clientes e pedidos contados uma vez no período</t>
        </is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1" t="n"/>
    </row>
    <row r="47" ht="18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12">
    <mergeCell ref="B7:F7"/>
    <mergeCell ref="AT25:AU25"/>
    <mergeCell ref="Y38:Z38"/>
    <mergeCell ref="D10:H10"/>
    <mergeCell ref="E39:I39"/>
    <mergeCell ref="AO28:AS28"/>
    <mergeCell ref="J42:M42"/>
    <mergeCell ref="E38:I38"/>
    <mergeCell ref="AN2:AY2"/>
    <mergeCell ref="D11:H11"/>
    <mergeCell ref="N39:O39"/>
    <mergeCell ref="Q37:W37"/>
    <mergeCell ref="AI21:AN21"/>
    <mergeCell ref="E40:I40"/>
    <mergeCell ref="N38:O38"/>
    <mergeCell ref="Q39:W39"/>
    <mergeCell ref="AI23:AN23"/>
    <mergeCell ref="AK10:AO10"/>
    <mergeCell ref="AI16:AV16"/>
    <mergeCell ref="Y36:Z36"/>
    <mergeCell ref="Q38:W38"/>
    <mergeCell ref="AO26:AS26"/>
    <mergeCell ref="N40:O40"/>
    <mergeCell ref="B6:F6"/>
    <mergeCell ref="AT21:AU21"/>
    <mergeCell ref="Q40:W40"/>
    <mergeCell ref="E16:AA16"/>
    <mergeCell ref="F12:H12"/>
    <mergeCell ref="AI33:AV33"/>
    <mergeCell ref="AI17:AV17"/>
    <mergeCell ref="N35:O35"/>
    <mergeCell ref="Y42:Z42"/>
    <mergeCell ref="E42:I42"/>
    <mergeCell ref="AI27:AN27"/>
    <mergeCell ref="AS10:AW10"/>
    <mergeCell ref="AT27:AU27"/>
    <mergeCell ref="W11:AC11"/>
    <mergeCell ref="AI20:AN20"/>
    <mergeCell ref="W12:Y12"/>
    <mergeCell ref="M11:Q11"/>
    <mergeCell ref="AS12:AT12"/>
    <mergeCell ref="AO19:AS19"/>
    <mergeCell ref="O12:Q12"/>
    <mergeCell ref="N42:O42"/>
    <mergeCell ref="AI22:AN22"/>
    <mergeCell ref="AM12:AO12"/>
    <mergeCell ref="Q42:W42"/>
    <mergeCell ref="AK11:AO11"/>
    <mergeCell ref="AO20:AS20"/>
    <mergeCell ref="K6:S6"/>
    <mergeCell ref="AI32:AV32"/>
    <mergeCell ref="AN3:AY3"/>
    <mergeCell ref="AO22:AS22"/>
    <mergeCell ref="J36:M36"/>
    <mergeCell ref="Z12:AC12"/>
    <mergeCell ref="E41:I41"/>
    <mergeCell ref="AO21:AS21"/>
    <mergeCell ref="B3:AK3"/>
    <mergeCell ref="AN4:AY4"/>
    <mergeCell ref="AI24:AN24"/>
    <mergeCell ref="N41:O41"/>
    <mergeCell ref="B2:AK2"/>
    <mergeCell ref="AI26:AN26"/>
    <mergeCell ref="E33:AA33"/>
    <mergeCell ref="Y39:Z39"/>
    <mergeCell ref="AK12:AL12"/>
    <mergeCell ref="Q41:W41"/>
    <mergeCell ref="E35:I35"/>
    <mergeCell ref="E17:AA17"/>
    <mergeCell ref="AI25:AN25"/>
    <mergeCell ref="AT24:AU24"/>
    <mergeCell ref="AO24:AS24"/>
    <mergeCell ref="J38:M38"/>
    <mergeCell ref="W10:AC10"/>
    <mergeCell ref="K7:S7"/>
    <mergeCell ref="AU12:AW12"/>
    <mergeCell ref="Y40:Z40"/>
    <mergeCell ref="M12:N12"/>
    <mergeCell ref="J40:M40"/>
    <mergeCell ref="AS11:AW11"/>
    <mergeCell ref="AT19:AU19"/>
    <mergeCell ref="Y37:Z37"/>
    <mergeCell ref="D12:E12"/>
    <mergeCell ref="B4:AK4"/>
    <mergeCell ref="AI28:AN28"/>
    <mergeCell ref="V7:AI7"/>
    <mergeCell ref="J35:M35"/>
    <mergeCell ref="Y41:Z41"/>
    <mergeCell ref="E37:I37"/>
    <mergeCell ref="E32:AA32"/>
    <mergeCell ref="AT22:AU22"/>
    <mergeCell ref="Q36:W36"/>
    <mergeCell ref="AT28:AU28"/>
    <mergeCell ref="B45:AY45"/>
    <mergeCell ref="AO23:AS23"/>
    <mergeCell ref="N37:O37"/>
    <mergeCell ref="Y35:Z35"/>
    <mergeCell ref="J39:M39"/>
    <mergeCell ref="AT20:AU20"/>
    <mergeCell ref="M10:Q10"/>
    <mergeCell ref="B46:AY46"/>
    <mergeCell ref="AT23:AU23"/>
    <mergeCell ref="J37:M37"/>
    <mergeCell ref="V6:AI6"/>
    <mergeCell ref="E36:I36"/>
    <mergeCell ref="AT26:AU26"/>
    <mergeCell ref="AO25:AS25"/>
    <mergeCell ref="Q35:W35"/>
    <mergeCell ref="AI19:AN19"/>
    <mergeCell ref="AO27:AS27"/>
    <mergeCell ref="N36:O36"/>
    <mergeCell ref="J41:M41"/>
  </mergeCells>
  <conditionalFormatting sqref="D12">
    <cfRule type="expression" priority="1" dxfId="0">
      <formula>OR(AND(ISNUMBER(D12),D12&gt;0.0005),D12="novo")</formula>
    </cfRule>
    <cfRule type="expression" priority="2" dxfId="1">
      <formula>AND(ISNUMBER(D12),D12&lt;-0.0005)</formula>
    </cfRule>
  </conditionalFormatting>
  <conditionalFormatting sqref="M12">
    <cfRule type="expression" priority="3" dxfId="0">
      <formula>OR(AND(ISNUMBER(M12),M12&gt;0.0005),M12="novo")</formula>
    </cfRule>
    <cfRule type="expression" priority="4" dxfId="1">
      <formula>AND(ISNUMBER(M12),M12&lt;-0.0005)</formula>
    </cfRule>
  </conditionalFormatting>
  <conditionalFormatting sqref="W12">
    <cfRule type="expression" priority="5" dxfId="0">
      <formula>OR(AND(ISNUMBER(W12),W12&gt;0.0005),W12="novo")</formula>
    </cfRule>
    <cfRule type="expression" priority="6" dxfId="1">
      <formula>AND(ISNUMBER(W12),W12&lt;-0.0005)</formula>
    </cfRule>
  </conditionalFormatting>
  <conditionalFormatting sqref="AK12">
    <cfRule type="expression" priority="7" dxfId="0">
      <formula>OR(AND(ISNUMBER(AK12),AK12&gt;0.0005),AK12="novo")</formula>
    </cfRule>
    <cfRule type="expression" priority="8" dxfId="1">
      <formula>AND(ISNUMBER(AK12),AK12&lt;-0.0005)</formula>
    </cfRule>
  </conditionalFormatting>
  <conditionalFormatting sqref="AS12">
    <cfRule type="expression" priority="9" dxfId="0">
      <formula>OR(AND(ISNUMBER(AS12),AS12&gt;0.0005),AS12="novo")</formula>
    </cfRule>
    <cfRule type="expression" priority="10" dxfId="1">
      <formula>AND(ISNUMBER(AS12),AS12&lt;-0.0005)</formula>
    </cfRule>
  </conditionalFormatting>
  <conditionalFormatting sqref="AV20">
    <cfRule type="expression" priority="11" dxfId="0">
      <formula>OR(AND(ISNUMBER(AV20),AV20&gt;0.0005),AV20="novo")</formula>
    </cfRule>
    <cfRule type="expression" priority="12" dxfId="1">
      <formula>AND(ISNUMBER(AV20),AV20&lt;-0.0005)</formula>
    </cfRule>
  </conditionalFormatting>
  <conditionalFormatting sqref="AV21">
    <cfRule type="expression" priority="13" dxfId="0">
      <formula>OR(AND(ISNUMBER(AV21),AV21&gt;0.0005),AV21="novo")</formula>
    </cfRule>
    <cfRule type="expression" priority="14" dxfId="1">
      <formula>AND(ISNUMBER(AV21),AV21&lt;-0.0005)</formula>
    </cfRule>
  </conditionalFormatting>
  <conditionalFormatting sqref="AV22">
    <cfRule type="expression" priority="15" dxfId="0">
      <formula>OR(AND(ISNUMBER(AV22),AV22&gt;0.0005),AV22="novo")</formula>
    </cfRule>
    <cfRule type="expression" priority="16" dxfId="1">
      <formula>AND(ISNUMBER(AV22),AV22&lt;-0.0005)</formula>
    </cfRule>
  </conditionalFormatting>
  <conditionalFormatting sqref="AV23">
    <cfRule type="expression" priority="17" dxfId="0">
      <formula>OR(AND(ISNUMBER(AV23),AV23&gt;0.0005),AV23="novo")</formula>
    </cfRule>
    <cfRule type="expression" priority="18" dxfId="1">
      <formula>AND(ISNUMBER(AV23),AV23&lt;-0.0005)</formula>
    </cfRule>
  </conditionalFormatting>
  <conditionalFormatting sqref="AV24">
    <cfRule type="expression" priority="19" dxfId="0">
      <formula>OR(AND(ISNUMBER(AV24),AV24&gt;0.0005),AV24="novo")</formula>
    </cfRule>
    <cfRule type="expression" priority="20" dxfId="1">
      <formula>AND(ISNUMBER(AV24),AV24&lt;-0.0005)</formula>
    </cfRule>
  </conditionalFormatting>
  <conditionalFormatting sqref="AV25">
    <cfRule type="expression" priority="21" dxfId="0">
      <formula>OR(AND(ISNUMBER(AV25),AV25&gt;0.0005),AV25="novo")</formula>
    </cfRule>
    <cfRule type="expression" priority="22" dxfId="1">
      <formula>AND(ISNUMBER(AV25),AV25&lt;-0.0005)</formula>
    </cfRule>
  </conditionalFormatting>
  <conditionalFormatting sqref="AV26">
    <cfRule type="expression" priority="23" dxfId="0">
      <formula>OR(AND(ISNUMBER(AV26),AV26&gt;0.0005),AV26="novo")</formula>
    </cfRule>
    <cfRule type="expression" priority="24" dxfId="1">
      <formula>AND(ISNUMBER(AV26),AV26&lt;-0.0005)</formula>
    </cfRule>
  </conditionalFormatting>
  <conditionalFormatting sqref="AV27">
    <cfRule type="expression" priority="25" dxfId="0">
      <formula>OR(AND(ISNUMBER(AV27),AV27&gt;0.0005),AV27="novo")</formula>
    </cfRule>
    <cfRule type="expression" priority="26" dxfId="1">
      <formula>AND(ISNUMBER(AV27),AV27&lt;-0.0005)</formula>
    </cfRule>
  </conditionalFormatting>
  <conditionalFormatting sqref="AV28">
    <cfRule type="expression" priority="27" dxfId="0">
      <formula>OR(AND(ISNUMBER(AV28),AV28&gt;0.0005),AV28="novo")</formula>
    </cfRule>
    <cfRule type="expression" priority="28" dxfId="1">
      <formula>AND(ISNUMBER(AV28),AV28&lt;-0.0005)</formula>
    </cfRule>
  </conditionalFormatting>
  <conditionalFormatting sqref="AA36">
    <cfRule type="expression" priority="29" dxfId="0">
      <formula>OR(AND(ISNUMBER(AA36),AA36&gt;0.0005),AA36="novo")</formula>
    </cfRule>
    <cfRule type="expression" priority="30" dxfId="1">
      <formula>AND(ISNUMBER(AA36),AA36&lt;-0.0005)</formula>
    </cfRule>
  </conditionalFormatting>
  <conditionalFormatting sqref="AA37">
    <cfRule type="expression" priority="31" dxfId="0">
      <formula>OR(AND(ISNUMBER(AA37),AA37&gt;0.0005),AA37="novo")</formula>
    </cfRule>
    <cfRule type="expression" priority="32" dxfId="1">
      <formula>AND(ISNUMBER(AA37),AA37&lt;-0.0005)</formula>
    </cfRule>
  </conditionalFormatting>
  <conditionalFormatting sqref="AA38">
    <cfRule type="expression" priority="33" dxfId="0">
      <formula>OR(AND(ISNUMBER(AA38),AA38&gt;0.0005),AA38="novo")</formula>
    </cfRule>
    <cfRule type="expression" priority="34" dxfId="1">
      <formula>AND(ISNUMBER(AA38),AA38&lt;-0.0005)</formula>
    </cfRule>
  </conditionalFormatting>
  <conditionalFormatting sqref="AA39">
    <cfRule type="expression" priority="35" dxfId="0">
      <formula>OR(AND(ISNUMBER(AA39),AA39&gt;0.0005),AA39="novo")</formula>
    </cfRule>
    <cfRule type="expression" priority="36" dxfId="1">
      <formula>AND(ISNUMBER(AA39),AA39&lt;-0.0005)</formula>
    </cfRule>
  </conditionalFormatting>
  <conditionalFormatting sqref="AA40">
    <cfRule type="expression" priority="37" dxfId="0">
      <formula>OR(AND(ISNUMBER(AA40),AA40&gt;0.0005),AA40="novo")</formula>
    </cfRule>
    <cfRule type="expression" priority="38" dxfId="1">
      <formula>AND(ISNUMBER(AA40),AA40&lt;-0.0005)</formula>
    </cfRule>
  </conditionalFormatting>
  <conditionalFormatting sqref="AA41">
    <cfRule type="expression" priority="39" dxfId="0">
      <formula>OR(AND(ISNUMBER(AA41),AA41&gt;0.0005),AA41="novo")</formula>
    </cfRule>
    <cfRule type="expression" priority="40" dxfId="1">
      <formula>AND(ISNUMBER(AA41),AA41&lt;-0.0005)</formula>
    </cfRule>
  </conditionalFormatting>
  <conditionalFormatting sqref="AA42">
    <cfRule type="expression" priority="41" dxfId="0">
      <formula>OR(AND(ISNUMBER(AA42),AA42&gt;0.0005),AA42="novo")</formula>
    </cfRule>
    <cfRule type="expression" priority="42" dxfId="1">
      <formula>AND(ISNUMBER(AA42),AA42&lt;-0.0005)</formula>
    </cfRule>
  </conditionalFormatting>
  <dataValidations count="4">
    <dataValidation sqref="B7" showDropDown="0" showInputMessage="0" showErrorMessage="1" allowBlank="0" errorTitle="Filtro" error="Escolha um valor da lista." type="list">
      <formula1>=Dados!$U$2:$U$4</formula1>
    </dataValidation>
    <dataValidation sqref="H7" showDropDown="0" showInputMessage="0" showErrorMessage="1" allowBlank="0" errorTitle="Filtro" error="Escolha um valor da lista." type="list">
      <formula1>=Dados!$T$2:$T$13</formula1>
    </dataValidation>
    <dataValidation sqref="K7" showDropDown="0" showInputMessage="0" showErrorMessage="1" allowBlank="0" errorTitle="Filtro" error="Escolha um valor da lista." type="list">
      <formula1>=Dados!$V$2:$V$9</formula1>
    </dataValidation>
    <dataValidation sqref="V7" showDropDown="0" showInputMessage="0" showErrorMessage="1" allowBlank="0" errorTitle="Filtro" error="Escolha um valor da lista." type="list">
      <formula1>=Dados!$X$2:$X$35</formula1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Familia</t>
        </is>
      </c>
      <c r="D1" t="inlineStr">
        <is>
          <t>Segmento</t>
        </is>
      </c>
      <c r="E1" t="inlineStr">
        <is>
          <t>Receita</t>
        </is>
      </c>
      <c r="F1" t="inlineStr">
        <is>
          <t>Kg</t>
        </is>
      </c>
      <c r="G1" t="inlineStr">
        <is>
          <t>Qtde</t>
        </is>
      </c>
      <c r="J1" t="inlineStr">
        <is>
          <t>Tipo</t>
        </is>
      </c>
      <c r="K1" t="inlineStr">
        <is>
          <t>Ano</t>
        </is>
      </c>
      <c r="L1" t="inlineStr">
        <is>
          <t>Mes</t>
        </is>
      </c>
      <c r="M1" t="inlineStr">
        <is>
          <t>Familia</t>
        </is>
      </c>
      <c r="N1" t="inlineStr">
        <is>
          <t>Segmento</t>
        </is>
      </c>
      <c r="O1" t="inlineStr">
        <is>
          <t>Clientes</t>
        </is>
      </c>
      <c r="P1" t="inlineStr">
        <is>
          <t>Pedidos</t>
        </is>
      </c>
      <c r="Q1" t="inlineStr">
        <is>
          <t>Novos</t>
        </is>
      </c>
      <c r="T1" t="inlineStr">
        <is>
          <t>Meses</t>
        </is>
      </c>
      <c r="U1" t="inlineStr">
        <is>
          <t>Anos</t>
        </is>
      </c>
      <c r="V1" t="inlineStr">
        <is>
          <t>Produtos</t>
        </is>
      </c>
      <c r="W1" t="inlineStr">
        <is>
          <t>Codigos</t>
        </is>
      </c>
      <c r="X1" t="inlineStr">
        <is>
          <t>Segmentos</t>
        </is>
      </c>
      <c r="Y1" t="inlineStr">
        <is>
          <t>UltimoMes</t>
        </is>
      </c>
      <c r="AA1" t="inlineStr">
        <is>
          <t>Fornecedor</t>
        </is>
      </c>
    </row>
    <row r="2">
      <c r="A2" t="n">
        <v>2024</v>
      </c>
      <c r="B2" t="n">
        <v>1</v>
      </c>
      <c r="C2" t="inlineStr">
        <is>
          <t>Chocolate em pó 50% 1 kg</t>
        </is>
      </c>
      <c r="D2" t="inlineStr">
        <is>
          <t>Bar / Chopperia</t>
        </is>
      </c>
      <c r="E2" t="n">
        <v>56.04</v>
      </c>
      <c r="F2" t="n">
        <v>2.04</v>
      </c>
      <c r="G2" t="n">
        <v>2</v>
      </c>
      <c r="J2" t="inlineStr">
        <is>
          <t>A</t>
        </is>
      </c>
      <c r="K2" t="n">
        <v>2024</v>
      </c>
      <c r="L2" t="n">
        <v>1</v>
      </c>
      <c r="M2" t="inlineStr">
        <is>
          <t>Todos</t>
        </is>
      </c>
      <c r="N2" t="inlineStr">
        <is>
          <t>Todos</t>
        </is>
      </c>
      <c r="O2" t="n">
        <v>184</v>
      </c>
      <c r="P2" t="n">
        <v>458</v>
      </c>
      <c r="Q2" t="n">
        <v>184</v>
      </c>
      <c r="T2" t="inlineStr">
        <is>
          <t>jan</t>
        </is>
      </c>
      <c r="U2" t="n">
        <v>2024</v>
      </c>
      <c r="V2" t="inlineStr">
        <is>
          <t>Todos</t>
        </is>
      </c>
      <c r="X2" t="inlineStr">
        <is>
          <t>Todos</t>
        </is>
      </c>
      <c r="Y2" t="n">
        <v>12</v>
      </c>
      <c r="AA2" t="inlineStr">
        <is>
          <t>Alibra</t>
        </is>
      </c>
    </row>
    <row r="3">
      <c r="A3" t="n">
        <v>2024</v>
      </c>
      <c r="B3" t="n">
        <v>1</v>
      </c>
      <c r="C3" t="inlineStr">
        <is>
          <t>Chocolate em pó 50% 1 kg</t>
        </is>
      </c>
      <c r="D3" t="inlineStr">
        <is>
          <t>Casa Noturna</t>
        </is>
      </c>
      <c r="E3" t="n">
        <v>27.8</v>
      </c>
      <c r="F3" t="n">
        <v>1.02</v>
      </c>
      <c r="G3" t="n">
        <v>1</v>
      </c>
      <c r="J3" t="inlineStr">
        <is>
          <t>M</t>
        </is>
      </c>
      <c r="K3" t="n">
        <v>2024</v>
      </c>
      <c r="L3" t="n">
        <v>1</v>
      </c>
      <c r="M3" t="inlineStr">
        <is>
          <t>Todos</t>
        </is>
      </c>
      <c r="N3" t="inlineStr">
        <is>
          <t>Todos</t>
        </is>
      </c>
      <c r="O3" t="n">
        <v>184</v>
      </c>
      <c r="P3" t="n">
        <v>458</v>
      </c>
      <c r="Q3" t="n">
        <v>0</v>
      </c>
      <c r="T3" t="inlineStr">
        <is>
          <t>fev</t>
        </is>
      </c>
      <c r="U3" t="n">
        <v>2025</v>
      </c>
      <c r="V3" t="inlineStr">
        <is>
          <t>Muçarela Mozzana 2 kg</t>
        </is>
      </c>
      <c r="W3" t="inlineStr">
        <is>
          <t>4657 · 8556</t>
        </is>
      </c>
      <c r="X3" t="inlineStr">
        <is>
          <t>Pizzaria</t>
        </is>
      </c>
      <c r="Y3" t="n">
        <v>12</v>
      </c>
    </row>
    <row r="4">
      <c r="A4" t="n">
        <v>2024</v>
      </c>
      <c r="B4" t="n">
        <v>1</v>
      </c>
      <c r="C4" t="inlineStr">
        <is>
          <t>Chocolate em pó 50% 1 kg</t>
        </is>
      </c>
      <c r="D4" t="inlineStr">
        <is>
          <t>Churrascaria</t>
        </is>
      </c>
      <c r="E4" t="n">
        <v>27.9</v>
      </c>
      <c r="F4" t="n">
        <v>1.02</v>
      </c>
      <c r="G4" t="n">
        <v>1</v>
      </c>
      <c r="J4" t="inlineStr">
        <is>
          <t>A</t>
        </is>
      </c>
      <c r="K4" t="n">
        <v>2024</v>
      </c>
      <c r="L4" t="n">
        <v>2</v>
      </c>
      <c r="M4" t="inlineStr">
        <is>
          <t>Todos</t>
        </is>
      </c>
      <c r="N4" t="inlineStr">
        <is>
          <t>Todos</t>
        </is>
      </c>
      <c r="O4" t="n">
        <v>245</v>
      </c>
      <c r="P4" t="n">
        <v>862</v>
      </c>
      <c r="Q4" t="n">
        <v>245</v>
      </c>
      <c r="T4" t="inlineStr">
        <is>
          <t>mar</t>
        </is>
      </c>
      <c r="U4" t="n">
        <v>2026</v>
      </c>
      <c r="V4" t="inlineStr">
        <is>
          <t>Muçarela Mozzalet 2 kg</t>
        </is>
      </c>
      <c r="W4" t="inlineStr">
        <is>
          <t>4785</t>
        </is>
      </c>
      <c r="X4" t="inlineStr">
        <is>
          <t>Restaurante / Cantina</t>
        </is>
      </c>
      <c r="Y4" t="n">
        <v>9</v>
      </c>
    </row>
    <row r="5">
      <c r="A5" t="n">
        <v>2024</v>
      </c>
      <c r="B5" t="n">
        <v>1</v>
      </c>
      <c r="C5" t="inlineStr">
        <is>
          <t>Chocolate em pó 50% 1 kg</t>
        </is>
      </c>
      <c r="D5" t="inlineStr">
        <is>
          <t>Hamburgueria</t>
        </is>
      </c>
      <c r="E5" t="n">
        <v>27.81</v>
      </c>
      <c r="F5" t="n">
        <v>1.02</v>
      </c>
      <c r="G5" t="n">
        <v>1</v>
      </c>
      <c r="J5" t="inlineStr">
        <is>
          <t>M</t>
        </is>
      </c>
      <c r="K5" t="n">
        <v>2024</v>
      </c>
      <c r="L5" t="n">
        <v>2</v>
      </c>
      <c r="M5" t="inlineStr">
        <is>
          <t>Todos</t>
        </is>
      </c>
      <c r="N5" t="inlineStr">
        <is>
          <t>Todos</t>
        </is>
      </c>
      <c r="O5" t="n">
        <v>190</v>
      </c>
      <c r="P5" t="n">
        <v>404</v>
      </c>
      <c r="Q5" t="n">
        <v>0</v>
      </c>
      <c r="T5" t="inlineStr">
        <is>
          <t>abr</t>
        </is>
      </c>
      <c r="V5" t="inlineStr">
        <is>
          <t>Requeijão Pizzalet 1,8 kg</t>
        </is>
      </c>
      <c r="W5" t="inlineStr">
        <is>
          <t>4701</t>
        </is>
      </c>
      <c r="X5" t="inlineStr">
        <is>
          <t>Cozinha Industrial</t>
        </is>
      </c>
    </row>
    <row r="6">
      <c r="A6" t="n">
        <v>2024</v>
      </c>
      <c r="B6" t="n">
        <v>1</v>
      </c>
      <c r="C6" t="inlineStr">
        <is>
          <t>Chocolate em pó 50% 1 kg</t>
        </is>
      </c>
      <c r="D6" t="inlineStr">
        <is>
          <t>Hotel / Motel / Pousada</t>
        </is>
      </c>
      <c r="E6" t="n">
        <v>904</v>
      </c>
      <c r="F6" t="n">
        <v>33.66</v>
      </c>
      <c r="G6" t="n">
        <v>33</v>
      </c>
      <c r="J6" t="inlineStr">
        <is>
          <t>A</t>
        </is>
      </c>
      <c r="K6" t="n">
        <v>2024</v>
      </c>
      <c r="L6" t="n">
        <v>3</v>
      </c>
      <c r="M6" t="inlineStr">
        <is>
          <t>Todos</t>
        </is>
      </c>
      <c r="N6" t="inlineStr">
        <is>
          <t>Todos</t>
        </is>
      </c>
      <c r="O6" t="n">
        <v>301</v>
      </c>
      <c r="P6" t="n">
        <v>1292</v>
      </c>
      <c r="Q6" t="n">
        <v>301</v>
      </c>
      <c r="T6" t="inlineStr">
        <is>
          <t>mai</t>
        </is>
      </c>
      <c r="V6" t="inlineStr">
        <is>
          <t>Chocolate em pó 50% 1 kg</t>
        </is>
      </c>
      <c r="W6" t="inlineStr">
        <is>
          <t>4810</t>
        </is>
      </c>
      <c r="X6" t="inlineStr">
        <is>
          <t>Fábrica de Massas</t>
        </is>
      </c>
    </row>
    <row r="7">
      <c r="A7" t="n">
        <v>2024</v>
      </c>
      <c r="B7" t="n">
        <v>1</v>
      </c>
      <c r="C7" t="inlineStr">
        <is>
          <t>Chocolate em pó 50% 1 kg</t>
        </is>
      </c>
      <c r="D7" t="inlineStr">
        <is>
          <t>Instituição Religiosa</t>
        </is>
      </c>
      <c r="E7" t="n">
        <v>112.08</v>
      </c>
      <c r="F7" t="n">
        <v>4.08</v>
      </c>
      <c r="G7" t="n">
        <v>4</v>
      </c>
      <c r="J7" t="inlineStr">
        <is>
          <t>M</t>
        </is>
      </c>
      <c r="K7" t="n">
        <v>2024</v>
      </c>
      <c r="L7" t="n">
        <v>3</v>
      </c>
      <c r="M7" t="inlineStr">
        <is>
          <t>Todos</t>
        </is>
      </c>
      <c r="N7" t="inlineStr">
        <is>
          <t>Todos</t>
        </is>
      </c>
      <c r="O7" t="n">
        <v>200</v>
      </c>
      <c r="P7" t="n">
        <v>430</v>
      </c>
      <c r="Q7" t="n">
        <v>0</v>
      </c>
      <c r="T7" t="inlineStr">
        <is>
          <t>jun</t>
        </is>
      </c>
      <c r="V7" t="inlineStr">
        <is>
          <t>Composto lácteo Alibralac 1 kg</t>
        </is>
      </c>
      <c r="W7" t="inlineStr">
        <is>
          <t>6335</t>
        </is>
      </c>
      <c r="X7" t="inlineStr">
        <is>
          <t>Outros</t>
        </is>
      </c>
    </row>
    <row r="8">
      <c r="A8" t="n">
        <v>2024</v>
      </c>
      <c r="B8" t="n">
        <v>1</v>
      </c>
      <c r="C8" t="inlineStr">
        <is>
          <t>Chocolate em pó 50% 1 kg</t>
        </is>
      </c>
      <c r="D8" t="inlineStr">
        <is>
          <t>Lanchonete / Cafeteria</t>
        </is>
      </c>
      <c r="E8" t="n">
        <v>83.70999999999999</v>
      </c>
      <c r="F8" t="n">
        <v>3.06</v>
      </c>
      <c r="G8" t="n">
        <v>3</v>
      </c>
      <c r="J8" t="inlineStr">
        <is>
          <t>A</t>
        </is>
      </c>
      <c r="K8" t="n">
        <v>2024</v>
      </c>
      <c r="L8" t="n">
        <v>4</v>
      </c>
      <c r="M8" t="inlineStr">
        <is>
          <t>Todos</t>
        </is>
      </c>
      <c r="N8" t="inlineStr">
        <is>
          <t>Todos</t>
        </is>
      </c>
      <c r="O8" t="n">
        <v>353</v>
      </c>
      <c r="P8" t="n">
        <v>1826</v>
      </c>
      <c r="Q8" t="n">
        <v>353</v>
      </c>
      <c r="T8" t="inlineStr">
        <is>
          <t>jul</t>
        </is>
      </c>
      <c r="V8" t="inlineStr">
        <is>
          <t>Composto lácteo Merilú 400 g</t>
        </is>
      </c>
      <c r="W8" t="inlineStr">
        <is>
          <t>6336</t>
        </is>
      </c>
      <c r="X8" t="inlineStr">
        <is>
          <t>Pessoa Física</t>
        </is>
      </c>
    </row>
    <row r="9">
      <c r="A9" t="n">
        <v>2024</v>
      </c>
      <c r="B9" t="n">
        <v>1</v>
      </c>
      <c r="C9" t="inlineStr">
        <is>
          <t>Chocolate em pó 50% 1 kg</t>
        </is>
      </c>
      <c r="D9" t="inlineStr">
        <is>
          <t>Outros</t>
        </is>
      </c>
      <c r="E9" t="n">
        <v>80.81</v>
      </c>
      <c r="F9" t="n">
        <v>3.06</v>
      </c>
      <c r="G9" t="n">
        <v>3</v>
      </c>
      <c r="J9" t="inlineStr">
        <is>
          <t>M</t>
        </is>
      </c>
      <c r="K9" t="n">
        <v>2024</v>
      </c>
      <c r="L9" t="n">
        <v>4</v>
      </c>
      <c r="M9" t="inlineStr">
        <is>
          <t>Todos</t>
        </is>
      </c>
      <c r="N9" t="inlineStr">
        <is>
          <t>Todos</t>
        </is>
      </c>
      <c r="O9" t="n">
        <v>214</v>
      </c>
      <c r="P9" t="n">
        <v>534</v>
      </c>
      <c r="Q9" t="n">
        <v>0</v>
      </c>
      <c r="T9" t="inlineStr">
        <is>
          <t>ago</t>
        </is>
      </c>
      <c r="V9" t="inlineStr">
        <is>
          <t>Parmesão ralado Parmozzana 1 kg</t>
        </is>
      </c>
      <c r="W9" t="inlineStr">
        <is>
          <t>7891 · 8283</t>
        </is>
      </c>
      <c r="X9" t="inlineStr">
        <is>
          <t>Pastelaria</t>
        </is>
      </c>
    </row>
    <row r="10">
      <c r="A10" t="n">
        <v>2024</v>
      </c>
      <c r="B10" t="n">
        <v>1</v>
      </c>
      <c r="C10" t="inlineStr">
        <is>
          <t>Chocolate em pó 50% 1 kg</t>
        </is>
      </c>
      <c r="D10" t="inlineStr">
        <is>
          <t>Padaria</t>
        </is>
      </c>
      <c r="E10" t="n">
        <v>27</v>
      </c>
      <c r="F10" t="n">
        <v>1.02</v>
      </c>
      <c r="G10" t="n">
        <v>1</v>
      </c>
      <c r="J10" t="inlineStr">
        <is>
          <t>A</t>
        </is>
      </c>
      <c r="K10" t="n">
        <v>2024</v>
      </c>
      <c r="L10" t="n">
        <v>5</v>
      </c>
      <c r="M10" t="inlineStr">
        <is>
          <t>Todos</t>
        </is>
      </c>
      <c r="N10" t="inlineStr">
        <is>
          <t>Todos</t>
        </is>
      </c>
      <c r="O10" t="n">
        <v>409</v>
      </c>
      <c r="P10" t="n">
        <v>2321</v>
      </c>
      <c r="Q10" t="n">
        <v>409</v>
      </c>
      <c r="T10" t="inlineStr">
        <is>
          <t>set</t>
        </is>
      </c>
      <c r="X10" t="inlineStr">
        <is>
          <t>Esfiharia</t>
        </is>
      </c>
    </row>
    <row r="11">
      <c r="A11" t="n">
        <v>2024</v>
      </c>
      <c r="B11" t="n">
        <v>1</v>
      </c>
      <c r="C11" t="inlineStr">
        <is>
          <t>Chocolate em pó 50% 1 kg</t>
        </is>
      </c>
      <c r="D11" t="inlineStr">
        <is>
          <t>Pizzaria</t>
        </is>
      </c>
      <c r="E11" t="n">
        <v>304.43</v>
      </c>
      <c r="F11" t="n">
        <v>11.22</v>
      </c>
      <c r="G11" t="n">
        <v>11</v>
      </c>
      <c r="J11" t="inlineStr">
        <is>
          <t>M</t>
        </is>
      </c>
      <c r="K11" t="n">
        <v>2024</v>
      </c>
      <c r="L11" t="n">
        <v>5</v>
      </c>
      <c r="M11" t="inlineStr">
        <is>
          <t>Todos</t>
        </is>
      </c>
      <c r="N11" t="inlineStr">
        <is>
          <t>Todos</t>
        </is>
      </c>
      <c r="O11" t="n">
        <v>224</v>
      </c>
      <c r="P11" t="n">
        <v>495</v>
      </c>
      <c r="Q11" t="n">
        <v>0</v>
      </c>
      <c r="T11" t="inlineStr">
        <is>
          <t>out</t>
        </is>
      </c>
      <c r="X11" t="inlineStr">
        <is>
          <t>Lanchonete / Cafeteria</t>
        </is>
      </c>
    </row>
    <row r="12">
      <c r="A12" t="n">
        <v>2024</v>
      </c>
      <c r="B12" t="n">
        <v>1</v>
      </c>
      <c r="C12" t="inlineStr">
        <is>
          <t>Chocolate em pó 50% 1 kg</t>
        </is>
      </c>
      <c r="D12" t="inlineStr">
        <is>
          <t>Restaurante / Cantina</t>
        </is>
      </c>
      <c r="E12" t="n">
        <v>953.1</v>
      </c>
      <c r="F12" t="n">
        <v>34.68</v>
      </c>
      <c r="G12" t="n">
        <v>34</v>
      </c>
      <c r="J12" t="inlineStr">
        <is>
          <t>A</t>
        </is>
      </c>
      <c r="K12" t="n">
        <v>2024</v>
      </c>
      <c r="L12" t="n">
        <v>6</v>
      </c>
      <c r="M12" t="inlineStr">
        <is>
          <t>Todos</t>
        </is>
      </c>
      <c r="N12" t="inlineStr">
        <is>
          <t>Todos</t>
        </is>
      </c>
      <c r="O12" t="n">
        <v>479</v>
      </c>
      <c r="P12" t="n">
        <v>2859</v>
      </c>
      <c r="Q12" t="n">
        <v>479</v>
      </c>
      <c r="T12" t="inlineStr">
        <is>
          <t>nov</t>
        </is>
      </c>
      <c r="X12" t="inlineStr">
        <is>
          <t>Padaria</t>
        </is>
      </c>
    </row>
    <row r="13">
      <c r="A13" t="n">
        <v>2024</v>
      </c>
      <c r="B13" t="n">
        <v>1</v>
      </c>
      <c r="C13" t="inlineStr">
        <is>
          <t>Chocolate em pó 50% 1 kg</t>
        </is>
      </c>
      <c r="D13" t="inlineStr">
        <is>
          <t>Supermercado</t>
        </is>
      </c>
      <c r="E13" t="n">
        <v>506.48</v>
      </c>
      <c r="F13" t="n">
        <v>18.36</v>
      </c>
      <c r="G13" t="n">
        <v>18</v>
      </c>
      <c r="J13" t="inlineStr">
        <is>
          <t>M</t>
        </is>
      </c>
      <c r="K13" t="n">
        <v>2024</v>
      </c>
      <c r="L13" t="n">
        <v>6</v>
      </c>
      <c r="M13" t="inlineStr">
        <is>
          <t>Todos</t>
        </is>
      </c>
      <c r="N13" t="inlineStr">
        <is>
          <t>Todos</t>
        </is>
      </c>
      <c r="O13" t="n">
        <v>252</v>
      </c>
      <c r="P13" t="n">
        <v>538</v>
      </c>
      <c r="Q13" t="n">
        <v>0</v>
      </c>
      <c r="T13" t="inlineStr">
        <is>
          <t>dez</t>
        </is>
      </c>
      <c r="X13" t="inlineStr">
        <is>
          <t>Supermercado</t>
        </is>
      </c>
    </row>
    <row r="14">
      <c r="A14" t="n">
        <v>2024</v>
      </c>
      <c r="B14" t="n">
        <v>1</v>
      </c>
      <c r="C14" t="inlineStr">
        <is>
          <t>Composto lácteo Alibralac 1 kg</t>
        </is>
      </c>
      <c r="D14" t="inlineStr">
        <is>
          <t>Fábrica de Massas</t>
        </is>
      </c>
      <c r="E14" t="n">
        <v>95</v>
      </c>
      <c r="F14" t="n">
        <v>5.1</v>
      </c>
      <c r="G14" t="n">
        <v>5</v>
      </c>
      <c r="J14" t="inlineStr">
        <is>
          <t>A</t>
        </is>
      </c>
      <c r="K14" t="n">
        <v>2024</v>
      </c>
      <c r="L14" t="n">
        <v>7</v>
      </c>
      <c r="M14" t="inlineStr">
        <is>
          <t>Todos</t>
        </is>
      </c>
      <c r="N14" t="inlineStr">
        <is>
          <t>Todos</t>
        </is>
      </c>
      <c r="O14" t="n">
        <v>533</v>
      </c>
      <c r="P14" t="n">
        <v>3456</v>
      </c>
      <c r="Q14" t="n">
        <v>533</v>
      </c>
      <c r="X14" t="inlineStr">
        <is>
          <t>Rotisserie</t>
        </is>
      </c>
    </row>
    <row r="15">
      <c r="A15" t="n">
        <v>2024</v>
      </c>
      <c r="B15" t="n">
        <v>1</v>
      </c>
      <c r="C15" t="inlineStr">
        <is>
          <t>Composto lácteo Alibralac 1 kg</t>
        </is>
      </c>
      <c r="D15" t="inlineStr">
        <is>
          <t>Hotel / Motel / Pousada</t>
        </is>
      </c>
      <c r="E15" t="n">
        <v>959.5</v>
      </c>
      <c r="F15" t="n">
        <v>51</v>
      </c>
      <c r="G15" t="n">
        <v>50</v>
      </c>
      <c r="J15" t="inlineStr">
        <is>
          <t>M</t>
        </is>
      </c>
      <c r="K15" t="n">
        <v>2024</v>
      </c>
      <c r="L15" t="n">
        <v>7</v>
      </c>
      <c r="M15" t="inlineStr">
        <is>
          <t>Todos</t>
        </is>
      </c>
      <c r="N15" t="inlineStr">
        <is>
          <t>Todos</t>
        </is>
      </c>
      <c r="O15" t="n">
        <v>257</v>
      </c>
      <c r="P15" t="n">
        <v>597</v>
      </c>
      <c r="Q15" t="n">
        <v>0</v>
      </c>
      <c r="X15" t="inlineStr">
        <is>
          <t>Mercearia / Sacolão</t>
        </is>
      </c>
    </row>
    <row r="16">
      <c r="A16" t="n">
        <v>2024</v>
      </c>
      <c r="B16" t="n">
        <v>1</v>
      </c>
      <c r="C16" t="inlineStr">
        <is>
          <t>Composto lácteo Alibralac 1 kg</t>
        </is>
      </c>
      <c r="D16" t="inlineStr">
        <is>
          <t>Mercearia / Sacolão</t>
        </is>
      </c>
      <c r="E16" t="n">
        <v>76</v>
      </c>
      <c r="F16" t="n">
        <v>4.08</v>
      </c>
      <c r="G16" t="n">
        <v>4</v>
      </c>
      <c r="J16" t="inlineStr">
        <is>
          <t>A</t>
        </is>
      </c>
      <c r="K16" t="n">
        <v>2024</v>
      </c>
      <c r="L16" t="n">
        <v>8</v>
      </c>
      <c r="M16" t="inlineStr">
        <is>
          <t>Todos</t>
        </is>
      </c>
      <c r="N16" t="inlineStr">
        <is>
          <t>Todos</t>
        </is>
      </c>
      <c r="O16" t="n">
        <v>613</v>
      </c>
      <c r="P16" t="n">
        <v>4002</v>
      </c>
      <c r="Q16" t="n">
        <v>613</v>
      </c>
      <c r="X16" t="inlineStr">
        <is>
          <t>Buffet</t>
        </is>
      </c>
    </row>
    <row r="17">
      <c r="A17" t="n">
        <v>2024</v>
      </c>
      <c r="B17" t="n">
        <v>1</v>
      </c>
      <c r="C17" t="inlineStr">
        <is>
          <t>Composto lácteo Alibralac 1 kg</t>
        </is>
      </c>
      <c r="D17" t="inlineStr">
        <is>
          <t>Pizzaria</t>
        </is>
      </c>
      <c r="E17" t="n">
        <v>760</v>
      </c>
      <c r="F17" t="n">
        <v>40.8</v>
      </c>
      <c r="G17" t="n">
        <v>40</v>
      </c>
      <c r="J17" t="inlineStr">
        <is>
          <t>M</t>
        </is>
      </c>
      <c r="K17" t="n">
        <v>2024</v>
      </c>
      <c r="L17" t="n">
        <v>8</v>
      </c>
      <c r="M17" t="inlineStr">
        <is>
          <t>Todos</t>
        </is>
      </c>
      <c r="N17" t="inlineStr">
        <is>
          <t>Todos</t>
        </is>
      </c>
      <c r="O17" t="n">
        <v>269</v>
      </c>
      <c r="P17" t="n">
        <v>546</v>
      </c>
      <c r="Q17" t="n">
        <v>0</v>
      </c>
      <c r="X17" t="inlineStr">
        <is>
          <t>Hotel / Motel / Pousada</t>
        </is>
      </c>
    </row>
    <row r="18">
      <c r="A18" t="n">
        <v>2024</v>
      </c>
      <c r="B18" t="n">
        <v>1</v>
      </c>
      <c r="C18" t="inlineStr">
        <is>
          <t>Composto lácteo Merilú 400 g</t>
        </is>
      </c>
      <c r="D18" t="inlineStr">
        <is>
          <t>Casa Noturna</t>
        </is>
      </c>
      <c r="E18" t="n">
        <v>198.75</v>
      </c>
      <c r="F18" t="n">
        <v>10.5</v>
      </c>
      <c r="G18" t="n">
        <v>25</v>
      </c>
      <c r="J18" t="inlineStr">
        <is>
          <t>A</t>
        </is>
      </c>
      <c r="K18" t="n">
        <v>2024</v>
      </c>
      <c r="L18" t="n">
        <v>9</v>
      </c>
      <c r="M18" t="inlineStr">
        <is>
          <t>Todos</t>
        </is>
      </c>
      <c r="N18" t="inlineStr">
        <is>
          <t>Todos</t>
        </is>
      </c>
      <c r="O18" t="n">
        <v>662</v>
      </c>
      <c r="P18" t="n">
        <v>4525</v>
      </c>
      <c r="Q18" t="n">
        <v>662</v>
      </c>
      <c r="X18" t="inlineStr">
        <is>
          <t>Hamburgueria</t>
        </is>
      </c>
    </row>
    <row r="19">
      <c r="A19" t="n">
        <v>2024</v>
      </c>
      <c r="B19" t="n">
        <v>1</v>
      </c>
      <c r="C19" t="inlineStr">
        <is>
          <t>Composto lácteo Merilú 400 g</t>
        </is>
      </c>
      <c r="D19" t="inlineStr">
        <is>
          <t>Churrascaria</t>
        </is>
      </c>
      <c r="E19" t="n">
        <v>79.3</v>
      </c>
      <c r="F19" t="n">
        <v>4.2</v>
      </c>
      <c r="G19" t="n">
        <v>10</v>
      </c>
      <c r="J19" t="inlineStr">
        <is>
          <t>M</t>
        </is>
      </c>
      <c r="K19" t="n">
        <v>2024</v>
      </c>
      <c r="L19" t="n">
        <v>9</v>
      </c>
      <c r="M19" t="inlineStr">
        <is>
          <t>Todos</t>
        </is>
      </c>
      <c r="N19" t="inlineStr">
        <is>
          <t>Todos</t>
        </is>
      </c>
      <c r="O19" t="n">
        <v>231</v>
      </c>
      <c r="P19" t="n">
        <v>523</v>
      </c>
      <c r="Q19" t="n">
        <v>0</v>
      </c>
      <c r="X19" t="inlineStr">
        <is>
          <t>Laticínios / Distribuidor</t>
        </is>
      </c>
    </row>
    <row r="20">
      <c r="A20" t="n">
        <v>2024</v>
      </c>
      <c r="B20" t="n">
        <v>1</v>
      </c>
      <c r="C20" t="inlineStr">
        <is>
          <t>Composto lácteo Merilú 400 g</t>
        </is>
      </c>
      <c r="D20" t="inlineStr">
        <is>
          <t>Cozinha Industrial</t>
        </is>
      </c>
      <c r="E20" t="n">
        <v>382.5</v>
      </c>
      <c r="F20" t="n">
        <v>21.42</v>
      </c>
      <c r="G20" t="n">
        <v>51</v>
      </c>
      <c r="J20" t="inlineStr">
        <is>
          <t>A</t>
        </is>
      </c>
      <c r="K20" t="n">
        <v>2024</v>
      </c>
      <c r="L20" t="n">
        <v>10</v>
      </c>
      <c r="M20" t="inlineStr">
        <is>
          <t>Todos</t>
        </is>
      </c>
      <c r="N20" t="inlineStr">
        <is>
          <t>Todos</t>
        </is>
      </c>
      <c r="O20" t="n">
        <v>698</v>
      </c>
      <c r="P20" t="n">
        <v>5119</v>
      </c>
      <c r="Q20" t="n">
        <v>698</v>
      </c>
      <c r="X20" t="inlineStr">
        <is>
          <t>Cozinha Oriental</t>
        </is>
      </c>
    </row>
    <row r="21">
      <c r="A21" t="n">
        <v>2024</v>
      </c>
      <c r="B21" t="n">
        <v>1</v>
      </c>
      <c r="C21" t="inlineStr">
        <is>
          <t>Composto lácteo Merilú 400 g</t>
        </is>
      </c>
      <c r="D21" t="inlineStr">
        <is>
          <t>Esfiharia</t>
        </is>
      </c>
      <c r="E21" t="n">
        <v>21.39</v>
      </c>
      <c r="F21" t="n">
        <v>1.26</v>
      </c>
      <c r="G21" t="n">
        <v>3</v>
      </c>
      <c r="J21" t="inlineStr">
        <is>
          <t>M</t>
        </is>
      </c>
      <c r="K21" t="n">
        <v>2024</v>
      </c>
      <c r="L21" t="n">
        <v>10</v>
      </c>
      <c r="M21" t="inlineStr">
        <is>
          <t>Todos</t>
        </is>
      </c>
      <c r="N21" t="inlineStr">
        <is>
          <t>Todos</t>
        </is>
      </c>
      <c r="O21" t="n">
        <v>247</v>
      </c>
      <c r="P21" t="n">
        <v>594</v>
      </c>
      <c r="Q21" t="n">
        <v>0</v>
      </c>
      <c r="X21" t="inlineStr">
        <is>
          <t>Adega</t>
        </is>
      </c>
    </row>
    <row r="22">
      <c r="A22" t="n">
        <v>2024</v>
      </c>
      <c r="B22" t="n">
        <v>1</v>
      </c>
      <c r="C22" t="inlineStr">
        <is>
          <t>Composto lácteo Merilú 400 g</t>
        </is>
      </c>
      <c r="D22" t="inlineStr">
        <is>
          <t>Hamburgueria</t>
        </is>
      </c>
      <c r="E22" t="n">
        <v>819.95</v>
      </c>
      <c r="F22" t="n">
        <v>48.3</v>
      </c>
      <c r="G22" t="n">
        <v>115</v>
      </c>
      <c r="J22" t="inlineStr">
        <is>
          <t>A</t>
        </is>
      </c>
      <c r="K22" t="n">
        <v>2024</v>
      </c>
      <c r="L22" t="n">
        <v>11</v>
      </c>
      <c r="M22" t="inlineStr">
        <is>
          <t>Todos</t>
        </is>
      </c>
      <c r="N22" t="inlineStr">
        <is>
          <t>Todos</t>
        </is>
      </c>
      <c r="O22" t="n">
        <v>733</v>
      </c>
      <c r="P22" t="n">
        <v>5634</v>
      </c>
      <c r="Q22" t="n">
        <v>733</v>
      </c>
      <c r="X22" t="inlineStr">
        <is>
          <t>Bar / Chopperia</t>
        </is>
      </c>
    </row>
    <row r="23">
      <c r="A23" t="n">
        <v>2024</v>
      </c>
      <c r="B23" t="n">
        <v>1</v>
      </c>
      <c r="C23" t="inlineStr">
        <is>
          <t>Composto lácteo Merilú 400 g</t>
        </is>
      </c>
      <c r="D23" t="inlineStr">
        <is>
          <t>Hospital / Casa de Repouso</t>
        </is>
      </c>
      <c r="E23" t="n">
        <v>22.5</v>
      </c>
      <c r="F23" t="n">
        <v>1.26</v>
      </c>
      <c r="G23" t="n">
        <v>3</v>
      </c>
      <c r="J23" t="inlineStr">
        <is>
          <t>M</t>
        </is>
      </c>
      <c r="K23" t="n">
        <v>2024</v>
      </c>
      <c r="L23" t="n">
        <v>11</v>
      </c>
      <c r="M23" t="inlineStr">
        <is>
          <t>Todos</t>
        </is>
      </c>
      <c r="N23" t="inlineStr">
        <is>
          <t>Todos</t>
        </is>
      </c>
      <c r="O23" t="n">
        <v>227</v>
      </c>
      <c r="P23" t="n">
        <v>515</v>
      </c>
      <c r="Q23" t="n">
        <v>0</v>
      </c>
      <c r="X23" t="inlineStr">
        <is>
          <t>Confeitaria</t>
        </is>
      </c>
    </row>
    <row r="24">
      <c r="A24" t="n">
        <v>2024</v>
      </c>
      <c r="B24" t="n">
        <v>1</v>
      </c>
      <c r="C24" t="inlineStr">
        <is>
          <t>Composto lácteo Merilú 400 g</t>
        </is>
      </c>
      <c r="D24" t="inlineStr">
        <is>
          <t>Lanchonete / Cafeteria</t>
        </is>
      </c>
      <c r="E24" t="n">
        <v>23.07</v>
      </c>
      <c r="F24" t="n">
        <v>1.26</v>
      </c>
      <c r="G24" t="n">
        <v>3</v>
      </c>
      <c r="J24" t="inlineStr">
        <is>
          <t>A</t>
        </is>
      </c>
      <c r="K24" t="n">
        <v>2024</v>
      </c>
      <c r="L24" t="n">
        <v>12</v>
      </c>
      <c r="M24" t="inlineStr">
        <is>
          <t>Todos</t>
        </is>
      </c>
      <c r="N24" t="inlineStr">
        <is>
          <t>Todos</t>
        </is>
      </c>
      <c r="O24" t="n">
        <v>761</v>
      </c>
      <c r="P24" t="n">
        <v>6144</v>
      </c>
      <c r="Q24" t="n">
        <v>761</v>
      </c>
      <c r="X24" t="inlineStr">
        <is>
          <t>Distribuidor Alimentos</t>
        </is>
      </c>
    </row>
    <row r="25">
      <c r="A25" t="n">
        <v>2024</v>
      </c>
      <c r="B25" t="n">
        <v>1</v>
      </c>
      <c r="C25" t="inlineStr">
        <is>
          <t>Composto lácteo Merilú 400 g</t>
        </is>
      </c>
      <c r="D25" t="inlineStr">
        <is>
          <t>Outros</t>
        </is>
      </c>
      <c r="E25" t="n">
        <v>233.64</v>
      </c>
      <c r="F25" t="n">
        <v>13.86</v>
      </c>
      <c r="G25" t="n">
        <v>33</v>
      </c>
      <c r="J25" t="inlineStr">
        <is>
          <t>M</t>
        </is>
      </c>
      <c r="K25" t="n">
        <v>2024</v>
      </c>
      <c r="L25" t="n">
        <v>12</v>
      </c>
      <c r="M25" t="inlineStr">
        <is>
          <t>Todos</t>
        </is>
      </c>
      <c r="N25" t="inlineStr">
        <is>
          <t>Todos</t>
        </is>
      </c>
      <c r="O25" t="n">
        <v>208</v>
      </c>
      <c r="P25" t="n">
        <v>510</v>
      </c>
      <c r="Q25" t="n">
        <v>0</v>
      </c>
      <c r="X25" t="inlineStr">
        <is>
          <t>Churrascaria</t>
        </is>
      </c>
    </row>
    <row r="26">
      <c r="A26" t="n">
        <v>2024</v>
      </c>
      <c r="B26" t="n">
        <v>1</v>
      </c>
      <c r="C26" t="inlineStr">
        <is>
          <t>Composto lácteo Merilú 400 g</t>
        </is>
      </c>
      <c r="D26" t="inlineStr">
        <is>
          <t>Padaria</t>
        </is>
      </c>
      <c r="E26" t="n">
        <v>601.8</v>
      </c>
      <c r="F26" t="n">
        <v>35.7</v>
      </c>
      <c r="G26" t="n">
        <v>85</v>
      </c>
      <c r="J26" t="inlineStr">
        <is>
          <t>A</t>
        </is>
      </c>
      <c r="K26" t="n">
        <v>2024</v>
      </c>
      <c r="L26" t="n">
        <v>1</v>
      </c>
      <c r="M26" t="inlineStr">
        <is>
          <t>Todos</t>
        </is>
      </c>
      <c r="N26" t="inlineStr">
        <is>
          <t>Pizzaria</t>
        </is>
      </c>
      <c r="O26" t="n">
        <v>63</v>
      </c>
      <c r="P26" t="n">
        <v>208</v>
      </c>
      <c r="Q26" t="n">
        <v>63</v>
      </c>
      <c r="X26" t="inlineStr">
        <is>
          <t>Não Selecionado</t>
        </is>
      </c>
    </row>
    <row r="27">
      <c r="A27" t="n">
        <v>2024</v>
      </c>
      <c r="B27" t="n">
        <v>1</v>
      </c>
      <c r="C27" t="inlineStr">
        <is>
          <t>Composto lácteo Merilú 400 g</t>
        </is>
      </c>
      <c r="D27" t="inlineStr">
        <is>
          <t>Pessoa Física</t>
        </is>
      </c>
      <c r="E27" t="n">
        <v>350</v>
      </c>
      <c r="F27" t="n">
        <v>21</v>
      </c>
      <c r="G27" t="n">
        <v>50</v>
      </c>
      <c r="J27" t="inlineStr">
        <is>
          <t>M</t>
        </is>
      </c>
      <c r="K27" t="n">
        <v>2024</v>
      </c>
      <c r="L27" t="n">
        <v>1</v>
      </c>
      <c r="M27" t="inlineStr">
        <is>
          <t>Todos</t>
        </is>
      </c>
      <c r="N27" t="inlineStr">
        <is>
          <t>Pizzaria</t>
        </is>
      </c>
      <c r="O27" t="n">
        <v>63</v>
      </c>
      <c r="P27" t="n">
        <v>208</v>
      </c>
      <c r="Q27" t="n">
        <v>0</v>
      </c>
      <c r="X27" t="inlineStr">
        <is>
          <t>Loja de Conveniência</t>
        </is>
      </c>
    </row>
    <row r="28">
      <c r="A28" t="n">
        <v>2024</v>
      </c>
      <c r="B28" t="n">
        <v>1</v>
      </c>
      <c r="C28" t="inlineStr">
        <is>
          <t>Composto lácteo Merilú 400 g</t>
        </is>
      </c>
      <c r="D28" t="inlineStr">
        <is>
          <t>Pizzaria</t>
        </is>
      </c>
      <c r="E28" t="n">
        <v>232.04</v>
      </c>
      <c r="F28" t="n">
        <v>13.86</v>
      </c>
      <c r="G28" t="n">
        <v>33</v>
      </c>
      <c r="J28" t="inlineStr">
        <is>
          <t>A</t>
        </is>
      </c>
      <c r="K28" t="n">
        <v>2024</v>
      </c>
      <c r="L28" t="n">
        <v>2</v>
      </c>
      <c r="M28" t="inlineStr">
        <is>
          <t>Todos</t>
        </is>
      </c>
      <c r="N28" t="inlineStr">
        <is>
          <t>Pizzaria</t>
        </is>
      </c>
      <c r="O28" t="n">
        <v>80</v>
      </c>
      <c r="P28" t="n">
        <v>396</v>
      </c>
      <c r="Q28" t="n">
        <v>80</v>
      </c>
      <c r="X28" t="inlineStr">
        <is>
          <t>Hospital / Casa de Repouso</t>
        </is>
      </c>
    </row>
    <row r="29">
      <c r="A29" t="n">
        <v>2024</v>
      </c>
      <c r="B29" t="n">
        <v>1</v>
      </c>
      <c r="C29" t="inlineStr">
        <is>
          <t>Composto lácteo Merilú 400 g</t>
        </is>
      </c>
      <c r="D29" t="inlineStr">
        <is>
          <t>Restaurante / Cantina</t>
        </is>
      </c>
      <c r="E29" t="n">
        <v>202.38</v>
      </c>
      <c r="F29" t="n">
        <v>11.34</v>
      </c>
      <c r="G29" t="n">
        <v>27</v>
      </c>
      <c r="J29" t="inlineStr">
        <is>
          <t>M</t>
        </is>
      </c>
      <c r="K29" t="n">
        <v>2024</v>
      </c>
      <c r="L29" t="n">
        <v>2</v>
      </c>
      <c r="M29" t="inlineStr">
        <is>
          <t>Todos</t>
        </is>
      </c>
      <c r="N29" t="inlineStr">
        <is>
          <t>Pizzaria</t>
        </is>
      </c>
      <c r="O29" t="n">
        <v>69</v>
      </c>
      <c r="P29" t="n">
        <v>188</v>
      </c>
      <c r="Q29" t="n">
        <v>0</v>
      </c>
      <c r="X29" t="inlineStr">
        <is>
          <t>Clube / Associação Desportiva</t>
        </is>
      </c>
    </row>
    <row r="30">
      <c r="A30" t="n">
        <v>2024</v>
      </c>
      <c r="B30" t="n">
        <v>1</v>
      </c>
      <c r="C30" t="inlineStr">
        <is>
          <t>Muçarela Mozzalet 2 kg</t>
        </is>
      </c>
      <c r="D30" t="inlineStr">
        <is>
          <t>Cozinha Industrial</t>
        </is>
      </c>
      <c r="E30" t="n">
        <v>464.16</v>
      </c>
      <c r="F30" t="n">
        <v>24</v>
      </c>
      <c r="G30" t="n">
        <v>12</v>
      </c>
      <c r="J30" t="inlineStr">
        <is>
          <t>A</t>
        </is>
      </c>
      <c r="K30" t="n">
        <v>2024</v>
      </c>
      <c r="L30" t="n">
        <v>3</v>
      </c>
      <c r="M30" t="inlineStr">
        <is>
          <t>Todos</t>
        </is>
      </c>
      <c r="N30" t="inlineStr">
        <is>
          <t>Pizzaria</t>
        </is>
      </c>
      <c r="O30" t="n">
        <v>91</v>
      </c>
      <c r="P30" t="n">
        <v>585</v>
      </c>
      <c r="Q30" t="n">
        <v>91</v>
      </c>
      <c r="X30" t="inlineStr">
        <is>
          <t>Casa Noturna</t>
        </is>
      </c>
    </row>
    <row r="31">
      <c r="A31" t="n">
        <v>2024</v>
      </c>
      <c r="B31" t="n">
        <v>1</v>
      </c>
      <c r="C31" t="inlineStr">
        <is>
          <t>Muçarela Mozzalet 2 kg</t>
        </is>
      </c>
      <c r="D31" t="inlineStr">
        <is>
          <t>Outros</t>
        </is>
      </c>
      <c r="E31" t="n">
        <v>220</v>
      </c>
      <c r="F31" t="n">
        <v>10</v>
      </c>
      <c r="G31" t="n">
        <v>5</v>
      </c>
      <c r="J31" t="inlineStr">
        <is>
          <t>M</t>
        </is>
      </c>
      <c r="K31" t="n">
        <v>2024</v>
      </c>
      <c r="L31" t="n">
        <v>3</v>
      </c>
      <c r="M31" t="inlineStr">
        <is>
          <t>Todos</t>
        </is>
      </c>
      <c r="N31" t="inlineStr">
        <is>
          <t>Pizzaria</t>
        </is>
      </c>
      <c r="O31" t="n">
        <v>66</v>
      </c>
      <c r="P31" t="n">
        <v>189</v>
      </c>
      <c r="Q31" t="n">
        <v>0</v>
      </c>
      <c r="X31" t="inlineStr">
        <is>
          <t>Instituição de Ensino</t>
        </is>
      </c>
    </row>
    <row r="32">
      <c r="A32" t="n">
        <v>2024</v>
      </c>
      <c r="B32" t="n">
        <v>1</v>
      </c>
      <c r="C32" t="inlineStr">
        <is>
          <t>Muçarela Mozzalet 2 kg</t>
        </is>
      </c>
      <c r="D32" t="inlineStr">
        <is>
          <t>Pessoa Física</t>
        </is>
      </c>
      <c r="E32" t="n">
        <v>235.08</v>
      </c>
      <c r="F32" t="n">
        <v>12</v>
      </c>
      <c r="G32" t="n">
        <v>6</v>
      </c>
      <c r="J32" t="inlineStr">
        <is>
          <t>A</t>
        </is>
      </c>
      <c r="K32" t="n">
        <v>2024</v>
      </c>
      <c r="L32" t="n">
        <v>4</v>
      </c>
      <c r="M32" t="inlineStr">
        <is>
          <t>Todos</t>
        </is>
      </c>
      <c r="N32" t="inlineStr">
        <is>
          <t>Pizzaria</t>
        </is>
      </c>
      <c r="O32" t="n">
        <v>103</v>
      </c>
      <c r="P32" t="n">
        <v>825</v>
      </c>
      <c r="Q32" t="n">
        <v>103</v>
      </c>
      <c r="X32" t="inlineStr">
        <is>
          <t>Colaborador</t>
        </is>
      </c>
    </row>
    <row r="33">
      <c r="A33" t="n">
        <v>2024</v>
      </c>
      <c r="B33" t="n">
        <v>1</v>
      </c>
      <c r="C33" t="inlineStr">
        <is>
          <t>Muçarela Mozzalet 2 kg</t>
        </is>
      </c>
      <c r="D33" t="inlineStr">
        <is>
          <t>Pizzaria</t>
        </is>
      </c>
      <c r="E33" t="n">
        <v>3656.61</v>
      </c>
      <c r="F33" t="n">
        <v>190</v>
      </c>
      <c r="G33" t="n">
        <v>95</v>
      </c>
      <c r="J33" t="inlineStr">
        <is>
          <t>M</t>
        </is>
      </c>
      <c r="K33" t="n">
        <v>2024</v>
      </c>
      <c r="L33" t="n">
        <v>4</v>
      </c>
      <c r="M33" t="inlineStr">
        <is>
          <t>Todos</t>
        </is>
      </c>
      <c r="N33" t="inlineStr">
        <is>
          <t>Pizzaria</t>
        </is>
      </c>
      <c r="O33" t="n">
        <v>68</v>
      </c>
      <c r="P33" t="n">
        <v>240</v>
      </c>
      <c r="Q33" t="n">
        <v>0</v>
      </c>
      <c r="X33" t="inlineStr">
        <is>
          <t>Instituição Religiosa</t>
        </is>
      </c>
    </row>
    <row r="34">
      <c r="A34" t="n">
        <v>2024</v>
      </c>
      <c r="B34" t="n">
        <v>1</v>
      </c>
      <c r="C34" t="inlineStr">
        <is>
          <t>Muçarela Mozzana 2 kg</t>
        </is>
      </c>
      <c r="D34" t="inlineStr">
        <is>
          <t>Buffet</t>
        </is>
      </c>
      <c r="E34" t="n">
        <v>687.42</v>
      </c>
      <c r="F34" t="n">
        <v>36.36</v>
      </c>
      <c r="G34" t="n">
        <v>18</v>
      </c>
      <c r="J34" t="inlineStr">
        <is>
          <t>A</t>
        </is>
      </c>
      <c r="K34" t="n">
        <v>2024</v>
      </c>
      <c r="L34" t="n">
        <v>5</v>
      </c>
      <c r="M34" t="inlineStr">
        <is>
          <t>Todos</t>
        </is>
      </c>
      <c r="N34" t="inlineStr">
        <is>
          <t>Pizzaria</t>
        </is>
      </c>
      <c r="O34" t="n">
        <v>126</v>
      </c>
      <c r="P34" t="n">
        <v>1048</v>
      </c>
      <c r="Q34" t="n">
        <v>126</v>
      </c>
      <c r="X34" t="inlineStr">
        <is>
          <t>Orgão Público</t>
        </is>
      </c>
    </row>
    <row r="35">
      <c r="A35" t="n">
        <v>2024</v>
      </c>
      <c r="B35" t="n">
        <v>1</v>
      </c>
      <c r="C35" t="inlineStr">
        <is>
          <t>Muçarela Mozzana 2 kg</t>
        </is>
      </c>
      <c r="D35" t="inlineStr">
        <is>
          <t>Confeitaria</t>
        </is>
      </c>
      <c r="E35" t="n">
        <v>79.14</v>
      </c>
      <c r="F35" t="n">
        <v>4.04</v>
      </c>
      <c r="G35" t="n">
        <v>2</v>
      </c>
      <c r="J35" t="inlineStr">
        <is>
          <t>M</t>
        </is>
      </c>
      <c r="K35" t="n">
        <v>2024</v>
      </c>
      <c r="L35" t="n">
        <v>5</v>
      </c>
      <c r="M35" t="inlineStr">
        <is>
          <t>Todos</t>
        </is>
      </c>
      <c r="N35" t="inlineStr">
        <is>
          <t>Pizzaria</t>
        </is>
      </c>
      <c r="O35" t="n">
        <v>81</v>
      </c>
      <c r="P35" t="n">
        <v>223</v>
      </c>
      <c r="Q35" t="n">
        <v>0</v>
      </c>
      <c r="X35" t="inlineStr">
        <is>
          <t>Açougue</t>
        </is>
      </c>
    </row>
    <row r="36">
      <c r="A36" t="n">
        <v>2024</v>
      </c>
      <c r="B36" t="n">
        <v>1</v>
      </c>
      <c r="C36" t="inlineStr">
        <is>
          <t>Muçarela Mozzana 2 kg</t>
        </is>
      </c>
      <c r="D36" t="inlineStr">
        <is>
          <t>Cozinha Industrial</t>
        </is>
      </c>
      <c r="E36" t="n">
        <v>7566.54</v>
      </c>
      <c r="F36" t="n">
        <v>410.06</v>
      </c>
      <c r="G36" t="n">
        <v>203</v>
      </c>
      <c r="J36" t="inlineStr">
        <is>
          <t>A</t>
        </is>
      </c>
      <c r="K36" t="n">
        <v>2024</v>
      </c>
      <c r="L36" t="n">
        <v>6</v>
      </c>
      <c r="M36" t="inlineStr">
        <is>
          <t>Todos</t>
        </is>
      </c>
      <c r="N36" t="inlineStr">
        <is>
          <t>Pizzaria</t>
        </is>
      </c>
      <c r="O36" t="n">
        <v>149</v>
      </c>
      <c r="P36" t="n">
        <v>1294</v>
      </c>
      <c r="Q36" t="n">
        <v>149</v>
      </c>
    </row>
    <row r="37">
      <c r="A37" t="n">
        <v>2024</v>
      </c>
      <c r="B37" t="n">
        <v>1</v>
      </c>
      <c r="C37" t="inlineStr">
        <is>
          <t>Muçarela Mozzana 2 kg</t>
        </is>
      </c>
      <c r="D37" t="inlineStr">
        <is>
          <t>Cozinha Oriental</t>
        </is>
      </c>
      <c r="E37" t="n">
        <v>336.6</v>
      </c>
      <c r="F37" t="n">
        <v>18.18</v>
      </c>
      <c r="G37" t="n">
        <v>9</v>
      </c>
      <c r="J37" t="inlineStr">
        <is>
          <t>M</t>
        </is>
      </c>
      <c r="K37" t="n">
        <v>2024</v>
      </c>
      <c r="L37" t="n">
        <v>6</v>
      </c>
      <c r="M37" t="inlineStr">
        <is>
          <t>Todos</t>
        </is>
      </c>
      <c r="N37" t="inlineStr">
        <is>
          <t>Pizzaria</t>
        </is>
      </c>
      <c r="O37" t="n">
        <v>95</v>
      </c>
      <c r="P37" t="n">
        <v>246</v>
      </c>
      <c r="Q37" t="n">
        <v>0</v>
      </c>
    </row>
    <row r="38">
      <c r="A38" t="n">
        <v>2024</v>
      </c>
      <c r="B38" t="n">
        <v>1</v>
      </c>
      <c r="C38" t="inlineStr">
        <is>
          <t>Muçarela Mozzana 2 kg</t>
        </is>
      </c>
      <c r="D38" t="inlineStr">
        <is>
          <t>Esfiharia</t>
        </is>
      </c>
      <c r="E38" t="n">
        <v>2709.17</v>
      </c>
      <c r="F38" t="n">
        <v>143.42</v>
      </c>
      <c r="G38" t="n">
        <v>71</v>
      </c>
      <c r="J38" t="inlineStr">
        <is>
          <t>A</t>
        </is>
      </c>
      <c r="K38" t="n">
        <v>2024</v>
      </c>
      <c r="L38" t="n">
        <v>7</v>
      </c>
      <c r="M38" t="inlineStr">
        <is>
          <t>Todos</t>
        </is>
      </c>
      <c r="N38" t="inlineStr">
        <is>
          <t>Pizzaria</t>
        </is>
      </c>
      <c r="O38" t="n">
        <v>166</v>
      </c>
      <c r="P38" t="n">
        <v>1574</v>
      </c>
      <c r="Q38" t="n">
        <v>166</v>
      </c>
    </row>
    <row r="39">
      <c r="A39" t="n">
        <v>2024</v>
      </c>
      <c r="B39" t="n">
        <v>1</v>
      </c>
      <c r="C39" t="inlineStr">
        <is>
          <t>Muçarela Mozzana 2 kg</t>
        </is>
      </c>
      <c r="D39" t="inlineStr">
        <is>
          <t>Fábrica de Massas</t>
        </is>
      </c>
      <c r="E39" t="n">
        <v>19267.02</v>
      </c>
      <c r="F39" t="n">
        <v>1036.26</v>
      </c>
      <c r="G39" t="n">
        <v>513</v>
      </c>
      <c r="J39" t="inlineStr">
        <is>
          <t>M</t>
        </is>
      </c>
      <c r="K39" t="n">
        <v>2024</v>
      </c>
      <c r="L39" t="n">
        <v>7</v>
      </c>
      <c r="M39" t="inlineStr">
        <is>
          <t>Todos</t>
        </is>
      </c>
      <c r="N39" t="inlineStr">
        <is>
          <t>Pizzaria</t>
        </is>
      </c>
      <c r="O39" t="n">
        <v>97</v>
      </c>
      <c r="P39" t="n">
        <v>280</v>
      </c>
      <c r="Q39" t="n">
        <v>0</v>
      </c>
    </row>
    <row r="40">
      <c r="A40" t="n">
        <v>2024</v>
      </c>
      <c r="B40" t="n">
        <v>1</v>
      </c>
      <c r="C40" t="inlineStr">
        <is>
          <t>Muçarela Mozzana 2 kg</t>
        </is>
      </c>
      <c r="D40" t="inlineStr">
        <is>
          <t>Hamburgueria</t>
        </is>
      </c>
      <c r="E40" t="n">
        <v>1684.16</v>
      </c>
      <c r="F40" t="n">
        <v>88.88</v>
      </c>
      <c r="G40" t="n">
        <v>44</v>
      </c>
      <c r="J40" t="inlineStr">
        <is>
          <t>A</t>
        </is>
      </c>
      <c r="K40" t="n">
        <v>2024</v>
      </c>
      <c r="L40" t="n">
        <v>8</v>
      </c>
      <c r="M40" t="inlineStr">
        <is>
          <t>Todos</t>
        </is>
      </c>
      <c r="N40" t="inlineStr">
        <is>
          <t>Pizzaria</t>
        </is>
      </c>
      <c r="O40" t="n">
        <v>193</v>
      </c>
      <c r="P40" t="n">
        <v>1812</v>
      </c>
      <c r="Q40" t="n">
        <v>193</v>
      </c>
    </row>
    <row r="41">
      <c r="A41" t="n">
        <v>2024</v>
      </c>
      <c r="B41" t="n">
        <v>1</v>
      </c>
      <c r="C41" t="inlineStr">
        <is>
          <t>Muçarela Mozzana 2 kg</t>
        </is>
      </c>
      <c r="D41" t="inlineStr">
        <is>
          <t>Lanchonete / Cafeteria</t>
        </is>
      </c>
      <c r="E41" t="n">
        <v>407.5</v>
      </c>
      <c r="F41" t="n">
        <v>22.22</v>
      </c>
      <c r="G41" t="n">
        <v>11</v>
      </c>
      <c r="J41" t="inlineStr">
        <is>
          <t>M</t>
        </is>
      </c>
      <c r="K41" t="n">
        <v>2024</v>
      </c>
      <c r="L41" t="n">
        <v>8</v>
      </c>
      <c r="M41" t="inlineStr">
        <is>
          <t>Todos</t>
        </is>
      </c>
      <c r="N41" t="inlineStr">
        <is>
          <t>Pizzaria</t>
        </is>
      </c>
      <c r="O41" t="n">
        <v>99</v>
      </c>
      <c r="P41" t="n">
        <v>238</v>
      </c>
      <c r="Q41" t="n">
        <v>0</v>
      </c>
    </row>
    <row r="42">
      <c r="A42" t="n">
        <v>2024</v>
      </c>
      <c r="B42" t="n">
        <v>1</v>
      </c>
      <c r="C42" t="inlineStr">
        <is>
          <t>Muçarela Mozzana 2 kg</t>
        </is>
      </c>
      <c r="D42" t="inlineStr">
        <is>
          <t>Laticínios / Distribuidor</t>
        </is>
      </c>
      <c r="E42" t="n">
        <v>2042.46</v>
      </c>
      <c r="F42" t="n">
        <v>109.08</v>
      </c>
      <c r="G42" t="n">
        <v>54</v>
      </c>
      <c r="J42" t="inlineStr">
        <is>
          <t>A</t>
        </is>
      </c>
      <c r="K42" t="n">
        <v>2024</v>
      </c>
      <c r="L42" t="n">
        <v>9</v>
      </c>
      <c r="M42" t="inlineStr">
        <is>
          <t>Todos</t>
        </is>
      </c>
      <c r="N42" t="inlineStr">
        <is>
          <t>Pizzaria</t>
        </is>
      </c>
      <c r="O42" t="n">
        <v>206</v>
      </c>
      <c r="P42" t="n">
        <v>2050</v>
      </c>
      <c r="Q42" t="n">
        <v>206</v>
      </c>
    </row>
    <row r="43">
      <c r="A43" t="n">
        <v>2024</v>
      </c>
      <c r="B43" t="n">
        <v>1</v>
      </c>
      <c r="C43" t="inlineStr">
        <is>
          <t>Muçarela Mozzana 2 kg</t>
        </is>
      </c>
      <c r="D43" t="inlineStr">
        <is>
          <t>Loja de Conveniência</t>
        </is>
      </c>
      <c r="E43" t="n">
        <v>756</v>
      </c>
      <c r="F43" t="n">
        <v>40.4</v>
      </c>
      <c r="G43" t="n">
        <v>20</v>
      </c>
      <c r="J43" t="inlineStr">
        <is>
          <t>M</t>
        </is>
      </c>
      <c r="K43" t="n">
        <v>2024</v>
      </c>
      <c r="L43" t="n">
        <v>9</v>
      </c>
      <c r="M43" t="inlineStr">
        <is>
          <t>Todos</t>
        </is>
      </c>
      <c r="N43" t="inlineStr">
        <is>
          <t>Pizzaria</t>
        </is>
      </c>
      <c r="O43" t="n">
        <v>88</v>
      </c>
      <c r="P43" t="n">
        <v>238</v>
      </c>
      <c r="Q43" t="n">
        <v>0</v>
      </c>
    </row>
    <row r="44">
      <c r="A44" t="n">
        <v>2024</v>
      </c>
      <c r="B44" t="n">
        <v>1</v>
      </c>
      <c r="C44" t="inlineStr">
        <is>
          <t>Muçarela Mozzana 2 kg</t>
        </is>
      </c>
      <c r="D44" t="inlineStr">
        <is>
          <t>Mercearia / Sacolão</t>
        </is>
      </c>
      <c r="E44" t="n">
        <v>2122.83</v>
      </c>
      <c r="F44" t="n">
        <v>115.14</v>
      </c>
      <c r="G44" t="n">
        <v>57</v>
      </c>
      <c r="J44" t="inlineStr">
        <is>
          <t>A</t>
        </is>
      </c>
      <c r="K44" t="n">
        <v>2024</v>
      </c>
      <c r="L44" t="n">
        <v>10</v>
      </c>
      <c r="M44" t="inlineStr">
        <is>
          <t>Todos</t>
        </is>
      </c>
      <c r="N44" t="inlineStr">
        <is>
          <t>Pizzaria</t>
        </is>
      </c>
      <c r="O44" t="n">
        <v>216</v>
      </c>
      <c r="P44" t="n">
        <v>2324</v>
      </c>
      <c r="Q44" t="n">
        <v>216</v>
      </c>
    </row>
    <row r="45">
      <c r="A45" t="n">
        <v>2024</v>
      </c>
      <c r="B45" t="n">
        <v>1</v>
      </c>
      <c r="C45" t="inlineStr">
        <is>
          <t>Muçarela Mozzana 2 kg</t>
        </is>
      </c>
      <c r="D45" t="inlineStr">
        <is>
          <t>Outros</t>
        </is>
      </c>
      <c r="E45" t="n">
        <v>18277.8</v>
      </c>
      <c r="F45" t="n">
        <v>969.6</v>
      </c>
      <c r="G45" t="n">
        <v>480</v>
      </c>
      <c r="J45" t="inlineStr">
        <is>
          <t>M</t>
        </is>
      </c>
      <c r="K45" t="n">
        <v>2024</v>
      </c>
      <c r="L45" t="n">
        <v>10</v>
      </c>
      <c r="M45" t="inlineStr">
        <is>
          <t>Todos</t>
        </is>
      </c>
      <c r="N45" t="inlineStr">
        <is>
          <t>Pizzaria</t>
        </is>
      </c>
      <c r="O45" t="n">
        <v>91</v>
      </c>
      <c r="P45" t="n">
        <v>274</v>
      </c>
      <c r="Q45" t="n">
        <v>0</v>
      </c>
    </row>
    <row r="46">
      <c r="A46" t="n">
        <v>2024</v>
      </c>
      <c r="B46" t="n">
        <v>1</v>
      </c>
      <c r="C46" t="inlineStr">
        <is>
          <t>Muçarela Mozzana 2 kg</t>
        </is>
      </c>
      <c r="D46" t="inlineStr">
        <is>
          <t>Padaria</t>
        </is>
      </c>
      <c r="E46" t="n">
        <v>2619.82</v>
      </c>
      <c r="F46" t="n">
        <v>137.36</v>
      </c>
      <c r="G46" t="n">
        <v>68</v>
      </c>
      <c r="J46" t="inlineStr">
        <is>
          <t>A</t>
        </is>
      </c>
      <c r="K46" t="n">
        <v>2024</v>
      </c>
      <c r="L46" t="n">
        <v>11</v>
      </c>
      <c r="M46" t="inlineStr">
        <is>
          <t>Todos</t>
        </is>
      </c>
      <c r="N46" t="inlineStr">
        <is>
          <t>Pizzaria</t>
        </is>
      </c>
      <c r="O46" t="n">
        <v>235</v>
      </c>
      <c r="P46" t="n">
        <v>2564</v>
      </c>
      <c r="Q46" t="n">
        <v>235</v>
      </c>
    </row>
    <row r="47">
      <c r="A47" t="n">
        <v>2024</v>
      </c>
      <c r="B47" t="n">
        <v>1</v>
      </c>
      <c r="C47" t="inlineStr">
        <is>
          <t>Muçarela Mozzana 2 kg</t>
        </is>
      </c>
      <c r="D47" t="inlineStr">
        <is>
          <t>Pastelaria</t>
        </is>
      </c>
      <c r="E47" t="n">
        <v>1667.52</v>
      </c>
      <c r="F47" t="n">
        <v>84.84</v>
      </c>
      <c r="G47" t="n">
        <v>42</v>
      </c>
      <c r="J47" t="inlineStr">
        <is>
          <t>M</t>
        </is>
      </c>
      <c r="K47" t="n">
        <v>2024</v>
      </c>
      <c r="L47" t="n">
        <v>11</v>
      </c>
      <c r="M47" t="inlineStr">
        <is>
          <t>Todos</t>
        </is>
      </c>
      <c r="N47" t="inlineStr">
        <is>
          <t>Pizzaria</t>
        </is>
      </c>
      <c r="O47" t="n">
        <v>95</v>
      </c>
      <c r="P47" t="n">
        <v>240</v>
      </c>
      <c r="Q47" t="n">
        <v>0</v>
      </c>
    </row>
    <row r="48">
      <c r="A48" t="n">
        <v>2024</v>
      </c>
      <c r="B48" t="n">
        <v>1</v>
      </c>
      <c r="C48" t="inlineStr">
        <is>
          <t>Muçarela Mozzana 2 kg</t>
        </is>
      </c>
      <c r="D48" t="inlineStr">
        <is>
          <t>Pessoa Física</t>
        </is>
      </c>
      <c r="E48" t="n">
        <v>8498.629999999999</v>
      </c>
      <c r="F48" t="n">
        <v>450.46</v>
      </c>
      <c r="G48" t="n">
        <v>223</v>
      </c>
      <c r="J48" t="inlineStr">
        <is>
          <t>A</t>
        </is>
      </c>
      <c r="K48" t="n">
        <v>2024</v>
      </c>
      <c r="L48" t="n">
        <v>12</v>
      </c>
      <c r="M48" t="inlineStr">
        <is>
          <t>Todos</t>
        </is>
      </c>
      <c r="N48" t="inlineStr">
        <is>
          <t>Pizzaria</t>
        </is>
      </c>
      <c r="O48" t="n">
        <v>248</v>
      </c>
      <c r="P48" t="n">
        <v>2807</v>
      </c>
      <c r="Q48" t="n">
        <v>248</v>
      </c>
    </row>
    <row r="49">
      <c r="A49" t="n">
        <v>2024</v>
      </c>
      <c r="B49" t="n">
        <v>1</v>
      </c>
      <c r="C49" t="inlineStr">
        <is>
          <t>Muçarela Mozzana 2 kg</t>
        </is>
      </c>
      <c r="D49" t="inlineStr">
        <is>
          <t>Pizzaria</t>
        </is>
      </c>
      <c r="E49" t="n">
        <v>77784.78</v>
      </c>
      <c r="F49" t="n">
        <v>4138.98</v>
      </c>
      <c r="G49" t="n">
        <v>2049</v>
      </c>
      <c r="J49" t="inlineStr">
        <is>
          <t>M</t>
        </is>
      </c>
      <c r="K49" t="n">
        <v>2024</v>
      </c>
      <c r="L49" t="n">
        <v>12</v>
      </c>
      <c r="M49" t="inlineStr">
        <is>
          <t>Todos</t>
        </is>
      </c>
      <c r="N49" t="inlineStr">
        <is>
          <t>Pizzaria</t>
        </is>
      </c>
      <c r="O49" t="n">
        <v>84</v>
      </c>
      <c r="P49" t="n">
        <v>243</v>
      </c>
      <c r="Q49" t="n">
        <v>0</v>
      </c>
    </row>
    <row r="50">
      <c r="A50" t="n">
        <v>2024</v>
      </c>
      <c r="B50" t="n">
        <v>1</v>
      </c>
      <c r="C50" t="inlineStr">
        <is>
          <t>Muçarela Mozzana 2 kg</t>
        </is>
      </c>
      <c r="D50" t="inlineStr">
        <is>
          <t>Restaurante / Cantina</t>
        </is>
      </c>
      <c r="E50" t="n">
        <v>17031.44</v>
      </c>
      <c r="F50" t="n">
        <v>906.98</v>
      </c>
      <c r="G50" t="n">
        <v>449</v>
      </c>
      <c r="J50" t="inlineStr">
        <is>
          <t>A</t>
        </is>
      </c>
      <c r="K50" t="n">
        <v>2024</v>
      </c>
      <c r="L50" t="n">
        <v>1</v>
      </c>
      <c r="M50" t="inlineStr">
        <is>
          <t>Todos</t>
        </is>
      </c>
      <c r="N50" t="inlineStr">
        <is>
          <t>Restaurante / Cantina</t>
        </is>
      </c>
      <c r="O50" t="n">
        <v>23</v>
      </c>
      <c r="P50" t="n">
        <v>51</v>
      </c>
      <c r="Q50" t="n">
        <v>23</v>
      </c>
    </row>
    <row r="51">
      <c r="A51" t="n">
        <v>2024</v>
      </c>
      <c r="B51" t="n">
        <v>1</v>
      </c>
      <c r="C51" t="inlineStr">
        <is>
          <t>Muçarela Mozzana 2 kg</t>
        </is>
      </c>
      <c r="D51" t="inlineStr">
        <is>
          <t>Supermercado</t>
        </is>
      </c>
      <c r="E51" t="n">
        <v>3812.85</v>
      </c>
      <c r="F51" t="n">
        <v>183.82</v>
      </c>
      <c r="G51" t="n">
        <v>91</v>
      </c>
      <c r="J51" t="inlineStr">
        <is>
          <t>M</t>
        </is>
      </c>
      <c r="K51" t="n">
        <v>2024</v>
      </c>
      <c r="L51" t="n">
        <v>1</v>
      </c>
      <c r="M51" t="inlineStr">
        <is>
          <t>Todos</t>
        </is>
      </c>
      <c r="N51" t="inlineStr">
        <is>
          <t>Restaurante / Cantina</t>
        </is>
      </c>
      <c r="O51" t="n">
        <v>23</v>
      </c>
      <c r="P51" t="n">
        <v>51</v>
      </c>
      <c r="Q51" t="n">
        <v>0</v>
      </c>
    </row>
    <row r="52">
      <c r="A52" t="n">
        <v>2024</v>
      </c>
      <c r="B52" t="n">
        <v>1</v>
      </c>
      <c r="C52" t="inlineStr">
        <is>
          <t>Requeijão Pizzalet 1,8 kg</t>
        </is>
      </c>
      <c r="D52" t="inlineStr">
        <is>
          <t>Bar / Chopperia</t>
        </is>
      </c>
      <c r="E52" t="n">
        <v>172.42</v>
      </c>
      <c r="F52" t="n">
        <v>23.92</v>
      </c>
      <c r="G52" t="n">
        <v>13</v>
      </c>
      <c r="J52" t="inlineStr">
        <is>
          <t>A</t>
        </is>
      </c>
      <c r="K52" t="n">
        <v>2024</v>
      </c>
      <c r="L52" t="n">
        <v>2</v>
      </c>
      <c r="M52" t="inlineStr">
        <is>
          <t>Todos</t>
        </is>
      </c>
      <c r="N52" t="inlineStr">
        <is>
          <t>Restaurante / Cantina</t>
        </is>
      </c>
      <c r="O52" t="n">
        <v>28</v>
      </c>
      <c r="P52" t="n">
        <v>83</v>
      </c>
      <c r="Q52" t="n">
        <v>28</v>
      </c>
    </row>
    <row r="53">
      <c r="A53" t="n">
        <v>2024</v>
      </c>
      <c r="B53" t="n">
        <v>1</v>
      </c>
      <c r="C53" t="inlineStr">
        <is>
          <t>Requeijão Pizzalet 1,8 kg</t>
        </is>
      </c>
      <c r="D53" t="inlineStr">
        <is>
          <t>Hamburgueria</t>
        </is>
      </c>
      <c r="E53" t="n">
        <v>433.28</v>
      </c>
      <c r="F53" t="n">
        <v>58.88</v>
      </c>
      <c r="G53" t="n">
        <v>32</v>
      </c>
      <c r="J53" t="inlineStr">
        <is>
          <t>M</t>
        </is>
      </c>
      <c r="K53" t="n">
        <v>2024</v>
      </c>
      <c r="L53" t="n">
        <v>2</v>
      </c>
      <c r="M53" t="inlineStr">
        <is>
          <t>Todos</t>
        </is>
      </c>
      <c r="N53" t="inlineStr">
        <is>
          <t>Restaurante / Cantina</t>
        </is>
      </c>
      <c r="O53" t="n">
        <v>17</v>
      </c>
      <c r="P53" t="n">
        <v>32</v>
      </c>
      <c r="Q53" t="n">
        <v>0</v>
      </c>
    </row>
    <row r="54">
      <c r="A54" t="n">
        <v>2024</v>
      </c>
      <c r="B54" t="n">
        <v>1</v>
      </c>
      <c r="C54" t="inlineStr">
        <is>
          <t>Requeijão Pizzalet 1,8 kg</t>
        </is>
      </c>
      <c r="D54" t="inlineStr">
        <is>
          <t>Lanchonete / Cafeteria</t>
        </is>
      </c>
      <c r="E54" t="n">
        <v>702.87</v>
      </c>
      <c r="F54" t="n">
        <v>95.68000000000001</v>
      </c>
      <c r="G54" t="n">
        <v>52</v>
      </c>
      <c r="J54" t="inlineStr">
        <is>
          <t>A</t>
        </is>
      </c>
      <c r="K54" t="n">
        <v>2024</v>
      </c>
      <c r="L54" t="n">
        <v>3</v>
      </c>
      <c r="M54" t="inlineStr">
        <is>
          <t>Todos</t>
        </is>
      </c>
      <c r="N54" t="inlineStr">
        <is>
          <t>Restaurante / Cantina</t>
        </is>
      </c>
      <c r="O54" t="n">
        <v>38</v>
      </c>
      <c r="P54" t="n">
        <v>141</v>
      </c>
      <c r="Q54" t="n">
        <v>38</v>
      </c>
    </row>
    <row r="55">
      <c r="A55" t="n">
        <v>2024</v>
      </c>
      <c r="B55" t="n">
        <v>1</v>
      </c>
      <c r="C55" t="inlineStr">
        <is>
          <t>Requeijão Pizzalet 1,8 kg</t>
        </is>
      </c>
      <c r="D55" t="inlineStr">
        <is>
          <t>Pastelaria</t>
        </is>
      </c>
      <c r="E55" t="n">
        <v>3115.52</v>
      </c>
      <c r="F55" t="n">
        <v>426.88</v>
      </c>
      <c r="G55" t="n">
        <v>232</v>
      </c>
      <c r="J55" t="inlineStr">
        <is>
          <t>M</t>
        </is>
      </c>
      <c r="K55" t="n">
        <v>2024</v>
      </c>
      <c r="L55" t="n">
        <v>3</v>
      </c>
      <c r="M55" t="inlineStr">
        <is>
          <t>Todos</t>
        </is>
      </c>
      <c r="N55" t="inlineStr">
        <is>
          <t>Restaurante / Cantina</t>
        </is>
      </c>
      <c r="O55" t="n">
        <v>30</v>
      </c>
      <c r="P55" t="n">
        <v>58</v>
      </c>
      <c r="Q55" t="n">
        <v>0</v>
      </c>
    </row>
    <row r="56">
      <c r="A56" t="n">
        <v>2024</v>
      </c>
      <c r="B56" t="n">
        <v>1</v>
      </c>
      <c r="C56" t="inlineStr">
        <is>
          <t>Requeijão Pizzalet 1,8 kg</t>
        </is>
      </c>
      <c r="D56" t="inlineStr">
        <is>
          <t>Pizzaria</t>
        </is>
      </c>
      <c r="E56" t="n">
        <v>5456.86</v>
      </c>
      <c r="F56" t="n">
        <v>737.84</v>
      </c>
      <c r="G56" t="n">
        <v>401</v>
      </c>
      <c r="J56" t="inlineStr">
        <is>
          <t>A</t>
        </is>
      </c>
      <c r="K56" t="n">
        <v>2024</v>
      </c>
      <c r="L56" t="n">
        <v>4</v>
      </c>
      <c r="M56" t="inlineStr">
        <is>
          <t>Todos</t>
        </is>
      </c>
      <c r="N56" t="inlineStr">
        <is>
          <t>Restaurante / Cantina</t>
        </is>
      </c>
      <c r="O56" t="n">
        <v>48</v>
      </c>
      <c r="P56" t="n">
        <v>209</v>
      </c>
      <c r="Q56" t="n">
        <v>48</v>
      </c>
    </row>
    <row r="57">
      <c r="A57" t="n">
        <v>2024</v>
      </c>
      <c r="B57" t="n">
        <v>1</v>
      </c>
      <c r="C57" t="inlineStr">
        <is>
          <t>Requeijão Pizzalet 1,8 kg</t>
        </is>
      </c>
      <c r="D57" t="inlineStr">
        <is>
          <t>Restaurante / Cantina</t>
        </is>
      </c>
      <c r="E57" t="n">
        <v>189.56</v>
      </c>
      <c r="F57" t="n">
        <v>25.76</v>
      </c>
      <c r="G57" t="n">
        <v>14</v>
      </c>
      <c r="J57" t="inlineStr">
        <is>
          <t>M</t>
        </is>
      </c>
      <c r="K57" t="n">
        <v>2024</v>
      </c>
      <c r="L57" t="n">
        <v>4</v>
      </c>
      <c r="M57" t="inlineStr">
        <is>
          <t>Todos</t>
        </is>
      </c>
      <c r="N57" t="inlineStr">
        <is>
          <t>Restaurante / Cantina</t>
        </is>
      </c>
      <c r="O57" t="n">
        <v>32</v>
      </c>
      <c r="P57" t="n">
        <v>68</v>
      </c>
      <c r="Q57" t="n">
        <v>0</v>
      </c>
    </row>
    <row r="58">
      <c r="A58" t="n">
        <v>2024</v>
      </c>
      <c r="B58" t="n">
        <v>2</v>
      </c>
      <c r="C58" t="inlineStr">
        <is>
          <t>Chocolate em pó 50% 1 kg</t>
        </is>
      </c>
      <c r="D58" t="inlineStr">
        <is>
          <t>Bar / Chopperia</t>
        </is>
      </c>
      <c r="E58" t="n">
        <v>27.81</v>
      </c>
      <c r="F58" t="n">
        <v>1.02</v>
      </c>
      <c r="G58" t="n">
        <v>1</v>
      </c>
      <c r="J58" t="inlineStr">
        <is>
          <t>A</t>
        </is>
      </c>
      <c r="K58" t="n">
        <v>2024</v>
      </c>
      <c r="L58" t="n">
        <v>5</v>
      </c>
      <c r="M58" t="inlineStr">
        <is>
          <t>Todos</t>
        </is>
      </c>
      <c r="N58" t="inlineStr">
        <is>
          <t>Restaurante / Cantina</t>
        </is>
      </c>
      <c r="O58" t="n">
        <v>55</v>
      </c>
      <c r="P58" t="n">
        <v>263</v>
      </c>
      <c r="Q58" t="n">
        <v>55</v>
      </c>
    </row>
    <row r="59">
      <c r="A59" t="n">
        <v>2024</v>
      </c>
      <c r="B59" t="n">
        <v>2</v>
      </c>
      <c r="C59" t="inlineStr">
        <is>
          <t>Chocolate em pó 50% 1 kg</t>
        </is>
      </c>
      <c r="D59" t="inlineStr">
        <is>
          <t>Hamburgueria</t>
        </is>
      </c>
      <c r="E59" t="n">
        <v>111.24</v>
      </c>
      <c r="F59" t="n">
        <v>4.08</v>
      </c>
      <c r="G59" t="n">
        <v>4</v>
      </c>
      <c r="J59" t="inlineStr">
        <is>
          <t>M</t>
        </is>
      </c>
      <c r="K59" t="n">
        <v>2024</v>
      </c>
      <c r="L59" t="n">
        <v>5</v>
      </c>
      <c r="M59" t="inlineStr">
        <is>
          <t>Todos</t>
        </is>
      </c>
      <c r="N59" t="inlineStr">
        <is>
          <t>Restaurante / Cantina</t>
        </is>
      </c>
      <c r="O59" t="n">
        <v>27</v>
      </c>
      <c r="P59" t="n">
        <v>54</v>
      </c>
      <c r="Q59" t="n">
        <v>0</v>
      </c>
    </row>
    <row r="60">
      <c r="A60" t="n">
        <v>2024</v>
      </c>
      <c r="B60" t="n">
        <v>2</v>
      </c>
      <c r="C60" t="inlineStr">
        <is>
          <t>Chocolate em pó 50% 1 kg</t>
        </is>
      </c>
      <c r="D60" t="inlineStr">
        <is>
          <t>Hotel / Motel / Pousada</t>
        </is>
      </c>
      <c r="E60" t="n">
        <v>911.97</v>
      </c>
      <c r="F60" t="n">
        <v>33.66</v>
      </c>
      <c r="G60" t="n">
        <v>33</v>
      </c>
      <c r="J60" t="inlineStr">
        <is>
          <t>A</t>
        </is>
      </c>
      <c r="K60" t="n">
        <v>2024</v>
      </c>
      <c r="L60" t="n">
        <v>6</v>
      </c>
      <c r="M60" t="inlineStr">
        <is>
          <t>Todos</t>
        </is>
      </c>
      <c r="N60" t="inlineStr">
        <is>
          <t>Restaurante / Cantina</t>
        </is>
      </c>
      <c r="O60" t="n">
        <v>67</v>
      </c>
      <c r="P60" t="n">
        <v>327</v>
      </c>
      <c r="Q60" t="n">
        <v>67</v>
      </c>
    </row>
    <row r="61">
      <c r="A61" t="n">
        <v>2024</v>
      </c>
      <c r="B61" t="n">
        <v>2</v>
      </c>
      <c r="C61" t="inlineStr">
        <is>
          <t>Chocolate em pó 50% 1 kg</t>
        </is>
      </c>
      <c r="D61" t="inlineStr">
        <is>
          <t>Lanchonete / Cafeteria</t>
        </is>
      </c>
      <c r="E61" t="n">
        <v>55.11</v>
      </c>
      <c r="F61" t="n">
        <v>2.04</v>
      </c>
      <c r="G61" t="n">
        <v>2</v>
      </c>
      <c r="J61" t="inlineStr">
        <is>
          <t>M</t>
        </is>
      </c>
      <c r="K61" t="n">
        <v>2024</v>
      </c>
      <c r="L61" t="n">
        <v>6</v>
      </c>
      <c r="M61" t="inlineStr">
        <is>
          <t>Todos</t>
        </is>
      </c>
      <c r="N61" t="inlineStr">
        <is>
          <t>Restaurante / Cantina</t>
        </is>
      </c>
      <c r="O61" t="n">
        <v>34</v>
      </c>
      <c r="P61" t="n">
        <v>64</v>
      </c>
      <c r="Q61" t="n">
        <v>0</v>
      </c>
    </row>
    <row r="62">
      <c r="A62" t="n">
        <v>2024</v>
      </c>
      <c r="B62" t="n">
        <v>2</v>
      </c>
      <c r="C62" t="inlineStr">
        <is>
          <t>Chocolate em pó 50% 1 kg</t>
        </is>
      </c>
      <c r="D62" t="inlineStr">
        <is>
          <t>Laticínios / Distribuidor</t>
        </is>
      </c>
      <c r="E62" t="n">
        <v>27.81</v>
      </c>
      <c r="F62" t="n">
        <v>1.02</v>
      </c>
      <c r="G62" t="n">
        <v>1</v>
      </c>
      <c r="J62" t="inlineStr">
        <is>
          <t>A</t>
        </is>
      </c>
      <c r="K62" t="n">
        <v>2024</v>
      </c>
      <c r="L62" t="n">
        <v>7</v>
      </c>
      <c r="M62" t="inlineStr">
        <is>
          <t>Todos</t>
        </is>
      </c>
      <c r="N62" t="inlineStr">
        <is>
          <t>Restaurante / Cantina</t>
        </is>
      </c>
      <c r="O62" t="n">
        <v>78</v>
      </c>
      <c r="P62" t="n">
        <v>408</v>
      </c>
      <c r="Q62" t="n">
        <v>78</v>
      </c>
    </row>
    <row r="63">
      <c r="A63" t="n">
        <v>2024</v>
      </c>
      <c r="B63" t="n">
        <v>2</v>
      </c>
      <c r="C63" t="inlineStr">
        <is>
          <t>Chocolate em pó 50% 1 kg</t>
        </is>
      </c>
      <c r="D63" t="inlineStr">
        <is>
          <t>Outros</t>
        </is>
      </c>
      <c r="E63" t="n">
        <v>834.9299999999999</v>
      </c>
      <c r="F63" t="n">
        <v>30.6</v>
      </c>
      <c r="G63" t="n">
        <v>30</v>
      </c>
      <c r="J63" t="inlineStr">
        <is>
          <t>M</t>
        </is>
      </c>
      <c r="K63" t="n">
        <v>2024</v>
      </c>
      <c r="L63" t="n">
        <v>7</v>
      </c>
      <c r="M63" t="inlineStr">
        <is>
          <t>Todos</t>
        </is>
      </c>
      <c r="N63" t="inlineStr">
        <is>
          <t>Restaurante / Cantina</t>
        </is>
      </c>
      <c r="O63" t="n">
        <v>40</v>
      </c>
      <c r="P63" t="n">
        <v>81</v>
      </c>
      <c r="Q63" t="n">
        <v>0</v>
      </c>
    </row>
    <row r="64">
      <c r="A64" t="n">
        <v>2024</v>
      </c>
      <c r="B64" t="n">
        <v>2</v>
      </c>
      <c r="C64" t="inlineStr">
        <is>
          <t>Chocolate em pó 50% 1 kg</t>
        </is>
      </c>
      <c r="D64" t="inlineStr">
        <is>
          <t>Padaria</t>
        </is>
      </c>
      <c r="E64" t="n">
        <v>54</v>
      </c>
      <c r="F64" t="n">
        <v>2.04</v>
      </c>
      <c r="G64" t="n">
        <v>2</v>
      </c>
      <c r="J64" t="inlineStr">
        <is>
          <t>A</t>
        </is>
      </c>
      <c r="K64" t="n">
        <v>2024</v>
      </c>
      <c r="L64" t="n">
        <v>8</v>
      </c>
      <c r="M64" t="inlineStr">
        <is>
          <t>Todos</t>
        </is>
      </c>
      <c r="N64" t="inlineStr">
        <is>
          <t>Restaurante / Cantina</t>
        </is>
      </c>
      <c r="O64" t="n">
        <v>89</v>
      </c>
      <c r="P64" t="n">
        <v>473</v>
      </c>
      <c r="Q64" t="n">
        <v>89</v>
      </c>
    </row>
    <row r="65">
      <c r="A65" t="n">
        <v>2024</v>
      </c>
      <c r="B65" t="n">
        <v>2</v>
      </c>
      <c r="C65" t="inlineStr">
        <is>
          <t>Chocolate em pó 50% 1 kg</t>
        </is>
      </c>
      <c r="D65" t="inlineStr">
        <is>
          <t>Pizzaria</t>
        </is>
      </c>
      <c r="E65" t="n">
        <v>412.78</v>
      </c>
      <c r="F65" t="n">
        <v>15.3</v>
      </c>
      <c r="G65" t="n">
        <v>15</v>
      </c>
      <c r="J65" t="inlineStr">
        <is>
          <t>M</t>
        </is>
      </c>
      <c r="K65" t="n">
        <v>2024</v>
      </c>
      <c r="L65" t="n">
        <v>8</v>
      </c>
      <c r="M65" t="inlineStr">
        <is>
          <t>Todos</t>
        </is>
      </c>
      <c r="N65" t="inlineStr">
        <is>
          <t>Restaurante / Cantina</t>
        </is>
      </c>
      <c r="O65" t="n">
        <v>35</v>
      </c>
      <c r="P65" t="n">
        <v>65</v>
      </c>
      <c r="Q65" t="n">
        <v>0</v>
      </c>
    </row>
    <row r="66">
      <c r="A66" t="n">
        <v>2024</v>
      </c>
      <c r="B66" t="n">
        <v>2</v>
      </c>
      <c r="C66" t="inlineStr">
        <is>
          <t>Chocolate em pó 50% 1 kg</t>
        </is>
      </c>
      <c r="D66" t="inlineStr">
        <is>
          <t>Restaurante / Cantina</t>
        </is>
      </c>
      <c r="E66" t="n">
        <v>516.74</v>
      </c>
      <c r="F66" t="n">
        <v>18.36</v>
      </c>
      <c r="G66" t="n">
        <v>18</v>
      </c>
      <c r="J66" t="inlineStr">
        <is>
          <t>A</t>
        </is>
      </c>
      <c r="K66" t="n">
        <v>2024</v>
      </c>
      <c r="L66" t="n">
        <v>9</v>
      </c>
      <c r="M66" t="inlineStr">
        <is>
          <t>Todos</t>
        </is>
      </c>
      <c r="N66" t="inlineStr">
        <is>
          <t>Restaurante / Cantina</t>
        </is>
      </c>
      <c r="O66" t="n">
        <v>97</v>
      </c>
      <c r="P66" t="n">
        <v>540</v>
      </c>
      <c r="Q66" t="n">
        <v>97</v>
      </c>
    </row>
    <row r="67">
      <c r="A67" t="n">
        <v>2024</v>
      </c>
      <c r="B67" t="n">
        <v>2</v>
      </c>
      <c r="C67" t="inlineStr">
        <is>
          <t>Chocolate em pó 50% 1 kg</t>
        </is>
      </c>
      <c r="D67" t="inlineStr">
        <is>
          <t>Supermercado</t>
        </is>
      </c>
      <c r="E67" t="n">
        <v>389.34</v>
      </c>
      <c r="F67" t="n">
        <v>14.28</v>
      </c>
      <c r="G67" t="n">
        <v>14</v>
      </c>
      <c r="J67" t="inlineStr">
        <is>
          <t>M</t>
        </is>
      </c>
      <c r="K67" t="n">
        <v>2024</v>
      </c>
      <c r="L67" t="n">
        <v>9</v>
      </c>
      <c r="M67" t="inlineStr">
        <is>
          <t>Todos</t>
        </is>
      </c>
      <c r="N67" t="inlineStr">
        <is>
          <t>Restaurante / Cantina</t>
        </is>
      </c>
      <c r="O67" t="n">
        <v>29</v>
      </c>
      <c r="P67" t="n">
        <v>67</v>
      </c>
      <c r="Q67" t="n">
        <v>0</v>
      </c>
    </row>
    <row r="68">
      <c r="A68" t="n">
        <v>2024</v>
      </c>
      <c r="B68" t="n">
        <v>2</v>
      </c>
      <c r="C68" t="inlineStr">
        <is>
          <t>Composto lácteo Alibralac 1 kg</t>
        </is>
      </c>
      <c r="D68" t="inlineStr">
        <is>
          <t>Cozinha Industrial</t>
        </is>
      </c>
      <c r="E68" t="n">
        <v>97.5</v>
      </c>
      <c r="F68" t="n">
        <v>5.1</v>
      </c>
      <c r="G68" t="n">
        <v>5</v>
      </c>
      <c r="J68" t="inlineStr">
        <is>
          <t>A</t>
        </is>
      </c>
      <c r="K68" t="n">
        <v>2024</v>
      </c>
      <c r="L68" t="n">
        <v>10</v>
      </c>
      <c r="M68" t="inlineStr">
        <is>
          <t>Todos</t>
        </is>
      </c>
      <c r="N68" t="inlineStr">
        <is>
          <t>Restaurante / Cantina</t>
        </is>
      </c>
      <c r="O68" t="n">
        <v>107</v>
      </c>
      <c r="P68" t="n">
        <v>612</v>
      </c>
      <c r="Q68" t="n">
        <v>107</v>
      </c>
    </row>
    <row r="69">
      <c r="A69" t="n">
        <v>2024</v>
      </c>
      <c r="B69" t="n">
        <v>2</v>
      </c>
      <c r="C69" t="inlineStr">
        <is>
          <t>Composto lácteo Alibralac 1 kg</t>
        </is>
      </c>
      <c r="D69" t="inlineStr">
        <is>
          <t>Fábrica de Massas</t>
        </is>
      </c>
      <c r="E69" t="n">
        <v>57</v>
      </c>
      <c r="F69" t="n">
        <v>3.06</v>
      </c>
      <c r="G69" t="n">
        <v>3</v>
      </c>
      <c r="J69" t="inlineStr">
        <is>
          <t>M</t>
        </is>
      </c>
      <c r="K69" t="n">
        <v>2024</v>
      </c>
      <c r="L69" t="n">
        <v>10</v>
      </c>
      <c r="M69" t="inlineStr">
        <is>
          <t>Todos</t>
        </is>
      </c>
      <c r="N69" t="inlineStr">
        <is>
          <t>Restaurante / Cantina</t>
        </is>
      </c>
      <c r="O69" t="n">
        <v>37</v>
      </c>
      <c r="P69" t="n">
        <v>72</v>
      </c>
      <c r="Q69" t="n">
        <v>0</v>
      </c>
    </row>
    <row r="70">
      <c r="A70" t="n">
        <v>2024</v>
      </c>
      <c r="B70" t="n">
        <v>2</v>
      </c>
      <c r="C70" t="inlineStr">
        <is>
          <t>Composto lácteo Alibralac 1 kg</t>
        </is>
      </c>
      <c r="D70" t="inlineStr">
        <is>
          <t>Hospital / Casa de Repouso</t>
        </is>
      </c>
      <c r="E70" t="n">
        <v>75</v>
      </c>
      <c r="F70" t="n">
        <v>4.08</v>
      </c>
      <c r="G70" t="n">
        <v>4</v>
      </c>
      <c r="J70" t="inlineStr">
        <is>
          <t>A</t>
        </is>
      </c>
      <c r="K70" t="n">
        <v>2024</v>
      </c>
      <c r="L70" t="n">
        <v>11</v>
      </c>
      <c r="M70" t="inlineStr">
        <is>
          <t>Todos</t>
        </is>
      </c>
      <c r="N70" t="inlineStr">
        <is>
          <t>Restaurante / Cantina</t>
        </is>
      </c>
      <c r="O70" t="n">
        <v>112</v>
      </c>
      <c r="P70" t="n">
        <v>673</v>
      </c>
      <c r="Q70" t="n">
        <v>112</v>
      </c>
    </row>
    <row r="71">
      <c r="A71" t="n">
        <v>2024</v>
      </c>
      <c r="B71" t="n">
        <v>2</v>
      </c>
      <c r="C71" t="inlineStr">
        <is>
          <t>Composto lácteo Alibralac 1 kg</t>
        </is>
      </c>
      <c r="D71" t="inlineStr">
        <is>
          <t>Hotel / Motel / Pousada</t>
        </is>
      </c>
      <c r="E71" t="n">
        <v>383.8</v>
      </c>
      <c r="F71" t="n">
        <v>20.4</v>
      </c>
      <c r="G71" t="n">
        <v>20</v>
      </c>
      <c r="J71" t="inlineStr">
        <is>
          <t>M</t>
        </is>
      </c>
      <c r="K71" t="n">
        <v>2024</v>
      </c>
      <c r="L71" t="n">
        <v>11</v>
      </c>
      <c r="M71" t="inlineStr">
        <is>
          <t>Todos</t>
        </is>
      </c>
      <c r="N71" t="inlineStr">
        <is>
          <t>Restaurante / Cantina</t>
        </is>
      </c>
      <c r="O71" t="n">
        <v>31</v>
      </c>
      <c r="P71" t="n">
        <v>61</v>
      </c>
      <c r="Q71" t="n">
        <v>0</v>
      </c>
    </row>
    <row r="72">
      <c r="A72" t="n">
        <v>2024</v>
      </c>
      <c r="B72" t="n">
        <v>2</v>
      </c>
      <c r="C72" t="inlineStr">
        <is>
          <t>Composto lácteo Alibralac 1 kg</t>
        </is>
      </c>
      <c r="D72" t="inlineStr">
        <is>
          <t>Lanchonete / Cafeteria</t>
        </is>
      </c>
      <c r="E72" t="n">
        <v>19.59</v>
      </c>
      <c r="F72" t="n">
        <v>1.02</v>
      </c>
      <c r="G72" t="n">
        <v>1</v>
      </c>
      <c r="J72" t="inlineStr">
        <is>
          <t>A</t>
        </is>
      </c>
      <c r="K72" t="n">
        <v>2024</v>
      </c>
      <c r="L72" t="n">
        <v>12</v>
      </c>
      <c r="M72" t="inlineStr">
        <is>
          <t>Todos</t>
        </is>
      </c>
      <c r="N72" t="inlineStr">
        <is>
          <t>Restaurante / Cantina</t>
        </is>
      </c>
      <c r="O72" t="n">
        <v>117</v>
      </c>
      <c r="P72" t="n">
        <v>735</v>
      </c>
      <c r="Q72" t="n">
        <v>117</v>
      </c>
    </row>
    <row r="73">
      <c r="A73" t="n">
        <v>2024</v>
      </c>
      <c r="B73" t="n">
        <v>2</v>
      </c>
      <c r="C73" t="inlineStr">
        <is>
          <t>Composto lácteo Alibralac 1 kg</t>
        </is>
      </c>
      <c r="D73" t="inlineStr">
        <is>
          <t>Mercearia / Sacolão</t>
        </is>
      </c>
      <c r="E73" t="n">
        <v>190</v>
      </c>
      <c r="F73" t="n">
        <v>10.2</v>
      </c>
      <c r="G73" t="n">
        <v>10</v>
      </c>
      <c r="J73" t="inlineStr">
        <is>
          <t>M</t>
        </is>
      </c>
      <c r="K73" t="n">
        <v>2024</v>
      </c>
      <c r="L73" t="n">
        <v>12</v>
      </c>
      <c r="M73" t="inlineStr">
        <is>
          <t>Todos</t>
        </is>
      </c>
      <c r="N73" t="inlineStr">
        <is>
          <t>Restaurante / Cantina</t>
        </is>
      </c>
      <c r="O73" t="n">
        <v>28</v>
      </c>
      <c r="P73" t="n">
        <v>62</v>
      </c>
      <c r="Q73" t="n">
        <v>0</v>
      </c>
    </row>
    <row r="74">
      <c r="A74" t="n">
        <v>2024</v>
      </c>
      <c r="B74" t="n">
        <v>2</v>
      </c>
      <c r="C74" t="inlineStr">
        <is>
          <t>Composto lácteo Alibralac 1 kg</t>
        </is>
      </c>
      <c r="D74" t="inlineStr">
        <is>
          <t>Padaria</t>
        </is>
      </c>
      <c r="E74" t="n">
        <v>190</v>
      </c>
      <c r="F74" t="n">
        <v>10.2</v>
      </c>
      <c r="G74" t="n">
        <v>10</v>
      </c>
      <c r="J74" t="inlineStr">
        <is>
          <t>A</t>
        </is>
      </c>
      <c r="K74" t="n">
        <v>2024</v>
      </c>
      <c r="L74" t="n">
        <v>1</v>
      </c>
      <c r="M74" t="inlineStr">
        <is>
          <t>Todos</t>
        </is>
      </c>
      <c r="N74" t="inlineStr">
        <is>
          <t>Cozinha Industrial</t>
        </is>
      </c>
      <c r="O74" t="n">
        <v>8</v>
      </c>
      <c r="P74" t="n">
        <v>12</v>
      </c>
      <c r="Q74" t="n">
        <v>8</v>
      </c>
    </row>
    <row r="75">
      <c r="A75" t="n">
        <v>2024</v>
      </c>
      <c r="B75" t="n">
        <v>2</v>
      </c>
      <c r="C75" t="inlineStr">
        <is>
          <t>Composto lácteo Merilú 400 g</t>
        </is>
      </c>
      <c r="D75" t="inlineStr">
        <is>
          <t>Churrascaria</t>
        </is>
      </c>
      <c r="E75" t="n">
        <v>63.12</v>
      </c>
      <c r="F75" t="n">
        <v>3.36</v>
      </c>
      <c r="G75" t="n">
        <v>8</v>
      </c>
      <c r="J75" t="inlineStr">
        <is>
          <t>M</t>
        </is>
      </c>
      <c r="K75" t="n">
        <v>2024</v>
      </c>
      <c r="L75" t="n">
        <v>1</v>
      </c>
      <c r="M75" t="inlineStr">
        <is>
          <t>Todos</t>
        </is>
      </c>
      <c r="N75" t="inlineStr">
        <is>
          <t>Cozinha Industrial</t>
        </is>
      </c>
      <c r="O75" t="n">
        <v>8</v>
      </c>
      <c r="P75" t="n">
        <v>12</v>
      </c>
      <c r="Q75" t="n">
        <v>0</v>
      </c>
    </row>
    <row r="76">
      <c r="A76" t="n">
        <v>2024</v>
      </c>
      <c r="B76" t="n">
        <v>2</v>
      </c>
      <c r="C76" t="inlineStr">
        <is>
          <t>Composto lácteo Merilú 400 g</t>
        </is>
      </c>
      <c r="D76" t="inlineStr">
        <is>
          <t>Esfiharia</t>
        </is>
      </c>
      <c r="E76" t="n">
        <v>14.26</v>
      </c>
      <c r="F76" t="n">
        <v>0.84</v>
      </c>
      <c r="G76" t="n">
        <v>2</v>
      </c>
      <c r="J76" t="inlineStr">
        <is>
          <t>A</t>
        </is>
      </c>
      <c r="K76" t="n">
        <v>2024</v>
      </c>
      <c r="L76" t="n">
        <v>2</v>
      </c>
      <c r="M76" t="inlineStr">
        <is>
          <t>Todos</t>
        </is>
      </c>
      <c r="N76" t="inlineStr">
        <is>
          <t>Cozinha Industrial</t>
        </is>
      </c>
      <c r="O76" t="n">
        <v>10</v>
      </c>
      <c r="P76" t="n">
        <v>25</v>
      </c>
      <c r="Q76" t="n">
        <v>10</v>
      </c>
    </row>
    <row r="77">
      <c r="A77" t="n">
        <v>2024</v>
      </c>
      <c r="B77" t="n">
        <v>2</v>
      </c>
      <c r="C77" t="inlineStr">
        <is>
          <t>Composto lácteo Merilú 400 g</t>
        </is>
      </c>
      <c r="D77" t="inlineStr">
        <is>
          <t>Hamburgueria</t>
        </is>
      </c>
      <c r="E77" t="n">
        <v>178.25</v>
      </c>
      <c r="F77" t="n">
        <v>10.5</v>
      </c>
      <c r="G77" t="n">
        <v>25</v>
      </c>
      <c r="J77" t="inlineStr">
        <is>
          <t>M</t>
        </is>
      </c>
      <c r="K77" t="n">
        <v>2024</v>
      </c>
      <c r="L77" t="n">
        <v>2</v>
      </c>
      <c r="M77" t="inlineStr">
        <is>
          <t>Todos</t>
        </is>
      </c>
      <c r="N77" t="inlineStr">
        <is>
          <t>Cozinha Industrial</t>
        </is>
      </c>
      <c r="O77" t="n">
        <v>7</v>
      </c>
      <c r="P77" t="n">
        <v>13</v>
      </c>
      <c r="Q77" t="n">
        <v>0</v>
      </c>
    </row>
    <row r="78">
      <c r="A78" t="n">
        <v>2024</v>
      </c>
      <c r="B78" t="n">
        <v>2</v>
      </c>
      <c r="C78" t="inlineStr">
        <is>
          <t>Composto lácteo Merilú 400 g</t>
        </is>
      </c>
      <c r="D78" t="inlineStr">
        <is>
          <t>Lanchonete / Cafeteria</t>
        </is>
      </c>
      <c r="E78" t="n">
        <v>23.07</v>
      </c>
      <c r="F78" t="n">
        <v>1.26</v>
      </c>
      <c r="G78" t="n">
        <v>3</v>
      </c>
      <c r="J78" t="inlineStr">
        <is>
          <t>A</t>
        </is>
      </c>
      <c r="K78" t="n">
        <v>2024</v>
      </c>
      <c r="L78" t="n">
        <v>3</v>
      </c>
      <c r="M78" t="inlineStr">
        <is>
          <t>Todos</t>
        </is>
      </c>
      <c r="N78" t="inlineStr">
        <is>
          <t>Cozinha Industrial</t>
        </is>
      </c>
      <c r="O78" t="n">
        <v>15</v>
      </c>
      <c r="P78" t="n">
        <v>53</v>
      </c>
      <c r="Q78" t="n">
        <v>15</v>
      </c>
    </row>
    <row r="79">
      <c r="A79" t="n">
        <v>2024</v>
      </c>
      <c r="B79" t="n">
        <v>2</v>
      </c>
      <c r="C79" t="inlineStr">
        <is>
          <t>Composto lácteo Merilú 400 g</t>
        </is>
      </c>
      <c r="D79" t="inlineStr">
        <is>
          <t>Outros</t>
        </is>
      </c>
      <c r="E79" t="n">
        <v>400.06</v>
      </c>
      <c r="F79" t="n">
        <v>23.94</v>
      </c>
      <c r="G79" t="n">
        <v>57</v>
      </c>
      <c r="J79" t="inlineStr">
        <is>
          <t>M</t>
        </is>
      </c>
      <c r="K79" t="n">
        <v>2024</v>
      </c>
      <c r="L79" t="n">
        <v>3</v>
      </c>
      <c r="M79" t="inlineStr">
        <is>
          <t>Todos</t>
        </is>
      </c>
      <c r="N79" t="inlineStr">
        <is>
          <t>Cozinha Industrial</t>
        </is>
      </c>
      <c r="O79" t="n">
        <v>12</v>
      </c>
      <c r="P79" t="n">
        <v>28</v>
      </c>
      <c r="Q79" t="n">
        <v>0</v>
      </c>
    </row>
    <row r="80">
      <c r="A80" t="n">
        <v>2024</v>
      </c>
      <c r="B80" t="n">
        <v>2</v>
      </c>
      <c r="C80" t="inlineStr">
        <is>
          <t>Composto lácteo Merilú 400 g</t>
        </is>
      </c>
      <c r="D80" t="inlineStr">
        <is>
          <t>Pessoa Física</t>
        </is>
      </c>
      <c r="E80" t="n">
        <v>21.12</v>
      </c>
      <c r="F80" t="n">
        <v>1.26</v>
      </c>
      <c r="G80" t="n">
        <v>3</v>
      </c>
      <c r="J80" t="inlineStr">
        <is>
          <t>A</t>
        </is>
      </c>
      <c r="K80" t="n">
        <v>2024</v>
      </c>
      <c r="L80" t="n">
        <v>4</v>
      </c>
      <c r="M80" t="inlineStr">
        <is>
          <t>Todos</t>
        </is>
      </c>
      <c r="N80" t="inlineStr">
        <is>
          <t>Cozinha Industrial</t>
        </is>
      </c>
      <c r="O80" t="n">
        <v>17</v>
      </c>
      <c r="P80" t="n">
        <v>77</v>
      </c>
      <c r="Q80" t="n">
        <v>17</v>
      </c>
    </row>
    <row r="81">
      <c r="A81" t="n">
        <v>2024</v>
      </c>
      <c r="B81" t="n">
        <v>2</v>
      </c>
      <c r="C81" t="inlineStr">
        <is>
          <t>Composto lácteo Merilú 400 g</t>
        </is>
      </c>
      <c r="D81" t="inlineStr">
        <is>
          <t>Pizzaria</t>
        </is>
      </c>
      <c r="E81" t="n">
        <v>524.5</v>
      </c>
      <c r="F81" t="n">
        <v>31.5</v>
      </c>
      <c r="G81" t="n">
        <v>75</v>
      </c>
      <c r="J81" t="inlineStr">
        <is>
          <t>M</t>
        </is>
      </c>
      <c r="K81" t="n">
        <v>2024</v>
      </c>
      <c r="L81" t="n">
        <v>4</v>
      </c>
      <c r="M81" t="inlineStr">
        <is>
          <t>Todos</t>
        </is>
      </c>
      <c r="N81" t="inlineStr">
        <is>
          <t>Cozinha Industrial</t>
        </is>
      </c>
      <c r="O81" t="n">
        <v>12</v>
      </c>
      <c r="P81" t="n">
        <v>24</v>
      </c>
      <c r="Q81" t="n">
        <v>0</v>
      </c>
    </row>
    <row r="82">
      <c r="A82" t="n">
        <v>2024</v>
      </c>
      <c r="B82" t="n">
        <v>2</v>
      </c>
      <c r="C82" t="inlineStr">
        <is>
          <t>Composto lácteo Merilú 400 g</t>
        </is>
      </c>
      <c r="D82" t="inlineStr">
        <is>
          <t>Restaurante / Cantina</t>
        </is>
      </c>
      <c r="E82" t="n">
        <v>47.94</v>
      </c>
      <c r="F82" t="n">
        <v>2.52</v>
      </c>
      <c r="G82" t="n">
        <v>6</v>
      </c>
      <c r="J82" t="inlineStr">
        <is>
          <t>A</t>
        </is>
      </c>
      <c r="K82" t="n">
        <v>2024</v>
      </c>
      <c r="L82" t="n">
        <v>5</v>
      </c>
      <c r="M82" t="inlineStr">
        <is>
          <t>Todos</t>
        </is>
      </c>
      <c r="N82" t="inlineStr">
        <is>
          <t>Cozinha Industrial</t>
        </is>
      </c>
      <c r="O82" t="n">
        <v>19</v>
      </c>
      <c r="P82" t="n">
        <v>101</v>
      </c>
      <c r="Q82" t="n">
        <v>19</v>
      </c>
    </row>
    <row r="83">
      <c r="A83" t="n">
        <v>2024</v>
      </c>
      <c r="B83" t="n">
        <v>2</v>
      </c>
      <c r="C83" t="inlineStr">
        <is>
          <t>Muçarela Mozzalet 2 kg</t>
        </is>
      </c>
      <c r="D83" t="inlineStr">
        <is>
          <t>Lanchonete / Cafeteria</t>
        </is>
      </c>
      <c r="E83" t="n">
        <v>118.41</v>
      </c>
      <c r="F83" t="n">
        <v>6</v>
      </c>
      <c r="G83" t="n">
        <v>3</v>
      </c>
      <c r="J83" t="inlineStr">
        <is>
          <t>M</t>
        </is>
      </c>
      <c r="K83" t="n">
        <v>2024</v>
      </c>
      <c r="L83" t="n">
        <v>5</v>
      </c>
      <c r="M83" t="inlineStr">
        <is>
          <t>Todos</t>
        </is>
      </c>
      <c r="N83" t="inlineStr">
        <is>
          <t>Cozinha Industrial</t>
        </is>
      </c>
      <c r="O83" t="n">
        <v>12</v>
      </c>
      <c r="P83" t="n">
        <v>24</v>
      </c>
      <c r="Q83" t="n">
        <v>0</v>
      </c>
    </row>
    <row r="84">
      <c r="A84" t="n">
        <v>2024</v>
      </c>
      <c r="B84" t="n">
        <v>2</v>
      </c>
      <c r="C84" t="inlineStr">
        <is>
          <t>Muçarela Mozzalet 2 kg</t>
        </is>
      </c>
      <c r="D84" t="inlineStr">
        <is>
          <t>Não Selecionado</t>
        </is>
      </c>
      <c r="E84" t="n">
        <v>356.13</v>
      </c>
      <c r="F84" t="n">
        <v>18</v>
      </c>
      <c r="G84" t="n">
        <v>9</v>
      </c>
      <c r="J84" t="inlineStr">
        <is>
          <t>A</t>
        </is>
      </c>
      <c r="K84" t="n">
        <v>2024</v>
      </c>
      <c r="L84" t="n">
        <v>6</v>
      </c>
      <c r="M84" t="inlineStr">
        <is>
          <t>Todos</t>
        </is>
      </c>
      <c r="N84" t="inlineStr">
        <is>
          <t>Cozinha Industrial</t>
        </is>
      </c>
      <c r="O84" t="n">
        <v>21</v>
      </c>
      <c r="P84" t="n">
        <v>128</v>
      </c>
      <c r="Q84" t="n">
        <v>21</v>
      </c>
    </row>
    <row r="85">
      <c r="A85" t="n">
        <v>2024</v>
      </c>
      <c r="B85" t="n">
        <v>2</v>
      </c>
      <c r="C85" t="inlineStr">
        <is>
          <t>Muçarela Mozzalet 2 kg</t>
        </is>
      </c>
      <c r="D85" t="inlineStr">
        <is>
          <t>Pessoa Física</t>
        </is>
      </c>
      <c r="E85" t="n">
        <v>433.59</v>
      </c>
      <c r="F85" t="n">
        <v>22</v>
      </c>
      <c r="G85" t="n">
        <v>11</v>
      </c>
      <c r="J85" t="inlineStr">
        <is>
          <t>M</t>
        </is>
      </c>
      <c r="K85" t="n">
        <v>2024</v>
      </c>
      <c r="L85" t="n">
        <v>6</v>
      </c>
      <c r="M85" t="inlineStr">
        <is>
          <t>Todos</t>
        </is>
      </c>
      <c r="N85" t="inlineStr">
        <is>
          <t>Cozinha Industrial</t>
        </is>
      </c>
      <c r="O85" t="n">
        <v>12</v>
      </c>
      <c r="P85" t="n">
        <v>27</v>
      </c>
      <c r="Q85" t="n">
        <v>0</v>
      </c>
    </row>
    <row r="86">
      <c r="A86" t="n">
        <v>2024</v>
      </c>
      <c r="B86" t="n">
        <v>2</v>
      </c>
      <c r="C86" t="inlineStr">
        <is>
          <t>Muçarela Mozzalet 2 kg</t>
        </is>
      </c>
      <c r="D86" t="inlineStr">
        <is>
          <t>Pizzaria</t>
        </is>
      </c>
      <c r="E86" t="n">
        <v>2646.35</v>
      </c>
      <c r="F86" t="n">
        <v>134</v>
      </c>
      <c r="G86" t="n">
        <v>67</v>
      </c>
      <c r="J86" t="inlineStr">
        <is>
          <t>A</t>
        </is>
      </c>
      <c r="K86" t="n">
        <v>2024</v>
      </c>
      <c r="L86" t="n">
        <v>7</v>
      </c>
      <c r="M86" t="inlineStr">
        <is>
          <t>Todos</t>
        </is>
      </c>
      <c r="N86" t="inlineStr">
        <is>
          <t>Cozinha Industrial</t>
        </is>
      </c>
      <c r="O86" t="n">
        <v>21</v>
      </c>
      <c r="P86" t="n">
        <v>144</v>
      </c>
      <c r="Q86" t="n">
        <v>21</v>
      </c>
    </row>
    <row r="87">
      <c r="A87" t="n">
        <v>2024</v>
      </c>
      <c r="B87" t="n">
        <v>2</v>
      </c>
      <c r="C87" t="inlineStr">
        <is>
          <t>Muçarela Mozzana 2 kg</t>
        </is>
      </c>
      <c r="D87" t="inlineStr">
        <is>
          <t>Bar / Chopperia</t>
        </is>
      </c>
      <c r="E87" t="n">
        <v>1368</v>
      </c>
      <c r="F87" t="n">
        <v>72.72</v>
      </c>
      <c r="G87" t="n">
        <v>36</v>
      </c>
      <c r="J87" t="inlineStr">
        <is>
          <t>M</t>
        </is>
      </c>
      <c r="K87" t="n">
        <v>2024</v>
      </c>
      <c r="L87" t="n">
        <v>7</v>
      </c>
      <c r="M87" t="inlineStr">
        <is>
          <t>Todos</t>
        </is>
      </c>
      <c r="N87" t="inlineStr">
        <is>
          <t>Cozinha Industrial</t>
        </is>
      </c>
      <c r="O87" t="n">
        <v>7</v>
      </c>
      <c r="P87" t="n">
        <v>16</v>
      </c>
      <c r="Q87" t="n">
        <v>0</v>
      </c>
    </row>
    <row r="88">
      <c r="A88" t="n">
        <v>2024</v>
      </c>
      <c r="B88" t="n">
        <v>2</v>
      </c>
      <c r="C88" t="inlineStr">
        <is>
          <t>Muçarela Mozzana 2 kg</t>
        </is>
      </c>
      <c r="D88" t="inlineStr">
        <is>
          <t>Buffet</t>
        </is>
      </c>
      <c r="E88" t="n">
        <v>1635.15</v>
      </c>
      <c r="F88" t="n">
        <v>86.86</v>
      </c>
      <c r="G88" t="n">
        <v>43</v>
      </c>
      <c r="J88" t="inlineStr">
        <is>
          <t>A</t>
        </is>
      </c>
      <c r="K88" t="n">
        <v>2024</v>
      </c>
      <c r="L88" t="n">
        <v>8</v>
      </c>
      <c r="M88" t="inlineStr">
        <is>
          <t>Todos</t>
        </is>
      </c>
      <c r="N88" t="inlineStr">
        <is>
          <t>Cozinha Industrial</t>
        </is>
      </c>
      <c r="O88" t="n">
        <v>22</v>
      </c>
      <c r="P88" t="n">
        <v>159</v>
      </c>
      <c r="Q88" t="n">
        <v>22</v>
      </c>
    </row>
    <row r="89">
      <c r="A89" t="n">
        <v>2024</v>
      </c>
      <c r="B89" t="n">
        <v>2</v>
      </c>
      <c r="C89" t="inlineStr">
        <is>
          <t>Muçarela Mozzana 2 kg</t>
        </is>
      </c>
      <c r="D89" t="inlineStr">
        <is>
          <t>Confeitaria</t>
        </is>
      </c>
      <c r="E89" t="n">
        <v>118.71</v>
      </c>
      <c r="F89" t="n">
        <v>6.06</v>
      </c>
      <c r="G89" t="n">
        <v>3</v>
      </c>
      <c r="J89" t="inlineStr">
        <is>
          <t>M</t>
        </is>
      </c>
      <c r="K89" t="n">
        <v>2024</v>
      </c>
      <c r="L89" t="n">
        <v>8</v>
      </c>
      <c r="M89" t="inlineStr">
        <is>
          <t>Todos</t>
        </is>
      </c>
      <c r="N89" t="inlineStr">
        <is>
          <t>Cozinha Industrial</t>
        </is>
      </c>
      <c r="O89" t="n">
        <v>7</v>
      </c>
      <c r="P89" t="n">
        <v>15</v>
      </c>
      <c r="Q89" t="n">
        <v>0</v>
      </c>
    </row>
    <row r="90">
      <c r="A90" t="n">
        <v>2024</v>
      </c>
      <c r="B90" t="n">
        <v>2</v>
      </c>
      <c r="C90" t="inlineStr">
        <is>
          <t>Muçarela Mozzana 2 kg</t>
        </is>
      </c>
      <c r="D90" t="inlineStr">
        <is>
          <t>Cozinha Industrial</t>
        </is>
      </c>
      <c r="E90" t="n">
        <v>8956.700000000001</v>
      </c>
      <c r="F90" t="n">
        <v>488.84</v>
      </c>
      <c r="G90" t="n">
        <v>242</v>
      </c>
      <c r="J90" t="inlineStr">
        <is>
          <t>A</t>
        </is>
      </c>
      <c r="K90" t="n">
        <v>2024</v>
      </c>
      <c r="L90" t="n">
        <v>9</v>
      </c>
      <c r="M90" t="inlineStr">
        <is>
          <t>Todos</t>
        </is>
      </c>
      <c r="N90" t="inlineStr">
        <is>
          <t>Cozinha Industrial</t>
        </is>
      </c>
      <c r="O90" t="n">
        <v>25</v>
      </c>
      <c r="P90" t="n">
        <v>171</v>
      </c>
      <c r="Q90" t="n">
        <v>25</v>
      </c>
    </row>
    <row r="91">
      <c r="A91" t="n">
        <v>2024</v>
      </c>
      <c r="B91" t="n">
        <v>2</v>
      </c>
      <c r="C91" t="inlineStr">
        <is>
          <t>Muçarela Mozzana 2 kg</t>
        </is>
      </c>
      <c r="D91" t="inlineStr">
        <is>
          <t>Cozinha Oriental</t>
        </is>
      </c>
      <c r="E91" t="n">
        <v>149.6</v>
      </c>
      <c r="F91" t="n">
        <v>8.08</v>
      </c>
      <c r="G91" t="n">
        <v>4</v>
      </c>
      <c r="J91" t="inlineStr">
        <is>
          <t>M</t>
        </is>
      </c>
      <c r="K91" t="n">
        <v>2024</v>
      </c>
      <c r="L91" t="n">
        <v>9</v>
      </c>
      <c r="M91" t="inlineStr">
        <is>
          <t>Todos</t>
        </is>
      </c>
      <c r="N91" t="inlineStr">
        <is>
          <t>Cozinha Industrial</t>
        </is>
      </c>
      <c r="O91" t="n">
        <v>10</v>
      </c>
      <c r="P91" t="n">
        <v>12</v>
      </c>
      <c r="Q91" t="n">
        <v>0</v>
      </c>
    </row>
    <row r="92">
      <c r="A92" t="n">
        <v>2024</v>
      </c>
      <c r="B92" t="n">
        <v>2</v>
      </c>
      <c r="C92" t="inlineStr">
        <is>
          <t>Muçarela Mozzana 2 kg</t>
        </is>
      </c>
      <c r="D92" t="inlineStr">
        <is>
          <t>Esfiharia</t>
        </is>
      </c>
      <c r="E92" t="n">
        <v>1642.17</v>
      </c>
      <c r="F92" t="n">
        <v>86.86</v>
      </c>
      <c r="G92" t="n">
        <v>43</v>
      </c>
      <c r="J92" t="inlineStr">
        <is>
          <t>A</t>
        </is>
      </c>
      <c r="K92" t="n">
        <v>2024</v>
      </c>
      <c r="L92" t="n">
        <v>10</v>
      </c>
      <c r="M92" t="inlineStr">
        <is>
          <t>Todos</t>
        </is>
      </c>
      <c r="N92" t="inlineStr">
        <is>
          <t>Cozinha Industrial</t>
        </is>
      </c>
      <c r="O92" t="n">
        <v>26</v>
      </c>
      <c r="P92" t="n">
        <v>187</v>
      </c>
      <c r="Q92" t="n">
        <v>26</v>
      </c>
    </row>
    <row r="93">
      <c r="A93" t="n">
        <v>2024</v>
      </c>
      <c r="B93" t="n">
        <v>2</v>
      </c>
      <c r="C93" t="inlineStr">
        <is>
          <t>Muçarela Mozzana 2 kg</t>
        </is>
      </c>
      <c r="D93" t="inlineStr">
        <is>
          <t>Fábrica de Massas</t>
        </is>
      </c>
      <c r="E93" t="n">
        <v>19162.83</v>
      </c>
      <c r="F93" t="n">
        <v>1034.24</v>
      </c>
      <c r="G93" t="n">
        <v>512</v>
      </c>
      <c r="J93" t="inlineStr">
        <is>
          <t>M</t>
        </is>
      </c>
      <c r="K93" t="n">
        <v>2024</v>
      </c>
      <c r="L93" t="n">
        <v>10</v>
      </c>
      <c r="M93" t="inlineStr">
        <is>
          <t>Todos</t>
        </is>
      </c>
      <c r="N93" t="inlineStr">
        <is>
          <t>Cozinha Industrial</t>
        </is>
      </c>
      <c r="O93" t="n">
        <v>9</v>
      </c>
      <c r="P93" t="n">
        <v>16</v>
      </c>
      <c r="Q93" t="n">
        <v>0</v>
      </c>
    </row>
    <row r="94">
      <c r="A94" t="n">
        <v>2024</v>
      </c>
      <c r="B94" t="n">
        <v>2</v>
      </c>
      <c r="C94" t="inlineStr">
        <is>
          <t>Muçarela Mozzana 2 kg</t>
        </is>
      </c>
      <c r="D94" t="inlineStr">
        <is>
          <t>Hamburgueria</t>
        </is>
      </c>
      <c r="E94" t="n">
        <v>806.75</v>
      </c>
      <c r="F94" t="n">
        <v>42.42</v>
      </c>
      <c r="G94" t="n">
        <v>21</v>
      </c>
      <c r="J94" t="inlineStr">
        <is>
          <t>A</t>
        </is>
      </c>
      <c r="K94" t="n">
        <v>2024</v>
      </c>
      <c r="L94" t="n">
        <v>11</v>
      </c>
      <c r="M94" t="inlineStr">
        <is>
          <t>Todos</t>
        </is>
      </c>
      <c r="N94" t="inlineStr">
        <is>
          <t>Cozinha Industrial</t>
        </is>
      </c>
      <c r="O94" t="n">
        <v>26</v>
      </c>
      <c r="P94" t="n">
        <v>202</v>
      </c>
      <c r="Q94" t="n">
        <v>26</v>
      </c>
    </row>
    <row r="95">
      <c r="A95" t="n">
        <v>2024</v>
      </c>
      <c r="B95" t="n">
        <v>2</v>
      </c>
      <c r="C95" t="inlineStr">
        <is>
          <t>Muçarela Mozzana 2 kg</t>
        </is>
      </c>
      <c r="D95" t="inlineStr">
        <is>
          <t>Lanchonete / Cafeteria</t>
        </is>
      </c>
      <c r="E95" t="n">
        <v>522.66</v>
      </c>
      <c r="F95" t="n">
        <v>28.28</v>
      </c>
      <c r="G95" t="n">
        <v>14</v>
      </c>
      <c r="J95" t="inlineStr">
        <is>
          <t>M</t>
        </is>
      </c>
      <c r="K95" t="n">
        <v>2024</v>
      </c>
      <c r="L95" t="n">
        <v>11</v>
      </c>
      <c r="M95" t="inlineStr">
        <is>
          <t>Todos</t>
        </is>
      </c>
      <c r="N95" t="inlineStr">
        <is>
          <t>Cozinha Industrial</t>
        </is>
      </c>
      <c r="O95" t="n">
        <v>7</v>
      </c>
      <c r="P95" t="n">
        <v>15</v>
      </c>
      <c r="Q95" t="n">
        <v>0</v>
      </c>
    </row>
    <row r="96">
      <c r="A96" t="n">
        <v>2024</v>
      </c>
      <c r="B96" t="n">
        <v>2</v>
      </c>
      <c r="C96" t="inlineStr">
        <is>
          <t>Muçarela Mozzana 2 kg</t>
        </is>
      </c>
      <c r="D96" t="inlineStr">
        <is>
          <t>Laticínios / Distribuidor</t>
        </is>
      </c>
      <c r="E96" t="n">
        <v>2709</v>
      </c>
      <c r="F96" t="n">
        <v>145.44</v>
      </c>
      <c r="G96" t="n">
        <v>72</v>
      </c>
      <c r="J96" t="inlineStr">
        <is>
          <t>A</t>
        </is>
      </c>
      <c r="K96" t="n">
        <v>2024</v>
      </c>
      <c r="L96" t="n">
        <v>12</v>
      </c>
      <c r="M96" t="inlineStr">
        <is>
          <t>Todos</t>
        </is>
      </c>
      <c r="N96" t="inlineStr">
        <is>
          <t>Cozinha Industrial</t>
        </is>
      </c>
      <c r="O96" t="n">
        <v>26</v>
      </c>
      <c r="P96" t="n">
        <v>212</v>
      </c>
      <c r="Q96" t="n">
        <v>26</v>
      </c>
    </row>
    <row r="97">
      <c r="A97" t="n">
        <v>2024</v>
      </c>
      <c r="B97" t="n">
        <v>2</v>
      </c>
      <c r="C97" t="inlineStr">
        <is>
          <t>Muçarela Mozzana 2 kg</t>
        </is>
      </c>
      <c r="D97" t="inlineStr">
        <is>
          <t>Loja de Conveniência</t>
        </is>
      </c>
      <c r="E97" t="n">
        <v>760</v>
      </c>
      <c r="F97" t="n">
        <v>40.4</v>
      </c>
      <c r="G97" t="n">
        <v>20</v>
      </c>
      <c r="J97" t="inlineStr">
        <is>
          <t>M</t>
        </is>
      </c>
      <c r="K97" t="n">
        <v>2024</v>
      </c>
      <c r="L97" t="n">
        <v>12</v>
      </c>
      <c r="M97" t="inlineStr">
        <is>
          <t>Todos</t>
        </is>
      </c>
      <c r="N97" t="inlineStr">
        <is>
          <t>Cozinha Industrial</t>
        </is>
      </c>
      <c r="O97" t="n">
        <v>6</v>
      </c>
      <c r="P97" t="n">
        <v>10</v>
      </c>
      <c r="Q97" t="n">
        <v>0</v>
      </c>
    </row>
    <row r="98">
      <c r="A98" t="n">
        <v>2024</v>
      </c>
      <c r="B98" t="n">
        <v>2</v>
      </c>
      <c r="C98" t="inlineStr">
        <is>
          <t>Muçarela Mozzana 2 kg</t>
        </is>
      </c>
      <c r="D98" t="inlineStr">
        <is>
          <t>Mercearia / Sacolão</t>
        </is>
      </c>
      <c r="E98" t="n">
        <v>336.51</v>
      </c>
      <c r="F98" t="n">
        <v>18.18</v>
      </c>
      <c r="G98" t="n">
        <v>9</v>
      </c>
      <c r="J98" t="inlineStr">
        <is>
          <t>A</t>
        </is>
      </c>
      <c r="K98" t="n">
        <v>2024</v>
      </c>
      <c r="L98" t="n">
        <v>1</v>
      </c>
      <c r="M98" t="inlineStr">
        <is>
          <t>Todos</t>
        </is>
      </c>
      <c r="N98" t="inlineStr">
        <is>
          <t>Fábrica de Massas</t>
        </is>
      </c>
      <c r="O98" t="n">
        <v>4</v>
      </c>
      <c r="P98" t="n">
        <v>12</v>
      </c>
      <c r="Q98" t="n">
        <v>4</v>
      </c>
    </row>
    <row r="99">
      <c r="A99" t="n">
        <v>2024</v>
      </c>
      <c r="B99" t="n">
        <v>2</v>
      </c>
      <c r="C99" t="inlineStr">
        <is>
          <t>Muçarela Mozzana 2 kg</t>
        </is>
      </c>
      <c r="D99" t="inlineStr">
        <is>
          <t>Outros</t>
        </is>
      </c>
      <c r="E99" t="n">
        <v>18502.07</v>
      </c>
      <c r="F99" t="n">
        <v>993.84</v>
      </c>
      <c r="G99" t="n">
        <v>492</v>
      </c>
      <c r="J99" t="inlineStr">
        <is>
          <t>M</t>
        </is>
      </c>
      <c r="K99" t="n">
        <v>2024</v>
      </c>
      <c r="L99" t="n">
        <v>1</v>
      </c>
      <c r="M99" t="inlineStr">
        <is>
          <t>Todos</t>
        </is>
      </c>
      <c r="N99" t="inlineStr">
        <is>
          <t>Fábrica de Massas</t>
        </is>
      </c>
      <c r="O99" t="n">
        <v>4</v>
      </c>
      <c r="P99" t="n">
        <v>12</v>
      </c>
      <c r="Q99" t="n">
        <v>0</v>
      </c>
    </row>
    <row r="100">
      <c r="A100" t="n">
        <v>2024</v>
      </c>
      <c r="B100" t="n">
        <v>2</v>
      </c>
      <c r="C100" t="inlineStr">
        <is>
          <t>Muçarela Mozzana 2 kg</t>
        </is>
      </c>
      <c r="D100" t="inlineStr">
        <is>
          <t>Padaria</t>
        </is>
      </c>
      <c r="E100" t="n">
        <v>5515.15</v>
      </c>
      <c r="F100" t="n">
        <v>290.88</v>
      </c>
      <c r="G100" t="n">
        <v>144</v>
      </c>
      <c r="J100" t="inlineStr">
        <is>
          <t>A</t>
        </is>
      </c>
      <c r="K100" t="n">
        <v>2024</v>
      </c>
      <c r="L100" t="n">
        <v>2</v>
      </c>
      <c r="M100" t="inlineStr">
        <is>
          <t>Todos</t>
        </is>
      </c>
      <c r="N100" t="inlineStr">
        <is>
          <t>Fábrica de Massas</t>
        </is>
      </c>
      <c r="O100" t="n">
        <v>6</v>
      </c>
      <c r="P100" t="n">
        <v>23</v>
      </c>
      <c r="Q100" t="n">
        <v>6</v>
      </c>
    </row>
    <row r="101">
      <c r="A101" t="n">
        <v>2024</v>
      </c>
      <c r="B101" t="n">
        <v>2</v>
      </c>
      <c r="C101" t="inlineStr">
        <is>
          <t>Muçarela Mozzana 2 kg</t>
        </is>
      </c>
      <c r="D101" t="inlineStr">
        <is>
          <t>Pastelaria</t>
        </is>
      </c>
      <c r="E101" t="n">
        <v>2238.48</v>
      </c>
      <c r="F101" t="n">
        <v>115.14</v>
      </c>
      <c r="G101" t="n">
        <v>57</v>
      </c>
      <c r="J101" t="inlineStr">
        <is>
          <t>M</t>
        </is>
      </c>
      <c r="K101" t="n">
        <v>2024</v>
      </c>
      <c r="L101" t="n">
        <v>2</v>
      </c>
      <c r="M101" t="inlineStr">
        <is>
          <t>Todos</t>
        </is>
      </c>
      <c r="N101" t="inlineStr">
        <is>
          <t>Fábrica de Massas</t>
        </is>
      </c>
      <c r="O101" t="n">
        <v>6</v>
      </c>
      <c r="P101" t="n">
        <v>11</v>
      </c>
      <c r="Q101" t="n">
        <v>0</v>
      </c>
    </row>
    <row r="102">
      <c r="A102" t="n">
        <v>2024</v>
      </c>
      <c r="B102" t="n">
        <v>2</v>
      </c>
      <c r="C102" t="inlineStr">
        <is>
          <t>Muçarela Mozzana 2 kg</t>
        </is>
      </c>
      <c r="D102" t="inlineStr">
        <is>
          <t>Pessoa Física</t>
        </is>
      </c>
      <c r="E102" t="n">
        <v>3894.86</v>
      </c>
      <c r="F102" t="n">
        <v>206.04</v>
      </c>
      <c r="G102" t="n">
        <v>102</v>
      </c>
      <c r="J102" t="inlineStr">
        <is>
          <t>A</t>
        </is>
      </c>
      <c r="K102" t="n">
        <v>2024</v>
      </c>
      <c r="L102" t="n">
        <v>3</v>
      </c>
      <c r="M102" t="inlineStr">
        <is>
          <t>Todos</t>
        </is>
      </c>
      <c r="N102" t="inlineStr">
        <is>
          <t>Fábrica de Massas</t>
        </is>
      </c>
      <c r="O102" t="n">
        <v>7</v>
      </c>
      <c r="P102" t="n">
        <v>32</v>
      </c>
      <c r="Q102" t="n">
        <v>7</v>
      </c>
    </row>
    <row r="103">
      <c r="A103" t="n">
        <v>2024</v>
      </c>
      <c r="B103" t="n">
        <v>2</v>
      </c>
      <c r="C103" t="inlineStr">
        <is>
          <t>Muçarela Mozzana 2 kg</t>
        </is>
      </c>
      <c r="D103" t="inlineStr">
        <is>
          <t>Pizzaria</t>
        </is>
      </c>
      <c r="E103" t="n">
        <v>74310.78999999999</v>
      </c>
      <c r="F103" t="n">
        <v>3959.2</v>
      </c>
      <c r="G103" t="n">
        <v>1960</v>
      </c>
      <c r="J103" t="inlineStr">
        <is>
          <t>M</t>
        </is>
      </c>
      <c r="K103" t="n">
        <v>2024</v>
      </c>
      <c r="L103" t="n">
        <v>3</v>
      </c>
      <c r="M103" t="inlineStr">
        <is>
          <t>Todos</t>
        </is>
      </c>
      <c r="N103" t="inlineStr">
        <is>
          <t>Fábrica de Massas</t>
        </is>
      </c>
      <c r="O103" t="n">
        <v>5</v>
      </c>
      <c r="P103" t="n">
        <v>9</v>
      </c>
      <c r="Q103" t="n">
        <v>0</v>
      </c>
    </row>
    <row r="104">
      <c r="A104" t="n">
        <v>2024</v>
      </c>
      <c r="B104" t="n">
        <v>2</v>
      </c>
      <c r="C104" t="inlineStr">
        <is>
          <t>Muçarela Mozzana 2 kg</t>
        </is>
      </c>
      <c r="D104" t="inlineStr">
        <is>
          <t>Restaurante / Cantina</t>
        </is>
      </c>
      <c r="E104" t="n">
        <v>11007.67</v>
      </c>
      <c r="F104" t="n">
        <v>591.86</v>
      </c>
      <c r="G104" t="n">
        <v>293</v>
      </c>
      <c r="J104" t="inlineStr">
        <is>
          <t>A</t>
        </is>
      </c>
      <c r="K104" t="n">
        <v>2024</v>
      </c>
      <c r="L104" t="n">
        <v>4</v>
      </c>
      <c r="M104" t="inlineStr">
        <is>
          <t>Todos</t>
        </is>
      </c>
      <c r="N104" t="inlineStr">
        <is>
          <t>Fábrica de Massas</t>
        </is>
      </c>
      <c r="O104" t="n">
        <v>9</v>
      </c>
      <c r="P104" t="n">
        <v>42</v>
      </c>
      <c r="Q104" t="n">
        <v>9</v>
      </c>
    </row>
    <row r="105">
      <c r="A105" t="n">
        <v>2024</v>
      </c>
      <c r="B105" t="n">
        <v>2</v>
      </c>
      <c r="C105" t="inlineStr">
        <is>
          <t>Muçarela Mozzana 2 kg</t>
        </is>
      </c>
      <c r="D105" t="inlineStr">
        <is>
          <t>Supermercado</t>
        </is>
      </c>
      <c r="E105" t="n">
        <v>2227.33</v>
      </c>
      <c r="F105" t="n">
        <v>109.08</v>
      </c>
      <c r="G105" t="n">
        <v>54</v>
      </c>
      <c r="J105" t="inlineStr">
        <is>
          <t>M</t>
        </is>
      </c>
      <c r="K105" t="n">
        <v>2024</v>
      </c>
      <c r="L105" t="n">
        <v>4</v>
      </c>
      <c r="M105" t="inlineStr">
        <is>
          <t>Todos</t>
        </is>
      </c>
      <c r="N105" t="inlineStr">
        <is>
          <t>Fábrica de Massas</t>
        </is>
      </c>
      <c r="O105" t="n">
        <v>6</v>
      </c>
      <c r="P105" t="n">
        <v>10</v>
      </c>
      <c r="Q105" t="n">
        <v>0</v>
      </c>
    </row>
    <row r="106">
      <c r="A106" t="n">
        <v>2024</v>
      </c>
      <c r="B106" t="n">
        <v>2</v>
      </c>
      <c r="C106" t="inlineStr">
        <is>
          <t>Requeijão Pizzalet 1,8 kg</t>
        </is>
      </c>
      <c r="D106" t="inlineStr">
        <is>
          <t>Bar / Chopperia</t>
        </is>
      </c>
      <c r="E106" t="n">
        <v>203.1</v>
      </c>
      <c r="F106" t="n">
        <v>27.6</v>
      </c>
      <c r="G106" t="n">
        <v>15</v>
      </c>
      <c r="J106" t="inlineStr">
        <is>
          <t>A</t>
        </is>
      </c>
      <c r="K106" t="n">
        <v>2024</v>
      </c>
      <c r="L106" t="n">
        <v>5</v>
      </c>
      <c r="M106" t="inlineStr">
        <is>
          <t>Todos</t>
        </is>
      </c>
      <c r="N106" t="inlineStr">
        <is>
          <t>Fábrica de Massas</t>
        </is>
      </c>
      <c r="O106" t="n">
        <v>10</v>
      </c>
      <c r="P106" t="n">
        <v>56</v>
      </c>
      <c r="Q106" t="n">
        <v>10</v>
      </c>
    </row>
    <row r="107">
      <c r="A107" t="n">
        <v>2024</v>
      </c>
      <c r="B107" t="n">
        <v>2</v>
      </c>
      <c r="C107" t="inlineStr">
        <is>
          <t>Requeijão Pizzalet 1,8 kg</t>
        </is>
      </c>
      <c r="D107" t="inlineStr">
        <is>
          <t>Cozinha Industrial</t>
        </is>
      </c>
      <c r="E107" t="n">
        <v>3032.96</v>
      </c>
      <c r="F107" t="n">
        <v>412.16</v>
      </c>
      <c r="G107" t="n">
        <v>224</v>
      </c>
      <c r="J107" t="inlineStr">
        <is>
          <t>M</t>
        </is>
      </c>
      <c r="K107" t="n">
        <v>2024</v>
      </c>
      <c r="L107" t="n">
        <v>5</v>
      </c>
      <c r="M107" t="inlineStr">
        <is>
          <t>Todos</t>
        </is>
      </c>
      <c r="N107" t="inlineStr">
        <is>
          <t>Fábrica de Massas</t>
        </is>
      </c>
      <c r="O107" t="n">
        <v>8</v>
      </c>
      <c r="P107" t="n">
        <v>14</v>
      </c>
      <c r="Q107" t="n">
        <v>0</v>
      </c>
    </row>
    <row r="108">
      <c r="A108" t="n">
        <v>2024</v>
      </c>
      <c r="B108" t="n">
        <v>2</v>
      </c>
      <c r="C108" t="inlineStr">
        <is>
          <t>Requeijão Pizzalet 1,8 kg</t>
        </is>
      </c>
      <c r="D108" t="inlineStr">
        <is>
          <t>Fábrica de Massas</t>
        </is>
      </c>
      <c r="E108" t="n">
        <v>27.28</v>
      </c>
      <c r="F108" t="n">
        <v>3.68</v>
      </c>
      <c r="G108" t="n">
        <v>2</v>
      </c>
      <c r="J108" t="inlineStr">
        <is>
          <t>A</t>
        </is>
      </c>
      <c r="K108" t="n">
        <v>2024</v>
      </c>
      <c r="L108" t="n">
        <v>6</v>
      </c>
      <c r="M108" t="inlineStr">
        <is>
          <t>Todos</t>
        </is>
      </c>
      <c r="N108" t="inlineStr">
        <is>
          <t>Fábrica de Massas</t>
        </is>
      </c>
      <c r="O108" t="n">
        <v>15</v>
      </c>
      <c r="P108" t="n">
        <v>78</v>
      </c>
      <c r="Q108" t="n">
        <v>15</v>
      </c>
    </row>
    <row r="109">
      <c r="A109" t="n">
        <v>2024</v>
      </c>
      <c r="B109" t="n">
        <v>2</v>
      </c>
      <c r="C109" t="inlineStr">
        <is>
          <t>Requeijão Pizzalet 1,8 kg</t>
        </is>
      </c>
      <c r="D109" t="inlineStr">
        <is>
          <t>Lanchonete / Cafeteria</t>
        </is>
      </c>
      <c r="E109" t="n">
        <v>324.96</v>
      </c>
      <c r="F109" t="n">
        <v>44.16</v>
      </c>
      <c r="G109" t="n">
        <v>24</v>
      </c>
      <c r="J109" t="inlineStr">
        <is>
          <t>M</t>
        </is>
      </c>
      <c r="K109" t="n">
        <v>2024</v>
      </c>
      <c r="L109" t="n">
        <v>6</v>
      </c>
      <c r="M109" t="inlineStr">
        <is>
          <t>Todos</t>
        </is>
      </c>
      <c r="N109" t="inlineStr">
        <is>
          <t>Fábrica de Massas</t>
        </is>
      </c>
      <c r="O109" t="n">
        <v>13</v>
      </c>
      <c r="P109" t="n">
        <v>22</v>
      </c>
      <c r="Q109" t="n">
        <v>0</v>
      </c>
    </row>
    <row r="110">
      <c r="A110" t="n">
        <v>2024</v>
      </c>
      <c r="B110" t="n">
        <v>2</v>
      </c>
      <c r="C110" t="inlineStr">
        <is>
          <t>Requeijão Pizzalet 1,8 kg</t>
        </is>
      </c>
      <c r="D110" t="inlineStr">
        <is>
          <t>Pastelaria</t>
        </is>
      </c>
      <c r="E110" t="n">
        <v>2475.92</v>
      </c>
      <c r="F110" t="n">
        <v>338.56</v>
      </c>
      <c r="G110" t="n">
        <v>184</v>
      </c>
      <c r="J110" t="inlineStr">
        <is>
          <t>A</t>
        </is>
      </c>
      <c r="K110" t="n">
        <v>2024</v>
      </c>
      <c r="L110" t="n">
        <v>7</v>
      </c>
      <c r="M110" t="inlineStr">
        <is>
          <t>Todos</t>
        </is>
      </c>
      <c r="N110" t="inlineStr">
        <is>
          <t>Fábrica de Massas</t>
        </is>
      </c>
      <c r="O110" t="n">
        <v>16</v>
      </c>
      <c r="P110" t="n">
        <v>92</v>
      </c>
      <c r="Q110" t="n">
        <v>16</v>
      </c>
    </row>
    <row r="111">
      <c r="A111" t="n">
        <v>2024</v>
      </c>
      <c r="B111" t="n">
        <v>2</v>
      </c>
      <c r="C111" t="inlineStr">
        <is>
          <t>Requeijão Pizzalet 1,8 kg</t>
        </is>
      </c>
      <c r="D111" t="inlineStr">
        <is>
          <t>Pizzaria</t>
        </is>
      </c>
      <c r="E111" t="n">
        <v>5516.72</v>
      </c>
      <c r="F111" t="n">
        <v>750.72</v>
      </c>
      <c r="G111" t="n">
        <v>408</v>
      </c>
      <c r="J111" t="inlineStr">
        <is>
          <t>M</t>
        </is>
      </c>
      <c r="K111" t="n">
        <v>2024</v>
      </c>
      <c r="L111" t="n">
        <v>7</v>
      </c>
      <c r="M111" t="inlineStr">
        <is>
          <t>Todos</t>
        </is>
      </c>
      <c r="N111" t="inlineStr">
        <is>
          <t>Fábrica de Massas</t>
        </is>
      </c>
      <c r="O111" t="n">
        <v>7</v>
      </c>
      <c r="P111" t="n">
        <v>14</v>
      </c>
      <c r="Q111" t="n">
        <v>0</v>
      </c>
    </row>
    <row r="112">
      <c r="A112" t="n">
        <v>2024</v>
      </c>
      <c r="B112" t="n">
        <v>2</v>
      </c>
      <c r="C112" t="inlineStr">
        <is>
          <t>Requeijão Pizzalet 1,8 kg</t>
        </is>
      </c>
      <c r="D112" t="inlineStr">
        <is>
          <t>Restaurante / Cantina</t>
        </is>
      </c>
      <c r="E112" t="n">
        <v>324.96</v>
      </c>
      <c r="F112" t="n">
        <v>44.16</v>
      </c>
      <c r="G112" t="n">
        <v>24</v>
      </c>
      <c r="J112" t="inlineStr">
        <is>
          <t>A</t>
        </is>
      </c>
      <c r="K112" t="n">
        <v>2024</v>
      </c>
      <c r="L112" t="n">
        <v>8</v>
      </c>
      <c r="M112" t="inlineStr">
        <is>
          <t>Todos</t>
        </is>
      </c>
      <c r="N112" t="inlineStr">
        <is>
          <t>Fábrica de Massas</t>
        </is>
      </c>
      <c r="O112" t="n">
        <v>17</v>
      </c>
      <c r="P112" t="n">
        <v>106</v>
      </c>
      <c r="Q112" t="n">
        <v>17</v>
      </c>
    </row>
    <row r="113">
      <c r="A113" t="n">
        <v>2024</v>
      </c>
      <c r="B113" t="n">
        <v>3</v>
      </c>
      <c r="C113" t="inlineStr">
        <is>
          <t>Chocolate em pó 50% 1 kg</t>
        </is>
      </c>
      <c r="D113" t="inlineStr">
        <is>
          <t>Confeitaria</t>
        </is>
      </c>
      <c r="E113" t="n">
        <v>55</v>
      </c>
      <c r="F113" t="n">
        <v>2.04</v>
      </c>
      <c r="G113" t="n">
        <v>2</v>
      </c>
      <c r="J113" t="inlineStr">
        <is>
          <t>M</t>
        </is>
      </c>
      <c r="K113" t="n">
        <v>2024</v>
      </c>
      <c r="L113" t="n">
        <v>8</v>
      </c>
      <c r="M113" t="inlineStr">
        <is>
          <t>Todos</t>
        </is>
      </c>
      <c r="N113" t="inlineStr">
        <is>
          <t>Fábrica de Massas</t>
        </is>
      </c>
      <c r="O113" t="n">
        <v>8</v>
      </c>
      <c r="P113" t="n">
        <v>14</v>
      </c>
      <c r="Q113" t="n">
        <v>0</v>
      </c>
    </row>
    <row r="114">
      <c r="A114" t="n">
        <v>2024</v>
      </c>
      <c r="B114" t="n">
        <v>3</v>
      </c>
      <c r="C114" t="inlineStr">
        <is>
          <t>Chocolate em pó 50% 1 kg</t>
        </is>
      </c>
      <c r="D114" t="inlineStr">
        <is>
          <t>Hamburgueria</t>
        </is>
      </c>
      <c r="E114" t="n">
        <v>139.05</v>
      </c>
      <c r="F114" t="n">
        <v>5.1</v>
      </c>
      <c r="G114" t="n">
        <v>5</v>
      </c>
      <c r="J114" t="inlineStr">
        <is>
          <t>A</t>
        </is>
      </c>
      <c r="K114" t="n">
        <v>2024</v>
      </c>
      <c r="L114" t="n">
        <v>9</v>
      </c>
      <c r="M114" t="inlineStr">
        <is>
          <t>Todos</t>
        </is>
      </c>
      <c r="N114" t="inlineStr">
        <is>
          <t>Fábrica de Massas</t>
        </is>
      </c>
      <c r="O114" t="n">
        <v>17</v>
      </c>
      <c r="P114" t="n">
        <v>118</v>
      </c>
      <c r="Q114" t="n">
        <v>17</v>
      </c>
    </row>
    <row r="115">
      <c r="A115" t="n">
        <v>2024</v>
      </c>
      <c r="B115" t="n">
        <v>3</v>
      </c>
      <c r="C115" t="inlineStr">
        <is>
          <t>Chocolate em pó 50% 1 kg</t>
        </is>
      </c>
      <c r="D115" t="inlineStr">
        <is>
          <t>Hotel / Motel / Pousada</t>
        </is>
      </c>
      <c r="E115" t="n">
        <v>715.5</v>
      </c>
      <c r="F115" t="n">
        <v>26.52</v>
      </c>
      <c r="G115" t="n">
        <v>26</v>
      </c>
      <c r="J115" t="inlineStr">
        <is>
          <t>M</t>
        </is>
      </c>
      <c r="K115" t="n">
        <v>2024</v>
      </c>
      <c r="L115" t="n">
        <v>9</v>
      </c>
      <c r="M115" t="inlineStr">
        <is>
          <t>Todos</t>
        </is>
      </c>
      <c r="N115" t="inlineStr">
        <is>
          <t>Fábrica de Massas</t>
        </is>
      </c>
      <c r="O115" t="n">
        <v>5</v>
      </c>
      <c r="P115" t="n">
        <v>12</v>
      </c>
      <c r="Q115" t="n">
        <v>0</v>
      </c>
    </row>
    <row r="116">
      <c r="A116" t="n">
        <v>2024</v>
      </c>
      <c r="B116" t="n">
        <v>3</v>
      </c>
      <c r="C116" t="inlineStr">
        <is>
          <t>Chocolate em pó 50% 1 kg</t>
        </is>
      </c>
      <c r="D116" t="inlineStr">
        <is>
          <t>Lanchonete / Cafeteria</t>
        </is>
      </c>
      <c r="E116" t="n">
        <v>81.84</v>
      </c>
      <c r="F116" t="n">
        <v>3.06</v>
      </c>
      <c r="G116" t="n">
        <v>3</v>
      </c>
      <c r="J116" t="inlineStr">
        <is>
          <t>A</t>
        </is>
      </c>
      <c r="K116" t="n">
        <v>2024</v>
      </c>
      <c r="L116" t="n">
        <v>10</v>
      </c>
      <c r="M116" t="inlineStr">
        <is>
          <t>Todos</t>
        </is>
      </c>
      <c r="N116" t="inlineStr">
        <is>
          <t>Fábrica de Massas</t>
        </is>
      </c>
      <c r="O116" t="n">
        <v>17</v>
      </c>
      <c r="P116" t="n">
        <v>135</v>
      </c>
      <c r="Q116" t="n">
        <v>17</v>
      </c>
    </row>
    <row r="117">
      <c r="A117" t="n">
        <v>2024</v>
      </c>
      <c r="B117" t="n">
        <v>3</v>
      </c>
      <c r="C117" t="inlineStr">
        <is>
          <t>Chocolate em pó 50% 1 kg</t>
        </is>
      </c>
      <c r="D117" t="inlineStr">
        <is>
          <t>Outros</t>
        </is>
      </c>
      <c r="E117" t="n">
        <v>220.21</v>
      </c>
      <c r="F117" t="n">
        <v>8.16</v>
      </c>
      <c r="G117" t="n">
        <v>8</v>
      </c>
      <c r="J117" t="inlineStr">
        <is>
          <t>M</t>
        </is>
      </c>
      <c r="K117" t="n">
        <v>2024</v>
      </c>
      <c r="L117" t="n">
        <v>10</v>
      </c>
      <c r="M117" t="inlineStr">
        <is>
          <t>Todos</t>
        </is>
      </c>
      <c r="N117" t="inlineStr">
        <is>
          <t>Fábrica de Massas</t>
        </is>
      </c>
      <c r="O117" t="n">
        <v>9</v>
      </c>
      <c r="P117" t="n">
        <v>17</v>
      </c>
      <c r="Q117" t="n">
        <v>0</v>
      </c>
    </row>
    <row r="118">
      <c r="A118" t="n">
        <v>2024</v>
      </c>
      <c r="B118" t="n">
        <v>3</v>
      </c>
      <c r="C118" t="inlineStr">
        <is>
          <t>Chocolate em pó 50% 1 kg</t>
        </is>
      </c>
      <c r="D118" t="inlineStr">
        <is>
          <t>Padaria</t>
        </is>
      </c>
      <c r="E118" t="n">
        <v>111.02</v>
      </c>
      <c r="F118" t="n">
        <v>4.08</v>
      </c>
      <c r="G118" t="n">
        <v>4</v>
      </c>
      <c r="J118" t="inlineStr">
        <is>
          <t>A</t>
        </is>
      </c>
      <c r="K118" t="n">
        <v>2024</v>
      </c>
      <c r="L118" t="n">
        <v>11</v>
      </c>
      <c r="M118" t="inlineStr">
        <is>
          <t>Todos</t>
        </is>
      </c>
      <c r="N118" t="inlineStr">
        <is>
          <t>Fábrica de Massas</t>
        </is>
      </c>
      <c r="O118" t="n">
        <v>18</v>
      </c>
      <c r="P118" t="n">
        <v>147</v>
      </c>
      <c r="Q118" t="n">
        <v>18</v>
      </c>
    </row>
    <row r="119">
      <c r="A119" t="n">
        <v>2024</v>
      </c>
      <c r="B119" t="n">
        <v>3</v>
      </c>
      <c r="C119" t="inlineStr">
        <is>
          <t>Chocolate em pó 50% 1 kg</t>
        </is>
      </c>
      <c r="D119" t="inlineStr">
        <is>
          <t>Pessoa Física</t>
        </is>
      </c>
      <c r="E119" t="n">
        <v>27</v>
      </c>
      <c r="F119" t="n">
        <v>1.02</v>
      </c>
      <c r="G119" t="n">
        <v>1</v>
      </c>
      <c r="J119" t="inlineStr">
        <is>
          <t>M</t>
        </is>
      </c>
      <c r="K119" t="n">
        <v>2024</v>
      </c>
      <c r="L119" t="n">
        <v>11</v>
      </c>
      <c r="M119" t="inlineStr">
        <is>
          <t>Todos</t>
        </is>
      </c>
      <c r="N119" t="inlineStr">
        <is>
          <t>Fábrica de Massas</t>
        </is>
      </c>
      <c r="O119" t="n">
        <v>6</v>
      </c>
      <c r="P119" t="n">
        <v>12</v>
      </c>
      <c r="Q119" t="n">
        <v>0</v>
      </c>
    </row>
    <row r="120">
      <c r="A120" t="n">
        <v>2024</v>
      </c>
      <c r="B120" t="n">
        <v>3</v>
      </c>
      <c r="C120" t="inlineStr">
        <is>
          <t>Chocolate em pó 50% 1 kg</t>
        </is>
      </c>
      <c r="D120" t="inlineStr">
        <is>
          <t>Pizzaria</t>
        </is>
      </c>
      <c r="E120" t="n">
        <v>221.03</v>
      </c>
      <c r="F120" t="n">
        <v>8.16</v>
      </c>
      <c r="G120" t="n">
        <v>8</v>
      </c>
      <c r="J120" t="inlineStr">
        <is>
          <t>A</t>
        </is>
      </c>
      <c r="K120" t="n">
        <v>2024</v>
      </c>
      <c r="L120" t="n">
        <v>12</v>
      </c>
      <c r="M120" t="inlineStr">
        <is>
          <t>Todos</t>
        </is>
      </c>
      <c r="N120" t="inlineStr">
        <is>
          <t>Fábrica de Massas</t>
        </is>
      </c>
      <c r="O120" t="n">
        <v>18</v>
      </c>
      <c r="P120" t="n">
        <v>158</v>
      </c>
      <c r="Q120" t="n">
        <v>18</v>
      </c>
    </row>
    <row r="121">
      <c r="A121" t="n">
        <v>2024</v>
      </c>
      <c r="B121" t="n">
        <v>3</v>
      </c>
      <c r="C121" t="inlineStr">
        <is>
          <t>Chocolate em pó 50% 1 kg</t>
        </is>
      </c>
      <c r="D121" t="inlineStr">
        <is>
          <t>Restaurante / Cantina</t>
        </is>
      </c>
      <c r="E121" t="n">
        <v>1603.9</v>
      </c>
      <c r="F121" t="n">
        <v>58.14</v>
      </c>
      <c r="G121" t="n">
        <v>57</v>
      </c>
      <c r="J121" t="inlineStr">
        <is>
          <t>M</t>
        </is>
      </c>
      <c r="K121" t="n">
        <v>2024</v>
      </c>
      <c r="L121" t="n">
        <v>12</v>
      </c>
      <c r="M121" t="inlineStr">
        <is>
          <t>Todos</t>
        </is>
      </c>
      <c r="N121" t="inlineStr">
        <is>
          <t>Fábrica de Massas</t>
        </is>
      </c>
      <c r="O121" t="n">
        <v>7</v>
      </c>
      <c r="P121" t="n">
        <v>11</v>
      </c>
      <c r="Q121" t="n">
        <v>0</v>
      </c>
    </row>
    <row r="122">
      <c r="A122" t="n">
        <v>2024</v>
      </c>
      <c r="B122" t="n">
        <v>3</v>
      </c>
      <c r="C122" t="inlineStr">
        <is>
          <t>Chocolate em pó 50% 1 kg</t>
        </is>
      </c>
      <c r="D122" t="inlineStr">
        <is>
          <t>Supermercado</t>
        </is>
      </c>
      <c r="E122" t="n">
        <v>995.77</v>
      </c>
      <c r="F122" t="n">
        <v>35.7</v>
      </c>
      <c r="G122" t="n">
        <v>35</v>
      </c>
      <c r="J122" t="inlineStr">
        <is>
          <t>A</t>
        </is>
      </c>
      <c r="K122" t="n">
        <v>2024</v>
      </c>
      <c r="L122" t="n">
        <v>1</v>
      </c>
      <c r="M122" t="inlineStr">
        <is>
          <t>Todos</t>
        </is>
      </c>
      <c r="N122" t="inlineStr">
        <is>
          <t>Outros</t>
        </is>
      </c>
      <c r="O122" t="n">
        <v>15</v>
      </c>
      <c r="P122" t="n">
        <v>36</v>
      </c>
      <c r="Q122" t="n">
        <v>15</v>
      </c>
    </row>
    <row r="123">
      <c r="A123" t="n">
        <v>2024</v>
      </c>
      <c r="B123" t="n">
        <v>3</v>
      </c>
      <c r="C123" t="inlineStr">
        <is>
          <t>Composto lácteo Alibralac 1 kg</t>
        </is>
      </c>
      <c r="D123" t="inlineStr">
        <is>
          <t>Cozinha Industrial</t>
        </is>
      </c>
      <c r="E123" t="n">
        <v>619</v>
      </c>
      <c r="F123" t="n">
        <v>32.64</v>
      </c>
      <c r="G123" t="n">
        <v>32</v>
      </c>
      <c r="J123" t="inlineStr">
        <is>
          <t>M</t>
        </is>
      </c>
      <c r="K123" t="n">
        <v>2024</v>
      </c>
      <c r="L123" t="n">
        <v>1</v>
      </c>
      <c r="M123" t="inlineStr">
        <is>
          <t>Todos</t>
        </is>
      </c>
      <c r="N123" t="inlineStr">
        <is>
          <t>Outros</t>
        </is>
      </c>
      <c r="O123" t="n">
        <v>15</v>
      </c>
      <c r="P123" t="n">
        <v>36</v>
      </c>
      <c r="Q123" t="n">
        <v>0</v>
      </c>
    </row>
    <row r="124">
      <c r="A124" t="n">
        <v>2024</v>
      </c>
      <c r="B124" t="n">
        <v>3</v>
      </c>
      <c r="C124" t="inlineStr">
        <is>
          <t>Composto lácteo Alibralac 1 kg</t>
        </is>
      </c>
      <c r="D124" t="inlineStr">
        <is>
          <t>Fábrica de Massas</t>
        </is>
      </c>
      <c r="E124" t="n">
        <v>76</v>
      </c>
      <c r="F124" t="n">
        <v>4.08</v>
      </c>
      <c r="G124" t="n">
        <v>4</v>
      </c>
      <c r="J124" t="inlineStr">
        <is>
          <t>A</t>
        </is>
      </c>
      <c r="K124" t="n">
        <v>2024</v>
      </c>
      <c r="L124" t="n">
        <v>2</v>
      </c>
      <c r="M124" t="inlineStr">
        <is>
          <t>Todos</t>
        </is>
      </c>
      <c r="N124" t="inlineStr">
        <is>
          <t>Outros</t>
        </is>
      </c>
      <c r="O124" t="n">
        <v>22</v>
      </c>
      <c r="P124" t="n">
        <v>73</v>
      </c>
      <c r="Q124" t="n">
        <v>22</v>
      </c>
    </row>
    <row r="125">
      <c r="A125" t="n">
        <v>2024</v>
      </c>
      <c r="B125" t="n">
        <v>3</v>
      </c>
      <c r="C125" t="inlineStr">
        <is>
          <t>Composto lácteo Alibralac 1 kg</t>
        </is>
      </c>
      <c r="D125" t="inlineStr">
        <is>
          <t>Hotel / Motel / Pousada</t>
        </is>
      </c>
      <c r="E125" t="n">
        <v>575.7</v>
      </c>
      <c r="F125" t="n">
        <v>30.6</v>
      </c>
      <c r="G125" t="n">
        <v>30</v>
      </c>
      <c r="J125" t="inlineStr">
        <is>
          <t>M</t>
        </is>
      </c>
      <c r="K125" t="n">
        <v>2024</v>
      </c>
      <c r="L125" t="n">
        <v>2</v>
      </c>
      <c r="M125" t="inlineStr">
        <is>
          <t>Todos</t>
        </is>
      </c>
      <c r="N125" t="inlineStr">
        <is>
          <t>Outros</t>
        </is>
      </c>
      <c r="O125" t="n">
        <v>19</v>
      </c>
      <c r="P125" t="n">
        <v>37</v>
      </c>
      <c r="Q125" t="n">
        <v>0</v>
      </c>
    </row>
    <row r="126">
      <c r="A126" t="n">
        <v>2024</v>
      </c>
      <c r="B126" t="n">
        <v>3</v>
      </c>
      <c r="C126" t="inlineStr">
        <is>
          <t>Composto lácteo Alibralac 1 kg</t>
        </is>
      </c>
      <c r="D126" t="inlineStr">
        <is>
          <t>Mercearia / Sacolão</t>
        </is>
      </c>
      <c r="E126" t="n">
        <v>95</v>
      </c>
      <c r="F126" t="n">
        <v>5.1</v>
      </c>
      <c r="G126" t="n">
        <v>5</v>
      </c>
      <c r="J126" t="inlineStr">
        <is>
          <t>A</t>
        </is>
      </c>
      <c r="K126" t="n">
        <v>2024</v>
      </c>
      <c r="L126" t="n">
        <v>3</v>
      </c>
      <c r="M126" t="inlineStr">
        <is>
          <t>Todos</t>
        </is>
      </c>
      <c r="N126" t="inlineStr">
        <is>
          <t>Outros</t>
        </is>
      </c>
      <c r="O126" t="n">
        <v>27</v>
      </c>
      <c r="P126" t="n">
        <v>101</v>
      </c>
      <c r="Q126" t="n">
        <v>27</v>
      </c>
    </row>
    <row r="127">
      <c r="A127" t="n">
        <v>2024</v>
      </c>
      <c r="B127" t="n">
        <v>3</v>
      </c>
      <c r="C127" t="inlineStr">
        <is>
          <t>Composto lácteo Alibralac 1 kg</t>
        </is>
      </c>
      <c r="D127" t="inlineStr">
        <is>
          <t>Padaria</t>
        </is>
      </c>
      <c r="E127" t="n">
        <v>114</v>
      </c>
      <c r="F127" t="n">
        <v>6.12</v>
      </c>
      <c r="G127" t="n">
        <v>6</v>
      </c>
      <c r="J127" t="inlineStr">
        <is>
          <t>M</t>
        </is>
      </c>
      <c r="K127" t="n">
        <v>2024</v>
      </c>
      <c r="L127" t="n">
        <v>3</v>
      </c>
      <c r="M127" t="inlineStr">
        <is>
          <t>Todos</t>
        </is>
      </c>
      <c r="N127" t="inlineStr">
        <is>
          <t>Outros</t>
        </is>
      </c>
      <c r="O127" t="n">
        <v>15</v>
      </c>
      <c r="P127" t="n">
        <v>28</v>
      </c>
      <c r="Q127" t="n">
        <v>0</v>
      </c>
    </row>
    <row r="128">
      <c r="A128" t="n">
        <v>2024</v>
      </c>
      <c r="B128" t="n">
        <v>3</v>
      </c>
      <c r="C128" t="inlineStr">
        <is>
          <t>Composto lácteo Merilú 400 g</t>
        </is>
      </c>
      <c r="D128" t="inlineStr">
        <is>
          <t>Adega</t>
        </is>
      </c>
      <c r="E128" t="n">
        <v>47.94</v>
      </c>
      <c r="F128" t="n">
        <v>2.52</v>
      </c>
      <c r="G128" t="n">
        <v>6</v>
      </c>
      <c r="J128" t="inlineStr">
        <is>
          <t>A</t>
        </is>
      </c>
      <c r="K128" t="n">
        <v>2024</v>
      </c>
      <c r="L128" t="n">
        <v>4</v>
      </c>
      <c r="M128" t="inlineStr">
        <is>
          <t>Todos</t>
        </is>
      </c>
      <c r="N128" t="inlineStr">
        <is>
          <t>Outros</t>
        </is>
      </c>
      <c r="O128" t="n">
        <v>35</v>
      </c>
      <c r="P128" t="n">
        <v>144</v>
      </c>
      <c r="Q128" t="n">
        <v>35</v>
      </c>
    </row>
    <row r="129">
      <c r="A129" t="n">
        <v>2024</v>
      </c>
      <c r="B129" t="n">
        <v>3</v>
      </c>
      <c r="C129" t="inlineStr">
        <is>
          <t>Composto lácteo Merilú 400 g</t>
        </is>
      </c>
      <c r="D129" t="inlineStr">
        <is>
          <t>Churrascaria</t>
        </is>
      </c>
      <c r="E129" t="n">
        <v>31.56</v>
      </c>
      <c r="F129" t="n">
        <v>1.68</v>
      </c>
      <c r="G129" t="n">
        <v>4</v>
      </c>
      <c r="J129" t="inlineStr">
        <is>
          <t>M</t>
        </is>
      </c>
      <c r="K129" t="n">
        <v>2024</v>
      </c>
      <c r="L129" t="n">
        <v>4</v>
      </c>
      <c r="M129" t="inlineStr">
        <is>
          <t>Todos</t>
        </is>
      </c>
      <c r="N129" t="inlineStr">
        <is>
          <t>Outros</t>
        </is>
      </c>
      <c r="O129" t="n">
        <v>20</v>
      </c>
      <c r="P129" t="n">
        <v>43</v>
      </c>
      <c r="Q129" t="n">
        <v>0</v>
      </c>
    </row>
    <row r="130">
      <c r="A130" t="n">
        <v>2024</v>
      </c>
      <c r="B130" t="n">
        <v>3</v>
      </c>
      <c r="C130" t="inlineStr">
        <is>
          <t>Composto lácteo Merilú 400 g</t>
        </is>
      </c>
      <c r="D130" t="inlineStr">
        <is>
          <t>Hamburgueria</t>
        </is>
      </c>
      <c r="E130" t="n">
        <v>178.25</v>
      </c>
      <c r="F130" t="n">
        <v>10.5</v>
      </c>
      <c r="G130" t="n">
        <v>25</v>
      </c>
      <c r="J130" t="inlineStr">
        <is>
          <t>A</t>
        </is>
      </c>
      <c r="K130" t="n">
        <v>2024</v>
      </c>
      <c r="L130" t="n">
        <v>5</v>
      </c>
      <c r="M130" t="inlineStr">
        <is>
          <t>Todos</t>
        </is>
      </c>
      <c r="N130" t="inlineStr">
        <is>
          <t>Outros</t>
        </is>
      </c>
      <c r="O130" t="n">
        <v>38</v>
      </c>
      <c r="P130" t="n">
        <v>184</v>
      </c>
      <c r="Q130" t="n">
        <v>38</v>
      </c>
    </row>
    <row r="131">
      <c r="A131" t="n">
        <v>2024</v>
      </c>
      <c r="B131" t="n">
        <v>3</v>
      </c>
      <c r="C131" t="inlineStr">
        <is>
          <t>Composto lácteo Merilú 400 g</t>
        </is>
      </c>
      <c r="D131" t="inlineStr">
        <is>
          <t>Mercearia / Sacolão</t>
        </is>
      </c>
      <c r="E131" t="n">
        <v>35.4</v>
      </c>
      <c r="F131" t="n">
        <v>2.1</v>
      </c>
      <c r="G131" t="n">
        <v>5</v>
      </c>
      <c r="J131" t="inlineStr">
        <is>
          <t>M</t>
        </is>
      </c>
      <c r="K131" t="n">
        <v>2024</v>
      </c>
      <c r="L131" t="n">
        <v>5</v>
      </c>
      <c r="M131" t="inlineStr">
        <is>
          <t>Todos</t>
        </is>
      </c>
      <c r="N131" t="inlineStr">
        <is>
          <t>Outros</t>
        </is>
      </c>
      <c r="O131" t="n">
        <v>19</v>
      </c>
      <c r="P131" t="n">
        <v>40</v>
      </c>
      <c r="Q131" t="n">
        <v>0</v>
      </c>
    </row>
    <row r="132">
      <c r="A132" t="n">
        <v>2024</v>
      </c>
      <c r="B132" t="n">
        <v>3</v>
      </c>
      <c r="C132" t="inlineStr">
        <is>
          <t>Composto lácteo Merilú 400 g</t>
        </is>
      </c>
      <c r="D132" t="inlineStr">
        <is>
          <t>Outros</t>
        </is>
      </c>
      <c r="E132" t="n">
        <v>404.81</v>
      </c>
      <c r="F132" t="n">
        <v>23.94</v>
      </c>
      <c r="G132" t="n">
        <v>57</v>
      </c>
      <c r="J132" t="inlineStr">
        <is>
          <t>A</t>
        </is>
      </c>
      <c r="K132" t="n">
        <v>2024</v>
      </c>
      <c r="L132" t="n">
        <v>6</v>
      </c>
      <c r="M132" t="inlineStr">
        <is>
          <t>Todos</t>
        </is>
      </c>
      <c r="N132" t="inlineStr">
        <is>
          <t>Outros</t>
        </is>
      </c>
      <c r="O132" t="n">
        <v>44</v>
      </c>
      <c r="P132" t="n">
        <v>222</v>
      </c>
      <c r="Q132" t="n">
        <v>44</v>
      </c>
    </row>
    <row r="133">
      <c r="A133" t="n">
        <v>2024</v>
      </c>
      <c r="B133" t="n">
        <v>3</v>
      </c>
      <c r="C133" t="inlineStr">
        <is>
          <t>Composto lácteo Merilú 400 g</t>
        </is>
      </c>
      <c r="D133" t="inlineStr">
        <is>
          <t>Padaria</t>
        </is>
      </c>
      <c r="E133" t="n">
        <v>104.85</v>
      </c>
      <c r="F133" t="n">
        <v>6.3</v>
      </c>
      <c r="G133" t="n">
        <v>15</v>
      </c>
      <c r="J133" t="inlineStr">
        <is>
          <t>M</t>
        </is>
      </c>
      <c r="K133" t="n">
        <v>2024</v>
      </c>
      <c r="L133" t="n">
        <v>6</v>
      </c>
      <c r="M133" t="inlineStr">
        <is>
          <t>Todos</t>
        </is>
      </c>
      <c r="N133" t="inlineStr">
        <is>
          <t>Outros</t>
        </is>
      </c>
      <c r="O133" t="n">
        <v>20</v>
      </c>
      <c r="P133" t="n">
        <v>38</v>
      </c>
      <c r="Q133" t="n">
        <v>0</v>
      </c>
    </row>
    <row r="134">
      <c r="A134" t="n">
        <v>2024</v>
      </c>
      <c r="B134" t="n">
        <v>3</v>
      </c>
      <c r="C134" t="inlineStr">
        <is>
          <t>Composto lácteo Merilú 400 g</t>
        </is>
      </c>
      <c r="D134" t="inlineStr">
        <is>
          <t>Pessoa Física</t>
        </is>
      </c>
      <c r="E134" t="n">
        <v>84.88</v>
      </c>
      <c r="F134" t="n">
        <v>5.04</v>
      </c>
      <c r="G134" t="n">
        <v>12</v>
      </c>
      <c r="J134" t="inlineStr">
        <is>
          <t>A</t>
        </is>
      </c>
      <c r="K134" t="n">
        <v>2024</v>
      </c>
      <c r="L134" t="n">
        <v>7</v>
      </c>
      <c r="M134" t="inlineStr">
        <is>
          <t>Todos</t>
        </is>
      </c>
      <c r="N134" t="inlineStr">
        <is>
          <t>Outros</t>
        </is>
      </c>
      <c r="O134" t="n">
        <v>50</v>
      </c>
      <c r="P134" t="n">
        <v>273</v>
      </c>
      <c r="Q134" t="n">
        <v>50</v>
      </c>
    </row>
    <row r="135">
      <c r="A135" t="n">
        <v>2024</v>
      </c>
      <c r="B135" t="n">
        <v>3</v>
      </c>
      <c r="C135" t="inlineStr">
        <is>
          <t>Composto lácteo Merilú 400 g</t>
        </is>
      </c>
      <c r="D135" t="inlineStr">
        <is>
          <t>Pizzaria</t>
        </is>
      </c>
      <c r="E135" t="n">
        <v>172.25</v>
      </c>
      <c r="F135" t="n">
        <v>10.5</v>
      </c>
      <c r="G135" t="n">
        <v>25</v>
      </c>
      <c r="J135" t="inlineStr">
        <is>
          <t>M</t>
        </is>
      </c>
      <c r="K135" t="n">
        <v>2024</v>
      </c>
      <c r="L135" t="n">
        <v>7</v>
      </c>
      <c r="M135" t="inlineStr">
        <is>
          <t>Todos</t>
        </is>
      </c>
      <c r="N135" t="inlineStr">
        <is>
          <t>Outros</t>
        </is>
      </c>
      <c r="O135" t="n">
        <v>22</v>
      </c>
      <c r="P135" t="n">
        <v>51</v>
      </c>
      <c r="Q135" t="n">
        <v>0</v>
      </c>
    </row>
    <row r="136">
      <c r="A136" t="n">
        <v>2024</v>
      </c>
      <c r="B136" t="n">
        <v>3</v>
      </c>
      <c r="C136" t="inlineStr">
        <is>
          <t>Composto lácteo Merilú 400 g</t>
        </is>
      </c>
      <c r="D136" t="inlineStr">
        <is>
          <t>Restaurante / Cantina</t>
        </is>
      </c>
      <c r="E136" t="n">
        <v>226.68</v>
      </c>
      <c r="F136" t="n">
        <v>13.44</v>
      </c>
      <c r="G136" t="n">
        <v>32</v>
      </c>
      <c r="J136" t="inlineStr">
        <is>
          <t>A</t>
        </is>
      </c>
      <c r="K136" t="n">
        <v>2024</v>
      </c>
      <c r="L136" t="n">
        <v>8</v>
      </c>
      <c r="M136" t="inlineStr">
        <is>
          <t>Todos</t>
        </is>
      </c>
      <c r="N136" t="inlineStr">
        <is>
          <t>Outros</t>
        </is>
      </c>
      <c r="O136" t="n">
        <v>54</v>
      </c>
      <c r="P136" t="n">
        <v>320</v>
      </c>
      <c r="Q136" t="n">
        <v>54</v>
      </c>
    </row>
    <row r="137">
      <c r="A137" t="n">
        <v>2024</v>
      </c>
      <c r="B137" t="n">
        <v>3</v>
      </c>
      <c r="C137" t="inlineStr">
        <is>
          <t>Muçarela Mozzalet 2 kg</t>
        </is>
      </c>
      <c r="D137" t="inlineStr">
        <is>
          <t>Cozinha Industrial</t>
        </is>
      </c>
      <c r="E137" t="n">
        <v>1246</v>
      </c>
      <c r="F137" t="n">
        <v>64</v>
      </c>
      <c r="G137" t="n">
        <v>32</v>
      </c>
      <c r="J137" t="inlineStr">
        <is>
          <t>M</t>
        </is>
      </c>
      <c r="K137" t="n">
        <v>2024</v>
      </c>
      <c r="L137" t="n">
        <v>8</v>
      </c>
      <c r="M137" t="inlineStr">
        <is>
          <t>Todos</t>
        </is>
      </c>
      <c r="N137" t="inlineStr">
        <is>
          <t>Outros</t>
        </is>
      </c>
      <c r="O137" t="n">
        <v>25</v>
      </c>
      <c r="P137" t="n">
        <v>47</v>
      </c>
      <c r="Q137" t="n">
        <v>0</v>
      </c>
    </row>
    <row r="138">
      <c r="A138" t="n">
        <v>2024</v>
      </c>
      <c r="B138" t="n">
        <v>3</v>
      </c>
      <c r="C138" t="inlineStr">
        <is>
          <t>Muçarela Mozzalet 2 kg</t>
        </is>
      </c>
      <c r="D138" t="inlineStr">
        <is>
          <t>Fábrica de Massas</t>
        </is>
      </c>
      <c r="E138" t="n">
        <v>355.23</v>
      </c>
      <c r="F138" t="n">
        <v>18</v>
      </c>
      <c r="G138" t="n">
        <v>9</v>
      </c>
      <c r="J138" t="inlineStr">
        <is>
          <t>A</t>
        </is>
      </c>
      <c r="K138" t="n">
        <v>2024</v>
      </c>
      <c r="L138" t="n">
        <v>9</v>
      </c>
      <c r="M138" t="inlineStr">
        <is>
          <t>Todos</t>
        </is>
      </c>
      <c r="N138" t="inlineStr">
        <is>
          <t>Outros</t>
        </is>
      </c>
      <c r="O138" t="n">
        <v>59</v>
      </c>
      <c r="P138" t="n">
        <v>364</v>
      </c>
      <c r="Q138" t="n">
        <v>59</v>
      </c>
    </row>
    <row r="139">
      <c r="A139" t="n">
        <v>2024</v>
      </c>
      <c r="B139" t="n">
        <v>3</v>
      </c>
      <c r="C139" t="inlineStr">
        <is>
          <t>Muçarela Mozzalet 2 kg</t>
        </is>
      </c>
      <c r="D139" t="inlineStr">
        <is>
          <t>Hamburgueria</t>
        </is>
      </c>
      <c r="E139" t="n">
        <v>154.8</v>
      </c>
      <c r="F139" t="n">
        <v>8</v>
      </c>
      <c r="G139" t="n">
        <v>4</v>
      </c>
      <c r="J139" t="inlineStr">
        <is>
          <t>M</t>
        </is>
      </c>
      <c r="K139" t="n">
        <v>2024</v>
      </c>
      <c r="L139" t="n">
        <v>9</v>
      </c>
      <c r="M139" t="inlineStr">
        <is>
          <t>Todos</t>
        </is>
      </c>
      <c r="N139" t="inlineStr">
        <is>
          <t>Outros</t>
        </is>
      </c>
      <c r="O139" t="n">
        <v>21</v>
      </c>
      <c r="P139" t="n">
        <v>44</v>
      </c>
      <c r="Q139" t="n">
        <v>0</v>
      </c>
    </row>
    <row r="140">
      <c r="A140" t="n">
        <v>2024</v>
      </c>
      <c r="B140" t="n">
        <v>3</v>
      </c>
      <c r="C140" t="inlineStr">
        <is>
          <t>Muçarela Mozzalet 2 kg</t>
        </is>
      </c>
      <c r="D140" t="inlineStr">
        <is>
          <t>Pessoa Física</t>
        </is>
      </c>
      <c r="E140" t="n">
        <v>78.36</v>
      </c>
      <c r="F140" t="n">
        <v>4</v>
      </c>
      <c r="G140" t="n">
        <v>2</v>
      </c>
      <c r="J140" t="inlineStr">
        <is>
          <t>A</t>
        </is>
      </c>
      <c r="K140" t="n">
        <v>2024</v>
      </c>
      <c r="L140" t="n">
        <v>10</v>
      </c>
      <c r="M140" t="inlineStr">
        <is>
          <t>Todos</t>
        </is>
      </c>
      <c r="N140" t="inlineStr">
        <is>
          <t>Outros</t>
        </is>
      </c>
      <c r="O140" t="n">
        <v>64</v>
      </c>
      <c r="P140" t="n">
        <v>417</v>
      </c>
      <c r="Q140" t="n">
        <v>64</v>
      </c>
    </row>
    <row r="141">
      <c r="A141" t="n">
        <v>2024</v>
      </c>
      <c r="B141" t="n">
        <v>3</v>
      </c>
      <c r="C141" t="inlineStr">
        <is>
          <t>Muçarela Mozzalet 2 kg</t>
        </is>
      </c>
      <c r="D141" t="inlineStr">
        <is>
          <t>Pizzaria</t>
        </is>
      </c>
      <c r="E141" t="n">
        <v>4564.7</v>
      </c>
      <c r="F141" t="n">
        <v>232</v>
      </c>
      <c r="G141" t="n">
        <v>116</v>
      </c>
      <c r="J141" t="inlineStr">
        <is>
          <t>M</t>
        </is>
      </c>
      <c r="K141" t="n">
        <v>2024</v>
      </c>
      <c r="L141" t="n">
        <v>10</v>
      </c>
      <c r="M141" t="inlineStr">
        <is>
          <t>Todos</t>
        </is>
      </c>
      <c r="N141" t="inlineStr">
        <is>
          <t>Outros</t>
        </is>
      </c>
      <c r="O141" t="n">
        <v>23</v>
      </c>
      <c r="P141" t="n">
        <v>53</v>
      </c>
      <c r="Q141" t="n">
        <v>0</v>
      </c>
    </row>
    <row r="142">
      <c r="A142" t="n">
        <v>2024</v>
      </c>
      <c r="B142" t="n">
        <v>3</v>
      </c>
      <c r="C142" t="inlineStr">
        <is>
          <t>Muçarela Mozzana 2 kg</t>
        </is>
      </c>
      <c r="D142" t="inlineStr">
        <is>
          <t>Bar / Chopperia</t>
        </is>
      </c>
      <c r="E142" t="n">
        <v>342</v>
      </c>
      <c r="F142" t="n">
        <v>18.18</v>
      </c>
      <c r="G142" t="n">
        <v>9</v>
      </c>
      <c r="J142" t="inlineStr">
        <is>
          <t>A</t>
        </is>
      </c>
      <c r="K142" t="n">
        <v>2024</v>
      </c>
      <c r="L142" t="n">
        <v>11</v>
      </c>
      <c r="M142" t="inlineStr">
        <is>
          <t>Todos</t>
        </is>
      </c>
      <c r="N142" t="inlineStr">
        <is>
          <t>Outros</t>
        </is>
      </c>
      <c r="O142" t="n">
        <v>66</v>
      </c>
      <c r="P142" t="n">
        <v>460</v>
      </c>
      <c r="Q142" t="n">
        <v>66</v>
      </c>
    </row>
    <row r="143">
      <c r="A143" t="n">
        <v>2024</v>
      </c>
      <c r="B143" t="n">
        <v>3</v>
      </c>
      <c r="C143" t="inlineStr">
        <is>
          <t>Muçarela Mozzana 2 kg</t>
        </is>
      </c>
      <c r="D143" t="inlineStr">
        <is>
          <t>Buffet</t>
        </is>
      </c>
      <c r="E143" t="n">
        <v>687.42</v>
      </c>
      <c r="F143" t="n">
        <v>36.36</v>
      </c>
      <c r="G143" t="n">
        <v>18</v>
      </c>
      <c r="J143" t="inlineStr">
        <is>
          <t>M</t>
        </is>
      </c>
      <c r="K143" t="n">
        <v>2024</v>
      </c>
      <c r="L143" t="n">
        <v>11</v>
      </c>
      <c r="M143" t="inlineStr">
        <is>
          <t>Todos</t>
        </is>
      </c>
      <c r="N143" t="inlineStr">
        <is>
          <t>Outros</t>
        </is>
      </c>
      <c r="O143" t="n">
        <v>18</v>
      </c>
      <c r="P143" t="n">
        <v>43</v>
      </c>
      <c r="Q143" t="n">
        <v>0</v>
      </c>
    </row>
    <row r="144">
      <c r="A144" t="n">
        <v>2024</v>
      </c>
      <c r="B144" t="n">
        <v>3</v>
      </c>
      <c r="C144" t="inlineStr">
        <is>
          <t>Muçarela Mozzana 2 kg</t>
        </is>
      </c>
      <c r="D144" t="inlineStr">
        <is>
          <t>Cozinha Industrial</t>
        </is>
      </c>
      <c r="E144" t="n">
        <v>10936.97</v>
      </c>
      <c r="F144" t="n">
        <v>593.88</v>
      </c>
      <c r="G144" t="n">
        <v>294</v>
      </c>
      <c r="J144" t="inlineStr">
        <is>
          <t>A</t>
        </is>
      </c>
      <c r="K144" t="n">
        <v>2024</v>
      </c>
      <c r="L144" t="n">
        <v>12</v>
      </c>
      <c r="M144" t="inlineStr">
        <is>
          <t>Todos</t>
        </is>
      </c>
      <c r="N144" t="inlineStr">
        <is>
          <t>Outros</t>
        </is>
      </c>
      <c r="O144" t="n">
        <v>66</v>
      </c>
      <c r="P144" t="n">
        <v>501</v>
      </c>
      <c r="Q144" t="n">
        <v>66</v>
      </c>
    </row>
    <row r="145">
      <c r="A145" t="n">
        <v>2024</v>
      </c>
      <c r="B145" t="n">
        <v>3</v>
      </c>
      <c r="C145" t="inlineStr">
        <is>
          <t>Muçarela Mozzana 2 kg</t>
        </is>
      </c>
      <c r="D145" t="inlineStr">
        <is>
          <t>Cozinha Oriental</t>
        </is>
      </c>
      <c r="E145" t="n">
        <v>261.8</v>
      </c>
      <c r="F145" t="n">
        <v>14.14</v>
      </c>
      <c r="G145" t="n">
        <v>7</v>
      </c>
      <c r="J145" t="inlineStr">
        <is>
          <t>M</t>
        </is>
      </c>
      <c r="K145" t="n">
        <v>2024</v>
      </c>
      <c r="L145" t="n">
        <v>12</v>
      </c>
      <c r="M145" t="inlineStr">
        <is>
          <t>Todos</t>
        </is>
      </c>
      <c r="N145" t="inlineStr">
        <is>
          <t>Outros</t>
        </is>
      </c>
      <c r="O145" t="n">
        <v>13</v>
      </c>
      <c r="P145" t="n">
        <v>41</v>
      </c>
      <c r="Q145" t="n">
        <v>0</v>
      </c>
    </row>
    <row r="146">
      <c r="A146" t="n">
        <v>2024</v>
      </c>
      <c r="B146" t="n">
        <v>3</v>
      </c>
      <c r="C146" t="inlineStr">
        <is>
          <t>Muçarela Mozzana 2 kg</t>
        </is>
      </c>
      <c r="D146" t="inlineStr">
        <is>
          <t>Esfiharia</t>
        </is>
      </c>
      <c r="E146" t="n">
        <v>1067.57</v>
      </c>
      <c r="F146" t="n">
        <v>56.56</v>
      </c>
      <c r="G146" t="n">
        <v>28</v>
      </c>
      <c r="J146" t="inlineStr">
        <is>
          <t>A</t>
        </is>
      </c>
      <c r="K146" t="n">
        <v>2024</v>
      </c>
      <c r="L146" t="n">
        <v>1</v>
      </c>
      <c r="M146" t="inlineStr">
        <is>
          <t>Todos</t>
        </is>
      </c>
      <c r="N146" t="inlineStr">
        <is>
          <t>Pessoa Física</t>
        </is>
      </c>
      <c r="O146" t="n">
        <v>7</v>
      </c>
      <c r="P146" t="n">
        <v>15</v>
      </c>
      <c r="Q146" t="n">
        <v>7</v>
      </c>
    </row>
    <row r="147">
      <c r="A147" t="n">
        <v>2024</v>
      </c>
      <c r="B147" t="n">
        <v>3</v>
      </c>
      <c r="C147" t="inlineStr">
        <is>
          <t>Muçarela Mozzana 2 kg</t>
        </is>
      </c>
      <c r="D147" t="inlineStr">
        <is>
          <t>Fábrica de Massas</t>
        </is>
      </c>
      <c r="E147" t="n">
        <v>20177.22</v>
      </c>
      <c r="F147" t="n">
        <v>1086.76</v>
      </c>
      <c r="G147" t="n">
        <v>538</v>
      </c>
      <c r="J147" t="inlineStr">
        <is>
          <t>M</t>
        </is>
      </c>
      <c r="K147" t="n">
        <v>2024</v>
      </c>
      <c r="L147" t="n">
        <v>1</v>
      </c>
      <c r="M147" t="inlineStr">
        <is>
          <t>Todos</t>
        </is>
      </c>
      <c r="N147" t="inlineStr">
        <is>
          <t>Pessoa Física</t>
        </is>
      </c>
      <c r="O147" t="n">
        <v>7</v>
      </c>
      <c r="P147" t="n">
        <v>15</v>
      </c>
      <c r="Q147" t="n">
        <v>0</v>
      </c>
    </row>
    <row r="148">
      <c r="A148" t="n">
        <v>2024</v>
      </c>
      <c r="B148" t="n">
        <v>3</v>
      </c>
      <c r="C148" t="inlineStr">
        <is>
          <t>Muçarela Mozzana 2 kg</t>
        </is>
      </c>
      <c r="D148" t="inlineStr">
        <is>
          <t>Hamburgueria</t>
        </is>
      </c>
      <c r="E148" t="n">
        <v>422.89</v>
      </c>
      <c r="F148" t="n">
        <v>22.22</v>
      </c>
      <c r="G148" t="n">
        <v>11</v>
      </c>
      <c r="J148" t="inlineStr">
        <is>
          <t>A</t>
        </is>
      </c>
      <c r="K148" t="n">
        <v>2024</v>
      </c>
      <c r="L148" t="n">
        <v>2</v>
      </c>
      <c r="M148" t="inlineStr">
        <is>
          <t>Todos</t>
        </is>
      </c>
      <c r="N148" t="inlineStr">
        <is>
          <t>Pessoa Física</t>
        </is>
      </c>
      <c r="O148" t="n">
        <v>11</v>
      </c>
      <c r="P148" t="n">
        <v>27</v>
      </c>
      <c r="Q148" t="n">
        <v>11</v>
      </c>
    </row>
    <row r="149">
      <c r="A149" t="n">
        <v>2024</v>
      </c>
      <c r="B149" t="n">
        <v>3</v>
      </c>
      <c r="C149" t="inlineStr">
        <is>
          <t>Muçarela Mozzana 2 kg</t>
        </is>
      </c>
      <c r="D149" t="inlineStr">
        <is>
          <t>Lanchonete / Cafeteria</t>
        </is>
      </c>
      <c r="E149" t="n">
        <v>224.78</v>
      </c>
      <c r="F149" t="n">
        <v>12.12</v>
      </c>
      <c r="G149" t="n">
        <v>6</v>
      </c>
      <c r="J149" t="inlineStr">
        <is>
          <t>M</t>
        </is>
      </c>
      <c r="K149" t="n">
        <v>2024</v>
      </c>
      <c r="L149" t="n">
        <v>2</v>
      </c>
      <c r="M149" t="inlineStr">
        <is>
          <t>Todos</t>
        </is>
      </c>
      <c r="N149" t="inlineStr">
        <is>
          <t>Pessoa Física</t>
        </is>
      </c>
      <c r="O149" t="n">
        <v>9</v>
      </c>
      <c r="P149" t="n">
        <v>12</v>
      </c>
      <c r="Q149" t="n">
        <v>0</v>
      </c>
    </row>
    <row r="150">
      <c r="A150" t="n">
        <v>2024</v>
      </c>
      <c r="B150" t="n">
        <v>3</v>
      </c>
      <c r="C150" t="inlineStr">
        <is>
          <t>Muçarela Mozzana 2 kg</t>
        </is>
      </c>
      <c r="D150" t="inlineStr">
        <is>
          <t>Laticínios / Distribuidor</t>
        </is>
      </c>
      <c r="E150" t="n">
        <v>2592.03</v>
      </c>
      <c r="F150" t="n">
        <v>139.38</v>
      </c>
      <c r="G150" t="n">
        <v>69</v>
      </c>
      <c r="J150" t="inlineStr">
        <is>
          <t>A</t>
        </is>
      </c>
      <c r="K150" t="n">
        <v>2024</v>
      </c>
      <c r="L150" t="n">
        <v>3</v>
      </c>
      <c r="M150" t="inlineStr">
        <is>
          <t>Todos</t>
        </is>
      </c>
      <c r="N150" t="inlineStr">
        <is>
          <t>Pessoa Física</t>
        </is>
      </c>
      <c r="O150" t="n">
        <v>13</v>
      </c>
      <c r="P150" t="n">
        <v>41</v>
      </c>
      <c r="Q150" t="n">
        <v>13</v>
      </c>
    </row>
    <row r="151">
      <c r="A151" t="n">
        <v>2024</v>
      </c>
      <c r="B151" t="n">
        <v>3</v>
      </c>
      <c r="C151" t="inlineStr">
        <is>
          <t>Muçarela Mozzana 2 kg</t>
        </is>
      </c>
      <c r="D151" t="inlineStr">
        <is>
          <t>Não Selecionado</t>
        </is>
      </c>
      <c r="E151" t="n">
        <v>344.61</v>
      </c>
      <c r="F151" t="n">
        <v>18.18</v>
      </c>
      <c r="G151" t="n">
        <v>9</v>
      </c>
      <c r="J151" t="inlineStr">
        <is>
          <t>M</t>
        </is>
      </c>
      <c r="K151" t="n">
        <v>2024</v>
      </c>
      <c r="L151" t="n">
        <v>3</v>
      </c>
      <c r="M151" t="inlineStr">
        <is>
          <t>Todos</t>
        </is>
      </c>
      <c r="N151" t="inlineStr">
        <is>
          <t>Pessoa Física</t>
        </is>
      </c>
      <c r="O151" t="n">
        <v>9</v>
      </c>
      <c r="P151" t="n">
        <v>14</v>
      </c>
      <c r="Q151" t="n">
        <v>0</v>
      </c>
    </row>
    <row r="152">
      <c r="A152" t="n">
        <v>2024</v>
      </c>
      <c r="B152" t="n">
        <v>3</v>
      </c>
      <c r="C152" t="inlineStr">
        <is>
          <t>Muçarela Mozzana 2 kg</t>
        </is>
      </c>
      <c r="D152" t="inlineStr">
        <is>
          <t>Outros</t>
        </is>
      </c>
      <c r="E152" t="n">
        <v>11638.48</v>
      </c>
      <c r="F152" t="n">
        <v>618.12</v>
      </c>
      <c r="G152" t="n">
        <v>306</v>
      </c>
      <c r="J152" t="inlineStr">
        <is>
          <t>A</t>
        </is>
      </c>
      <c r="K152" t="n">
        <v>2024</v>
      </c>
      <c r="L152" t="n">
        <v>4</v>
      </c>
      <c r="M152" t="inlineStr">
        <is>
          <t>Todos</t>
        </is>
      </c>
      <c r="N152" t="inlineStr">
        <is>
          <t>Pessoa Física</t>
        </is>
      </c>
      <c r="O152" t="n">
        <v>14</v>
      </c>
      <c r="P152" t="n">
        <v>58</v>
      </c>
      <c r="Q152" t="n">
        <v>14</v>
      </c>
    </row>
    <row r="153">
      <c r="A153" t="n">
        <v>2024</v>
      </c>
      <c r="B153" t="n">
        <v>3</v>
      </c>
      <c r="C153" t="inlineStr">
        <is>
          <t>Muçarela Mozzana 2 kg</t>
        </is>
      </c>
      <c r="D153" t="inlineStr">
        <is>
          <t>Padaria</t>
        </is>
      </c>
      <c r="E153" t="n">
        <v>5602.62</v>
      </c>
      <c r="F153" t="n">
        <v>296.94</v>
      </c>
      <c r="G153" t="n">
        <v>147</v>
      </c>
      <c r="J153" t="inlineStr">
        <is>
          <t>M</t>
        </is>
      </c>
      <c r="K153" t="n">
        <v>2024</v>
      </c>
      <c r="L153" t="n">
        <v>4</v>
      </c>
      <c r="M153" t="inlineStr">
        <is>
          <t>Todos</t>
        </is>
      </c>
      <c r="N153" t="inlineStr">
        <is>
          <t>Pessoa Física</t>
        </is>
      </c>
      <c r="O153" t="n">
        <v>11</v>
      </c>
      <c r="P153" t="n">
        <v>17</v>
      </c>
      <c r="Q153" t="n">
        <v>0</v>
      </c>
    </row>
    <row r="154">
      <c r="A154" t="n">
        <v>2024</v>
      </c>
      <c r="B154" t="n">
        <v>3</v>
      </c>
      <c r="C154" t="inlineStr">
        <is>
          <t>Muçarela Mozzana 2 kg</t>
        </is>
      </c>
      <c r="D154" t="inlineStr">
        <is>
          <t>Pastelaria</t>
        </is>
      </c>
      <c r="E154" t="n">
        <v>1639.4</v>
      </c>
      <c r="F154" t="n">
        <v>84.84</v>
      </c>
      <c r="G154" t="n">
        <v>42</v>
      </c>
      <c r="J154" t="inlineStr">
        <is>
          <t>A</t>
        </is>
      </c>
      <c r="K154" t="n">
        <v>2024</v>
      </c>
      <c r="L154" t="n">
        <v>5</v>
      </c>
      <c r="M154" t="inlineStr">
        <is>
          <t>Todos</t>
        </is>
      </c>
      <c r="N154" t="inlineStr">
        <is>
          <t>Pessoa Física</t>
        </is>
      </c>
      <c r="O154" t="n">
        <v>16</v>
      </c>
      <c r="P154" t="n">
        <v>75</v>
      </c>
      <c r="Q154" t="n">
        <v>16</v>
      </c>
    </row>
    <row r="155">
      <c r="A155" t="n">
        <v>2024</v>
      </c>
      <c r="B155" t="n">
        <v>3</v>
      </c>
      <c r="C155" t="inlineStr">
        <is>
          <t>Muçarela Mozzana 2 kg</t>
        </is>
      </c>
      <c r="D155" t="inlineStr">
        <is>
          <t>Pessoa Física</t>
        </is>
      </c>
      <c r="E155" t="n">
        <v>8616.6</v>
      </c>
      <c r="F155" t="n">
        <v>458.54</v>
      </c>
      <c r="G155" t="n">
        <v>227</v>
      </c>
      <c r="J155" t="inlineStr">
        <is>
          <t>M</t>
        </is>
      </c>
      <c r="K155" t="n">
        <v>2024</v>
      </c>
      <c r="L155" t="n">
        <v>5</v>
      </c>
      <c r="M155" t="inlineStr">
        <is>
          <t>Todos</t>
        </is>
      </c>
      <c r="N155" t="inlineStr">
        <is>
          <t>Pessoa Física</t>
        </is>
      </c>
      <c r="O155" t="n">
        <v>8</v>
      </c>
      <c r="P155" t="n">
        <v>17</v>
      </c>
      <c r="Q155" t="n">
        <v>0</v>
      </c>
    </row>
    <row r="156">
      <c r="A156" t="n">
        <v>2024</v>
      </c>
      <c r="B156" t="n">
        <v>3</v>
      </c>
      <c r="C156" t="inlineStr">
        <is>
          <t>Muçarela Mozzana 2 kg</t>
        </is>
      </c>
      <c r="D156" t="inlineStr">
        <is>
          <t>Pizzaria</t>
        </is>
      </c>
      <c r="E156" t="n">
        <v>81223.87</v>
      </c>
      <c r="F156" t="n">
        <v>4324.82</v>
      </c>
      <c r="G156" t="n">
        <v>2141</v>
      </c>
      <c r="J156" t="inlineStr">
        <is>
          <t>A</t>
        </is>
      </c>
      <c r="K156" t="n">
        <v>2024</v>
      </c>
      <c r="L156" t="n">
        <v>6</v>
      </c>
      <c r="M156" t="inlineStr">
        <is>
          <t>Todos</t>
        </is>
      </c>
      <c r="N156" t="inlineStr">
        <is>
          <t>Pessoa Física</t>
        </is>
      </c>
      <c r="O156" t="n">
        <v>19</v>
      </c>
      <c r="P156" t="n">
        <v>88</v>
      </c>
      <c r="Q156" t="n">
        <v>19</v>
      </c>
    </row>
    <row r="157">
      <c r="A157" t="n">
        <v>2024</v>
      </c>
      <c r="B157" t="n">
        <v>3</v>
      </c>
      <c r="C157" t="inlineStr">
        <is>
          <t>Muçarela Mozzana 2 kg</t>
        </is>
      </c>
      <c r="D157" t="inlineStr">
        <is>
          <t>Restaurante / Cantina</t>
        </is>
      </c>
      <c r="E157" t="n">
        <v>16520.27</v>
      </c>
      <c r="F157" t="n">
        <v>888.8</v>
      </c>
      <c r="G157" t="n">
        <v>440</v>
      </c>
      <c r="J157" t="inlineStr">
        <is>
          <t>M</t>
        </is>
      </c>
      <c r="K157" t="n">
        <v>2024</v>
      </c>
      <c r="L157" t="n">
        <v>6</v>
      </c>
      <c r="M157" t="inlineStr">
        <is>
          <t>Todos</t>
        </is>
      </c>
      <c r="N157" t="inlineStr">
        <is>
          <t>Pessoa Física</t>
        </is>
      </c>
      <c r="O157" t="n">
        <v>9</v>
      </c>
      <c r="P157" t="n">
        <v>13</v>
      </c>
      <c r="Q157" t="n">
        <v>0</v>
      </c>
    </row>
    <row r="158">
      <c r="A158" t="n">
        <v>2024</v>
      </c>
      <c r="B158" t="n">
        <v>3</v>
      </c>
      <c r="C158" t="inlineStr">
        <is>
          <t>Muçarela Mozzana 2 kg</t>
        </is>
      </c>
      <c r="D158" t="inlineStr">
        <is>
          <t>Supermercado</t>
        </is>
      </c>
      <c r="E158" t="n">
        <v>4438.87</v>
      </c>
      <c r="F158" t="n">
        <v>220.18</v>
      </c>
      <c r="G158" t="n">
        <v>109</v>
      </c>
      <c r="J158" t="inlineStr">
        <is>
          <t>A</t>
        </is>
      </c>
      <c r="K158" t="n">
        <v>2024</v>
      </c>
      <c r="L158" t="n">
        <v>7</v>
      </c>
      <c r="M158" t="inlineStr">
        <is>
          <t>Todos</t>
        </is>
      </c>
      <c r="N158" t="inlineStr">
        <is>
          <t>Pessoa Física</t>
        </is>
      </c>
      <c r="O158" t="n">
        <v>22</v>
      </c>
      <c r="P158" t="n">
        <v>107</v>
      </c>
      <c r="Q158" t="n">
        <v>22</v>
      </c>
    </row>
    <row r="159">
      <c r="A159" t="n">
        <v>2024</v>
      </c>
      <c r="B159" t="n">
        <v>3</v>
      </c>
      <c r="C159" t="inlineStr">
        <is>
          <t>Requeijão Pizzalet 1,8 kg</t>
        </is>
      </c>
      <c r="D159" t="inlineStr">
        <is>
          <t>Bar / Chopperia</t>
        </is>
      </c>
      <c r="E159" t="n">
        <v>162.48</v>
      </c>
      <c r="F159" t="n">
        <v>22.08</v>
      </c>
      <c r="G159" t="n">
        <v>12</v>
      </c>
      <c r="J159" t="inlineStr">
        <is>
          <t>M</t>
        </is>
      </c>
      <c r="K159" t="n">
        <v>2024</v>
      </c>
      <c r="L159" t="n">
        <v>7</v>
      </c>
      <c r="M159" t="inlineStr">
        <is>
          <t>Todos</t>
        </is>
      </c>
      <c r="N159" t="inlineStr">
        <is>
          <t>Pessoa Física</t>
        </is>
      </c>
      <c r="O159" t="n">
        <v>11</v>
      </c>
      <c r="P159" t="n">
        <v>19</v>
      </c>
      <c r="Q159" t="n">
        <v>0</v>
      </c>
    </row>
    <row r="160">
      <c r="A160" t="n">
        <v>2024</v>
      </c>
      <c r="B160" t="n">
        <v>3</v>
      </c>
      <c r="C160" t="inlineStr">
        <is>
          <t>Requeijão Pizzalet 1,8 kg</t>
        </is>
      </c>
      <c r="D160" t="inlineStr">
        <is>
          <t>Cozinha Industrial</t>
        </is>
      </c>
      <c r="E160" t="n">
        <v>3791.2</v>
      </c>
      <c r="F160" t="n">
        <v>515.2</v>
      </c>
      <c r="G160" t="n">
        <v>280</v>
      </c>
      <c r="J160" t="inlineStr">
        <is>
          <t>A</t>
        </is>
      </c>
      <c r="K160" t="n">
        <v>2024</v>
      </c>
      <c r="L160" t="n">
        <v>8</v>
      </c>
      <c r="M160" t="inlineStr">
        <is>
          <t>Todos</t>
        </is>
      </c>
      <c r="N160" t="inlineStr">
        <is>
          <t>Pessoa Física</t>
        </is>
      </c>
      <c r="O160" t="n">
        <v>26</v>
      </c>
      <c r="P160" t="n">
        <v>132</v>
      </c>
      <c r="Q160" t="n">
        <v>26</v>
      </c>
    </row>
    <row r="161">
      <c r="A161" t="n">
        <v>2024</v>
      </c>
      <c r="B161" t="n">
        <v>3</v>
      </c>
      <c r="C161" t="inlineStr">
        <is>
          <t>Requeijão Pizzalet 1,8 kg</t>
        </is>
      </c>
      <c r="D161" t="inlineStr">
        <is>
          <t>Lanchonete / Cafeteria</t>
        </is>
      </c>
      <c r="E161" t="n">
        <v>582.39</v>
      </c>
      <c r="F161" t="n">
        <v>79.12</v>
      </c>
      <c r="G161" t="n">
        <v>43</v>
      </c>
      <c r="J161" t="inlineStr">
        <is>
          <t>M</t>
        </is>
      </c>
      <c r="K161" t="n">
        <v>2024</v>
      </c>
      <c r="L161" t="n">
        <v>8</v>
      </c>
      <c r="M161" t="inlineStr">
        <is>
          <t>Todos</t>
        </is>
      </c>
      <c r="N161" t="inlineStr">
        <is>
          <t>Pessoa Física</t>
        </is>
      </c>
      <c r="O161" t="n">
        <v>10</v>
      </c>
      <c r="P161" t="n">
        <v>25</v>
      </c>
      <c r="Q161" t="n">
        <v>0</v>
      </c>
    </row>
    <row r="162">
      <c r="A162" t="n">
        <v>2024</v>
      </c>
      <c r="B162" t="n">
        <v>3</v>
      </c>
      <c r="C162" t="inlineStr">
        <is>
          <t>Requeijão Pizzalet 1,8 kg</t>
        </is>
      </c>
      <c r="D162" t="inlineStr">
        <is>
          <t>Padaria</t>
        </is>
      </c>
      <c r="E162" t="n">
        <v>13.23</v>
      </c>
      <c r="F162" t="n">
        <v>1.84</v>
      </c>
      <c r="G162" t="n">
        <v>1</v>
      </c>
      <c r="J162" t="inlineStr">
        <is>
          <t>A</t>
        </is>
      </c>
      <c r="K162" t="n">
        <v>2024</v>
      </c>
      <c r="L162" t="n">
        <v>9</v>
      </c>
      <c r="M162" t="inlineStr">
        <is>
          <t>Todos</t>
        </is>
      </c>
      <c r="N162" t="inlineStr">
        <is>
          <t>Pessoa Física</t>
        </is>
      </c>
      <c r="O162" t="n">
        <v>28</v>
      </c>
      <c r="P162" t="n">
        <v>151</v>
      </c>
      <c r="Q162" t="n">
        <v>28</v>
      </c>
    </row>
    <row r="163">
      <c r="A163" t="n">
        <v>2024</v>
      </c>
      <c r="B163" t="n">
        <v>3</v>
      </c>
      <c r="C163" t="inlineStr">
        <is>
          <t>Requeijão Pizzalet 1,8 kg</t>
        </is>
      </c>
      <c r="D163" t="inlineStr">
        <is>
          <t>Pastelaria</t>
        </is>
      </c>
      <c r="E163" t="n">
        <v>1518.08</v>
      </c>
      <c r="F163" t="n">
        <v>206.08</v>
      </c>
      <c r="G163" t="n">
        <v>112</v>
      </c>
      <c r="J163" t="inlineStr">
        <is>
          <t>M</t>
        </is>
      </c>
      <c r="K163" t="n">
        <v>2024</v>
      </c>
      <c r="L163" t="n">
        <v>9</v>
      </c>
      <c r="M163" t="inlineStr">
        <is>
          <t>Todos</t>
        </is>
      </c>
      <c r="N163" t="inlineStr">
        <is>
          <t>Pessoa Física</t>
        </is>
      </c>
      <c r="O163" t="n">
        <v>9</v>
      </c>
      <c r="P163" t="n">
        <v>19</v>
      </c>
      <c r="Q163" t="n">
        <v>0</v>
      </c>
    </row>
    <row r="164">
      <c r="A164" t="n">
        <v>2024</v>
      </c>
      <c r="B164" t="n">
        <v>3</v>
      </c>
      <c r="C164" t="inlineStr">
        <is>
          <t>Requeijão Pizzalet 1,8 kg</t>
        </is>
      </c>
      <c r="D164" t="inlineStr">
        <is>
          <t>Pizzaria</t>
        </is>
      </c>
      <c r="E164" t="n">
        <v>4597.94</v>
      </c>
      <c r="F164" t="n">
        <v>627.4400000000001</v>
      </c>
      <c r="G164" t="n">
        <v>341</v>
      </c>
      <c r="J164" t="inlineStr">
        <is>
          <t>A</t>
        </is>
      </c>
      <c r="K164" t="n">
        <v>2024</v>
      </c>
      <c r="L164" t="n">
        <v>10</v>
      </c>
      <c r="M164" t="inlineStr">
        <is>
          <t>Todos</t>
        </is>
      </c>
      <c r="N164" t="inlineStr">
        <is>
          <t>Pessoa Física</t>
        </is>
      </c>
      <c r="O164" t="n">
        <v>29</v>
      </c>
      <c r="P164" t="n">
        <v>164</v>
      </c>
      <c r="Q164" t="n">
        <v>29</v>
      </c>
    </row>
    <row r="165">
      <c r="A165" t="n">
        <v>2024</v>
      </c>
      <c r="B165" t="n">
        <v>3</v>
      </c>
      <c r="C165" t="inlineStr">
        <is>
          <t>Requeijão Pizzalet 1,8 kg</t>
        </is>
      </c>
      <c r="D165" t="inlineStr">
        <is>
          <t>Restaurante / Cantina</t>
        </is>
      </c>
      <c r="E165" t="n">
        <v>270.3</v>
      </c>
      <c r="F165" t="n">
        <v>36.8</v>
      </c>
      <c r="G165" t="n">
        <v>20</v>
      </c>
      <c r="J165" t="inlineStr">
        <is>
          <t>M</t>
        </is>
      </c>
      <c r="K165" t="n">
        <v>2024</v>
      </c>
      <c r="L165" t="n">
        <v>10</v>
      </c>
      <c r="M165" t="inlineStr">
        <is>
          <t>Todos</t>
        </is>
      </c>
      <c r="N165" t="inlineStr">
        <is>
          <t>Pessoa Física</t>
        </is>
      </c>
      <c r="O165" t="n">
        <v>7</v>
      </c>
      <c r="P165" t="n">
        <v>13</v>
      </c>
      <c r="Q165" t="n">
        <v>0</v>
      </c>
    </row>
    <row r="166">
      <c r="A166" t="n">
        <v>2024</v>
      </c>
      <c r="B166" t="n">
        <v>4</v>
      </c>
      <c r="C166" t="inlineStr">
        <is>
          <t>Chocolate em pó 50% 1 kg</t>
        </is>
      </c>
      <c r="D166" t="inlineStr">
        <is>
          <t>Buffet</t>
        </is>
      </c>
      <c r="E166" t="n">
        <v>27.81</v>
      </c>
      <c r="F166" t="n">
        <v>1.02</v>
      </c>
      <c r="G166" t="n">
        <v>1</v>
      </c>
      <c r="J166" t="inlineStr">
        <is>
          <t>A</t>
        </is>
      </c>
      <c r="K166" t="n">
        <v>2024</v>
      </c>
      <c r="L166" t="n">
        <v>11</v>
      </c>
      <c r="M166" t="inlineStr">
        <is>
          <t>Todos</t>
        </is>
      </c>
      <c r="N166" t="inlineStr">
        <is>
          <t>Pessoa Física</t>
        </is>
      </c>
      <c r="O166" t="n">
        <v>31</v>
      </c>
      <c r="P166" t="n">
        <v>179</v>
      </c>
      <c r="Q166" t="n">
        <v>31</v>
      </c>
    </row>
    <row r="167">
      <c r="A167" t="n">
        <v>2024</v>
      </c>
      <c r="B167" t="n">
        <v>4</v>
      </c>
      <c r="C167" t="inlineStr">
        <is>
          <t>Chocolate em pó 50% 1 kg</t>
        </is>
      </c>
      <c r="D167" t="inlineStr">
        <is>
          <t>Churrascaria</t>
        </is>
      </c>
      <c r="E167" t="n">
        <v>165.94</v>
      </c>
      <c r="F167" t="n">
        <v>6.12</v>
      </c>
      <c r="G167" t="n">
        <v>6</v>
      </c>
      <c r="J167" t="inlineStr">
        <is>
          <t>M</t>
        </is>
      </c>
      <c r="K167" t="n">
        <v>2024</v>
      </c>
      <c r="L167" t="n">
        <v>11</v>
      </c>
      <c r="M167" t="inlineStr">
        <is>
          <t>Todos</t>
        </is>
      </c>
      <c r="N167" t="inlineStr">
        <is>
          <t>Pessoa Física</t>
        </is>
      </c>
      <c r="O167" t="n">
        <v>8</v>
      </c>
      <c r="P167" t="n">
        <v>15</v>
      </c>
      <c r="Q167" t="n">
        <v>0</v>
      </c>
    </row>
    <row r="168">
      <c r="A168" t="n">
        <v>2024</v>
      </c>
      <c r="B168" t="n">
        <v>4</v>
      </c>
      <c r="C168" t="inlineStr">
        <is>
          <t>Chocolate em pó 50% 1 kg</t>
        </is>
      </c>
      <c r="D168" t="inlineStr">
        <is>
          <t>Cozinha Industrial</t>
        </is>
      </c>
      <c r="E168" t="n">
        <v>55.81</v>
      </c>
      <c r="F168" t="n">
        <v>2.04</v>
      </c>
      <c r="G168" t="n">
        <v>2</v>
      </c>
      <c r="J168" t="inlineStr">
        <is>
          <t>A</t>
        </is>
      </c>
      <c r="K168" t="n">
        <v>2024</v>
      </c>
      <c r="L168" t="n">
        <v>12</v>
      </c>
      <c r="M168" t="inlineStr">
        <is>
          <t>Todos</t>
        </is>
      </c>
      <c r="N168" t="inlineStr">
        <is>
          <t>Pessoa Física</t>
        </is>
      </c>
      <c r="O168" t="n">
        <v>34</v>
      </c>
      <c r="P168" t="n">
        <v>193</v>
      </c>
      <c r="Q168" t="n">
        <v>34</v>
      </c>
    </row>
    <row r="169">
      <c r="A169" t="n">
        <v>2024</v>
      </c>
      <c r="B169" t="n">
        <v>4</v>
      </c>
      <c r="C169" t="inlineStr">
        <is>
          <t>Chocolate em pó 50% 1 kg</t>
        </is>
      </c>
      <c r="D169" t="inlineStr">
        <is>
          <t>Hamburgueria</t>
        </is>
      </c>
      <c r="E169" t="n">
        <v>27.85</v>
      </c>
      <c r="F169" t="n">
        <v>1.02</v>
      </c>
      <c r="G169" t="n">
        <v>1</v>
      </c>
      <c r="J169" t="inlineStr">
        <is>
          <t>M</t>
        </is>
      </c>
      <c r="K169" t="n">
        <v>2024</v>
      </c>
      <c r="L169" t="n">
        <v>12</v>
      </c>
      <c r="M169" t="inlineStr">
        <is>
          <t>Todos</t>
        </is>
      </c>
      <c r="N169" t="inlineStr">
        <is>
          <t>Pessoa Física</t>
        </is>
      </c>
      <c r="O169" t="n">
        <v>8</v>
      </c>
      <c r="P169" t="n">
        <v>14</v>
      </c>
      <c r="Q169" t="n">
        <v>0</v>
      </c>
    </row>
    <row r="170">
      <c r="A170" t="n">
        <v>2024</v>
      </c>
      <c r="B170" t="n">
        <v>4</v>
      </c>
      <c r="C170" t="inlineStr">
        <is>
          <t>Chocolate em pó 50% 1 kg</t>
        </is>
      </c>
      <c r="D170" t="inlineStr">
        <is>
          <t>Hotel / Motel / Pousada</t>
        </is>
      </c>
      <c r="E170" t="n">
        <v>1084.04</v>
      </c>
      <c r="F170" t="n">
        <v>39.78</v>
      </c>
      <c r="G170" t="n">
        <v>39</v>
      </c>
      <c r="J170" t="inlineStr">
        <is>
          <t>A</t>
        </is>
      </c>
      <c r="K170" t="n">
        <v>2024</v>
      </c>
      <c r="L170" t="n">
        <v>1</v>
      </c>
      <c r="M170" t="inlineStr">
        <is>
          <t>Todos</t>
        </is>
      </c>
      <c r="N170" t="inlineStr">
        <is>
          <t>Pastelaria</t>
        </is>
      </c>
      <c r="O170" t="n">
        <v>6</v>
      </c>
      <c r="P170" t="n">
        <v>16</v>
      </c>
      <c r="Q170" t="n">
        <v>6</v>
      </c>
    </row>
    <row r="171">
      <c r="A171" t="n">
        <v>2024</v>
      </c>
      <c r="B171" t="n">
        <v>4</v>
      </c>
      <c r="C171" t="inlineStr">
        <is>
          <t>Chocolate em pó 50% 1 kg</t>
        </is>
      </c>
      <c r="D171" t="inlineStr">
        <is>
          <t>Lanchonete / Cafeteria</t>
        </is>
      </c>
      <c r="E171" t="n">
        <v>83.43000000000001</v>
      </c>
      <c r="F171" t="n">
        <v>3.06</v>
      </c>
      <c r="G171" t="n">
        <v>3</v>
      </c>
      <c r="J171" t="inlineStr">
        <is>
          <t>M</t>
        </is>
      </c>
      <c r="K171" t="n">
        <v>2024</v>
      </c>
      <c r="L171" t="n">
        <v>1</v>
      </c>
      <c r="M171" t="inlineStr">
        <is>
          <t>Todos</t>
        </is>
      </c>
      <c r="N171" t="inlineStr">
        <is>
          <t>Pastelaria</t>
        </is>
      </c>
      <c r="O171" t="n">
        <v>6</v>
      </c>
      <c r="P171" t="n">
        <v>16</v>
      </c>
      <c r="Q171" t="n">
        <v>0</v>
      </c>
    </row>
    <row r="172">
      <c r="A172" t="n">
        <v>2024</v>
      </c>
      <c r="B172" t="n">
        <v>4</v>
      </c>
      <c r="C172" t="inlineStr">
        <is>
          <t>Chocolate em pó 50% 1 kg</t>
        </is>
      </c>
      <c r="D172" t="inlineStr">
        <is>
          <t>Outros</t>
        </is>
      </c>
      <c r="E172" t="n">
        <v>308.77</v>
      </c>
      <c r="F172" t="n">
        <v>11.22</v>
      </c>
      <c r="G172" t="n">
        <v>11</v>
      </c>
      <c r="J172" t="inlineStr">
        <is>
          <t>A</t>
        </is>
      </c>
      <c r="K172" t="n">
        <v>2024</v>
      </c>
      <c r="L172" t="n">
        <v>2</v>
      </c>
      <c r="M172" t="inlineStr">
        <is>
          <t>Todos</t>
        </is>
      </c>
      <c r="N172" t="inlineStr">
        <is>
          <t>Pastelaria</t>
        </is>
      </c>
      <c r="O172" t="n">
        <v>6</v>
      </c>
      <c r="P172" t="n">
        <v>34</v>
      </c>
      <c r="Q172" t="n">
        <v>6</v>
      </c>
    </row>
    <row r="173">
      <c r="A173" t="n">
        <v>2024</v>
      </c>
      <c r="B173" t="n">
        <v>4</v>
      </c>
      <c r="C173" t="inlineStr">
        <is>
          <t>Chocolate em pó 50% 1 kg</t>
        </is>
      </c>
      <c r="D173" t="inlineStr">
        <is>
          <t>Padaria</t>
        </is>
      </c>
      <c r="E173" t="n">
        <v>165.62</v>
      </c>
      <c r="F173" t="n">
        <v>6.12</v>
      </c>
      <c r="G173" t="n">
        <v>6</v>
      </c>
      <c r="J173" t="inlineStr">
        <is>
          <t>M</t>
        </is>
      </c>
      <c r="K173" t="n">
        <v>2024</v>
      </c>
      <c r="L173" t="n">
        <v>2</v>
      </c>
      <c r="M173" t="inlineStr">
        <is>
          <t>Todos</t>
        </is>
      </c>
      <c r="N173" t="inlineStr">
        <is>
          <t>Pastelaria</t>
        </is>
      </c>
      <c r="O173" t="n">
        <v>6</v>
      </c>
      <c r="P173" t="n">
        <v>18</v>
      </c>
      <c r="Q173" t="n">
        <v>0</v>
      </c>
    </row>
    <row r="174">
      <c r="A174" t="n">
        <v>2024</v>
      </c>
      <c r="B174" t="n">
        <v>4</v>
      </c>
      <c r="C174" t="inlineStr">
        <is>
          <t>Chocolate em pó 50% 1 kg</t>
        </is>
      </c>
      <c r="D174" t="inlineStr">
        <is>
          <t>Pessoa Física</t>
        </is>
      </c>
      <c r="E174" t="n">
        <v>54</v>
      </c>
      <c r="F174" t="n">
        <v>2.04</v>
      </c>
      <c r="G174" t="n">
        <v>2</v>
      </c>
      <c r="J174" t="inlineStr">
        <is>
          <t>A</t>
        </is>
      </c>
      <c r="K174" t="n">
        <v>2024</v>
      </c>
      <c r="L174" t="n">
        <v>3</v>
      </c>
      <c r="M174" t="inlineStr">
        <is>
          <t>Todos</t>
        </is>
      </c>
      <c r="N174" t="inlineStr">
        <is>
          <t>Pastelaria</t>
        </is>
      </c>
      <c r="O174" t="n">
        <v>6</v>
      </c>
      <c r="P174" t="n">
        <v>45</v>
      </c>
      <c r="Q174" t="n">
        <v>6</v>
      </c>
    </row>
    <row r="175">
      <c r="A175" t="n">
        <v>2024</v>
      </c>
      <c r="B175" t="n">
        <v>4</v>
      </c>
      <c r="C175" t="inlineStr">
        <is>
          <t>Chocolate em pó 50% 1 kg</t>
        </is>
      </c>
      <c r="D175" t="inlineStr">
        <is>
          <t>Pizzaria</t>
        </is>
      </c>
      <c r="E175" t="n">
        <v>973.49</v>
      </c>
      <c r="F175" t="n">
        <v>35.7</v>
      </c>
      <c r="G175" t="n">
        <v>35</v>
      </c>
      <c r="J175" t="inlineStr">
        <is>
          <t>M</t>
        </is>
      </c>
      <c r="K175" t="n">
        <v>2024</v>
      </c>
      <c r="L175" t="n">
        <v>3</v>
      </c>
      <c r="M175" t="inlineStr">
        <is>
          <t>Todos</t>
        </is>
      </c>
      <c r="N175" t="inlineStr">
        <is>
          <t>Pastelaria</t>
        </is>
      </c>
      <c r="O175" t="n">
        <v>4</v>
      </c>
      <c r="P175" t="n">
        <v>11</v>
      </c>
      <c r="Q175" t="n">
        <v>0</v>
      </c>
    </row>
    <row r="176">
      <c r="A176" t="n">
        <v>2024</v>
      </c>
      <c r="B176" t="n">
        <v>4</v>
      </c>
      <c r="C176" t="inlineStr">
        <is>
          <t>Chocolate em pó 50% 1 kg</t>
        </is>
      </c>
      <c r="D176" t="inlineStr">
        <is>
          <t>Restaurante / Cantina</t>
        </is>
      </c>
      <c r="E176" t="n">
        <v>2426.87</v>
      </c>
      <c r="F176" t="n">
        <v>88.73999999999999</v>
      </c>
      <c r="G176" t="n">
        <v>87</v>
      </c>
      <c r="J176" t="inlineStr">
        <is>
          <t>A</t>
        </is>
      </c>
      <c r="K176" t="n">
        <v>2024</v>
      </c>
      <c r="L176" t="n">
        <v>4</v>
      </c>
      <c r="M176" t="inlineStr">
        <is>
          <t>Todos</t>
        </is>
      </c>
      <c r="N176" t="inlineStr">
        <is>
          <t>Pastelaria</t>
        </is>
      </c>
      <c r="O176" t="n">
        <v>7</v>
      </c>
      <c r="P176" t="n">
        <v>60</v>
      </c>
      <c r="Q176" t="n">
        <v>7</v>
      </c>
    </row>
    <row r="177">
      <c r="A177" t="n">
        <v>2024</v>
      </c>
      <c r="B177" t="n">
        <v>4</v>
      </c>
      <c r="C177" t="inlineStr">
        <is>
          <t>Chocolate em pó 50% 1 kg</t>
        </is>
      </c>
      <c r="D177" t="inlineStr">
        <is>
          <t>Rotisserie</t>
        </is>
      </c>
      <c r="E177" t="n">
        <v>27.8</v>
      </c>
      <c r="F177" t="n">
        <v>1.02</v>
      </c>
      <c r="G177" t="n">
        <v>1</v>
      </c>
      <c r="J177" t="inlineStr">
        <is>
          <t>M</t>
        </is>
      </c>
      <c r="K177" t="n">
        <v>2024</v>
      </c>
      <c r="L177" t="n">
        <v>4</v>
      </c>
      <c r="M177" t="inlineStr">
        <is>
          <t>Todos</t>
        </is>
      </c>
      <c r="N177" t="inlineStr">
        <is>
          <t>Pastelaria</t>
        </is>
      </c>
      <c r="O177" t="n">
        <v>5</v>
      </c>
      <c r="P177" t="n">
        <v>15</v>
      </c>
      <c r="Q177" t="n">
        <v>0</v>
      </c>
    </row>
    <row r="178">
      <c r="A178" t="n">
        <v>2024</v>
      </c>
      <c r="B178" t="n">
        <v>4</v>
      </c>
      <c r="C178" t="inlineStr">
        <is>
          <t>Composto lácteo Alibralac 1 kg</t>
        </is>
      </c>
      <c r="D178" t="inlineStr">
        <is>
          <t>Cozinha Industrial</t>
        </is>
      </c>
      <c r="E178" t="n">
        <v>201</v>
      </c>
      <c r="F178" t="n">
        <v>10.2</v>
      </c>
      <c r="G178" t="n">
        <v>10</v>
      </c>
      <c r="J178" t="inlineStr">
        <is>
          <t>A</t>
        </is>
      </c>
      <c r="K178" t="n">
        <v>2024</v>
      </c>
      <c r="L178" t="n">
        <v>5</v>
      </c>
      <c r="M178" t="inlineStr">
        <is>
          <t>Todos</t>
        </is>
      </c>
      <c r="N178" t="inlineStr">
        <is>
          <t>Pastelaria</t>
        </is>
      </c>
      <c r="O178" t="n">
        <v>10</v>
      </c>
      <c r="P178" t="n">
        <v>76</v>
      </c>
      <c r="Q178" t="n">
        <v>10</v>
      </c>
    </row>
    <row r="179">
      <c r="A179" t="n">
        <v>2024</v>
      </c>
      <c r="B179" t="n">
        <v>4</v>
      </c>
      <c r="C179" t="inlineStr">
        <is>
          <t>Composto lácteo Alibralac 1 kg</t>
        </is>
      </c>
      <c r="D179" t="inlineStr">
        <is>
          <t>Fábrica de Massas</t>
        </is>
      </c>
      <c r="E179" t="n">
        <v>40.38</v>
      </c>
      <c r="F179" t="n">
        <v>2.04</v>
      </c>
      <c r="G179" t="n">
        <v>2</v>
      </c>
      <c r="J179" t="inlineStr">
        <is>
          <t>M</t>
        </is>
      </c>
      <c r="K179" t="n">
        <v>2024</v>
      </c>
      <c r="L179" t="n">
        <v>5</v>
      </c>
      <c r="M179" t="inlineStr">
        <is>
          <t>Todos</t>
        </is>
      </c>
      <c r="N179" t="inlineStr">
        <is>
          <t>Pastelaria</t>
        </is>
      </c>
      <c r="O179" t="n">
        <v>8</v>
      </c>
      <c r="P179" t="n">
        <v>16</v>
      </c>
      <c r="Q179" t="n">
        <v>0</v>
      </c>
    </row>
    <row r="180">
      <c r="A180" t="n">
        <v>2024</v>
      </c>
      <c r="B180" t="n">
        <v>4</v>
      </c>
      <c r="C180" t="inlineStr">
        <is>
          <t>Composto lácteo Alibralac 1 kg</t>
        </is>
      </c>
      <c r="D180" t="inlineStr">
        <is>
          <t>Hotel / Motel / Pousada</t>
        </is>
      </c>
      <c r="E180" t="n">
        <v>203.9</v>
      </c>
      <c r="F180" t="n">
        <v>10.2</v>
      </c>
      <c r="G180" t="n">
        <v>10</v>
      </c>
      <c r="J180" t="inlineStr">
        <is>
          <t>A</t>
        </is>
      </c>
      <c r="K180" t="n">
        <v>2024</v>
      </c>
      <c r="L180" t="n">
        <v>6</v>
      </c>
      <c r="M180" t="inlineStr">
        <is>
          <t>Todos</t>
        </is>
      </c>
      <c r="N180" t="inlineStr">
        <is>
          <t>Pastelaria</t>
        </is>
      </c>
      <c r="O180" t="n">
        <v>15</v>
      </c>
      <c r="P180" t="n">
        <v>97</v>
      </c>
      <c r="Q180" t="n">
        <v>15</v>
      </c>
    </row>
    <row r="181">
      <c r="A181" t="n">
        <v>2024</v>
      </c>
      <c r="B181" t="n">
        <v>4</v>
      </c>
      <c r="C181" t="inlineStr">
        <is>
          <t>Composto lácteo Alibralac 1 kg</t>
        </is>
      </c>
      <c r="D181" t="inlineStr">
        <is>
          <t>Padaria</t>
        </is>
      </c>
      <c r="E181" t="n">
        <v>487.85</v>
      </c>
      <c r="F181" t="n">
        <v>25.5</v>
      </c>
      <c r="G181" t="n">
        <v>25</v>
      </c>
      <c r="J181" t="inlineStr">
        <is>
          <t>M</t>
        </is>
      </c>
      <c r="K181" t="n">
        <v>2024</v>
      </c>
      <c r="L181" t="n">
        <v>6</v>
      </c>
      <c r="M181" t="inlineStr">
        <is>
          <t>Todos</t>
        </is>
      </c>
      <c r="N181" t="inlineStr">
        <is>
          <t>Pastelaria</t>
        </is>
      </c>
      <c r="O181" t="n">
        <v>12</v>
      </c>
      <c r="P181" t="n">
        <v>21</v>
      </c>
      <c r="Q181" t="n">
        <v>0</v>
      </c>
    </row>
    <row r="182">
      <c r="A182" t="n">
        <v>2024</v>
      </c>
      <c r="B182" t="n">
        <v>4</v>
      </c>
      <c r="C182" t="inlineStr">
        <is>
          <t>Composto lácteo Alibralac 1 kg</t>
        </is>
      </c>
      <c r="D182" t="inlineStr">
        <is>
          <t>Restaurante / Cantina</t>
        </is>
      </c>
      <c r="E182" t="n">
        <v>646.08</v>
      </c>
      <c r="F182" t="n">
        <v>32.64</v>
      </c>
      <c r="G182" t="n">
        <v>32</v>
      </c>
      <c r="J182" t="inlineStr">
        <is>
          <t>A</t>
        </is>
      </c>
      <c r="K182" t="n">
        <v>2024</v>
      </c>
      <c r="L182" t="n">
        <v>7</v>
      </c>
      <c r="M182" t="inlineStr">
        <is>
          <t>Todos</t>
        </is>
      </c>
      <c r="N182" t="inlineStr">
        <is>
          <t>Pastelaria</t>
        </is>
      </c>
      <c r="O182" t="n">
        <v>16</v>
      </c>
      <c r="P182" t="n">
        <v>120</v>
      </c>
      <c r="Q182" t="n">
        <v>16</v>
      </c>
    </row>
    <row r="183">
      <c r="A183" t="n">
        <v>2024</v>
      </c>
      <c r="B183" t="n">
        <v>4</v>
      </c>
      <c r="C183" t="inlineStr">
        <is>
          <t>Composto lácteo Merilú 400 g</t>
        </is>
      </c>
      <c r="D183" t="inlineStr">
        <is>
          <t>Churrascaria</t>
        </is>
      </c>
      <c r="E183" t="n">
        <v>31.56</v>
      </c>
      <c r="F183" t="n">
        <v>1.68</v>
      </c>
      <c r="G183" t="n">
        <v>4</v>
      </c>
      <c r="J183" t="inlineStr">
        <is>
          <t>M</t>
        </is>
      </c>
      <c r="K183" t="n">
        <v>2024</v>
      </c>
      <c r="L183" t="n">
        <v>7</v>
      </c>
      <c r="M183" t="inlineStr">
        <is>
          <t>Todos</t>
        </is>
      </c>
      <c r="N183" t="inlineStr">
        <is>
          <t>Pastelaria</t>
        </is>
      </c>
      <c r="O183" t="n">
        <v>11</v>
      </c>
      <c r="P183" t="n">
        <v>23</v>
      </c>
      <c r="Q183" t="n">
        <v>0</v>
      </c>
    </row>
    <row r="184">
      <c r="A184" t="n">
        <v>2024</v>
      </c>
      <c r="B184" t="n">
        <v>4</v>
      </c>
      <c r="C184" t="inlineStr">
        <is>
          <t>Composto lácteo Merilú 400 g</t>
        </is>
      </c>
      <c r="D184" t="inlineStr">
        <is>
          <t>Hamburgueria</t>
        </is>
      </c>
      <c r="E184" t="n">
        <v>178.25</v>
      </c>
      <c r="F184" t="n">
        <v>10.5</v>
      </c>
      <c r="G184" t="n">
        <v>25</v>
      </c>
      <c r="J184" t="inlineStr">
        <is>
          <t>A</t>
        </is>
      </c>
      <c r="K184" t="n">
        <v>2024</v>
      </c>
      <c r="L184" t="n">
        <v>8</v>
      </c>
      <c r="M184" t="inlineStr">
        <is>
          <t>Todos</t>
        </is>
      </c>
      <c r="N184" t="inlineStr">
        <is>
          <t>Pastelaria</t>
        </is>
      </c>
      <c r="O184" t="n">
        <v>16</v>
      </c>
      <c r="P184" t="n">
        <v>134</v>
      </c>
      <c r="Q184" t="n">
        <v>16</v>
      </c>
    </row>
    <row r="185">
      <c r="A185" t="n">
        <v>2024</v>
      </c>
      <c r="B185" t="n">
        <v>4</v>
      </c>
      <c r="C185" t="inlineStr">
        <is>
          <t>Composto lácteo Merilú 400 g</t>
        </is>
      </c>
      <c r="D185" t="inlineStr">
        <is>
          <t>Hotel / Motel / Pousada</t>
        </is>
      </c>
      <c r="E185" t="n">
        <v>354</v>
      </c>
      <c r="F185" t="n">
        <v>21</v>
      </c>
      <c r="G185" t="n">
        <v>50</v>
      </c>
      <c r="J185" t="inlineStr">
        <is>
          <t>M</t>
        </is>
      </c>
      <c r="K185" t="n">
        <v>2024</v>
      </c>
      <c r="L185" t="n">
        <v>8</v>
      </c>
      <c r="M185" t="inlineStr">
        <is>
          <t>Todos</t>
        </is>
      </c>
      <c r="N185" t="inlineStr">
        <is>
          <t>Pastelaria</t>
        </is>
      </c>
      <c r="O185" t="n">
        <v>10</v>
      </c>
      <c r="P185" t="n">
        <v>14</v>
      </c>
      <c r="Q185" t="n">
        <v>0</v>
      </c>
    </row>
    <row r="186">
      <c r="A186" t="n">
        <v>2024</v>
      </c>
      <c r="B186" t="n">
        <v>4</v>
      </c>
      <c r="C186" t="inlineStr">
        <is>
          <t>Composto lácteo Merilú 400 g</t>
        </is>
      </c>
      <c r="D186" t="inlineStr">
        <is>
          <t>Mercearia / Sacolão</t>
        </is>
      </c>
      <c r="E186" t="n">
        <v>70.8</v>
      </c>
      <c r="F186" t="n">
        <v>4.2</v>
      </c>
      <c r="G186" t="n">
        <v>10</v>
      </c>
      <c r="J186" t="inlineStr">
        <is>
          <t>A</t>
        </is>
      </c>
      <c r="K186" t="n">
        <v>2024</v>
      </c>
      <c r="L186" t="n">
        <v>9</v>
      </c>
      <c r="M186" t="inlineStr">
        <is>
          <t>Todos</t>
        </is>
      </c>
      <c r="N186" t="inlineStr">
        <is>
          <t>Pastelaria</t>
        </is>
      </c>
      <c r="O186" t="n">
        <v>18</v>
      </c>
      <c r="P186" t="n">
        <v>157</v>
      </c>
      <c r="Q186" t="n">
        <v>18</v>
      </c>
    </row>
    <row r="187">
      <c r="A187" t="n">
        <v>2024</v>
      </c>
      <c r="B187" t="n">
        <v>4</v>
      </c>
      <c r="C187" t="inlineStr">
        <is>
          <t>Composto lácteo Merilú 400 g</t>
        </is>
      </c>
      <c r="D187" t="inlineStr">
        <is>
          <t>Outros</t>
        </is>
      </c>
      <c r="E187" t="n">
        <v>226.56</v>
      </c>
      <c r="F187" t="n">
        <v>13.44</v>
      </c>
      <c r="G187" t="n">
        <v>32</v>
      </c>
      <c r="J187" t="inlineStr">
        <is>
          <t>M</t>
        </is>
      </c>
      <c r="K187" t="n">
        <v>2024</v>
      </c>
      <c r="L187" t="n">
        <v>9</v>
      </c>
      <c r="M187" t="inlineStr">
        <is>
          <t>Todos</t>
        </is>
      </c>
      <c r="N187" t="inlineStr">
        <is>
          <t>Pastelaria</t>
        </is>
      </c>
      <c r="O187" t="n">
        <v>11</v>
      </c>
      <c r="P187" t="n">
        <v>23</v>
      </c>
      <c r="Q187" t="n">
        <v>0</v>
      </c>
    </row>
    <row r="188">
      <c r="A188" t="n">
        <v>2024</v>
      </c>
      <c r="B188" t="n">
        <v>4</v>
      </c>
      <c r="C188" t="inlineStr">
        <is>
          <t>Composto lácteo Merilú 400 g</t>
        </is>
      </c>
      <c r="D188" t="inlineStr">
        <is>
          <t>Padaria</t>
        </is>
      </c>
      <c r="E188" t="n">
        <v>208.7</v>
      </c>
      <c r="F188" t="n">
        <v>12.6</v>
      </c>
      <c r="G188" t="n">
        <v>30</v>
      </c>
      <c r="J188" t="inlineStr">
        <is>
          <t>A</t>
        </is>
      </c>
      <c r="K188" t="n">
        <v>2024</v>
      </c>
      <c r="L188" t="n">
        <v>10</v>
      </c>
      <c r="M188" t="inlineStr">
        <is>
          <t>Todos</t>
        </is>
      </c>
      <c r="N188" t="inlineStr">
        <is>
          <t>Pastelaria</t>
        </is>
      </c>
      <c r="O188" t="n">
        <v>19</v>
      </c>
      <c r="P188" t="n">
        <v>184</v>
      </c>
      <c r="Q188" t="n">
        <v>19</v>
      </c>
    </row>
    <row r="189">
      <c r="A189" t="n">
        <v>2024</v>
      </c>
      <c r="B189" t="n">
        <v>4</v>
      </c>
      <c r="C189" t="inlineStr">
        <is>
          <t>Composto lácteo Merilú 400 g</t>
        </is>
      </c>
      <c r="D189" t="inlineStr">
        <is>
          <t>Pessoa Física</t>
        </is>
      </c>
      <c r="E189" t="n">
        <v>14.08</v>
      </c>
      <c r="F189" t="n">
        <v>0.84</v>
      </c>
      <c r="G189" t="n">
        <v>2</v>
      </c>
      <c r="J189" t="inlineStr">
        <is>
          <t>M</t>
        </is>
      </c>
      <c r="K189" t="n">
        <v>2024</v>
      </c>
      <c r="L189" t="n">
        <v>10</v>
      </c>
      <c r="M189" t="inlineStr">
        <is>
          <t>Todos</t>
        </is>
      </c>
      <c r="N189" t="inlineStr">
        <is>
          <t>Pastelaria</t>
        </is>
      </c>
      <c r="O189" t="n">
        <v>13</v>
      </c>
      <c r="P189" t="n">
        <v>27</v>
      </c>
      <c r="Q189" t="n">
        <v>0</v>
      </c>
    </row>
    <row r="190">
      <c r="A190" t="n">
        <v>2024</v>
      </c>
      <c r="B190" t="n">
        <v>4</v>
      </c>
      <c r="C190" t="inlineStr">
        <is>
          <t>Composto lácteo Merilú 400 g</t>
        </is>
      </c>
      <c r="D190" t="inlineStr">
        <is>
          <t>Restaurante / Cantina</t>
        </is>
      </c>
      <c r="E190" t="n">
        <v>154.89</v>
      </c>
      <c r="F190" t="n">
        <v>8.82</v>
      </c>
      <c r="G190" t="n">
        <v>21</v>
      </c>
      <c r="J190" t="inlineStr">
        <is>
          <t>A</t>
        </is>
      </c>
      <c r="K190" t="n">
        <v>2024</v>
      </c>
      <c r="L190" t="n">
        <v>11</v>
      </c>
      <c r="M190" t="inlineStr">
        <is>
          <t>Todos</t>
        </is>
      </c>
      <c r="N190" t="inlineStr">
        <is>
          <t>Pastelaria</t>
        </is>
      </c>
      <c r="O190" t="n">
        <v>21</v>
      </c>
      <c r="P190" t="n">
        <v>208</v>
      </c>
      <c r="Q190" t="n">
        <v>21</v>
      </c>
    </row>
    <row r="191">
      <c r="A191" t="n">
        <v>2024</v>
      </c>
      <c r="B191" t="n">
        <v>4</v>
      </c>
      <c r="C191" t="inlineStr">
        <is>
          <t>Composto lácteo Merilú 400 g</t>
        </is>
      </c>
      <c r="D191" t="inlineStr">
        <is>
          <t>Supermercado</t>
        </is>
      </c>
      <c r="E191" t="n">
        <v>14.16</v>
      </c>
      <c r="F191" t="n">
        <v>0.84</v>
      </c>
      <c r="G191" t="n">
        <v>2</v>
      </c>
      <c r="J191" t="inlineStr">
        <is>
          <t>M</t>
        </is>
      </c>
      <c r="K191" t="n">
        <v>2024</v>
      </c>
      <c r="L191" t="n">
        <v>11</v>
      </c>
      <c r="M191" t="inlineStr">
        <is>
          <t>Todos</t>
        </is>
      </c>
      <c r="N191" t="inlineStr">
        <is>
          <t>Pastelaria</t>
        </is>
      </c>
      <c r="O191" t="n">
        <v>12</v>
      </c>
      <c r="P191" t="n">
        <v>24</v>
      </c>
      <c r="Q191" t="n">
        <v>0</v>
      </c>
    </row>
    <row r="192">
      <c r="A192" t="n">
        <v>2024</v>
      </c>
      <c r="B192" t="n">
        <v>4</v>
      </c>
      <c r="C192" t="inlineStr">
        <is>
          <t>Muçarela Mozzalet 2 kg</t>
        </is>
      </c>
      <c r="D192" t="inlineStr">
        <is>
          <t>Cozinha Industrial</t>
        </is>
      </c>
      <c r="E192" t="n">
        <v>562.92</v>
      </c>
      <c r="F192" t="n">
        <v>30</v>
      </c>
      <c r="G192" t="n">
        <v>15</v>
      </c>
      <c r="J192" t="inlineStr">
        <is>
          <t>A</t>
        </is>
      </c>
      <c r="K192" t="n">
        <v>2024</v>
      </c>
      <c r="L192" t="n">
        <v>12</v>
      </c>
      <c r="M192" t="inlineStr">
        <is>
          <t>Todos</t>
        </is>
      </c>
      <c r="N192" t="inlineStr">
        <is>
          <t>Pastelaria</t>
        </is>
      </c>
      <c r="O192" t="n">
        <v>21</v>
      </c>
      <c r="P192" t="n">
        <v>231</v>
      </c>
      <c r="Q192" t="n">
        <v>21</v>
      </c>
    </row>
    <row r="193">
      <c r="A193" t="n">
        <v>2024</v>
      </c>
      <c r="B193" t="n">
        <v>4</v>
      </c>
      <c r="C193" t="inlineStr">
        <is>
          <t>Muçarela Mozzalet 2 kg</t>
        </is>
      </c>
      <c r="D193" t="inlineStr">
        <is>
          <t>Laticínios / Distribuidor</t>
        </is>
      </c>
      <c r="E193" t="n">
        <v>339.75</v>
      </c>
      <c r="F193" t="n">
        <v>18</v>
      </c>
      <c r="G193" t="n">
        <v>9</v>
      </c>
      <c r="J193" t="inlineStr">
        <is>
          <t>M</t>
        </is>
      </c>
      <c r="K193" t="n">
        <v>2024</v>
      </c>
      <c r="L193" t="n">
        <v>12</v>
      </c>
      <c r="M193" t="inlineStr">
        <is>
          <t>Todos</t>
        </is>
      </c>
      <c r="N193" t="inlineStr">
        <is>
          <t>Pastelaria</t>
        </is>
      </c>
      <c r="O193" t="n">
        <v>9</v>
      </c>
      <c r="P193" t="n">
        <v>23</v>
      </c>
      <c r="Q193" t="n">
        <v>0</v>
      </c>
    </row>
    <row r="194">
      <c r="A194" t="n">
        <v>2024</v>
      </c>
      <c r="B194" t="n">
        <v>4</v>
      </c>
      <c r="C194" t="inlineStr">
        <is>
          <t>Muçarela Mozzalet 2 kg</t>
        </is>
      </c>
      <c r="D194" t="inlineStr">
        <is>
          <t>Outros</t>
        </is>
      </c>
      <c r="E194" t="n">
        <v>75.84</v>
      </c>
      <c r="F194" t="n">
        <v>4</v>
      </c>
      <c r="G194" t="n">
        <v>2</v>
      </c>
      <c r="J194" t="inlineStr">
        <is>
          <t>A</t>
        </is>
      </c>
      <c r="K194" t="n">
        <v>2024</v>
      </c>
      <c r="L194" t="n">
        <v>1</v>
      </c>
      <c r="M194" t="inlineStr">
        <is>
          <t>Todos</t>
        </is>
      </c>
      <c r="N194" t="inlineStr">
        <is>
          <t>Esfiharia</t>
        </is>
      </c>
      <c r="O194" t="n">
        <v>6</v>
      </c>
      <c r="P194" t="n">
        <v>15</v>
      </c>
      <c r="Q194" t="n">
        <v>6</v>
      </c>
    </row>
    <row r="195">
      <c r="A195" t="n">
        <v>2024</v>
      </c>
      <c r="B195" t="n">
        <v>4</v>
      </c>
      <c r="C195" t="inlineStr">
        <is>
          <t>Muçarela Mozzalet 2 kg</t>
        </is>
      </c>
      <c r="D195" t="inlineStr">
        <is>
          <t>Pessoa Física</t>
        </is>
      </c>
      <c r="E195" t="n">
        <v>419.53</v>
      </c>
      <c r="F195" t="n">
        <v>22</v>
      </c>
      <c r="G195" t="n">
        <v>11</v>
      </c>
      <c r="J195" t="inlineStr">
        <is>
          <t>M</t>
        </is>
      </c>
      <c r="K195" t="n">
        <v>2024</v>
      </c>
      <c r="L195" t="n">
        <v>1</v>
      </c>
      <c r="M195" t="inlineStr">
        <is>
          <t>Todos</t>
        </is>
      </c>
      <c r="N195" t="inlineStr">
        <is>
          <t>Esfiharia</t>
        </is>
      </c>
      <c r="O195" t="n">
        <v>6</v>
      </c>
      <c r="P195" t="n">
        <v>15</v>
      </c>
      <c r="Q195" t="n">
        <v>0</v>
      </c>
    </row>
    <row r="196">
      <c r="A196" t="n">
        <v>2024</v>
      </c>
      <c r="B196" t="n">
        <v>4</v>
      </c>
      <c r="C196" t="inlineStr">
        <is>
          <t>Muçarela Mozzalet 2 kg</t>
        </is>
      </c>
      <c r="D196" t="inlineStr">
        <is>
          <t>Pizzaria</t>
        </is>
      </c>
      <c r="E196" t="n">
        <v>3322.76</v>
      </c>
      <c r="F196" t="n">
        <v>174</v>
      </c>
      <c r="G196" t="n">
        <v>87</v>
      </c>
      <c r="J196" t="inlineStr">
        <is>
          <t>A</t>
        </is>
      </c>
      <c r="K196" t="n">
        <v>2024</v>
      </c>
      <c r="L196" t="n">
        <v>2</v>
      </c>
      <c r="M196" t="inlineStr">
        <is>
          <t>Todos</t>
        </is>
      </c>
      <c r="N196" t="inlineStr">
        <is>
          <t>Esfiharia</t>
        </is>
      </c>
      <c r="O196" t="n">
        <v>6</v>
      </c>
      <c r="P196" t="n">
        <v>22</v>
      </c>
      <c r="Q196" t="n">
        <v>6</v>
      </c>
    </row>
    <row r="197">
      <c r="A197" t="n">
        <v>2024</v>
      </c>
      <c r="B197" t="n">
        <v>4</v>
      </c>
      <c r="C197" t="inlineStr">
        <is>
          <t>Muçarela Mozzana 2 kg</t>
        </is>
      </c>
      <c r="D197" t="inlineStr">
        <is>
          <t>Buffet</t>
        </is>
      </c>
      <c r="E197" t="n">
        <v>2184</v>
      </c>
      <c r="F197" t="n">
        <v>115.14</v>
      </c>
      <c r="G197" t="n">
        <v>57</v>
      </c>
      <c r="J197" t="inlineStr">
        <is>
          <t>M</t>
        </is>
      </c>
      <c r="K197" t="n">
        <v>2024</v>
      </c>
      <c r="L197" t="n">
        <v>2</v>
      </c>
      <c r="M197" t="inlineStr">
        <is>
          <t>Todos</t>
        </is>
      </c>
      <c r="N197" t="inlineStr">
        <is>
          <t>Esfiharia</t>
        </is>
      </c>
      <c r="O197" t="n">
        <v>3</v>
      </c>
      <c r="P197" t="n">
        <v>7</v>
      </c>
      <c r="Q197" t="n">
        <v>0</v>
      </c>
    </row>
    <row r="198">
      <c r="A198" t="n">
        <v>2024</v>
      </c>
      <c r="B198" t="n">
        <v>4</v>
      </c>
      <c r="C198" t="inlineStr">
        <is>
          <t>Muçarela Mozzana 2 kg</t>
        </is>
      </c>
      <c r="D198" t="inlineStr">
        <is>
          <t>Confeitaria</t>
        </is>
      </c>
      <c r="E198" t="n">
        <v>118.05</v>
      </c>
      <c r="F198" t="n">
        <v>6.06</v>
      </c>
      <c r="G198" t="n">
        <v>3</v>
      </c>
      <c r="J198" t="inlineStr">
        <is>
          <t>A</t>
        </is>
      </c>
      <c r="K198" t="n">
        <v>2024</v>
      </c>
      <c r="L198" t="n">
        <v>3</v>
      </c>
      <c r="M198" t="inlineStr">
        <is>
          <t>Todos</t>
        </is>
      </c>
      <c r="N198" t="inlineStr">
        <is>
          <t>Esfiharia</t>
        </is>
      </c>
      <c r="O198" t="n">
        <v>7</v>
      </c>
      <c r="P198" t="n">
        <v>27</v>
      </c>
      <c r="Q198" t="n">
        <v>7</v>
      </c>
    </row>
    <row r="199">
      <c r="A199" t="n">
        <v>2024</v>
      </c>
      <c r="B199" t="n">
        <v>4</v>
      </c>
      <c r="C199" t="inlineStr">
        <is>
          <t>Muçarela Mozzana 2 kg</t>
        </is>
      </c>
      <c r="D199" t="inlineStr">
        <is>
          <t>Cozinha Industrial</t>
        </is>
      </c>
      <c r="E199" t="n">
        <v>24590.5</v>
      </c>
      <c r="F199" t="n">
        <v>1323.1</v>
      </c>
      <c r="G199" t="n">
        <v>655</v>
      </c>
      <c r="J199" t="inlineStr">
        <is>
          <t>M</t>
        </is>
      </c>
      <c r="K199" t="n">
        <v>2024</v>
      </c>
      <c r="L199" t="n">
        <v>3</v>
      </c>
      <c r="M199" t="inlineStr">
        <is>
          <t>Todos</t>
        </is>
      </c>
      <c r="N199" t="inlineStr">
        <is>
          <t>Esfiharia</t>
        </is>
      </c>
      <c r="O199" t="n">
        <v>3</v>
      </c>
      <c r="P199" t="n">
        <v>5</v>
      </c>
      <c r="Q199" t="n">
        <v>0</v>
      </c>
    </row>
    <row r="200">
      <c r="A200" t="n">
        <v>2024</v>
      </c>
      <c r="B200" t="n">
        <v>4</v>
      </c>
      <c r="C200" t="inlineStr">
        <is>
          <t>Muçarela Mozzana 2 kg</t>
        </is>
      </c>
      <c r="D200" t="inlineStr">
        <is>
          <t>Cozinha Oriental</t>
        </is>
      </c>
      <c r="E200" t="n">
        <v>151.6</v>
      </c>
      <c r="F200" t="n">
        <v>8.08</v>
      </c>
      <c r="G200" t="n">
        <v>4</v>
      </c>
      <c r="J200" t="inlineStr">
        <is>
          <t>A</t>
        </is>
      </c>
      <c r="K200" t="n">
        <v>2024</v>
      </c>
      <c r="L200" t="n">
        <v>4</v>
      </c>
      <c r="M200" t="inlineStr">
        <is>
          <t>Todos</t>
        </is>
      </c>
      <c r="N200" t="inlineStr">
        <is>
          <t>Esfiharia</t>
        </is>
      </c>
      <c r="O200" t="n">
        <v>8</v>
      </c>
      <c r="P200" t="n">
        <v>37</v>
      </c>
      <c r="Q200" t="n">
        <v>8</v>
      </c>
    </row>
    <row r="201">
      <c r="A201" t="n">
        <v>2024</v>
      </c>
      <c r="B201" t="n">
        <v>4</v>
      </c>
      <c r="C201" t="inlineStr">
        <is>
          <t>Muçarela Mozzana 2 kg</t>
        </is>
      </c>
      <c r="D201" t="inlineStr">
        <is>
          <t>Esfiharia</t>
        </is>
      </c>
      <c r="E201" t="n">
        <v>3685.03</v>
      </c>
      <c r="F201" t="n">
        <v>193.92</v>
      </c>
      <c r="G201" t="n">
        <v>96</v>
      </c>
      <c r="J201" t="inlineStr">
        <is>
          <t>M</t>
        </is>
      </c>
      <c r="K201" t="n">
        <v>2024</v>
      </c>
      <c r="L201" t="n">
        <v>4</v>
      </c>
      <c r="M201" t="inlineStr">
        <is>
          <t>Todos</t>
        </is>
      </c>
      <c r="N201" t="inlineStr">
        <is>
          <t>Esfiharia</t>
        </is>
      </c>
      <c r="O201" t="n">
        <v>4</v>
      </c>
      <c r="P201" t="n">
        <v>10</v>
      </c>
      <c r="Q201" t="n">
        <v>0</v>
      </c>
    </row>
    <row r="202">
      <c r="A202" t="n">
        <v>2024</v>
      </c>
      <c r="B202" t="n">
        <v>4</v>
      </c>
      <c r="C202" t="inlineStr">
        <is>
          <t>Muçarela Mozzana 2 kg</t>
        </is>
      </c>
      <c r="D202" t="inlineStr">
        <is>
          <t>Fábrica de Massas</t>
        </is>
      </c>
      <c r="E202" t="n">
        <v>25841.22</v>
      </c>
      <c r="F202" t="n">
        <v>1371.58</v>
      </c>
      <c r="G202" t="n">
        <v>679</v>
      </c>
      <c r="J202" t="inlineStr">
        <is>
          <t>A</t>
        </is>
      </c>
      <c r="K202" t="n">
        <v>2024</v>
      </c>
      <c r="L202" t="n">
        <v>5</v>
      </c>
      <c r="M202" t="inlineStr">
        <is>
          <t>Todos</t>
        </is>
      </c>
      <c r="N202" t="inlineStr">
        <is>
          <t>Esfiharia</t>
        </is>
      </c>
      <c r="O202" t="n">
        <v>9</v>
      </c>
      <c r="P202" t="n">
        <v>47</v>
      </c>
      <c r="Q202" t="n">
        <v>9</v>
      </c>
    </row>
    <row r="203">
      <c r="A203" t="n">
        <v>2024</v>
      </c>
      <c r="B203" t="n">
        <v>4</v>
      </c>
      <c r="C203" t="inlineStr">
        <is>
          <t>Muçarela Mozzana 2 kg</t>
        </is>
      </c>
      <c r="D203" t="inlineStr">
        <is>
          <t>Hamburgueria</t>
        </is>
      </c>
      <c r="E203" t="n">
        <v>578.35</v>
      </c>
      <c r="F203" t="n">
        <v>30.3</v>
      </c>
      <c r="G203" t="n">
        <v>15</v>
      </c>
      <c r="J203" t="inlineStr">
        <is>
          <t>M</t>
        </is>
      </c>
      <c r="K203" t="n">
        <v>2024</v>
      </c>
      <c r="L203" t="n">
        <v>5</v>
      </c>
      <c r="M203" t="inlineStr">
        <is>
          <t>Todos</t>
        </is>
      </c>
      <c r="N203" t="inlineStr">
        <is>
          <t>Esfiharia</t>
        </is>
      </c>
      <c r="O203" t="n">
        <v>6</v>
      </c>
      <c r="P203" t="n">
        <v>10</v>
      </c>
      <c r="Q203" t="n">
        <v>0</v>
      </c>
    </row>
    <row r="204">
      <c r="A204" t="n">
        <v>2024</v>
      </c>
      <c r="B204" t="n">
        <v>4</v>
      </c>
      <c r="C204" t="inlineStr">
        <is>
          <t>Muçarela Mozzana 2 kg</t>
        </is>
      </c>
      <c r="D204" t="inlineStr">
        <is>
          <t>Lanchonete / Cafeteria</t>
        </is>
      </c>
      <c r="E204" t="n">
        <v>150.4</v>
      </c>
      <c r="F204" t="n">
        <v>8.08</v>
      </c>
      <c r="G204" t="n">
        <v>4</v>
      </c>
      <c r="J204" t="inlineStr">
        <is>
          <t>A</t>
        </is>
      </c>
      <c r="K204" t="n">
        <v>2024</v>
      </c>
      <c r="L204" t="n">
        <v>6</v>
      </c>
      <c r="M204" t="inlineStr">
        <is>
          <t>Todos</t>
        </is>
      </c>
      <c r="N204" t="inlineStr">
        <is>
          <t>Esfiharia</t>
        </is>
      </c>
      <c r="O204" t="n">
        <v>10</v>
      </c>
      <c r="P204" t="n">
        <v>60</v>
      </c>
      <c r="Q204" t="n">
        <v>10</v>
      </c>
    </row>
    <row r="205">
      <c r="A205" t="n">
        <v>2024</v>
      </c>
      <c r="B205" t="n">
        <v>4</v>
      </c>
      <c r="C205" t="inlineStr">
        <is>
          <t>Muçarela Mozzana 2 kg</t>
        </is>
      </c>
      <c r="D205" t="inlineStr">
        <is>
          <t>Laticínios / Distribuidor</t>
        </is>
      </c>
      <c r="E205" t="n">
        <v>1935.65</v>
      </c>
      <c r="F205" t="n">
        <v>103.02</v>
      </c>
      <c r="G205" t="n">
        <v>51</v>
      </c>
      <c r="J205" t="inlineStr">
        <is>
          <t>M</t>
        </is>
      </c>
      <c r="K205" t="n">
        <v>2024</v>
      </c>
      <c r="L205" t="n">
        <v>6</v>
      </c>
      <c r="M205" t="inlineStr">
        <is>
          <t>Todos</t>
        </is>
      </c>
      <c r="N205" t="inlineStr">
        <is>
          <t>Esfiharia</t>
        </is>
      </c>
      <c r="O205" t="n">
        <v>5</v>
      </c>
      <c r="P205" t="n">
        <v>13</v>
      </c>
      <c r="Q205" t="n">
        <v>0</v>
      </c>
    </row>
    <row r="206">
      <c r="A206" t="n">
        <v>2024</v>
      </c>
      <c r="B206" t="n">
        <v>4</v>
      </c>
      <c r="C206" t="inlineStr">
        <is>
          <t>Muçarela Mozzana 2 kg</t>
        </is>
      </c>
      <c r="D206" t="inlineStr">
        <is>
          <t>Loja de Conveniência</t>
        </is>
      </c>
      <c r="E206" t="n">
        <v>773.8</v>
      </c>
      <c r="F206" t="n">
        <v>40.4</v>
      </c>
      <c r="G206" t="n">
        <v>20</v>
      </c>
      <c r="J206" t="inlineStr">
        <is>
          <t>A</t>
        </is>
      </c>
      <c r="K206" t="n">
        <v>2024</v>
      </c>
      <c r="L206" t="n">
        <v>7</v>
      </c>
      <c r="M206" t="inlineStr">
        <is>
          <t>Todos</t>
        </is>
      </c>
      <c r="N206" t="inlineStr">
        <is>
          <t>Esfiharia</t>
        </is>
      </c>
      <c r="O206" t="n">
        <v>10</v>
      </c>
      <c r="P206" t="n">
        <v>75</v>
      </c>
      <c r="Q206" t="n">
        <v>10</v>
      </c>
    </row>
    <row r="207">
      <c r="A207" t="n">
        <v>2024</v>
      </c>
      <c r="B207" t="n">
        <v>4</v>
      </c>
      <c r="C207" t="inlineStr">
        <is>
          <t>Muçarela Mozzana 2 kg</t>
        </is>
      </c>
      <c r="D207" t="inlineStr">
        <is>
          <t>Mercearia / Sacolão</t>
        </is>
      </c>
      <c r="E207" t="n">
        <v>1020.6</v>
      </c>
      <c r="F207" t="n">
        <v>54.54</v>
      </c>
      <c r="G207" t="n">
        <v>27</v>
      </c>
      <c r="J207" t="inlineStr">
        <is>
          <t>M</t>
        </is>
      </c>
      <c r="K207" t="n">
        <v>2024</v>
      </c>
      <c r="L207" t="n">
        <v>7</v>
      </c>
      <c r="M207" t="inlineStr">
        <is>
          <t>Todos</t>
        </is>
      </c>
      <c r="N207" t="inlineStr">
        <is>
          <t>Esfiharia</t>
        </is>
      </c>
      <c r="O207" t="n">
        <v>5</v>
      </c>
      <c r="P207" t="n">
        <v>15</v>
      </c>
      <c r="Q207" t="n">
        <v>0</v>
      </c>
    </row>
    <row r="208">
      <c r="A208" t="n">
        <v>2024</v>
      </c>
      <c r="B208" t="n">
        <v>4</v>
      </c>
      <c r="C208" t="inlineStr">
        <is>
          <t>Muçarela Mozzana 2 kg</t>
        </is>
      </c>
      <c r="D208" t="inlineStr">
        <is>
          <t>Não Selecionado</t>
        </is>
      </c>
      <c r="E208" t="n">
        <v>349.02</v>
      </c>
      <c r="F208" t="n">
        <v>18.18</v>
      </c>
      <c r="G208" t="n">
        <v>9</v>
      </c>
      <c r="J208" t="inlineStr">
        <is>
          <t>A</t>
        </is>
      </c>
      <c r="K208" t="n">
        <v>2024</v>
      </c>
      <c r="L208" t="n">
        <v>8</v>
      </c>
      <c r="M208" t="inlineStr">
        <is>
          <t>Todos</t>
        </is>
      </c>
      <c r="N208" t="inlineStr">
        <is>
          <t>Esfiharia</t>
        </is>
      </c>
      <c r="O208" t="n">
        <v>10</v>
      </c>
      <c r="P208" t="n">
        <v>85</v>
      </c>
      <c r="Q208" t="n">
        <v>10</v>
      </c>
    </row>
    <row r="209">
      <c r="A209" t="n">
        <v>2024</v>
      </c>
      <c r="B209" t="n">
        <v>4</v>
      </c>
      <c r="C209" t="inlineStr">
        <is>
          <t>Muçarela Mozzana 2 kg</t>
        </is>
      </c>
      <c r="D209" t="inlineStr">
        <is>
          <t>Outros</t>
        </is>
      </c>
      <c r="E209" t="n">
        <v>19272.28</v>
      </c>
      <c r="F209" t="n">
        <v>1014.04</v>
      </c>
      <c r="G209" t="n">
        <v>502</v>
      </c>
      <c r="J209" t="inlineStr">
        <is>
          <t>M</t>
        </is>
      </c>
      <c r="K209" t="n">
        <v>2024</v>
      </c>
      <c r="L209" t="n">
        <v>8</v>
      </c>
      <c r="M209" t="inlineStr">
        <is>
          <t>Todos</t>
        </is>
      </c>
      <c r="N209" t="inlineStr">
        <is>
          <t>Esfiharia</t>
        </is>
      </c>
      <c r="O209" t="n">
        <v>4</v>
      </c>
      <c r="P209" t="n">
        <v>10</v>
      </c>
      <c r="Q209" t="n">
        <v>0</v>
      </c>
    </row>
    <row r="210">
      <c r="A210" t="n">
        <v>2024</v>
      </c>
      <c r="B210" t="n">
        <v>4</v>
      </c>
      <c r="C210" t="inlineStr">
        <is>
          <t>Muçarela Mozzana 2 kg</t>
        </is>
      </c>
      <c r="D210" t="inlineStr">
        <is>
          <t>Padaria</t>
        </is>
      </c>
      <c r="E210" t="n">
        <v>7871.4</v>
      </c>
      <c r="F210" t="n">
        <v>412.08</v>
      </c>
      <c r="G210" t="n">
        <v>204</v>
      </c>
      <c r="J210" t="inlineStr">
        <is>
          <t>A</t>
        </is>
      </c>
      <c r="K210" t="n">
        <v>2024</v>
      </c>
      <c r="L210" t="n">
        <v>9</v>
      </c>
      <c r="M210" t="inlineStr">
        <is>
          <t>Todos</t>
        </is>
      </c>
      <c r="N210" t="inlineStr">
        <is>
          <t>Esfiharia</t>
        </is>
      </c>
      <c r="O210" t="n">
        <v>11</v>
      </c>
      <c r="P210" t="n">
        <v>95</v>
      </c>
      <c r="Q210" t="n">
        <v>11</v>
      </c>
    </row>
    <row r="211">
      <c r="A211" t="n">
        <v>2024</v>
      </c>
      <c r="B211" t="n">
        <v>4</v>
      </c>
      <c r="C211" t="inlineStr">
        <is>
          <t>Muçarela Mozzana 2 kg</t>
        </is>
      </c>
      <c r="D211" t="inlineStr">
        <is>
          <t>Pastelaria</t>
        </is>
      </c>
      <c r="E211" t="n">
        <v>3634.3</v>
      </c>
      <c r="F211" t="n">
        <v>187.86</v>
      </c>
      <c r="G211" t="n">
        <v>93</v>
      </c>
      <c r="J211" t="inlineStr">
        <is>
          <t>M</t>
        </is>
      </c>
      <c r="K211" t="n">
        <v>2024</v>
      </c>
      <c r="L211" t="n">
        <v>9</v>
      </c>
      <c r="M211" t="inlineStr">
        <is>
          <t>Todos</t>
        </is>
      </c>
      <c r="N211" t="inlineStr">
        <is>
          <t>Esfiharia</t>
        </is>
      </c>
      <c r="O211" t="n">
        <v>3</v>
      </c>
      <c r="P211" t="n">
        <v>10</v>
      </c>
      <c r="Q211" t="n">
        <v>0</v>
      </c>
    </row>
    <row r="212">
      <c r="A212" t="n">
        <v>2024</v>
      </c>
      <c r="B212" t="n">
        <v>4</v>
      </c>
      <c r="C212" t="inlineStr">
        <is>
          <t>Muçarela Mozzana 2 kg</t>
        </is>
      </c>
      <c r="D212" t="inlineStr">
        <is>
          <t>Pessoa Física</t>
        </is>
      </c>
      <c r="E212" t="n">
        <v>9091.290000000001</v>
      </c>
      <c r="F212" t="n">
        <v>480.76</v>
      </c>
      <c r="G212" t="n">
        <v>238</v>
      </c>
      <c r="J212" t="inlineStr">
        <is>
          <t>A</t>
        </is>
      </c>
      <c r="K212" t="n">
        <v>2024</v>
      </c>
      <c r="L212" t="n">
        <v>10</v>
      </c>
      <c r="M212" t="inlineStr">
        <is>
          <t>Todos</t>
        </is>
      </c>
      <c r="N212" t="inlineStr">
        <is>
          <t>Esfiharia</t>
        </is>
      </c>
      <c r="O212" t="n">
        <v>11</v>
      </c>
      <c r="P212" t="n">
        <v>102</v>
      </c>
      <c r="Q212" t="n">
        <v>11</v>
      </c>
    </row>
    <row r="213">
      <c r="A213" t="n">
        <v>2024</v>
      </c>
      <c r="B213" t="n">
        <v>4</v>
      </c>
      <c r="C213" t="inlineStr">
        <is>
          <t>Muçarela Mozzana 2 kg</t>
        </is>
      </c>
      <c r="D213" t="inlineStr">
        <is>
          <t>Pizzaria</t>
        </is>
      </c>
      <c r="E213" t="n">
        <v>114483.28</v>
      </c>
      <c r="F213" t="n">
        <v>6049.9</v>
      </c>
      <c r="G213" t="n">
        <v>2995</v>
      </c>
      <c r="J213" t="inlineStr">
        <is>
          <t>M</t>
        </is>
      </c>
      <c r="K213" t="n">
        <v>2024</v>
      </c>
      <c r="L213" t="n">
        <v>10</v>
      </c>
      <c r="M213" t="inlineStr">
        <is>
          <t>Todos</t>
        </is>
      </c>
      <c r="N213" t="inlineStr">
        <is>
          <t>Esfiharia</t>
        </is>
      </c>
      <c r="O213" t="n">
        <v>2</v>
      </c>
      <c r="P213" t="n">
        <v>7</v>
      </c>
      <c r="Q213" t="n">
        <v>0</v>
      </c>
    </row>
    <row r="214">
      <c r="A214" t="n">
        <v>2024</v>
      </c>
      <c r="B214" t="n">
        <v>4</v>
      </c>
      <c r="C214" t="inlineStr">
        <is>
          <t>Muçarela Mozzana 2 kg</t>
        </is>
      </c>
      <c r="D214" t="inlineStr">
        <is>
          <t>Restaurante / Cantina</t>
        </is>
      </c>
      <c r="E214" t="n">
        <v>13346.88</v>
      </c>
      <c r="F214" t="n">
        <v>709.02</v>
      </c>
      <c r="G214" t="n">
        <v>351</v>
      </c>
      <c r="J214" t="inlineStr">
        <is>
          <t>A</t>
        </is>
      </c>
      <c r="K214" t="n">
        <v>2024</v>
      </c>
      <c r="L214" t="n">
        <v>11</v>
      </c>
      <c r="M214" t="inlineStr">
        <is>
          <t>Todos</t>
        </is>
      </c>
      <c r="N214" t="inlineStr">
        <is>
          <t>Esfiharia</t>
        </is>
      </c>
      <c r="O214" t="n">
        <v>11</v>
      </c>
      <c r="P214" t="n">
        <v>109</v>
      </c>
      <c r="Q214" t="n">
        <v>11</v>
      </c>
    </row>
    <row r="215">
      <c r="A215" t="n">
        <v>2024</v>
      </c>
      <c r="B215" t="n">
        <v>4</v>
      </c>
      <c r="C215" t="inlineStr">
        <is>
          <t>Muçarela Mozzana 2 kg</t>
        </is>
      </c>
      <c r="D215" t="inlineStr">
        <is>
          <t>Supermercado</t>
        </is>
      </c>
      <c r="E215" t="n">
        <v>3645.68</v>
      </c>
      <c r="F215" t="n">
        <v>175.74</v>
      </c>
      <c r="G215" t="n">
        <v>87</v>
      </c>
      <c r="J215" t="inlineStr">
        <is>
          <t>M</t>
        </is>
      </c>
      <c r="K215" t="n">
        <v>2024</v>
      </c>
      <c r="L215" t="n">
        <v>11</v>
      </c>
      <c r="M215" t="inlineStr">
        <is>
          <t>Todos</t>
        </is>
      </c>
      <c r="N215" t="inlineStr">
        <is>
          <t>Esfiharia</t>
        </is>
      </c>
      <c r="O215" t="n">
        <v>2</v>
      </c>
      <c r="P215" t="n">
        <v>7</v>
      </c>
      <c r="Q215" t="n">
        <v>0</v>
      </c>
    </row>
    <row r="216">
      <c r="A216" t="n">
        <v>2024</v>
      </c>
      <c r="B216" t="n">
        <v>4</v>
      </c>
      <c r="C216" t="inlineStr">
        <is>
          <t>Requeijão Pizzalet 1,8 kg</t>
        </is>
      </c>
      <c r="D216" t="inlineStr">
        <is>
          <t>Bar / Chopperia</t>
        </is>
      </c>
      <c r="E216" t="n">
        <v>352.04</v>
      </c>
      <c r="F216" t="n">
        <v>47.84</v>
      </c>
      <c r="G216" t="n">
        <v>26</v>
      </c>
      <c r="J216" t="inlineStr">
        <is>
          <t>A</t>
        </is>
      </c>
      <c r="K216" t="n">
        <v>2024</v>
      </c>
      <c r="L216" t="n">
        <v>12</v>
      </c>
      <c r="M216" t="inlineStr">
        <is>
          <t>Todos</t>
        </is>
      </c>
      <c r="N216" t="inlineStr">
        <is>
          <t>Esfiharia</t>
        </is>
      </c>
      <c r="O216" t="n">
        <v>11</v>
      </c>
      <c r="P216" t="n">
        <v>118</v>
      </c>
      <c r="Q216" t="n">
        <v>11</v>
      </c>
    </row>
    <row r="217">
      <c r="A217" t="n">
        <v>2024</v>
      </c>
      <c r="B217" t="n">
        <v>4</v>
      </c>
      <c r="C217" t="inlineStr">
        <is>
          <t>Requeijão Pizzalet 1,8 kg</t>
        </is>
      </c>
      <c r="D217" t="inlineStr">
        <is>
          <t>Lanchonete / Cafeteria</t>
        </is>
      </c>
      <c r="E217" t="n">
        <v>1205.07</v>
      </c>
      <c r="F217" t="n">
        <v>163.76</v>
      </c>
      <c r="G217" t="n">
        <v>89</v>
      </c>
      <c r="J217" t="inlineStr">
        <is>
          <t>M</t>
        </is>
      </c>
      <c r="K217" t="n">
        <v>2024</v>
      </c>
      <c r="L217" t="n">
        <v>12</v>
      </c>
      <c r="M217" t="inlineStr">
        <is>
          <t>Todos</t>
        </is>
      </c>
      <c r="N217" t="inlineStr">
        <is>
          <t>Esfiharia</t>
        </is>
      </c>
      <c r="O217" t="n">
        <v>3</v>
      </c>
      <c r="P217" t="n">
        <v>9</v>
      </c>
      <c r="Q217" t="n">
        <v>0</v>
      </c>
    </row>
    <row r="218">
      <c r="A218" t="n">
        <v>2024</v>
      </c>
      <c r="B218" t="n">
        <v>4</v>
      </c>
      <c r="C218" t="inlineStr">
        <is>
          <t>Requeijão Pizzalet 1,8 kg</t>
        </is>
      </c>
      <c r="D218" t="inlineStr">
        <is>
          <t>Outros</t>
        </is>
      </c>
      <c r="E218" t="n">
        <v>27.08</v>
      </c>
      <c r="F218" t="n">
        <v>3.68</v>
      </c>
      <c r="G218" t="n">
        <v>2</v>
      </c>
      <c r="J218" t="inlineStr">
        <is>
          <t>A</t>
        </is>
      </c>
      <c r="K218" t="n">
        <v>2024</v>
      </c>
      <c r="L218" t="n">
        <v>1</v>
      </c>
      <c r="M218" t="inlineStr">
        <is>
          <t>Todos</t>
        </is>
      </c>
      <c r="N218" t="inlineStr">
        <is>
          <t>Lanchonete / Cafeteria</t>
        </is>
      </c>
      <c r="O218" t="n">
        <v>9</v>
      </c>
      <c r="P218" t="n">
        <v>16</v>
      </c>
      <c r="Q218" t="n">
        <v>9</v>
      </c>
    </row>
    <row r="219">
      <c r="A219" t="n">
        <v>2024</v>
      </c>
      <c r="B219" t="n">
        <v>4</v>
      </c>
      <c r="C219" t="inlineStr">
        <is>
          <t>Requeijão Pizzalet 1,8 kg</t>
        </is>
      </c>
      <c r="D219" t="inlineStr">
        <is>
          <t>Pastelaria</t>
        </is>
      </c>
      <c r="E219" t="n">
        <v>2128.68</v>
      </c>
      <c r="F219" t="n">
        <v>288.88</v>
      </c>
      <c r="G219" t="n">
        <v>157</v>
      </c>
      <c r="J219" t="inlineStr">
        <is>
          <t>M</t>
        </is>
      </c>
      <c r="K219" t="n">
        <v>2024</v>
      </c>
      <c r="L219" t="n">
        <v>1</v>
      </c>
      <c r="M219" t="inlineStr">
        <is>
          <t>Todos</t>
        </is>
      </c>
      <c r="N219" t="inlineStr">
        <is>
          <t>Lanchonete / Cafeteria</t>
        </is>
      </c>
      <c r="O219" t="n">
        <v>9</v>
      </c>
      <c r="P219" t="n">
        <v>16</v>
      </c>
      <c r="Q219" t="n">
        <v>0</v>
      </c>
    </row>
    <row r="220">
      <c r="A220" t="n">
        <v>2024</v>
      </c>
      <c r="B220" t="n">
        <v>4</v>
      </c>
      <c r="C220" t="inlineStr">
        <is>
          <t>Requeijão Pizzalet 1,8 kg</t>
        </is>
      </c>
      <c r="D220" t="inlineStr">
        <is>
          <t>Pizzaria</t>
        </is>
      </c>
      <c r="E220" t="n">
        <v>5957.24</v>
      </c>
      <c r="F220" t="n">
        <v>811.4400000000001</v>
      </c>
      <c r="G220" t="n">
        <v>441</v>
      </c>
      <c r="J220" t="inlineStr">
        <is>
          <t>A</t>
        </is>
      </c>
      <c r="K220" t="n">
        <v>2024</v>
      </c>
      <c r="L220" t="n">
        <v>2</v>
      </c>
      <c r="M220" t="inlineStr">
        <is>
          <t>Todos</t>
        </is>
      </c>
      <c r="N220" t="inlineStr">
        <is>
          <t>Lanchonete / Cafeteria</t>
        </is>
      </c>
      <c r="O220" t="n">
        <v>14</v>
      </c>
      <c r="P220" t="n">
        <v>27</v>
      </c>
      <c r="Q220" t="n">
        <v>14</v>
      </c>
    </row>
    <row r="221">
      <c r="A221" t="n">
        <v>2024</v>
      </c>
      <c r="B221" t="n">
        <v>4</v>
      </c>
      <c r="C221" t="inlineStr">
        <is>
          <t>Requeijão Pizzalet 1,8 kg</t>
        </is>
      </c>
      <c r="D221" t="inlineStr">
        <is>
          <t>Restaurante / Cantina</t>
        </is>
      </c>
      <c r="E221" t="n">
        <v>595.76</v>
      </c>
      <c r="F221" t="n">
        <v>80.95999999999999</v>
      </c>
      <c r="G221" t="n">
        <v>44</v>
      </c>
      <c r="J221" t="inlineStr">
        <is>
          <t>M</t>
        </is>
      </c>
      <c r="K221" t="n">
        <v>2024</v>
      </c>
      <c r="L221" t="n">
        <v>2</v>
      </c>
      <c r="M221" t="inlineStr">
        <is>
          <t>Todos</t>
        </is>
      </c>
      <c r="N221" t="inlineStr">
        <is>
          <t>Lanchonete / Cafeteria</t>
        </is>
      </c>
      <c r="O221" t="n">
        <v>9</v>
      </c>
      <c r="P221" t="n">
        <v>11</v>
      </c>
      <c r="Q221" t="n">
        <v>0</v>
      </c>
    </row>
    <row r="222">
      <c r="A222" t="n">
        <v>2024</v>
      </c>
      <c r="B222" t="n">
        <v>5</v>
      </c>
      <c r="C222" t="inlineStr">
        <is>
          <t>Chocolate em pó 50% 1 kg</t>
        </is>
      </c>
      <c r="D222" t="inlineStr">
        <is>
          <t>Bar / Chopperia</t>
        </is>
      </c>
      <c r="E222" t="n">
        <v>89.34</v>
      </c>
      <c r="F222" t="n">
        <v>3.06</v>
      </c>
      <c r="G222" t="n">
        <v>3</v>
      </c>
      <c r="J222" t="inlineStr">
        <is>
          <t>A</t>
        </is>
      </c>
      <c r="K222" t="n">
        <v>2024</v>
      </c>
      <c r="L222" t="n">
        <v>3</v>
      </c>
      <c r="M222" t="inlineStr">
        <is>
          <t>Todos</t>
        </is>
      </c>
      <c r="N222" t="inlineStr">
        <is>
          <t>Lanchonete / Cafeteria</t>
        </is>
      </c>
      <c r="O222" t="n">
        <v>17</v>
      </c>
      <c r="P222" t="n">
        <v>37</v>
      </c>
      <c r="Q222" t="n">
        <v>17</v>
      </c>
    </row>
    <row r="223">
      <c r="A223" t="n">
        <v>2024</v>
      </c>
      <c r="B223" t="n">
        <v>5</v>
      </c>
      <c r="C223" t="inlineStr">
        <is>
          <t>Chocolate em pó 50% 1 kg</t>
        </is>
      </c>
      <c r="D223" t="inlineStr">
        <is>
          <t>Buffet</t>
        </is>
      </c>
      <c r="E223" t="n">
        <v>59.72</v>
      </c>
      <c r="F223" t="n">
        <v>2.04</v>
      </c>
      <c r="G223" t="n">
        <v>2</v>
      </c>
      <c r="J223" t="inlineStr">
        <is>
          <t>M</t>
        </is>
      </c>
      <c r="K223" t="n">
        <v>2024</v>
      </c>
      <c r="L223" t="n">
        <v>3</v>
      </c>
      <c r="M223" t="inlineStr">
        <is>
          <t>Todos</t>
        </is>
      </c>
      <c r="N223" t="inlineStr">
        <is>
          <t>Lanchonete / Cafeteria</t>
        </is>
      </c>
      <c r="O223" t="n">
        <v>7</v>
      </c>
      <c r="P223" t="n">
        <v>10</v>
      </c>
      <c r="Q223" t="n">
        <v>0</v>
      </c>
    </row>
    <row r="224">
      <c r="A224" t="n">
        <v>2024</v>
      </c>
      <c r="B224" t="n">
        <v>5</v>
      </c>
      <c r="C224" t="inlineStr">
        <is>
          <t>Chocolate em pó 50% 1 kg</t>
        </is>
      </c>
      <c r="D224" t="inlineStr">
        <is>
          <t>Churrascaria</t>
        </is>
      </c>
      <c r="E224" t="n">
        <v>174.59</v>
      </c>
      <c r="F224" t="n">
        <v>6.12</v>
      </c>
      <c r="G224" t="n">
        <v>6</v>
      </c>
      <c r="J224" t="inlineStr">
        <is>
          <t>A</t>
        </is>
      </c>
      <c r="K224" t="n">
        <v>2024</v>
      </c>
      <c r="L224" t="n">
        <v>4</v>
      </c>
      <c r="M224" t="inlineStr">
        <is>
          <t>Todos</t>
        </is>
      </c>
      <c r="N224" t="inlineStr">
        <is>
          <t>Lanchonete / Cafeteria</t>
        </is>
      </c>
      <c r="O224" t="n">
        <v>19</v>
      </c>
      <c r="P224" t="n">
        <v>52</v>
      </c>
      <c r="Q224" t="n">
        <v>19</v>
      </c>
    </row>
    <row r="225">
      <c r="A225" t="n">
        <v>2024</v>
      </c>
      <c r="B225" t="n">
        <v>5</v>
      </c>
      <c r="C225" t="inlineStr">
        <is>
          <t>Chocolate em pó 50% 1 kg</t>
        </is>
      </c>
      <c r="D225" t="inlineStr">
        <is>
          <t>Cozinha Industrial</t>
        </is>
      </c>
      <c r="E225" t="n">
        <v>597.04</v>
      </c>
      <c r="F225" t="n">
        <v>20.4</v>
      </c>
      <c r="G225" t="n">
        <v>20</v>
      </c>
      <c r="J225" t="inlineStr">
        <is>
          <t>M</t>
        </is>
      </c>
      <c r="K225" t="n">
        <v>2024</v>
      </c>
      <c r="L225" t="n">
        <v>4</v>
      </c>
      <c r="M225" t="inlineStr">
        <is>
          <t>Todos</t>
        </is>
      </c>
      <c r="N225" t="inlineStr">
        <is>
          <t>Lanchonete / Cafeteria</t>
        </is>
      </c>
      <c r="O225" t="n">
        <v>8</v>
      </c>
      <c r="P225" t="n">
        <v>15</v>
      </c>
      <c r="Q225" t="n">
        <v>0</v>
      </c>
    </row>
    <row r="226">
      <c r="A226" t="n">
        <v>2024</v>
      </c>
      <c r="B226" t="n">
        <v>5</v>
      </c>
      <c r="C226" t="inlineStr">
        <is>
          <t>Chocolate em pó 50% 1 kg</t>
        </is>
      </c>
      <c r="D226" t="inlineStr">
        <is>
          <t>Hamburgueria</t>
        </is>
      </c>
      <c r="E226" t="n">
        <v>29.56</v>
      </c>
      <c r="F226" t="n">
        <v>1.02</v>
      </c>
      <c r="G226" t="n">
        <v>1</v>
      </c>
      <c r="J226" t="inlineStr">
        <is>
          <t>A</t>
        </is>
      </c>
      <c r="K226" t="n">
        <v>2024</v>
      </c>
      <c r="L226" t="n">
        <v>5</v>
      </c>
      <c r="M226" t="inlineStr">
        <is>
          <t>Todos</t>
        </is>
      </c>
      <c r="N226" t="inlineStr">
        <is>
          <t>Lanchonete / Cafeteria</t>
        </is>
      </c>
      <c r="O226" t="n">
        <v>23</v>
      </c>
      <c r="P226" t="n">
        <v>71</v>
      </c>
      <c r="Q226" t="n">
        <v>23</v>
      </c>
    </row>
    <row r="227">
      <c r="A227" t="n">
        <v>2024</v>
      </c>
      <c r="B227" t="n">
        <v>5</v>
      </c>
      <c r="C227" t="inlineStr">
        <is>
          <t>Chocolate em pó 50% 1 kg</t>
        </is>
      </c>
      <c r="D227" t="inlineStr">
        <is>
          <t>Hotel / Motel / Pousada</t>
        </is>
      </c>
      <c r="E227" t="n">
        <v>1015.61</v>
      </c>
      <c r="F227" t="n">
        <v>35.7</v>
      </c>
      <c r="G227" t="n">
        <v>35</v>
      </c>
      <c r="J227" t="inlineStr">
        <is>
          <t>M</t>
        </is>
      </c>
      <c r="K227" t="n">
        <v>2024</v>
      </c>
      <c r="L227" t="n">
        <v>5</v>
      </c>
      <c r="M227" t="inlineStr">
        <is>
          <t>Todos</t>
        </is>
      </c>
      <c r="N227" t="inlineStr">
        <is>
          <t>Lanchonete / Cafeteria</t>
        </is>
      </c>
      <c r="O227" t="n">
        <v>11</v>
      </c>
      <c r="P227" t="n">
        <v>19</v>
      </c>
      <c r="Q227" t="n">
        <v>0</v>
      </c>
    </row>
    <row r="228">
      <c r="A228" t="n">
        <v>2024</v>
      </c>
      <c r="B228" t="n">
        <v>5</v>
      </c>
      <c r="C228" t="inlineStr">
        <is>
          <t>Chocolate em pó 50% 1 kg</t>
        </is>
      </c>
      <c r="D228" t="inlineStr">
        <is>
          <t>Lanchonete / Cafeteria</t>
        </is>
      </c>
      <c r="E228" t="n">
        <v>295.6</v>
      </c>
      <c r="F228" t="n">
        <v>10.2</v>
      </c>
      <c r="G228" t="n">
        <v>10</v>
      </c>
      <c r="J228" t="inlineStr">
        <is>
          <t>A</t>
        </is>
      </c>
      <c r="K228" t="n">
        <v>2024</v>
      </c>
      <c r="L228" t="n">
        <v>6</v>
      </c>
      <c r="M228" t="inlineStr">
        <is>
          <t>Todos</t>
        </is>
      </c>
      <c r="N228" t="inlineStr">
        <is>
          <t>Lanchonete / Cafeteria</t>
        </is>
      </c>
      <c r="O228" t="n">
        <v>25</v>
      </c>
      <c r="P228" t="n">
        <v>87</v>
      </c>
      <c r="Q228" t="n">
        <v>25</v>
      </c>
    </row>
    <row r="229">
      <c r="A229" t="n">
        <v>2024</v>
      </c>
      <c r="B229" t="n">
        <v>5</v>
      </c>
      <c r="C229" t="inlineStr">
        <is>
          <t>Chocolate em pó 50% 1 kg</t>
        </is>
      </c>
      <c r="D229" t="inlineStr">
        <is>
          <t>Outros</t>
        </is>
      </c>
      <c r="E229" t="n">
        <v>678.76</v>
      </c>
      <c r="F229" t="n">
        <v>23.46</v>
      </c>
      <c r="G229" t="n">
        <v>23</v>
      </c>
      <c r="J229" t="inlineStr">
        <is>
          <t>M</t>
        </is>
      </c>
      <c r="K229" t="n">
        <v>2024</v>
      </c>
      <c r="L229" t="n">
        <v>6</v>
      </c>
      <c r="M229" t="inlineStr">
        <is>
          <t>Todos</t>
        </is>
      </c>
      <c r="N229" t="inlineStr">
        <is>
          <t>Lanchonete / Cafeteria</t>
        </is>
      </c>
      <c r="O229" t="n">
        <v>10</v>
      </c>
      <c r="P229" t="n">
        <v>16</v>
      </c>
      <c r="Q229" t="n">
        <v>0</v>
      </c>
    </row>
    <row r="230">
      <c r="A230" t="n">
        <v>2024</v>
      </c>
      <c r="B230" t="n">
        <v>5</v>
      </c>
      <c r="C230" t="inlineStr">
        <is>
          <t>Chocolate em pó 50% 1 kg</t>
        </is>
      </c>
      <c r="D230" t="inlineStr">
        <is>
          <t>Padaria</t>
        </is>
      </c>
      <c r="E230" t="n">
        <v>28.5</v>
      </c>
      <c r="F230" t="n">
        <v>1.02</v>
      </c>
      <c r="G230" t="n">
        <v>1</v>
      </c>
      <c r="J230" t="inlineStr">
        <is>
          <t>A</t>
        </is>
      </c>
      <c r="K230" t="n">
        <v>2024</v>
      </c>
      <c r="L230" t="n">
        <v>7</v>
      </c>
      <c r="M230" t="inlineStr">
        <is>
          <t>Todos</t>
        </is>
      </c>
      <c r="N230" t="inlineStr">
        <is>
          <t>Lanchonete / Cafeteria</t>
        </is>
      </c>
      <c r="O230" t="n">
        <v>33</v>
      </c>
      <c r="P230" t="n">
        <v>109</v>
      </c>
      <c r="Q230" t="n">
        <v>33</v>
      </c>
    </row>
    <row r="231">
      <c r="A231" t="n">
        <v>2024</v>
      </c>
      <c r="B231" t="n">
        <v>5</v>
      </c>
      <c r="C231" t="inlineStr">
        <is>
          <t>Chocolate em pó 50% 1 kg</t>
        </is>
      </c>
      <c r="D231" t="inlineStr">
        <is>
          <t>Pessoa Física</t>
        </is>
      </c>
      <c r="E231" t="n">
        <v>30.08</v>
      </c>
      <c r="F231" t="n">
        <v>1.02</v>
      </c>
      <c r="G231" t="n">
        <v>1</v>
      </c>
      <c r="J231" t="inlineStr">
        <is>
          <t>M</t>
        </is>
      </c>
      <c r="K231" t="n">
        <v>2024</v>
      </c>
      <c r="L231" t="n">
        <v>7</v>
      </c>
      <c r="M231" t="inlineStr">
        <is>
          <t>Todos</t>
        </is>
      </c>
      <c r="N231" t="inlineStr">
        <is>
          <t>Lanchonete / Cafeteria</t>
        </is>
      </c>
      <c r="O231" t="n">
        <v>15</v>
      </c>
      <c r="P231" t="n">
        <v>22</v>
      </c>
      <c r="Q231" t="n">
        <v>0</v>
      </c>
    </row>
    <row r="232">
      <c r="A232" t="n">
        <v>2024</v>
      </c>
      <c r="B232" t="n">
        <v>5</v>
      </c>
      <c r="C232" t="inlineStr">
        <is>
          <t>Chocolate em pó 50% 1 kg</t>
        </is>
      </c>
      <c r="D232" t="inlineStr">
        <is>
          <t>Pizzaria</t>
        </is>
      </c>
      <c r="E232" t="n">
        <v>706.73</v>
      </c>
      <c r="F232" t="n">
        <v>24.48</v>
      </c>
      <c r="G232" t="n">
        <v>24</v>
      </c>
      <c r="J232" t="inlineStr">
        <is>
          <t>A</t>
        </is>
      </c>
      <c r="K232" t="n">
        <v>2024</v>
      </c>
      <c r="L232" t="n">
        <v>8</v>
      </c>
      <c r="M232" t="inlineStr">
        <is>
          <t>Todos</t>
        </is>
      </c>
      <c r="N232" t="inlineStr">
        <is>
          <t>Lanchonete / Cafeteria</t>
        </is>
      </c>
      <c r="O232" t="n">
        <v>39</v>
      </c>
      <c r="P232" t="n">
        <v>136</v>
      </c>
      <c r="Q232" t="n">
        <v>39</v>
      </c>
    </row>
    <row r="233">
      <c r="A233" t="n">
        <v>2024</v>
      </c>
      <c r="B233" t="n">
        <v>5</v>
      </c>
      <c r="C233" t="inlineStr">
        <is>
          <t>Chocolate em pó 50% 1 kg</t>
        </is>
      </c>
      <c r="D233" t="inlineStr">
        <is>
          <t>Restaurante / Cantina</t>
        </is>
      </c>
      <c r="E233" t="n">
        <v>1684.72</v>
      </c>
      <c r="F233" t="n">
        <v>58.14</v>
      </c>
      <c r="G233" t="n">
        <v>57</v>
      </c>
      <c r="J233" t="inlineStr">
        <is>
          <t>M</t>
        </is>
      </c>
      <c r="K233" t="n">
        <v>2024</v>
      </c>
      <c r="L233" t="n">
        <v>8</v>
      </c>
      <c r="M233" t="inlineStr">
        <is>
          <t>Todos</t>
        </is>
      </c>
      <c r="N233" t="inlineStr">
        <is>
          <t>Lanchonete / Cafeteria</t>
        </is>
      </c>
      <c r="O233" t="n">
        <v>16</v>
      </c>
      <c r="P233" t="n">
        <v>27</v>
      </c>
      <c r="Q233" t="n">
        <v>0</v>
      </c>
    </row>
    <row r="234">
      <c r="A234" t="n">
        <v>2024</v>
      </c>
      <c r="B234" t="n">
        <v>5</v>
      </c>
      <c r="C234" t="inlineStr">
        <is>
          <t>Composto lácteo Alibralac 1 kg</t>
        </is>
      </c>
      <c r="D234" t="inlineStr">
        <is>
          <t>Cozinha Industrial</t>
        </is>
      </c>
      <c r="E234" t="n">
        <v>609</v>
      </c>
      <c r="F234" t="n">
        <v>30.6</v>
      </c>
      <c r="G234" t="n">
        <v>30</v>
      </c>
      <c r="J234" t="inlineStr">
        <is>
          <t>A</t>
        </is>
      </c>
      <c r="K234" t="n">
        <v>2024</v>
      </c>
      <c r="L234" t="n">
        <v>9</v>
      </c>
      <c r="M234" t="inlineStr">
        <is>
          <t>Todos</t>
        </is>
      </c>
      <c r="N234" t="inlineStr">
        <is>
          <t>Lanchonete / Cafeteria</t>
        </is>
      </c>
      <c r="O234" t="n">
        <v>42</v>
      </c>
      <c r="P234" t="n">
        <v>159</v>
      </c>
      <c r="Q234" t="n">
        <v>42</v>
      </c>
    </row>
    <row r="235">
      <c r="A235" t="n">
        <v>2024</v>
      </c>
      <c r="B235" t="n">
        <v>5</v>
      </c>
      <c r="C235" t="inlineStr">
        <is>
          <t>Composto lácteo Alibralac 1 kg</t>
        </is>
      </c>
      <c r="D235" t="inlineStr">
        <is>
          <t>Fábrica de Massas</t>
        </is>
      </c>
      <c r="E235" t="n">
        <v>40.38</v>
      </c>
      <c r="F235" t="n">
        <v>2.04</v>
      </c>
      <c r="G235" t="n">
        <v>2</v>
      </c>
      <c r="J235" t="inlineStr">
        <is>
          <t>M</t>
        </is>
      </c>
      <c r="K235" t="n">
        <v>2024</v>
      </c>
      <c r="L235" t="n">
        <v>9</v>
      </c>
      <c r="M235" t="inlineStr">
        <is>
          <t>Todos</t>
        </is>
      </c>
      <c r="N235" t="inlineStr">
        <is>
          <t>Lanchonete / Cafeteria</t>
        </is>
      </c>
      <c r="O235" t="n">
        <v>13</v>
      </c>
      <c r="P235" t="n">
        <v>23</v>
      </c>
      <c r="Q235" t="n">
        <v>0</v>
      </c>
    </row>
    <row r="236">
      <c r="A236" t="n">
        <v>2024</v>
      </c>
      <c r="B236" t="n">
        <v>5</v>
      </c>
      <c r="C236" t="inlineStr">
        <is>
          <t>Composto lácteo Alibralac 1 kg</t>
        </is>
      </c>
      <c r="D236" t="inlineStr">
        <is>
          <t>Hotel / Motel / Pousada</t>
        </is>
      </c>
      <c r="E236" t="n">
        <v>407.8</v>
      </c>
      <c r="F236" t="n">
        <v>20.4</v>
      </c>
      <c r="G236" t="n">
        <v>20</v>
      </c>
      <c r="J236" t="inlineStr">
        <is>
          <t>A</t>
        </is>
      </c>
      <c r="K236" t="n">
        <v>2024</v>
      </c>
      <c r="L236" t="n">
        <v>10</v>
      </c>
      <c r="M236" t="inlineStr">
        <is>
          <t>Todos</t>
        </is>
      </c>
      <c r="N236" t="inlineStr">
        <is>
          <t>Lanchonete / Cafeteria</t>
        </is>
      </c>
      <c r="O236" t="n">
        <v>44</v>
      </c>
      <c r="P236" t="n">
        <v>184</v>
      </c>
      <c r="Q236" t="n">
        <v>44</v>
      </c>
    </row>
    <row r="237">
      <c r="A237" t="n">
        <v>2024</v>
      </c>
      <c r="B237" t="n">
        <v>5</v>
      </c>
      <c r="C237" t="inlineStr">
        <is>
          <t>Composto lácteo Alibralac 1 kg</t>
        </is>
      </c>
      <c r="D237" t="inlineStr">
        <is>
          <t>Padaria</t>
        </is>
      </c>
      <c r="E237" t="n">
        <v>444.18</v>
      </c>
      <c r="F237" t="n">
        <v>22.44</v>
      </c>
      <c r="G237" t="n">
        <v>22</v>
      </c>
      <c r="J237" t="inlineStr">
        <is>
          <t>M</t>
        </is>
      </c>
      <c r="K237" t="n">
        <v>2024</v>
      </c>
      <c r="L237" t="n">
        <v>10</v>
      </c>
      <c r="M237" t="inlineStr">
        <is>
          <t>Todos</t>
        </is>
      </c>
      <c r="N237" t="inlineStr">
        <is>
          <t>Lanchonete / Cafeteria</t>
        </is>
      </c>
      <c r="O237" t="n">
        <v>12</v>
      </c>
      <c r="P237" t="n">
        <v>25</v>
      </c>
      <c r="Q237" t="n">
        <v>0</v>
      </c>
    </row>
    <row r="238">
      <c r="A238" t="n">
        <v>2024</v>
      </c>
      <c r="B238" t="n">
        <v>5</v>
      </c>
      <c r="C238" t="inlineStr">
        <is>
          <t>Composto lácteo Alibralac 1 kg</t>
        </is>
      </c>
      <c r="D238" t="inlineStr">
        <is>
          <t>Pizzaria</t>
        </is>
      </c>
      <c r="E238" t="n">
        <v>100</v>
      </c>
      <c r="F238" t="n">
        <v>5.1</v>
      </c>
      <c r="G238" t="n">
        <v>5</v>
      </c>
      <c r="J238" t="inlineStr">
        <is>
          <t>A</t>
        </is>
      </c>
      <c r="K238" t="n">
        <v>2024</v>
      </c>
      <c r="L238" t="n">
        <v>11</v>
      </c>
      <c r="M238" t="inlineStr">
        <is>
          <t>Todos</t>
        </is>
      </c>
      <c r="N238" t="inlineStr">
        <is>
          <t>Lanchonete / Cafeteria</t>
        </is>
      </c>
      <c r="O238" t="n">
        <v>45</v>
      </c>
      <c r="P238" t="n">
        <v>209</v>
      </c>
      <c r="Q238" t="n">
        <v>45</v>
      </c>
    </row>
    <row r="239">
      <c r="A239" t="n">
        <v>2024</v>
      </c>
      <c r="B239" t="n">
        <v>5</v>
      </c>
      <c r="C239" t="inlineStr">
        <is>
          <t>Composto lácteo Alibralac 1 kg</t>
        </is>
      </c>
      <c r="D239" t="inlineStr">
        <is>
          <t>Restaurante / Cantina</t>
        </is>
      </c>
      <c r="E239" t="n">
        <v>989.3099999999999</v>
      </c>
      <c r="F239" t="n">
        <v>49.98</v>
      </c>
      <c r="G239" t="n">
        <v>49</v>
      </c>
      <c r="J239" t="inlineStr">
        <is>
          <t>M</t>
        </is>
      </c>
      <c r="K239" t="n">
        <v>2024</v>
      </c>
      <c r="L239" t="n">
        <v>11</v>
      </c>
      <c r="M239" t="inlineStr">
        <is>
          <t>Todos</t>
        </is>
      </c>
      <c r="N239" t="inlineStr">
        <is>
          <t>Lanchonete / Cafeteria</t>
        </is>
      </c>
      <c r="O239" t="n">
        <v>12</v>
      </c>
      <c r="P239" t="n">
        <v>25</v>
      </c>
      <c r="Q239" t="n">
        <v>0</v>
      </c>
    </row>
    <row r="240">
      <c r="A240" t="n">
        <v>2024</v>
      </c>
      <c r="B240" t="n">
        <v>5</v>
      </c>
      <c r="C240" t="inlineStr">
        <is>
          <t>Composto lácteo Merilú 400 g</t>
        </is>
      </c>
      <c r="D240" t="inlineStr">
        <is>
          <t>Casa Noturna</t>
        </is>
      </c>
      <c r="E240" t="n">
        <v>375</v>
      </c>
      <c r="F240" t="n">
        <v>21</v>
      </c>
      <c r="G240" t="n">
        <v>50</v>
      </c>
      <c r="J240" t="inlineStr">
        <is>
          <t>A</t>
        </is>
      </c>
      <c r="K240" t="n">
        <v>2024</v>
      </c>
      <c r="L240" t="n">
        <v>12</v>
      </c>
      <c r="M240" t="inlineStr">
        <is>
          <t>Todos</t>
        </is>
      </c>
      <c r="N240" t="inlineStr">
        <is>
          <t>Lanchonete / Cafeteria</t>
        </is>
      </c>
      <c r="O240" t="n">
        <v>47</v>
      </c>
      <c r="P240" t="n">
        <v>228</v>
      </c>
      <c r="Q240" t="n">
        <v>47</v>
      </c>
    </row>
    <row r="241">
      <c r="A241" t="n">
        <v>2024</v>
      </c>
      <c r="B241" t="n">
        <v>5</v>
      </c>
      <c r="C241" t="inlineStr">
        <is>
          <t>Composto lácteo Merilú 400 g</t>
        </is>
      </c>
      <c r="D241" t="inlineStr">
        <is>
          <t>Churrascaria</t>
        </is>
      </c>
      <c r="E241" t="n">
        <v>47.34</v>
      </c>
      <c r="F241" t="n">
        <v>2.52</v>
      </c>
      <c r="G241" t="n">
        <v>6</v>
      </c>
      <c r="J241" t="inlineStr">
        <is>
          <t>M</t>
        </is>
      </c>
      <c r="K241" t="n">
        <v>2024</v>
      </c>
      <c r="L241" t="n">
        <v>12</v>
      </c>
      <c r="M241" t="inlineStr">
        <is>
          <t>Todos</t>
        </is>
      </c>
      <c r="N241" t="inlineStr">
        <is>
          <t>Lanchonete / Cafeteria</t>
        </is>
      </c>
      <c r="O241" t="n">
        <v>9</v>
      </c>
      <c r="P241" t="n">
        <v>19</v>
      </c>
      <c r="Q241" t="n">
        <v>0</v>
      </c>
    </row>
    <row r="242">
      <c r="A242" t="n">
        <v>2024</v>
      </c>
      <c r="B242" t="n">
        <v>5</v>
      </c>
      <c r="C242" t="inlineStr">
        <is>
          <t>Composto lácteo Merilú 400 g</t>
        </is>
      </c>
      <c r="D242" t="inlineStr">
        <is>
          <t>Outros</t>
        </is>
      </c>
      <c r="E242" t="n">
        <v>540.16</v>
      </c>
      <c r="F242" t="n">
        <v>32.34</v>
      </c>
      <c r="G242" t="n">
        <v>77</v>
      </c>
      <c r="J242" t="inlineStr">
        <is>
          <t>A</t>
        </is>
      </c>
      <c r="K242" t="n">
        <v>2024</v>
      </c>
      <c r="L242" t="n">
        <v>1</v>
      </c>
      <c r="M242" t="inlineStr">
        <is>
          <t>Todos</t>
        </is>
      </c>
      <c r="N242" t="inlineStr">
        <is>
          <t>Padaria</t>
        </is>
      </c>
      <c r="O242" t="n">
        <v>7</v>
      </c>
      <c r="P242" t="n">
        <v>11</v>
      </c>
      <c r="Q242" t="n">
        <v>7</v>
      </c>
    </row>
    <row r="243">
      <c r="A243" t="n">
        <v>2024</v>
      </c>
      <c r="B243" t="n">
        <v>5</v>
      </c>
      <c r="C243" t="inlineStr">
        <is>
          <t>Composto lácteo Merilú 400 g</t>
        </is>
      </c>
      <c r="D243" t="inlineStr">
        <is>
          <t>Pizzaria</t>
        </is>
      </c>
      <c r="E243" t="n">
        <v>174.75</v>
      </c>
      <c r="F243" t="n">
        <v>10.5</v>
      </c>
      <c r="G243" t="n">
        <v>25</v>
      </c>
      <c r="J243" t="inlineStr">
        <is>
          <t>M</t>
        </is>
      </c>
      <c r="K243" t="n">
        <v>2024</v>
      </c>
      <c r="L243" t="n">
        <v>1</v>
      </c>
      <c r="M243" t="inlineStr">
        <is>
          <t>Todos</t>
        </is>
      </c>
      <c r="N243" t="inlineStr">
        <is>
          <t>Padaria</t>
        </is>
      </c>
      <c r="O243" t="n">
        <v>7</v>
      </c>
      <c r="P243" t="n">
        <v>11</v>
      </c>
      <c r="Q243" t="n">
        <v>0</v>
      </c>
    </row>
    <row r="244">
      <c r="A244" t="n">
        <v>2024</v>
      </c>
      <c r="B244" t="n">
        <v>5</v>
      </c>
      <c r="C244" t="inlineStr">
        <is>
          <t>Composto lácteo Merilú 400 g</t>
        </is>
      </c>
      <c r="D244" t="inlineStr">
        <is>
          <t>Restaurante / Cantina</t>
        </is>
      </c>
      <c r="E244" t="n">
        <v>200.13</v>
      </c>
      <c r="F244" t="n">
        <v>11.76</v>
      </c>
      <c r="G244" t="n">
        <v>28</v>
      </c>
      <c r="J244" t="inlineStr">
        <is>
          <t>A</t>
        </is>
      </c>
      <c r="K244" t="n">
        <v>2024</v>
      </c>
      <c r="L244" t="n">
        <v>2</v>
      </c>
      <c r="M244" t="inlineStr">
        <is>
          <t>Todos</t>
        </is>
      </c>
      <c r="N244" t="inlineStr">
        <is>
          <t>Padaria</t>
        </is>
      </c>
      <c r="O244" t="n">
        <v>11</v>
      </c>
      <c r="P244" t="n">
        <v>25</v>
      </c>
      <c r="Q244" t="n">
        <v>11</v>
      </c>
    </row>
    <row r="245">
      <c r="A245" t="n">
        <v>2024</v>
      </c>
      <c r="B245" t="n">
        <v>5</v>
      </c>
      <c r="C245" t="inlineStr">
        <is>
          <t>Muçarela Mozzalet 2 kg</t>
        </is>
      </c>
      <c r="D245" t="inlineStr">
        <is>
          <t>Cozinha Industrial</t>
        </is>
      </c>
      <c r="E245" t="n">
        <v>2239.8</v>
      </c>
      <c r="F245" t="n">
        <v>120</v>
      </c>
      <c r="G245" t="n">
        <v>60</v>
      </c>
      <c r="J245" t="inlineStr">
        <is>
          <t>M</t>
        </is>
      </c>
      <c r="K245" t="n">
        <v>2024</v>
      </c>
      <c r="L245" t="n">
        <v>2</v>
      </c>
      <c r="M245" t="inlineStr">
        <is>
          <t>Todos</t>
        </is>
      </c>
      <c r="N245" t="inlineStr">
        <is>
          <t>Padaria</t>
        </is>
      </c>
      <c r="O245" t="n">
        <v>10</v>
      </c>
      <c r="P245" t="n">
        <v>14</v>
      </c>
      <c r="Q245" t="n">
        <v>0</v>
      </c>
    </row>
    <row r="246">
      <c r="A246" t="n">
        <v>2024</v>
      </c>
      <c r="B246" t="n">
        <v>5</v>
      </c>
      <c r="C246" t="inlineStr">
        <is>
          <t>Muçarela Mozzalet 2 kg</t>
        </is>
      </c>
      <c r="D246" t="inlineStr">
        <is>
          <t>Esfiharia</t>
        </is>
      </c>
      <c r="E246" t="n">
        <v>37.6</v>
      </c>
      <c r="F246" t="n">
        <v>2</v>
      </c>
      <c r="G246" t="n">
        <v>1</v>
      </c>
      <c r="J246" t="inlineStr">
        <is>
          <t>A</t>
        </is>
      </c>
      <c r="K246" t="n">
        <v>2024</v>
      </c>
      <c r="L246" t="n">
        <v>3</v>
      </c>
      <c r="M246" t="inlineStr">
        <is>
          <t>Todos</t>
        </is>
      </c>
      <c r="N246" t="inlineStr">
        <is>
          <t>Padaria</t>
        </is>
      </c>
      <c r="O246" t="n">
        <v>14</v>
      </c>
      <c r="P246" t="n">
        <v>43</v>
      </c>
      <c r="Q246" t="n">
        <v>14</v>
      </c>
    </row>
    <row r="247">
      <c r="A247" t="n">
        <v>2024</v>
      </c>
      <c r="B247" t="n">
        <v>5</v>
      </c>
      <c r="C247" t="inlineStr">
        <is>
          <t>Muçarela Mozzalet 2 kg</t>
        </is>
      </c>
      <c r="D247" t="inlineStr">
        <is>
          <t>Fábrica de Massas</t>
        </is>
      </c>
      <c r="E247" t="n">
        <v>337.23</v>
      </c>
      <c r="F247" t="n">
        <v>18</v>
      </c>
      <c r="G247" t="n">
        <v>9</v>
      </c>
      <c r="J247" t="inlineStr">
        <is>
          <t>M</t>
        </is>
      </c>
      <c r="K247" t="n">
        <v>2024</v>
      </c>
      <c r="L247" t="n">
        <v>3</v>
      </c>
      <c r="M247" t="inlineStr">
        <is>
          <t>Todos</t>
        </is>
      </c>
      <c r="N247" t="inlineStr">
        <is>
          <t>Padaria</t>
        </is>
      </c>
      <c r="O247" t="n">
        <v>10</v>
      </c>
      <c r="P247" t="n">
        <v>18</v>
      </c>
      <c r="Q247" t="n">
        <v>0</v>
      </c>
    </row>
    <row r="248">
      <c r="A248" t="n">
        <v>2024</v>
      </c>
      <c r="B248" t="n">
        <v>5</v>
      </c>
      <c r="C248" t="inlineStr">
        <is>
          <t>Muçarela Mozzalet 2 kg</t>
        </is>
      </c>
      <c r="D248" t="inlineStr">
        <is>
          <t>Pessoa Física</t>
        </is>
      </c>
      <c r="E248" t="n">
        <v>727.51</v>
      </c>
      <c r="F248" t="n">
        <v>38</v>
      </c>
      <c r="G248" t="n">
        <v>19</v>
      </c>
      <c r="J248" t="inlineStr">
        <is>
          <t>A</t>
        </is>
      </c>
      <c r="K248" t="n">
        <v>2024</v>
      </c>
      <c r="L248" t="n">
        <v>4</v>
      </c>
      <c r="M248" t="inlineStr">
        <is>
          <t>Todos</t>
        </is>
      </c>
      <c r="N248" t="inlineStr">
        <is>
          <t>Padaria</t>
        </is>
      </c>
      <c r="O248" t="n">
        <v>16</v>
      </c>
      <c r="P248" t="n">
        <v>66</v>
      </c>
      <c r="Q248" t="n">
        <v>16</v>
      </c>
    </row>
    <row r="249">
      <c r="A249" t="n">
        <v>2024</v>
      </c>
      <c r="B249" t="n">
        <v>5</v>
      </c>
      <c r="C249" t="inlineStr">
        <is>
          <t>Muçarela Mozzalet 2 kg</t>
        </is>
      </c>
      <c r="D249" t="inlineStr">
        <is>
          <t>Pizzaria</t>
        </is>
      </c>
      <c r="E249" t="n">
        <v>3476.59</v>
      </c>
      <c r="F249" t="n">
        <v>184</v>
      </c>
      <c r="G249" t="n">
        <v>92</v>
      </c>
      <c r="J249" t="inlineStr">
        <is>
          <t>M</t>
        </is>
      </c>
      <c r="K249" t="n">
        <v>2024</v>
      </c>
      <c r="L249" t="n">
        <v>4</v>
      </c>
      <c r="M249" t="inlineStr">
        <is>
          <t>Todos</t>
        </is>
      </c>
      <c r="N249" t="inlineStr">
        <is>
          <t>Padaria</t>
        </is>
      </c>
      <c r="O249" t="n">
        <v>12</v>
      </c>
      <c r="P249" t="n">
        <v>23</v>
      </c>
      <c r="Q249" t="n">
        <v>0</v>
      </c>
    </row>
    <row r="250">
      <c r="A250" t="n">
        <v>2024</v>
      </c>
      <c r="B250" t="n">
        <v>5</v>
      </c>
      <c r="C250" t="inlineStr">
        <is>
          <t>Muçarela Mozzalet 2 kg</t>
        </is>
      </c>
      <c r="D250" t="inlineStr">
        <is>
          <t>Restaurante / Cantina</t>
        </is>
      </c>
      <c r="E250" t="n">
        <v>1817.52</v>
      </c>
      <c r="F250" t="n">
        <v>96</v>
      </c>
      <c r="G250" t="n">
        <v>48</v>
      </c>
      <c r="J250" t="inlineStr">
        <is>
          <t>A</t>
        </is>
      </c>
      <c r="K250" t="n">
        <v>2024</v>
      </c>
      <c r="L250" t="n">
        <v>5</v>
      </c>
      <c r="M250" t="inlineStr">
        <is>
          <t>Todos</t>
        </is>
      </c>
      <c r="N250" t="inlineStr">
        <is>
          <t>Padaria</t>
        </is>
      </c>
      <c r="O250" t="n">
        <v>17</v>
      </c>
      <c r="P250" t="n">
        <v>81</v>
      </c>
      <c r="Q250" t="n">
        <v>17</v>
      </c>
    </row>
    <row r="251">
      <c r="A251" t="n">
        <v>2024</v>
      </c>
      <c r="B251" t="n">
        <v>5</v>
      </c>
      <c r="C251" t="inlineStr">
        <is>
          <t>Muçarela Mozzana 2 kg</t>
        </is>
      </c>
      <c r="D251" t="inlineStr">
        <is>
          <t>Adega</t>
        </is>
      </c>
      <c r="E251" t="n">
        <v>687.6</v>
      </c>
      <c r="F251" t="n">
        <v>36.36</v>
      </c>
      <c r="G251" t="n">
        <v>18</v>
      </c>
      <c r="J251" t="inlineStr">
        <is>
          <t>M</t>
        </is>
      </c>
      <c r="K251" t="n">
        <v>2024</v>
      </c>
      <c r="L251" t="n">
        <v>5</v>
      </c>
      <c r="M251" t="inlineStr">
        <is>
          <t>Todos</t>
        </is>
      </c>
      <c r="N251" t="inlineStr">
        <is>
          <t>Padaria</t>
        </is>
      </c>
      <c r="O251" t="n">
        <v>10</v>
      </c>
      <c r="P251" t="n">
        <v>15</v>
      </c>
      <c r="Q251" t="n">
        <v>0</v>
      </c>
    </row>
    <row r="252">
      <c r="A252" t="n">
        <v>2024</v>
      </c>
      <c r="B252" t="n">
        <v>5</v>
      </c>
      <c r="C252" t="inlineStr">
        <is>
          <t>Muçarela Mozzana 2 kg</t>
        </is>
      </c>
      <c r="D252" t="inlineStr">
        <is>
          <t>Buffet</t>
        </is>
      </c>
      <c r="E252" t="n">
        <v>1160.7</v>
      </c>
      <c r="F252" t="n">
        <v>60.6</v>
      </c>
      <c r="G252" t="n">
        <v>30</v>
      </c>
      <c r="J252" t="inlineStr">
        <is>
          <t>A</t>
        </is>
      </c>
      <c r="K252" t="n">
        <v>2024</v>
      </c>
      <c r="L252" t="n">
        <v>6</v>
      </c>
      <c r="M252" t="inlineStr">
        <is>
          <t>Todos</t>
        </is>
      </c>
      <c r="N252" t="inlineStr">
        <is>
          <t>Padaria</t>
        </is>
      </c>
      <c r="O252" t="n">
        <v>20</v>
      </c>
      <c r="P252" t="n">
        <v>100</v>
      </c>
      <c r="Q252" t="n">
        <v>20</v>
      </c>
    </row>
    <row r="253">
      <c r="A253" t="n">
        <v>2024</v>
      </c>
      <c r="B253" t="n">
        <v>5</v>
      </c>
      <c r="C253" t="inlineStr">
        <is>
          <t>Muçarela Mozzana 2 kg</t>
        </is>
      </c>
      <c r="D253" t="inlineStr">
        <is>
          <t>Confeitaria</t>
        </is>
      </c>
      <c r="E253" t="n">
        <v>393.5</v>
      </c>
      <c r="F253" t="n">
        <v>20.2</v>
      </c>
      <c r="G253" t="n">
        <v>10</v>
      </c>
      <c r="J253" t="inlineStr">
        <is>
          <t>M</t>
        </is>
      </c>
      <c r="K253" t="n">
        <v>2024</v>
      </c>
      <c r="L253" t="n">
        <v>6</v>
      </c>
      <c r="M253" t="inlineStr">
        <is>
          <t>Todos</t>
        </is>
      </c>
      <c r="N253" t="inlineStr">
        <is>
          <t>Padaria</t>
        </is>
      </c>
      <c r="O253" t="n">
        <v>12</v>
      </c>
      <c r="P253" t="n">
        <v>19</v>
      </c>
      <c r="Q253" t="n">
        <v>0</v>
      </c>
    </row>
    <row r="254">
      <c r="A254" t="n">
        <v>2024</v>
      </c>
      <c r="B254" t="n">
        <v>5</v>
      </c>
      <c r="C254" t="inlineStr">
        <is>
          <t>Muçarela Mozzana 2 kg</t>
        </is>
      </c>
      <c r="D254" t="inlineStr">
        <is>
          <t>Cozinha Industrial</t>
        </is>
      </c>
      <c r="E254" t="n">
        <v>10831.27</v>
      </c>
      <c r="F254" t="n">
        <v>579.74</v>
      </c>
      <c r="G254" t="n">
        <v>287</v>
      </c>
      <c r="J254" t="inlineStr">
        <is>
          <t>A</t>
        </is>
      </c>
      <c r="K254" t="n">
        <v>2024</v>
      </c>
      <c r="L254" t="n">
        <v>7</v>
      </c>
      <c r="M254" t="inlineStr">
        <is>
          <t>Todos</t>
        </is>
      </c>
      <c r="N254" t="inlineStr">
        <is>
          <t>Padaria</t>
        </is>
      </c>
      <c r="O254" t="n">
        <v>21</v>
      </c>
      <c r="P254" t="n">
        <v>119</v>
      </c>
      <c r="Q254" t="n">
        <v>21</v>
      </c>
    </row>
    <row r="255">
      <c r="A255" t="n">
        <v>2024</v>
      </c>
      <c r="B255" t="n">
        <v>5</v>
      </c>
      <c r="C255" t="inlineStr">
        <is>
          <t>Muçarela Mozzana 2 kg</t>
        </is>
      </c>
      <c r="D255" t="inlineStr">
        <is>
          <t>Cozinha Oriental</t>
        </is>
      </c>
      <c r="E255" t="n">
        <v>265.3</v>
      </c>
      <c r="F255" t="n">
        <v>14.14</v>
      </c>
      <c r="G255" t="n">
        <v>7</v>
      </c>
      <c r="J255" t="inlineStr">
        <is>
          <t>M</t>
        </is>
      </c>
      <c r="K255" t="n">
        <v>2024</v>
      </c>
      <c r="L255" t="n">
        <v>7</v>
      </c>
      <c r="M255" t="inlineStr">
        <is>
          <t>Todos</t>
        </is>
      </c>
      <c r="N255" t="inlineStr">
        <is>
          <t>Padaria</t>
        </is>
      </c>
      <c r="O255" t="n">
        <v>11</v>
      </c>
      <c r="P255" t="n">
        <v>19</v>
      </c>
      <c r="Q255" t="n">
        <v>0</v>
      </c>
    </row>
    <row r="256">
      <c r="A256" t="n">
        <v>2024</v>
      </c>
      <c r="B256" t="n">
        <v>5</v>
      </c>
      <c r="C256" t="inlineStr">
        <is>
          <t>Muçarela Mozzana 2 kg</t>
        </is>
      </c>
      <c r="D256" t="inlineStr">
        <is>
          <t>Esfiharia</t>
        </is>
      </c>
      <c r="E256" t="n">
        <v>3341.15</v>
      </c>
      <c r="F256" t="n">
        <v>175.74</v>
      </c>
      <c r="G256" t="n">
        <v>87</v>
      </c>
      <c r="J256" t="inlineStr">
        <is>
          <t>A</t>
        </is>
      </c>
      <c r="K256" t="n">
        <v>2024</v>
      </c>
      <c r="L256" t="n">
        <v>8</v>
      </c>
      <c r="M256" t="inlineStr">
        <is>
          <t>Todos</t>
        </is>
      </c>
      <c r="N256" t="inlineStr">
        <is>
          <t>Padaria</t>
        </is>
      </c>
      <c r="O256" t="n">
        <v>27</v>
      </c>
      <c r="P256" t="n">
        <v>147</v>
      </c>
      <c r="Q256" t="n">
        <v>27</v>
      </c>
    </row>
    <row r="257">
      <c r="A257" t="n">
        <v>2024</v>
      </c>
      <c r="B257" t="n">
        <v>5</v>
      </c>
      <c r="C257" t="inlineStr">
        <is>
          <t>Muçarela Mozzana 2 kg</t>
        </is>
      </c>
      <c r="D257" t="inlineStr">
        <is>
          <t>Fábrica de Massas</t>
        </is>
      </c>
      <c r="E257" t="n">
        <v>22546.1</v>
      </c>
      <c r="F257" t="n">
        <v>1189.78</v>
      </c>
      <c r="G257" t="n">
        <v>589</v>
      </c>
      <c r="J257" t="inlineStr">
        <is>
          <t>M</t>
        </is>
      </c>
      <c r="K257" t="n">
        <v>2024</v>
      </c>
      <c r="L257" t="n">
        <v>8</v>
      </c>
      <c r="M257" t="inlineStr">
        <is>
          <t>Todos</t>
        </is>
      </c>
      <c r="N257" t="inlineStr">
        <is>
          <t>Padaria</t>
        </is>
      </c>
      <c r="O257" t="n">
        <v>17</v>
      </c>
      <c r="P257" t="n">
        <v>28</v>
      </c>
      <c r="Q257" t="n">
        <v>0</v>
      </c>
    </row>
    <row r="258">
      <c r="A258" t="n">
        <v>2024</v>
      </c>
      <c r="B258" t="n">
        <v>5</v>
      </c>
      <c r="C258" t="inlineStr">
        <is>
          <t>Muçarela Mozzana 2 kg</t>
        </is>
      </c>
      <c r="D258" t="inlineStr">
        <is>
          <t>Hamburgueria</t>
        </is>
      </c>
      <c r="E258" t="n">
        <v>505.67</v>
      </c>
      <c r="F258" t="n">
        <v>26.26</v>
      </c>
      <c r="G258" t="n">
        <v>13</v>
      </c>
      <c r="J258" t="inlineStr">
        <is>
          <t>A</t>
        </is>
      </c>
      <c r="K258" t="n">
        <v>2024</v>
      </c>
      <c r="L258" t="n">
        <v>9</v>
      </c>
      <c r="M258" t="inlineStr">
        <is>
          <t>Todos</t>
        </is>
      </c>
      <c r="N258" t="inlineStr">
        <is>
          <t>Padaria</t>
        </is>
      </c>
      <c r="O258" t="n">
        <v>29</v>
      </c>
      <c r="P258" t="n">
        <v>165</v>
      </c>
      <c r="Q258" t="n">
        <v>29</v>
      </c>
    </row>
    <row r="259">
      <c r="A259" t="n">
        <v>2024</v>
      </c>
      <c r="B259" t="n">
        <v>5</v>
      </c>
      <c r="C259" t="inlineStr">
        <is>
          <t>Muçarela Mozzana 2 kg</t>
        </is>
      </c>
      <c r="D259" t="inlineStr">
        <is>
          <t>Lanchonete / Cafeteria</t>
        </is>
      </c>
      <c r="E259" t="n">
        <v>1829.09</v>
      </c>
      <c r="F259" t="n">
        <v>94.94</v>
      </c>
      <c r="G259" t="n">
        <v>47</v>
      </c>
      <c r="J259" t="inlineStr">
        <is>
          <t>M</t>
        </is>
      </c>
      <c r="K259" t="n">
        <v>2024</v>
      </c>
      <c r="L259" t="n">
        <v>9</v>
      </c>
      <c r="M259" t="inlineStr">
        <is>
          <t>Todos</t>
        </is>
      </c>
      <c r="N259" t="inlineStr">
        <is>
          <t>Padaria</t>
        </is>
      </c>
      <c r="O259" t="n">
        <v>10</v>
      </c>
      <c r="P259" t="n">
        <v>18</v>
      </c>
      <c r="Q259" t="n">
        <v>0</v>
      </c>
    </row>
    <row r="260">
      <c r="A260" t="n">
        <v>2024</v>
      </c>
      <c r="B260" t="n">
        <v>5</v>
      </c>
      <c r="C260" t="inlineStr">
        <is>
          <t>Muçarela Mozzana 2 kg</t>
        </is>
      </c>
      <c r="D260" t="inlineStr">
        <is>
          <t>Laticínios / Distribuidor</t>
        </is>
      </c>
      <c r="E260" t="n">
        <v>2850.63</v>
      </c>
      <c r="F260" t="n">
        <v>151.5</v>
      </c>
      <c r="G260" t="n">
        <v>75</v>
      </c>
      <c r="J260" t="inlineStr">
        <is>
          <t>A</t>
        </is>
      </c>
      <c r="K260" t="n">
        <v>2024</v>
      </c>
      <c r="L260" t="n">
        <v>10</v>
      </c>
      <c r="M260" t="inlineStr">
        <is>
          <t>Todos</t>
        </is>
      </c>
      <c r="N260" t="inlineStr">
        <is>
          <t>Padaria</t>
        </is>
      </c>
      <c r="O260" t="n">
        <v>29</v>
      </c>
      <c r="P260" t="n">
        <v>191</v>
      </c>
      <c r="Q260" t="n">
        <v>29</v>
      </c>
    </row>
    <row r="261">
      <c r="A261" t="n">
        <v>2024</v>
      </c>
      <c r="B261" t="n">
        <v>5</v>
      </c>
      <c r="C261" t="inlineStr">
        <is>
          <t>Muçarela Mozzana 2 kg</t>
        </is>
      </c>
      <c r="D261" t="inlineStr">
        <is>
          <t>Mercearia / Sacolão</t>
        </is>
      </c>
      <c r="E261" t="n">
        <v>1362.6</v>
      </c>
      <c r="F261" t="n">
        <v>72.72</v>
      </c>
      <c r="G261" t="n">
        <v>36</v>
      </c>
      <c r="J261" t="inlineStr">
        <is>
          <t>M</t>
        </is>
      </c>
      <c r="K261" t="n">
        <v>2024</v>
      </c>
      <c r="L261" t="n">
        <v>10</v>
      </c>
      <c r="M261" t="inlineStr">
        <is>
          <t>Todos</t>
        </is>
      </c>
      <c r="N261" t="inlineStr">
        <is>
          <t>Padaria</t>
        </is>
      </c>
      <c r="O261" t="n">
        <v>12</v>
      </c>
      <c r="P261" t="n">
        <v>26</v>
      </c>
      <c r="Q261" t="n">
        <v>0</v>
      </c>
    </row>
    <row r="262">
      <c r="A262" t="n">
        <v>2024</v>
      </c>
      <c r="B262" t="n">
        <v>5</v>
      </c>
      <c r="C262" t="inlineStr">
        <is>
          <t>Muçarela Mozzana 2 kg</t>
        </is>
      </c>
      <c r="D262" t="inlineStr">
        <is>
          <t>Não Selecionado</t>
        </is>
      </c>
      <c r="E262" t="n">
        <v>349.02</v>
      </c>
      <c r="F262" t="n">
        <v>18.18</v>
      </c>
      <c r="G262" t="n">
        <v>9</v>
      </c>
      <c r="J262" t="inlineStr">
        <is>
          <t>A</t>
        </is>
      </c>
      <c r="K262" t="n">
        <v>2024</v>
      </c>
      <c r="L262" t="n">
        <v>11</v>
      </c>
      <c r="M262" t="inlineStr">
        <is>
          <t>Todos</t>
        </is>
      </c>
      <c r="N262" t="inlineStr">
        <is>
          <t>Padaria</t>
        </is>
      </c>
      <c r="O262" t="n">
        <v>30</v>
      </c>
      <c r="P262" t="n">
        <v>208</v>
      </c>
      <c r="Q262" t="n">
        <v>30</v>
      </c>
    </row>
    <row r="263">
      <c r="A263" t="n">
        <v>2024</v>
      </c>
      <c r="B263" t="n">
        <v>5</v>
      </c>
      <c r="C263" t="inlineStr">
        <is>
          <t>Muçarela Mozzana 2 kg</t>
        </is>
      </c>
      <c r="D263" t="inlineStr">
        <is>
          <t>Outros</t>
        </is>
      </c>
      <c r="E263" t="n">
        <v>25110.9</v>
      </c>
      <c r="F263" t="n">
        <v>1321.08</v>
      </c>
      <c r="G263" t="n">
        <v>654</v>
      </c>
      <c r="J263" t="inlineStr">
        <is>
          <t>M</t>
        </is>
      </c>
      <c r="K263" t="n">
        <v>2024</v>
      </c>
      <c r="L263" t="n">
        <v>11</v>
      </c>
      <c r="M263" t="inlineStr">
        <is>
          <t>Todos</t>
        </is>
      </c>
      <c r="N263" t="inlineStr">
        <is>
          <t>Padaria</t>
        </is>
      </c>
      <c r="O263" t="n">
        <v>13</v>
      </c>
      <c r="P263" t="n">
        <v>17</v>
      </c>
      <c r="Q263" t="n">
        <v>0</v>
      </c>
    </row>
    <row r="264">
      <c r="A264" t="n">
        <v>2024</v>
      </c>
      <c r="B264" t="n">
        <v>5</v>
      </c>
      <c r="C264" t="inlineStr">
        <is>
          <t>Muçarela Mozzana 2 kg</t>
        </is>
      </c>
      <c r="D264" t="inlineStr">
        <is>
          <t>Padaria</t>
        </is>
      </c>
      <c r="E264" t="n">
        <v>2403.38</v>
      </c>
      <c r="F264" t="n">
        <v>125.24</v>
      </c>
      <c r="G264" t="n">
        <v>62</v>
      </c>
      <c r="J264" t="inlineStr">
        <is>
          <t>A</t>
        </is>
      </c>
      <c r="K264" t="n">
        <v>2024</v>
      </c>
      <c r="L264" t="n">
        <v>12</v>
      </c>
      <c r="M264" t="inlineStr">
        <is>
          <t>Todos</t>
        </is>
      </c>
      <c r="N264" t="inlineStr">
        <is>
          <t>Padaria</t>
        </is>
      </c>
      <c r="O264" t="n">
        <v>31</v>
      </c>
      <c r="P264" t="n">
        <v>224</v>
      </c>
      <c r="Q264" t="n">
        <v>31</v>
      </c>
    </row>
    <row r="265">
      <c r="A265" t="n">
        <v>2024</v>
      </c>
      <c r="B265" t="n">
        <v>5</v>
      </c>
      <c r="C265" t="inlineStr">
        <is>
          <t>Muçarela Mozzana 2 kg</t>
        </is>
      </c>
      <c r="D265" t="inlineStr">
        <is>
          <t>Pastelaria</t>
        </is>
      </c>
      <c r="E265" t="n">
        <v>5673.84</v>
      </c>
      <c r="F265" t="n">
        <v>294.92</v>
      </c>
      <c r="G265" t="n">
        <v>146</v>
      </c>
      <c r="J265" t="inlineStr">
        <is>
          <t>M</t>
        </is>
      </c>
      <c r="K265" t="n">
        <v>2024</v>
      </c>
      <c r="L265" t="n">
        <v>12</v>
      </c>
      <c r="M265" t="inlineStr">
        <is>
          <t>Todos</t>
        </is>
      </c>
      <c r="N265" t="inlineStr">
        <is>
          <t>Padaria</t>
        </is>
      </c>
      <c r="O265" t="n">
        <v>10</v>
      </c>
      <c r="P265" t="n">
        <v>16</v>
      </c>
      <c r="Q265" t="n">
        <v>0</v>
      </c>
    </row>
    <row r="266">
      <c r="A266" t="n">
        <v>2024</v>
      </c>
      <c r="B266" t="n">
        <v>5</v>
      </c>
      <c r="C266" t="inlineStr">
        <is>
          <t>Muçarela Mozzana 2 kg</t>
        </is>
      </c>
      <c r="D266" t="inlineStr">
        <is>
          <t>Pessoa Física</t>
        </is>
      </c>
      <c r="E266" t="n">
        <v>15660.53</v>
      </c>
      <c r="F266" t="n">
        <v>824.16</v>
      </c>
      <c r="G266" t="n">
        <v>408</v>
      </c>
      <c r="J266" t="inlineStr">
        <is>
          <t>A</t>
        </is>
      </c>
      <c r="K266" t="n">
        <v>2024</v>
      </c>
      <c r="L266" t="n">
        <v>1</v>
      </c>
      <c r="M266" t="inlineStr">
        <is>
          <t>Todos</t>
        </is>
      </c>
      <c r="N266" t="inlineStr">
        <is>
          <t>Supermercado</t>
        </is>
      </c>
      <c r="O266" t="n">
        <v>7</v>
      </c>
      <c r="P266" t="n">
        <v>13</v>
      </c>
      <c r="Q266" t="n">
        <v>7</v>
      </c>
    </row>
    <row r="267">
      <c r="A267" t="n">
        <v>2024</v>
      </c>
      <c r="B267" t="n">
        <v>5</v>
      </c>
      <c r="C267" t="inlineStr">
        <is>
          <t>Muçarela Mozzana 2 kg</t>
        </is>
      </c>
      <c r="D267" t="inlineStr">
        <is>
          <t>Pizzaria</t>
        </is>
      </c>
      <c r="E267" t="n">
        <v>119208.26</v>
      </c>
      <c r="F267" t="n">
        <v>6262</v>
      </c>
      <c r="G267" t="n">
        <v>3100</v>
      </c>
      <c r="J267" t="inlineStr">
        <is>
          <t>M</t>
        </is>
      </c>
      <c r="K267" t="n">
        <v>2024</v>
      </c>
      <c r="L267" t="n">
        <v>1</v>
      </c>
      <c r="M267" t="inlineStr">
        <is>
          <t>Todos</t>
        </is>
      </c>
      <c r="N267" t="inlineStr">
        <is>
          <t>Supermercado</t>
        </is>
      </c>
      <c r="O267" t="n">
        <v>7</v>
      </c>
      <c r="P267" t="n">
        <v>13</v>
      </c>
      <c r="Q267" t="n">
        <v>0</v>
      </c>
    </row>
    <row r="268">
      <c r="A268" t="n">
        <v>2024</v>
      </c>
      <c r="B268" t="n">
        <v>5</v>
      </c>
      <c r="C268" t="inlineStr">
        <is>
          <t>Muçarela Mozzana 2 kg</t>
        </is>
      </c>
      <c r="D268" t="inlineStr">
        <is>
          <t>Restaurante / Cantina</t>
        </is>
      </c>
      <c r="E268" t="n">
        <v>22210.46</v>
      </c>
      <c r="F268" t="n">
        <v>1187.76</v>
      </c>
      <c r="G268" t="n">
        <v>588</v>
      </c>
      <c r="J268" t="inlineStr">
        <is>
          <t>A</t>
        </is>
      </c>
      <c r="K268" t="n">
        <v>2024</v>
      </c>
      <c r="L268" t="n">
        <v>2</v>
      </c>
      <c r="M268" t="inlineStr">
        <is>
          <t>Todos</t>
        </is>
      </c>
      <c r="N268" t="inlineStr">
        <is>
          <t>Supermercado</t>
        </is>
      </c>
      <c r="O268" t="n">
        <v>9</v>
      </c>
      <c r="P268" t="n">
        <v>27</v>
      </c>
      <c r="Q268" t="n">
        <v>9</v>
      </c>
    </row>
    <row r="269">
      <c r="A269" t="n">
        <v>2024</v>
      </c>
      <c r="B269" t="n">
        <v>5</v>
      </c>
      <c r="C269" t="inlineStr">
        <is>
          <t>Muçarela Mozzana 2 kg</t>
        </is>
      </c>
      <c r="D269" t="inlineStr">
        <is>
          <t>Rotisserie</t>
        </is>
      </c>
      <c r="E269" t="n">
        <v>76.8</v>
      </c>
      <c r="F269" t="n">
        <v>4.04</v>
      </c>
      <c r="G269" t="n">
        <v>2</v>
      </c>
      <c r="J269" t="inlineStr">
        <is>
          <t>M</t>
        </is>
      </c>
      <c r="K269" t="n">
        <v>2024</v>
      </c>
      <c r="L269" t="n">
        <v>2</v>
      </c>
      <c r="M269" t="inlineStr">
        <is>
          <t>Todos</t>
        </is>
      </c>
      <c r="N269" t="inlineStr">
        <is>
          <t>Supermercado</t>
        </is>
      </c>
      <c r="O269" t="n">
        <v>6</v>
      </c>
      <c r="P269" t="n">
        <v>14</v>
      </c>
      <c r="Q269" t="n">
        <v>0</v>
      </c>
    </row>
    <row r="270">
      <c r="A270" t="n">
        <v>2024</v>
      </c>
      <c r="B270" t="n">
        <v>5</v>
      </c>
      <c r="C270" t="inlineStr">
        <is>
          <t>Muçarela Mozzana 2 kg</t>
        </is>
      </c>
      <c r="D270" t="inlineStr">
        <is>
          <t>Supermercado</t>
        </is>
      </c>
      <c r="E270" t="n">
        <v>3290</v>
      </c>
      <c r="F270" t="n">
        <v>161.6</v>
      </c>
      <c r="G270" t="n">
        <v>80</v>
      </c>
      <c r="J270" t="inlineStr">
        <is>
          <t>A</t>
        </is>
      </c>
      <c r="K270" t="n">
        <v>2024</v>
      </c>
      <c r="L270" t="n">
        <v>3</v>
      </c>
      <c r="M270" t="inlineStr">
        <is>
          <t>Todos</t>
        </is>
      </c>
      <c r="N270" t="inlineStr">
        <is>
          <t>Supermercado</t>
        </is>
      </c>
      <c r="O270" t="n">
        <v>14</v>
      </c>
      <c r="P270" t="n">
        <v>43</v>
      </c>
      <c r="Q270" t="n">
        <v>14</v>
      </c>
    </row>
    <row r="271">
      <c r="A271" t="n">
        <v>2024</v>
      </c>
      <c r="B271" t="n">
        <v>5</v>
      </c>
      <c r="C271" t="inlineStr">
        <is>
          <t>Requeijão Pizzalet 1,8 kg</t>
        </is>
      </c>
      <c r="D271" t="inlineStr">
        <is>
          <t>Bar / Chopperia</t>
        </is>
      </c>
      <c r="E271" t="n">
        <v>162.48</v>
      </c>
      <c r="F271" t="n">
        <v>22.08</v>
      </c>
      <c r="G271" t="n">
        <v>12</v>
      </c>
      <c r="J271" t="inlineStr">
        <is>
          <t>M</t>
        </is>
      </c>
      <c r="K271" t="n">
        <v>2024</v>
      </c>
      <c r="L271" t="n">
        <v>3</v>
      </c>
      <c r="M271" t="inlineStr">
        <is>
          <t>Todos</t>
        </is>
      </c>
      <c r="N271" t="inlineStr">
        <is>
          <t>Supermercado</t>
        </is>
      </c>
      <c r="O271" t="n">
        <v>10</v>
      </c>
      <c r="P271" t="n">
        <v>16</v>
      </c>
      <c r="Q271" t="n">
        <v>0</v>
      </c>
    </row>
    <row r="272">
      <c r="A272" t="n">
        <v>2024</v>
      </c>
      <c r="B272" t="n">
        <v>5</v>
      </c>
      <c r="C272" t="inlineStr">
        <is>
          <t>Requeijão Pizzalet 1,8 kg</t>
        </is>
      </c>
      <c r="D272" t="inlineStr">
        <is>
          <t>Lanchonete / Cafeteria</t>
        </is>
      </c>
      <c r="E272" t="n">
        <v>1003.32</v>
      </c>
      <c r="F272" t="n">
        <v>136.16</v>
      </c>
      <c r="G272" t="n">
        <v>74</v>
      </c>
      <c r="J272" t="inlineStr">
        <is>
          <t>A</t>
        </is>
      </c>
      <c r="K272" t="n">
        <v>2024</v>
      </c>
      <c r="L272" t="n">
        <v>4</v>
      </c>
      <c r="M272" t="inlineStr">
        <is>
          <t>Todos</t>
        </is>
      </c>
      <c r="N272" t="inlineStr">
        <is>
          <t>Supermercado</t>
        </is>
      </c>
      <c r="O272" t="n">
        <v>15</v>
      </c>
      <c r="P272" t="n">
        <v>55</v>
      </c>
      <c r="Q272" t="n">
        <v>15</v>
      </c>
    </row>
    <row r="273">
      <c r="A273" t="n">
        <v>2024</v>
      </c>
      <c r="B273" t="n">
        <v>5</v>
      </c>
      <c r="C273" t="inlineStr">
        <is>
          <t>Requeijão Pizzalet 1,8 kg</t>
        </is>
      </c>
      <c r="D273" t="inlineStr">
        <is>
          <t>Pastelaria</t>
        </is>
      </c>
      <c r="E273" t="n">
        <v>1967.4</v>
      </c>
      <c r="F273" t="n">
        <v>266.8</v>
      </c>
      <c r="G273" t="n">
        <v>145</v>
      </c>
      <c r="J273" t="inlineStr">
        <is>
          <t>M</t>
        </is>
      </c>
      <c r="K273" t="n">
        <v>2024</v>
      </c>
      <c r="L273" t="n">
        <v>4</v>
      </c>
      <c r="M273" t="inlineStr">
        <is>
          <t>Todos</t>
        </is>
      </c>
      <c r="N273" t="inlineStr">
        <is>
          <t>Supermercado</t>
        </is>
      </c>
      <c r="O273" t="n">
        <v>4</v>
      </c>
      <c r="P273" t="n">
        <v>12</v>
      </c>
      <c r="Q273" t="n">
        <v>0</v>
      </c>
    </row>
    <row r="274">
      <c r="A274" t="n">
        <v>2024</v>
      </c>
      <c r="B274" t="n">
        <v>5</v>
      </c>
      <c r="C274" t="inlineStr">
        <is>
          <t>Requeijão Pizzalet 1,8 kg</t>
        </is>
      </c>
      <c r="D274" t="inlineStr">
        <is>
          <t>Pizzaria</t>
        </is>
      </c>
      <c r="E274" t="n">
        <v>5597.14</v>
      </c>
      <c r="F274" t="n">
        <v>763.6</v>
      </c>
      <c r="G274" t="n">
        <v>415</v>
      </c>
      <c r="J274" t="inlineStr">
        <is>
          <t>A</t>
        </is>
      </c>
      <c r="K274" t="n">
        <v>2024</v>
      </c>
      <c r="L274" t="n">
        <v>5</v>
      </c>
      <c r="M274" t="inlineStr">
        <is>
          <t>Todos</t>
        </is>
      </c>
      <c r="N274" t="inlineStr">
        <is>
          <t>Supermercado</t>
        </is>
      </c>
      <c r="O274" t="n">
        <v>15</v>
      </c>
      <c r="P274" t="n">
        <v>66</v>
      </c>
      <c r="Q274" t="n">
        <v>15</v>
      </c>
    </row>
    <row r="275">
      <c r="A275" t="n">
        <v>2024</v>
      </c>
      <c r="B275" t="n">
        <v>5</v>
      </c>
      <c r="C275" t="inlineStr">
        <is>
          <t>Requeijão Pizzalet 1,8 kg</t>
        </is>
      </c>
      <c r="D275" t="inlineStr">
        <is>
          <t>Restaurante / Cantina</t>
        </is>
      </c>
      <c r="E275" t="n">
        <v>447.12</v>
      </c>
      <c r="F275" t="n">
        <v>60.72</v>
      </c>
      <c r="G275" t="n">
        <v>33</v>
      </c>
      <c r="J275" t="inlineStr">
        <is>
          <t>M</t>
        </is>
      </c>
      <c r="K275" t="n">
        <v>2024</v>
      </c>
      <c r="L275" t="n">
        <v>5</v>
      </c>
      <c r="M275" t="inlineStr">
        <is>
          <t>Todos</t>
        </is>
      </c>
      <c r="N275" t="inlineStr">
        <is>
          <t>Supermercado</t>
        </is>
      </c>
      <c r="O275" t="n">
        <v>3</v>
      </c>
      <c r="P275" t="n">
        <v>11</v>
      </c>
      <c r="Q275" t="n">
        <v>0</v>
      </c>
    </row>
    <row r="276">
      <c r="A276" t="n">
        <v>2024</v>
      </c>
      <c r="B276" t="n">
        <v>6</v>
      </c>
      <c r="C276" t="inlineStr">
        <is>
          <t>Chocolate em pó 50% 1 kg</t>
        </is>
      </c>
      <c r="D276" t="inlineStr">
        <is>
          <t>Casa Noturna</t>
        </is>
      </c>
      <c r="E276" t="n">
        <v>174</v>
      </c>
      <c r="F276" t="n">
        <v>6.12</v>
      </c>
      <c r="G276" t="n">
        <v>6</v>
      </c>
      <c r="J276" t="inlineStr">
        <is>
          <t>A</t>
        </is>
      </c>
      <c r="K276" t="n">
        <v>2024</v>
      </c>
      <c r="L276" t="n">
        <v>6</v>
      </c>
      <c r="M276" t="inlineStr">
        <is>
          <t>Todos</t>
        </is>
      </c>
      <c r="N276" t="inlineStr">
        <is>
          <t>Supermercado</t>
        </is>
      </c>
      <c r="O276" t="n">
        <v>16</v>
      </c>
      <c r="P276" t="n">
        <v>80</v>
      </c>
      <c r="Q276" t="n">
        <v>16</v>
      </c>
    </row>
    <row r="277">
      <c r="A277" t="n">
        <v>2024</v>
      </c>
      <c r="B277" t="n">
        <v>6</v>
      </c>
      <c r="C277" t="inlineStr">
        <is>
          <t>Chocolate em pó 50% 1 kg</t>
        </is>
      </c>
      <c r="D277" t="inlineStr">
        <is>
          <t>Churrascaria</t>
        </is>
      </c>
      <c r="E277" t="n">
        <v>29.55</v>
      </c>
      <c r="F277" t="n">
        <v>1.02</v>
      </c>
      <c r="G277" t="n">
        <v>1</v>
      </c>
      <c r="J277" t="inlineStr">
        <is>
          <t>M</t>
        </is>
      </c>
      <c r="K277" t="n">
        <v>2024</v>
      </c>
      <c r="L277" t="n">
        <v>6</v>
      </c>
      <c r="M277" t="inlineStr">
        <is>
          <t>Todos</t>
        </is>
      </c>
      <c r="N277" t="inlineStr">
        <is>
          <t>Supermercado</t>
        </is>
      </c>
      <c r="O277" t="n">
        <v>6</v>
      </c>
      <c r="P277" t="n">
        <v>14</v>
      </c>
      <c r="Q277" t="n">
        <v>0</v>
      </c>
    </row>
    <row r="278">
      <c r="A278" t="n">
        <v>2024</v>
      </c>
      <c r="B278" t="n">
        <v>6</v>
      </c>
      <c r="C278" t="inlineStr">
        <is>
          <t>Chocolate em pó 50% 1 kg</t>
        </is>
      </c>
      <c r="D278" t="inlineStr">
        <is>
          <t>Cozinha Industrial</t>
        </is>
      </c>
      <c r="E278" t="n">
        <v>613.78</v>
      </c>
      <c r="F278" t="n">
        <v>21.42</v>
      </c>
      <c r="G278" t="n">
        <v>21</v>
      </c>
      <c r="J278" t="inlineStr">
        <is>
          <t>A</t>
        </is>
      </c>
      <c r="K278" t="n">
        <v>2024</v>
      </c>
      <c r="L278" t="n">
        <v>7</v>
      </c>
      <c r="M278" t="inlineStr">
        <is>
          <t>Todos</t>
        </is>
      </c>
      <c r="N278" t="inlineStr">
        <is>
          <t>Supermercado</t>
        </is>
      </c>
      <c r="O278" t="n">
        <v>16</v>
      </c>
      <c r="P278" t="n">
        <v>89</v>
      </c>
      <c r="Q278" t="n">
        <v>16</v>
      </c>
    </row>
    <row r="279">
      <c r="A279" t="n">
        <v>2024</v>
      </c>
      <c r="B279" t="n">
        <v>6</v>
      </c>
      <c r="C279" t="inlineStr">
        <is>
          <t>Chocolate em pó 50% 1 kg</t>
        </is>
      </c>
      <c r="D279" t="inlineStr">
        <is>
          <t>Fábrica de Massas</t>
        </is>
      </c>
      <c r="E279" t="n">
        <v>29.78</v>
      </c>
      <c r="F279" t="n">
        <v>1.02</v>
      </c>
      <c r="G279" t="n">
        <v>1</v>
      </c>
      <c r="J279" t="inlineStr">
        <is>
          <t>M</t>
        </is>
      </c>
      <c r="K279" t="n">
        <v>2024</v>
      </c>
      <c r="L279" t="n">
        <v>7</v>
      </c>
      <c r="M279" t="inlineStr">
        <is>
          <t>Todos</t>
        </is>
      </c>
      <c r="N279" t="inlineStr">
        <is>
          <t>Supermercado</t>
        </is>
      </c>
      <c r="O279" t="n">
        <v>4</v>
      </c>
      <c r="P279" t="n">
        <v>9</v>
      </c>
      <c r="Q279" t="n">
        <v>0</v>
      </c>
    </row>
    <row r="280">
      <c r="A280" t="n">
        <v>2024</v>
      </c>
      <c r="B280" t="n">
        <v>6</v>
      </c>
      <c r="C280" t="inlineStr">
        <is>
          <t>Chocolate em pó 50% 1 kg</t>
        </is>
      </c>
      <c r="D280" t="inlineStr">
        <is>
          <t>Hamburgueria</t>
        </is>
      </c>
      <c r="E280" t="n">
        <v>147.8</v>
      </c>
      <c r="F280" t="n">
        <v>5.1</v>
      </c>
      <c r="G280" t="n">
        <v>5</v>
      </c>
      <c r="J280" t="inlineStr">
        <is>
          <t>A</t>
        </is>
      </c>
      <c r="K280" t="n">
        <v>2024</v>
      </c>
      <c r="L280" t="n">
        <v>8</v>
      </c>
      <c r="M280" t="inlineStr">
        <is>
          <t>Todos</t>
        </is>
      </c>
      <c r="N280" t="inlineStr">
        <is>
          <t>Supermercado</t>
        </is>
      </c>
      <c r="O280" t="n">
        <v>19</v>
      </c>
      <c r="P280" t="n">
        <v>103</v>
      </c>
      <c r="Q280" t="n">
        <v>19</v>
      </c>
    </row>
    <row r="281">
      <c r="A281" t="n">
        <v>2024</v>
      </c>
      <c r="B281" t="n">
        <v>6</v>
      </c>
      <c r="C281" t="inlineStr">
        <is>
          <t>Chocolate em pó 50% 1 kg</t>
        </is>
      </c>
      <c r="D281" t="inlineStr">
        <is>
          <t>Hotel / Motel / Pousada</t>
        </is>
      </c>
      <c r="E281" t="n">
        <v>839.55</v>
      </c>
      <c r="F281" t="n">
        <v>29.58</v>
      </c>
      <c r="G281" t="n">
        <v>29</v>
      </c>
      <c r="J281" t="inlineStr">
        <is>
          <t>M</t>
        </is>
      </c>
      <c r="K281" t="n">
        <v>2024</v>
      </c>
      <c r="L281" t="n">
        <v>8</v>
      </c>
      <c r="M281" t="inlineStr">
        <is>
          <t>Todos</t>
        </is>
      </c>
      <c r="N281" t="inlineStr">
        <is>
          <t>Supermercado</t>
        </is>
      </c>
      <c r="O281" t="n">
        <v>6</v>
      </c>
      <c r="P281" t="n">
        <v>14</v>
      </c>
      <c r="Q281" t="n">
        <v>0</v>
      </c>
    </row>
    <row r="282">
      <c r="A282" t="n">
        <v>2024</v>
      </c>
      <c r="B282" t="n">
        <v>6</v>
      </c>
      <c r="C282" t="inlineStr">
        <is>
          <t>Chocolate em pó 50% 1 kg</t>
        </is>
      </c>
      <c r="D282" t="inlineStr">
        <is>
          <t>Lanchonete / Cafeteria</t>
        </is>
      </c>
      <c r="E282" t="n">
        <v>88.68000000000001</v>
      </c>
      <c r="F282" t="n">
        <v>3.06</v>
      </c>
      <c r="G282" t="n">
        <v>3</v>
      </c>
      <c r="J282" t="inlineStr">
        <is>
          <t>A</t>
        </is>
      </c>
      <c r="K282" t="n">
        <v>2024</v>
      </c>
      <c r="L282" t="n">
        <v>9</v>
      </c>
      <c r="M282" t="inlineStr">
        <is>
          <t>Todos</t>
        </is>
      </c>
      <c r="N282" t="inlineStr">
        <is>
          <t>Supermercado</t>
        </is>
      </c>
      <c r="O282" t="n">
        <v>19</v>
      </c>
      <c r="P282" t="n">
        <v>115</v>
      </c>
      <c r="Q282" t="n">
        <v>19</v>
      </c>
    </row>
    <row r="283">
      <c r="A283" t="n">
        <v>2024</v>
      </c>
      <c r="B283" t="n">
        <v>6</v>
      </c>
      <c r="C283" t="inlineStr">
        <is>
          <t>Chocolate em pó 50% 1 kg</t>
        </is>
      </c>
      <c r="D283" t="inlineStr">
        <is>
          <t>Outros</t>
        </is>
      </c>
      <c r="E283" t="n">
        <v>292.12</v>
      </c>
      <c r="F283" t="n">
        <v>10.2</v>
      </c>
      <c r="G283" t="n">
        <v>10</v>
      </c>
      <c r="J283" t="inlineStr">
        <is>
          <t>M</t>
        </is>
      </c>
      <c r="K283" t="n">
        <v>2024</v>
      </c>
      <c r="L283" t="n">
        <v>9</v>
      </c>
      <c r="M283" t="inlineStr">
        <is>
          <t>Todos</t>
        </is>
      </c>
      <c r="N283" t="inlineStr">
        <is>
          <t>Supermercado</t>
        </is>
      </c>
      <c r="O283" t="n">
        <v>2</v>
      </c>
      <c r="P283" t="n">
        <v>12</v>
      </c>
      <c r="Q283" t="n">
        <v>0</v>
      </c>
    </row>
    <row r="284">
      <c r="A284" t="n">
        <v>2024</v>
      </c>
      <c r="B284" t="n">
        <v>6</v>
      </c>
      <c r="C284" t="inlineStr">
        <is>
          <t>Chocolate em pó 50% 1 kg</t>
        </is>
      </c>
      <c r="D284" t="inlineStr">
        <is>
          <t>Padaria</t>
        </is>
      </c>
      <c r="E284" t="n">
        <v>116.12</v>
      </c>
      <c r="F284" t="n">
        <v>4.08</v>
      </c>
      <c r="G284" t="n">
        <v>4</v>
      </c>
      <c r="J284" t="inlineStr">
        <is>
          <t>A</t>
        </is>
      </c>
      <c r="K284" t="n">
        <v>2024</v>
      </c>
      <c r="L284" t="n">
        <v>10</v>
      </c>
      <c r="M284" t="inlineStr">
        <is>
          <t>Todos</t>
        </is>
      </c>
      <c r="N284" t="inlineStr">
        <is>
          <t>Supermercado</t>
        </is>
      </c>
      <c r="O284" t="n">
        <v>19</v>
      </c>
      <c r="P284" t="n">
        <v>129</v>
      </c>
      <c r="Q284" t="n">
        <v>19</v>
      </c>
    </row>
    <row r="285">
      <c r="A285" t="n">
        <v>2024</v>
      </c>
      <c r="B285" t="n">
        <v>6</v>
      </c>
      <c r="C285" t="inlineStr">
        <is>
          <t>Chocolate em pó 50% 1 kg</t>
        </is>
      </c>
      <c r="D285" t="inlineStr">
        <is>
          <t>Pizzaria</t>
        </is>
      </c>
      <c r="E285" t="n">
        <v>913.33</v>
      </c>
      <c r="F285" t="n">
        <v>31.62</v>
      </c>
      <c r="G285" t="n">
        <v>31</v>
      </c>
      <c r="J285" t="inlineStr">
        <is>
          <t>M</t>
        </is>
      </c>
      <c r="K285" t="n">
        <v>2024</v>
      </c>
      <c r="L285" t="n">
        <v>10</v>
      </c>
      <c r="M285" t="inlineStr">
        <is>
          <t>Todos</t>
        </is>
      </c>
      <c r="N285" t="inlineStr">
        <is>
          <t>Supermercado</t>
        </is>
      </c>
      <c r="O285" t="n">
        <v>3</v>
      </c>
      <c r="P285" t="n">
        <v>14</v>
      </c>
      <c r="Q285" t="n">
        <v>0</v>
      </c>
    </row>
    <row r="286">
      <c r="A286" t="n">
        <v>2024</v>
      </c>
      <c r="B286" t="n">
        <v>6</v>
      </c>
      <c r="C286" t="inlineStr">
        <is>
          <t>Chocolate em pó 50% 1 kg</t>
        </is>
      </c>
      <c r="D286" t="inlineStr">
        <is>
          <t>Restaurante / Cantina</t>
        </is>
      </c>
      <c r="E286" t="n">
        <v>2305.06</v>
      </c>
      <c r="F286" t="n">
        <v>79.56</v>
      </c>
      <c r="G286" t="n">
        <v>78</v>
      </c>
      <c r="J286" t="inlineStr">
        <is>
          <t>A</t>
        </is>
      </c>
      <c r="K286" t="n">
        <v>2024</v>
      </c>
      <c r="L286" t="n">
        <v>11</v>
      </c>
      <c r="M286" t="inlineStr">
        <is>
          <t>Todos</t>
        </is>
      </c>
      <c r="N286" t="inlineStr">
        <is>
          <t>Supermercado</t>
        </is>
      </c>
      <c r="O286" t="n">
        <v>19</v>
      </c>
      <c r="P286" t="n">
        <v>139</v>
      </c>
      <c r="Q286" t="n">
        <v>19</v>
      </c>
    </row>
    <row r="287">
      <c r="A287" t="n">
        <v>2024</v>
      </c>
      <c r="B287" t="n">
        <v>6</v>
      </c>
      <c r="C287" t="inlineStr">
        <is>
          <t>Composto lácteo Alibralac 1 kg</t>
        </is>
      </c>
      <c r="D287" t="inlineStr">
        <is>
          <t>Fábrica de Massas</t>
        </is>
      </c>
      <c r="E287" t="n">
        <v>103.35</v>
      </c>
      <c r="F287" t="n">
        <v>5.1</v>
      </c>
      <c r="G287" t="n">
        <v>5</v>
      </c>
      <c r="J287" t="inlineStr">
        <is>
          <t>M</t>
        </is>
      </c>
      <c r="K287" t="n">
        <v>2024</v>
      </c>
      <c r="L287" t="n">
        <v>11</v>
      </c>
      <c r="M287" t="inlineStr">
        <is>
          <t>Todos</t>
        </is>
      </c>
      <c r="N287" t="inlineStr">
        <is>
          <t>Supermercado</t>
        </is>
      </c>
      <c r="O287" t="n">
        <v>3</v>
      </c>
      <c r="P287" t="n">
        <v>10</v>
      </c>
      <c r="Q287" t="n">
        <v>0</v>
      </c>
    </row>
    <row r="288">
      <c r="A288" t="n">
        <v>2024</v>
      </c>
      <c r="B288" t="n">
        <v>6</v>
      </c>
      <c r="C288" t="inlineStr">
        <is>
          <t>Composto lácteo Alibralac 1 kg</t>
        </is>
      </c>
      <c r="D288" t="inlineStr">
        <is>
          <t>Hotel / Motel / Pousada</t>
        </is>
      </c>
      <c r="E288" t="n">
        <v>611.7</v>
      </c>
      <c r="F288" t="n">
        <v>30.6</v>
      </c>
      <c r="G288" t="n">
        <v>30</v>
      </c>
      <c r="J288" t="inlineStr">
        <is>
          <t>A</t>
        </is>
      </c>
      <c r="K288" t="n">
        <v>2024</v>
      </c>
      <c r="L288" t="n">
        <v>12</v>
      </c>
      <c r="M288" t="inlineStr">
        <is>
          <t>Todos</t>
        </is>
      </c>
      <c r="N288" t="inlineStr">
        <is>
          <t>Supermercado</t>
        </is>
      </c>
      <c r="O288" t="n">
        <v>20</v>
      </c>
      <c r="P288" t="n">
        <v>153</v>
      </c>
      <c r="Q288" t="n">
        <v>20</v>
      </c>
    </row>
    <row r="289">
      <c r="A289" t="n">
        <v>2024</v>
      </c>
      <c r="B289" t="n">
        <v>6</v>
      </c>
      <c r="C289" t="inlineStr">
        <is>
          <t>Composto lácteo Alibralac 1 kg</t>
        </is>
      </c>
      <c r="D289" t="inlineStr">
        <is>
          <t>Pizzaria</t>
        </is>
      </c>
      <c r="E289" t="n">
        <v>19.99</v>
      </c>
      <c r="F289" t="n">
        <v>1.02</v>
      </c>
      <c r="G289" t="n">
        <v>1</v>
      </c>
      <c r="J289" t="inlineStr">
        <is>
          <t>M</t>
        </is>
      </c>
      <c r="K289" t="n">
        <v>2024</v>
      </c>
      <c r="L289" t="n">
        <v>12</v>
      </c>
      <c r="M289" t="inlineStr">
        <is>
          <t>Todos</t>
        </is>
      </c>
      <c r="N289" t="inlineStr">
        <is>
          <t>Supermercado</t>
        </is>
      </c>
      <c r="O289" t="n">
        <v>6</v>
      </c>
      <c r="P289" t="n">
        <v>14</v>
      </c>
      <c r="Q289" t="n">
        <v>0</v>
      </c>
    </row>
    <row r="290">
      <c r="A290" t="n">
        <v>2024</v>
      </c>
      <c r="B290" t="n">
        <v>6</v>
      </c>
      <c r="C290" t="inlineStr">
        <is>
          <t>Composto lácteo Alibralac 1 kg</t>
        </is>
      </c>
      <c r="D290" t="inlineStr">
        <is>
          <t>Restaurante / Cantina</t>
        </is>
      </c>
      <c r="E290" t="n">
        <v>605.7</v>
      </c>
      <c r="F290" t="n">
        <v>30.6</v>
      </c>
      <c r="G290" t="n">
        <v>30</v>
      </c>
      <c r="J290" t="inlineStr">
        <is>
          <t>A</t>
        </is>
      </c>
      <c r="K290" t="n">
        <v>2024</v>
      </c>
      <c r="L290" t="n">
        <v>4</v>
      </c>
      <c r="M290" t="inlineStr">
        <is>
          <t>Todos</t>
        </is>
      </c>
      <c r="N290" t="inlineStr">
        <is>
          <t>Rotisserie</t>
        </is>
      </c>
      <c r="O290" t="n">
        <v>1</v>
      </c>
      <c r="P290" t="n">
        <v>1</v>
      </c>
      <c r="Q290" t="n">
        <v>1</v>
      </c>
    </row>
    <row r="291">
      <c r="A291" t="n">
        <v>2024</v>
      </c>
      <c r="B291" t="n">
        <v>6</v>
      </c>
      <c r="C291" t="inlineStr">
        <is>
          <t>Composto lácteo Merilú 400 g</t>
        </is>
      </c>
      <c r="D291" t="inlineStr">
        <is>
          <t>Adega</t>
        </is>
      </c>
      <c r="E291" t="n">
        <v>47.94</v>
      </c>
      <c r="F291" t="n">
        <v>2.52</v>
      </c>
      <c r="G291" t="n">
        <v>6</v>
      </c>
      <c r="J291" t="inlineStr">
        <is>
          <t>M</t>
        </is>
      </c>
      <c r="K291" t="n">
        <v>2024</v>
      </c>
      <c r="L291" t="n">
        <v>4</v>
      </c>
      <c r="M291" t="inlineStr">
        <is>
          <t>Todos</t>
        </is>
      </c>
      <c r="N291" t="inlineStr">
        <is>
          <t>Rotisserie</t>
        </is>
      </c>
      <c r="O291" t="n">
        <v>1</v>
      </c>
      <c r="P291" t="n">
        <v>1</v>
      </c>
      <c r="Q291" t="n">
        <v>0</v>
      </c>
    </row>
    <row r="292">
      <c r="A292" t="n">
        <v>2024</v>
      </c>
      <c r="B292" t="n">
        <v>6</v>
      </c>
      <c r="C292" t="inlineStr">
        <is>
          <t>Composto lácteo Merilú 400 g</t>
        </is>
      </c>
      <c r="D292" t="inlineStr">
        <is>
          <t>Hamburgueria</t>
        </is>
      </c>
      <c r="E292" t="n">
        <v>285.92</v>
      </c>
      <c r="F292" t="n">
        <v>16.8</v>
      </c>
      <c r="G292" t="n">
        <v>40</v>
      </c>
      <c r="J292" t="inlineStr">
        <is>
          <t>A</t>
        </is>
      </c>
      <c r="K292" t="n">
        <v>2024</v>
      </c>
      <c r="L292" t="n">
        <v>5</v>
      </c>
      <c r="M292" t="inlineStr">
        <is>
          <t>Todos</t>
        </is>
      </c>
      <c r="N292" t="inlineStr">
        <is>
          <t>Rotisserie</t>
        </is>
      </c>
      <c r="O292" t="n">
        <v>2</v>
      </c>
      <c r="P292" t="n">
        <v>3</v>
      </c>
      <c r="Q292" t="n">
        <v>2</v>
      </c>
    </row>
    <row r="293">
      <c r="A293" t="n">
        <v>2024</v>
      </c>
      <c r="B293" t="n">
        <v>6</v>
      </c>
      <c r="C293" t="inlineStr">
        <is>
          <t>Composto lácteo Merilú 400 g</t>
        </is>
      </c>
      <c r="D293" t="inlineStr">
        <is>
          <t>Hotel / Motel / Pousada</t>
        </is>
      </c>
      <c r="E293" t="n">
        <v>28.6</v>
      </c>
      <c r="F293" t="n">
        <v>1.68</v>
      </c>
      <c r="G293" t="n">
        <v>4</v>
      </c>
      <c r="J293" t="inlineStr">
        <is>
          <t>M</t>
        </is>
      </c>
      <c r="K293" t="n">
        <v>2024</v>
      </c>
      <c r="L293" t="n">
        <v>5</v>
      </c>
      <c r="M293" t="inlineStr">
        <is>
          <t>Todos</t>
        </is>
      </c>
      <c r="N293" t="inlineStr">
        <is>
          <t>Rotisserie</t>
        </is>
      </c>
      <c r="O293" t="n">
        <v>1</v>
      </c>
      <c r="P293" t="n">
        <v>2</v>
      </c>
      <c r="Q293" t="n">
        <v>0</v>
      </c>
    </row>
    <row r="294">
      <c r="A294" t="n">
        <v>2024</v>
      </c>
      <c r="B294" t="n">
        <v>6</v>
      </c>
      <c r="C294" t="inlineStr">
        <is>
          <t>Composto lácteo Merilú 400 g</t>
        </is>
      </c>
      <c r="D294" t="inlineStr">
        <is>
          <t>Outros</t>
        </is>
      </c>
      <c r="E294" t="n">
        <v>601.8</v>
      </c>
      <c r="F294" t="n">
        <v>35.7</v>
      </c>
      <c r="G294" t="n">
        <v>85</v>
      </c>
      <c r="J294" t="inlineStr">
        <is>
          <t>A</t>
        </is>
      </c>
      <c r="K294" t="n">
        <v>2024</v>
      </c>
      <c r="L294" t="n">
        <v>6</v>
      </c>
      <c r="M294" t="inlineStr">
        <is>
          <t>Todos</t>
        </is>
      </c>
      <c r="N294" t="inlineStr">
        <is>
          <t>Rotisserie</t>
        </is>
      </c>
      <c r="O294" t="n">
        <v>2</v>
      </c>
      <c r="P294" t="n">
        <v>4</v>
      </c>
      <c r="Q294" t="n">
        <v>2</v>
      </c>
    </row>
    <row r="295">
      <c r="A295" t="n">
        <v>2024</v>
      </c>
      <c r="B295" t="n">
        <v>6</v>
      </c>
      <c r="C295" t="inlineStr">
        <is>
          <t>Composto lácteo Merilú 400 g</t>
        </is>
      </c>
      <c r="D295" t="inlineStr">
        <is>
          <t>Pessoa Física</t>
        </is>
      </c>
      <c r="E295" t="n">
        <v>52.68</v>
      </c>
      <c r="F295" t="n">
        <v>2.94</v>
      </c>
      <c r="G295" t="n">
        <v>7</v>
      </c>
      <c r="J295" t="inlineStr">
        <is>
          <t>M</t>
        </is>
      </c>
      <c r="K295" t="n">
        <v>2024</v>
      </c>
      <c r="L295" t="n">
        <v>6</v>
      </c>
      <c r="M295" t="inlineStr">
        <is>
          <t>Todos</t>
        </is>
      </c>
      <c r="N295" t="inlineStr">
        <is>
          <t>Rotisserie</t>
        </is>
      </c>
      <c r="O295" t="n">
        <v>1</v>
      </c>
      <c r="P295" t="n">
        <v>1</v>
      </c>
      <c r="Q295" t="n">
        <v>0</v>
      </c>
    </row>
    <row r="296">
      <c r="A296" t="n">
        <v>2024</v>
      </c>
      <c r="B296" t="n">
        <v>6</v>
      </c>
      <c r="C296" t="inlineStr">
        <is>
          <t>Composto lácteo Merilú 400 g</t>
        </is>
      </c>
      <c r="D296" t="inlineStr">
        <is>
          <t>Pizzaria</t>
        </is>
      </c>
      <c r="E296" t="n">
        <v>689</v>
      </c>
      <c r="F296" t="n">
        <v>42</v>
      </c>
      <c r="G296" t="n">
        <v>100</v>
      </c>
      <c r="J296" t="inlineStr">
        <is>
          <t>A</t>
        </is>
      </c>
      <c r="K296" t="n">
        <v>2024</v>
      </c>
      <c r="L296" t="n">
        <v>7</v>
      </c>
      <c r="M296" t="inlineStr">
        <is>
          <t>Todos</t>
        </is>
      </c>
      <c r="N296" t="inlineStr">
        <is>
          <t>Rotisserie</t>
        </is>
      </c>
      <c r="O296" t="n">
        <v>2</v>
      </c>
      <c r="P296" t="n">
        <v>4</v>
      </c>
      <c r="Q296" t="n">
        <v>2</v>
      </c>
    </row>
    <row r="297">
      <c r="A297" t="n">
        <v>2024</v>
      </c>
      <c r="B297" t="n">
        <v>6</v>
      </c>
      <c r="C297" t="inlineStr">
        <is>
          <t>Composto lácteo Merilú 400 g</t>
        </is>
      </c>
      <c r="D297" t="inlineStr">
        <is>
          <t>Restaurante / Cantina</t>
        </is>
      </c>
      <c r="E297" t="n">
        <v>31.96</v>
      </c>
      <c r="F297" t="n">
        <v>1.68</v>
      </c>
      <c r="G297" t="n">
        <v>4</v>
      </c>
      <c r="J297" t="inlineStr">
        <is>
          <t>A</t>
        </is>
      </c>
      <c r="K297" t="n">
        <v>2024</v>
      </c>
      <c r="L297" t="n">
        <v>8</v>
      </c>
      <c r="M297" t="inlineStr">
        <is>
          <t>Todos</t>
        </is>
      </c>
      <c r="N297" t="inlineStr">
        <is>
          <t>Rotisserie</t>
        </is>
      </c>
      <c r="O297" t="n">
        <v>4</v>
      </c>
      <c r="P297" t="n">
        <v>7</v>
      </c>
      <c r="Q297" t="n">
        <v>4</v>
      </c>
    </row>
    <row r="298">
      <c r="A298" t="n">
        <v>2024</v>
      </c>
      <c r="B298" t="n">
        <v>6</v>
      </c>
      <c r="C298" t="inlineStr">
        <is>
          <t>Muçarela Mozzalet 2 kg</t>
        </is>
      </c>
      <c r="D298" t="inlineStr">
        <is>
          <t>Buffet</t>
        </is>
      </c>
      <c r="E298" t="n">
        <v>320</v>
      </c>
      <c r="F298" t="n">
        <v>16</v>
      </c>
      <c r="G298" t="n">
        <v>8</v>
      </c>
      <c r="J298" t="inlineStr">
        <is>
          <t>M</t>
        </is>
      </c>
      <c r="K298" t="n">
        <v>2024</v>
      </c>
      <c r="L298" t="n">
        <v>8</v>
      </c>
      <c r="M298" t="inlineStr">
        <is>
          <t>Todos</t>
        </is>
      </c>
      <c r="N298" t="inlineStr">
        <is>
          <t>Rotisserie</t>
        </is>
      </c>
      <c r="O298" t="n">
        <v>3</v>
      </c>
      <c r="P298" t="n">
        <v>3</v>
      </c>
      <c r="Q298" t="n">
        <v>0</v>
      </c>
    </row>
    <row r="299">
      <c r="A299" t="n">
        <v>2024</v>
      </c>
      <c r="B299" t="n">
        <v>6</v>
      </c>
      <c r="C299" t="inlineStr">
        <is>
          <t>Muçarela Mozzalet 2 kg</t>
        </is>
      </c>
      <c r="D299" t="inlineStr">
        <is>
          <t>Cozinha Industrial</t>
        </is>
      </c>
      <c r="E299" t="n">
        <v>10838.9</v>
      </c>
      <c r="F299" t="n">
        <v>572</v>
      </c>
      <c r="G299" t="n">
        <v>286</v>
      </c>
      <c r="J299" t="inlineStr">
        <is>
          <t>A</t>
        </is>
      </c>
      <c r="K299" t="n">
        <v>2024</v>
      </c>
      <c r="L299" t="n">
        <v>9</v>
      </c>
      <c r="M299" t="inlineStr">
        <is>
          <t>Todos</t>
        </is>
      </c>
      <c r="N299" t="inlineStr">
        <is>
          <t>Rotisserie</t>
        </is>
      </c>
      <c r="O299" t="n">
        <v>4</v>
      </c>
      <c r="P299" t="n">
        <v>7</v>
      </c>
      <c r="Q299" t="n">
        <v>4</v>
      </c>
    </row>
    <row r="300">
      <c r="A300" t="n">
        <v>2024</v>
      </c>
      <c r="B300" t="n">
        <v>6</v>
      </c>
      <c r="C300" t="inlineStr">
        <is>
          <t>Muçarela Mozzalet 2 kg</t>
        </is>
      </c>
      <c r="D300" t="inlineStr">
        <is>
          <t>Esfiharia</t>
        </is>
      </c>
      <c r="E300" t="n">
        <v>37.6</v>
      </c>
      <c r="F300" t="n">
        <v>2</v>
      </c>
      <c r="G300" t="n">
        <v>1</v>
      </c>
      <c r="J300" t="inlineStr">
        <is>
          <t>A</t>
        </is>
      </c>
      <c r="K300" t="n">
        <v>2024</v>
      </c>
      <c r="L300" t="n">
        <v>10</v>
      </c>
      <c r="M300" t="inlineStr">
        <is>
          <t>Todos</t>
        </is>
      </c>
      <c r="N300" t="inlineStr">
        <is>
          <t>Rotisserie</t>
        </is>
      </c>
      <c r="O300" t="n">
        <v>5</v>
      </c>
      <c r="P300" t="n">
        <v>9</v>
      </c>
      <c r="Q300" t="n">
        <v>5</v>
      </c>
    </row>
    <row r="301">
      <c r="A301" t="n">
        <v>2024</v>
      </c>
      <c r="B301" t="n">
        <v>6</v>
      </c>
      <c r="C301" t="inlineStr">
        <is>
          <t>Muçarela Mozzalet 2 kg</t>
        </is>
      </c>
      <c r="D301" t="inlineStr">
        <is>
          <t>Fábrica de Massas</t>
        </is>
      </c>
      <c r="E301" t="n">
        <v>1174.9</v>
      </c>
      <c r="F301" t="n">
        <v>62</v>
      </c>
      <c r="G301" t="n">
        <v>31</v>
      </c>
      <c r="J301" t="inlineStr">
        <is>
          <t>M</t>
        </is>
      </c>
      <c r="K301" t="n">
        <v>2024</v>
      </c>
      <c r="L301" t="n">
        <v>10</v>
      </c>
      <c r="M301" t="inlineStr">
        <is>
          <t>Todos</t>
        </is>
      </c>
      <c r="N301" t="inlineStr">
        <is>
          <t>Rotisserie</t>
        </is>
      </c>
      <c r="O301" t="n">
        <v>2</v>
      </c>
      <c r="P301" t="n">
        <v>2</v>
      </c>
      <c r="Q301" t="n">
        <v>0</v>
      </c>
    </row>
    <row r="302">
      <c r="A302" t="n">
        <v>2024</v>
      </c>
      <c r="B302" t="n">
        <v>6</v>
      </c>
      <c r="C302" t="inlineStr">
        <is>
          <t>Muçarela Mozzalet 2 kg</t>
        </is>
      </c>
      <c r="D302" t="inlineStr">
        <is>
          <t>Lanchonete / Cafeteria</t>
        </is>
      </c>
      <c r="E302" t="n">
        <v>278.19</v>
      </c>
      <c r="F302" t="n">
        <v>14</v>
      </c>
      <c r="G302" t="n">
        <v>7</v>
      </c>
      <c r="J302" t="inlineStr">
        <is>
          <t>A</t>
        </is>
      </c>
      <c r="K302" t="n">
        <v>2024</v>
      </c>
      <c r="L302" t="n">
        <v>11</v>
      </c>
      <c r="M302" t="inlineStr">
        <is>
          <t>Todos</t>
        </is>
      </c>
      <c r="N302" t="inlineStr">
        <is>
          <t>Rotisserie</t>
        </is>
      </c>
      <c r="O302" t="n">
        <v>5</v>
      </c>
      <c r="P302" t="n">
        <v>9</v>
      </c>
      <c r="Q302" t="n">
        <v>5</v>
      </c>
    </row>
    <row r="303">
      <c r="A303" t="n">
        <v>2024</v>
      </c>
      <c r="B303" t="n">
        <v>6</v>
      </c>
      <c r="C303" t="inlineStr">
        <is>
          <t>Muçarela Mozzalet 2 kg</t>
        </is>
      </c>
      <c r="D303" t="inlineStr">
        <is>
          <t>Mercearia / Sacolão</t>
        </is>
      </c>
      <c r="E303" t="n">
        <v>341.1</v>
      </c>
      <c r="F303" t="n">
        <v>18</v>
      </c>
      <c r="G303" t="n">
        <v>9</v>
      </c>
      <c r="J303" t="inlineStr">
        <is>
          <t>A</t>
        </is>
      </c>
      <c r="K303" t="n">
        <v>2024</v>
      </c>
      <c r="L303" t="n">
        <v>12</v>
      </c>
      <c r="M303" t="inlineStr">
        <is>
          <t>Todos</t>
        </is>
      </c>
      <c r="N303" t="inlineStr">
        <is>
          <t>Rotisserie</t>
        </is>
      </c>
      <c r="O303" t="n">
        <v>5</v>
      </c>
      <c r="P303" t="n">
        <v>9</v>
      </c>
      <c r="Q303" t="n">
        <v>5</v>
      </c>
    </row>
    <row r="304">
      <c r="A304" t="n">
        <v>2024</v>
      </c>
      <c r="B304" t="n">
        <v>6</v>
      </c>
      <c r="C304" t="inlineStr">
        <is>
          <t>Muçarela Mozzalet 2 kg</t>
        </is>
      </c>
      <c r="D304" t="inlineStr">
        <is>
          <t>Outros</t>
        </is>
      </c>
      <c r="E304" t="n">
        <v>3344.4</v>
      </c>
      <c r="F304" t="n">
        <v>180</v>
      </c>
      <c r="G304" t="n">
        <v>90</v>
      </c>
      <c r="J304" t="inlineStr">
        <is>
          <t>A</t>
        </is>
      </c>
      <c r="K304" t="n">
        <v>2024</v>
      </c>
      <c r="L304" t="n">
        <v>1</v>
      </c>
      <c r="M304" t="inlineStr">
        <is>
          <t>Todos</t>
        </is>
      </c>
      <c r="N304" t="inlineStr">
        <is>
          <t>Mercearia / Sacolão</t>
        </is>
      </c>
      <c r="O304" t="n">
        <v>3</v>
      </c>
      <c r="P304" t="n">
        <v>5</v>
      </c>
      <c r="Q304" t="n">
        <v>3</v>
      </c>
    </row>
    <row r="305">
      <c r="A305" t="n">
        <v>2024</v>
      </c>
      <c r="B305" t="n">
        <v>6</v>
      </c>
      <c r="C305" t="inlineStr">
        <is>
          <t>Muçarela Mozzalet 2 kg</t>
        </is>
      </c>
      <c r="D305" t="inlineStr">
        <is>
          <t>Padaria</t>
        </is>
      </c>
      <c r="E305" t="n">
        <v>341.19</v>
      </c>
      <c r="F305" t="n">
        <v>18</v>
      </c>
      <c r="G305" t="n">
        <v>9</v>
      </c>
      <c r="J305" t="inlineStr">
        <is>
          <t>M</t>
        </is>
      </c>
      <c r="K305" t="n">
        <v>2024</v>
      </c>
      <c r="L305" t="n">
        <v>1</v>
      </c>
      <c r="M305" t="inlineStr">
        <is>
          <t>Todos</t>
        </is>
      </c>
      <c r="N305" t="inlineStr">
        <is>
          <t>Mercearia / Sacolão</t>
        </is>
      </c>
      <c r="O305" t="n">
        <v>3</v>
      </c>
      <c r="P305" t="n">
        <v>5</v>
      </c>
      <c r="Q305" t="n">
        <v>0</v>
      </c>
    </row>
    <row r="306">
      <c r="A306" t="n">
        <v>2024</v>
      </c>
      <c r="B306" t="n">
        <v>6</v>
      </c>
      <c r="C306" t="inlineStr">
        <is>
          <t>Muçarela Mozzalet 2 kg</t>
        </is>
      </c>
      <c r="D306" t="inlineStr">
        <is>
          <t>Pizzaria</t>
        </is>
      </c>
      <c r="E306" t="n">
        <v>2744.74</v>
      </c>
      <c r="F306" t="n">
        <v>146</v>
      </c>
      <c r="G306" t="n">
        <v>73</v>
      </c>
      <c r="J306" t="inlineStr">
        <is>
          <t>A</t>
        </is>
      </c>
      <c r="K306" t="n">
        <v>2024</v>
      </c>
      <c r="L306" t="n">
        <v>2</v>
      </c>
      <c r="M306" t="inlineStr">
        <is>
          <t>Todos</t>
        </is>
      </c>
      <c r="N306" t="inlineStr">
        <is>
          <t>Mercearia / Sacolão</t>
        </is>
      </c>
      <c r="O306" t="n">
        <v>3</v>
      </c>
      <c r="P306" t="n">
        <v>8</v>
      </c>
      <c r="Q306" t="n">
        <v>3</v>
      </c>
    </row>
    <row r="307">
      <c r="A307" t="n">
        <v>2024</v>
      </c>
      <c r="B307" t="n">
        <v>6</v>
      </c>
      <c r="C307" t="inlineStr">
        <is>
          <t>Muçarela Mozzalet 2 kg</t>
        </is>
      </c>
      <c r="D307" t="inlineStr">
        <is>
          <t>Restaurante / Cantina</t>
        </is>
      </c>
      <c r="E307" t="n">
        <v>111.6</v>
      </c>
      <c r="F307" t="n">
        <v>6</v>
      </c>
      <c r="G307" t="n">
        <v>3</v>
      </c>
      <c r="J307" t="inlineStr">
        <is>
          <t>M</t>
        </is>
      </c>
      <c r="K307" t="n">
        <v>2024</v>
      </c>
      <c r="L307" t="n">
        <v>2</v>
      </c>
      <c r="M307" t="inlineStr">
        <is>
          <t>Todos</t>
        </is>
      </c>
      <c r="N307" t="inlineStr">
        <is>
          <t>Mercearia / Sacolão</t>
        </is>
      </c>
      <c r="O307" t="n">
        <v>2</v>
      </c>
      <c r="P307" t="n">
        <v>3</v>
      </c>
      <c r="Q307" t="n">
        <v>0</v>
      </c>
    </row>
    <row r="308">
      <c r="A308" t="n">
        <v>2024</v>
      </c>
      <c r="B308" t="n">
        <v>6</v>
      </c>
      <c r="C308" t="inlineStr">
        <is>
          <t>Muçarela Mozzana 2 kg</t>
        </is>
      </c>
      <c r="D308" t="inlineStr">
        <is>
          <t>Buffet</t>
        </is>
      </c>
      <c r="E308" t="n">
        <v>2210.01</v>
      </c>
      <c r="F308" t="n">
        <v>115.14</v>
      </c>
      <c r="G308" t="n">
        <v>57</v>
      </c>
      <c r="J308" t="inlineStr">
        <is>
          <t>A</t>
        </is>
      </c>
      <c r="K308" t="n">
        <v>2024</v>
      </c>
      <c r="L308" t="n">
        <v>3</v>
      </c>
      <c r="M308" t="inlineStr">
        <is>
          <t>Todos</t>
        </is>
      </c>
      <c r="N308" t="inlineStr">
        <is>
          <t>Mercearia / Sacolão</t>
        </is>
      </c>
      <c r="O308" t="n">
        <v>3</v>
      </c>
      <c r="P308" t="n">
        <v>11</v>
      </c>
      <c r="Q308" t="n">
        <v>3</v>
      </c>
    </row>
    <row r="309">
      <c r="A309" t="n">
        <v>2024</v>
      </c>
      <c r="B309" t="n">
        <v>6</v>
      </c>
      <c r="C309" t="inlineStr">
        <is>
          <t>Muçarela Mozzana 2 kg</t>
        </is>
      </c>
      <c r="D309" t="inlineStr">
        <is>
          <t>Cozinha Industrial</t>
        </is>
      </c>
      <c r="E309" t="n">
        <v>18014.29</v>
      </c>
      <c r="F309" t="n">
        <v>961.52</v>
      </c>
      <c r="G309" t="n">
        <v>476</v>
      </c>
      <c r="J309" t="inlineStr">
        <is>
          <t>M</t>
        </is>
      </c>
      <c r="K309" t="n">
        <v>2024</v>
      </c>
      <c r="L309" t="n">
        <v>3</v>
      </c>
      <c r="M309" t="inlineStr">
        <is>
          <t>Todos</t>
        </is>
      </c>
      <c r="N309" t="inlineStr">
        <is>
          <t>Mercearia / Sacolão</t>
        </is>
      </c>
      <c r="O309" t="n">
        <v>1</v>
      </c>
      <c r="P309" t="n">
        <v>3</v>
      </c>
      <c r="Q309" t="n">
        <v>0</v>
      </c>
    </row>
    <row r="310">
      <c r="A310" t="n">
        <v>2024</v>
      </c>
      <c r="B310" t="n">
        <v>6</v>
      </c>
      <c r="C310" t="inlineStr">
        <is>
          <t>Muçarela Mozzana 2 kg</t>
        </is>
      </c>
      <c r="D310" t="inlineStr">
        <is>
          <t>Cozinha Oriental</t>
        </is>
      </c>
      <c r="E310" t="n">
        <v>189.5</v>
      </c>
      <c r="F310" t="n">
        <v>10.1</v>
      </c>
      <c r="G310" t="n">
        <v>5</v>
      </c>
      <c r="J310" t="inlineStr">
        <is>
          <t>A</t>
        </is>
      </c>
      <c r="K310" t="n">
        <v>2024</v>
      </c>
      <c r="L310" t="n">
        <v>4</v>
      </c>
      <c r="M310" t="inlineStr">
        <is>
          <t>Todos</t>
        </is>
      </c>
      <c r="N310" t="inlineStr">
        <is>
          <t>Mercearia / Sacolão</t>
        </is>
      </c>
      <c r="O310" t="n">
        <v>3</v>
      </c>
      <c r="P310" t="n">
        <v>14</v>
      </c>
      <c r="Q310" t="n">
        <v>3</v>
      </c>
    </row>
    <row r="311">
      <c r="A311" t="n">
        <v>2024</v>
      </c>
      <c r="B311" t="n">
        <v>6</v>
      </c>
      <c r="C311" t="inlineStr">
        <is>
          <t>Muçarela Mozzana 2 kg</t>
        </is>
      </c>
      <c r="D311" t="inlineStr">
        <is>
          <t>Esfiharia</t>
        </is>
      </c>
      <c r="E311" t="n">
        <v>4910</v>
      </c>
      <c r="F311" t="n">
        <v>258.56</v>
      </c>
      <c r="G311" t="n">
        <v>128</v>
      </c>
      <c r="J311" t="inlineStr">
        <is>
          <t>M</t>
        </is>
      </c>
      <c r="K311" t="n">
        <v>2024</v>
      </c>
      <c r="L311" t="n">
        <v>4</v>
      </c>
      <c r="M311" t="inlineStr">
        <is>
          <t>Todos</t>
        </is>
      </c>
      <c r="N311" t="inlineStr">
        <is>
          <t>Mercearia / Sacolão</t>
        </is>
      </c>
      <c r="O311" t="n">
        <v>2</v>
      </c>
      <c r="P311" t="n">
        <v>3</v>
      </c>
      <c r="Q311" t="n">
        <v>0</v>
      </c>
    </row>
    <row r="312">
      <c r="A312" t="n">
        <v>2024</v>
      </c>
      <c r="B312" t="n">
        <v>6</v>
      </c>
      <c r="C312" t="inlineStr">
        <is>
          <t>Muçarela Mozzana 2 kg</t>
        </is>
      </c>
      <c r="D312" t="inlineStr">
        <is>
          <t>Fábrica de Massas</t>
        </is>
      </c>
      <c r="E312" t="n">
        <v>20699.69</v>
      </c>
      <c r="F312" t="n">
        <v>1094.84</v>
      </c>
      <c r="G312" t="n">
        <v>542</v>
      </c>
      <c r="J312" t="inlineStr">
        <is>
          <t>A</t>
        </is>
      </c>
      <c r="K312" t="n">
        <v>2024</v>
      </c>
      <c r="L312" t="n">
        <v>5</v>
      </c>
      <c r="M312" t="inlineStr">
        <is>
          <t>Todos</t>
        </is>
      </c>
      <c r="N312" t="inlineStr">
        <is>
          <t>Mercearia / Sacolão</t>
        </is>
      </c>
      <c r="O312" t="n">
        <v>3</v>
      </c>
      <c r="P312" t="n">
        <v>16</v>
      </c>
      <c r="Q312" t="n">
        <v>3</v>
      </c>
    </row>
    <row r="313">
      <c r="A313" t="n">
        <v>2024</v>
      </c>
      <c r="B313" t="n">
        <v>6</v>
      </c>
      <c r="C313" t="inlineStr">
        <is>
          <t>Muçarela Mozzana 2 kg</t>
        </is>
      </c>
      <c r="D313" t="inlineStr">
        <is>
          <t>Hamburgueria</t>
        </is>
      </c>
      <c r="E313" t="n">
        <v>545.86</v>
      </c>
      <c r="F313" t="n">
        <v>28.28</v>
      </c>
      <c r="G313" t="n">
        <v>14</v>
      </c>
      <c r="J313" t="inlineStr">
        <is>
          <t>M</t>
        </is>
      </c>
      <c r="K313" t="n">
        <v>2024</v>
      </c>
      <c r="L313" t="n">
        <v>5</v>
      </c>
      <c r="M313" t="inlineStr">
        <is>
          <t>Todos</t>
        </is>
      </c>
      <c r="N313" t="inlineStr">
        <is>
          <t>Mercearia / Sacolão</t>
        </is>
      </c>
      <c r="O313" t="n">
        <v>1</v>
      </c>
      <c r="P313" t="n">
        <v>2</v>
      </c>
      <c r="Q313" t="n">
        <v>0</v>
      </c>
    </row>
    <row r="314">
      <c r="A314" t="n">
        <v>2024</v>
      </c>
      <c r="B314" t="n">
        <v>6</v>
      </c>
      <c r="C314" t="inlineStr">
        <is>
          <t>Muçarela Mozzana 2 kg</t>
        </is>
      </c>
      <c r="D314" t="inlineStr">
        <is>
          <t>Lanchonete / Cafeteria</t>
        </is>
      </c>
      <c r="E314" t="n">
        <v>1797.01</v>
      </c>
      <c r="F314" t="n">
        <v>94.94</v>
      </c>
      <c r="G314" t="n">
        <v>47</v>
      </c>
      <c r="J314" t="inlineStr">
        <is>
          <t>A</t>
        </is>
      </c>
      <c r="K314" t="n">
        <v>2024</v>
      </c>
      <c r="L314" t="n">
        <v>6</v>
      </c>
      <c r="M314" t="inlineStr">
        <is>
          <t>Todos</t>
        </is>
      </c>
      <c r="N314" t="inlineStr">
        <is>
          <t>Mercearia / Sacolão</t>
        </is>
      </c>
      <c r="O314" t="n">
        <v>3</v>
      </c>
      <c r="P314" t="n">
        <v>17</v>
      </c>
      <c r="Q314" t="n">
        <v>3</v>
      </c>
    </row>
    <row r="315">
      <c r="A315" t="n">
        <v>2024</v>
      </c>
      <c r="B315" t="n">
        <v>6</v>
      </c>
      <c r="C315" t="inlineStr">
        <is>
          <t>Muçarela Mozzana 2 kg</t>
        </is>
      </c>
      <c r="D315" t="inlineStr">
        <is>
          <t>Laticínios / Distribuidor</t>
        </is>
      </c>
      <c r="E315" t="n">
        <v>2249.23</v>
      </c>
      <c r="F315" t="n">
        <v>119.18</v>
      </c>
      <c r="G315" t="n">
        <v>59</v>
      </c>
      <c r="J315" t="inlineStr">
        <is>
          <t>M</t>
        </is>
      </c>
      <c r="K315" t="n">
        <v>2024</v>
      </c>
      <c r="L315" t="n">
        <v>6</v>
      </c>
      <c r="M315" t="inlineStr">
        <is>
          <t>Todos</t>
        </is>
      </c>
      <c r="N315" t="inlineStr">
        <is>
          <t>Mercearia / Sacolão</t>
        </is>
      </c>
      <c r="O315" t="n">
        <v>1</v>
      </c>
      <c r="P315" t="n">
        <v>1</v>
      </c>
      <c r="Q315" t="n">
        <v>0</v>
      </c>
    </row>
    <row r="316">
      <c r="A316" t="n">
        <v>2024</v>
      </c>
      <c r="B316" t="n">
        <v>6</v>
      </c>
      <c r="C316" t="inlineStr">
        <is>
          <t>Muçarela Mozzana 2 kg</t>
        </is>
      </c>
      <c r="D316" t="inlineStr">
        <is>
          <t>Outros</t>
        </is>
      </c>
      <c r="E316" t="n">
        <v>20630.65</v>
      </c>
      <c r="F316" t="n">
        <v>1086.76</v>
      </c>
      <c r="G316" t="n">
        <v>538</v>
      </c>
      <c r="J316" t="inlineStr">
        <is>
          <t>A</t>
        </is>
      </c>
      <c r="K316" t="n">
        <v>2024</v>
      </c>
      <c r="L316" t="n">
        <v>7</v>
      </c>
      <c r="M316" t="inlineStr">
        <is>
          <t>Todos</t>
        </is>
      </c>
      <c r="N316" t="inlineStr">
        <is>
          <t>Mercearia / Sacolão</t>
        </is>
      </c>
      <c r="O316" t="n">
        <v>3</v>
      </c>
      <c r="P316" t="n">
        <v>20</v>
      </c>
      <c r="Q316" t="n">
        <v>3</v>
      </c>
    </row>
    <row r="317">
      <c r="A317" t="n">
        <v>2024</v>
      </c>
      <c r="B317" t="n">
        <v>6</v>
      </c>
      <c r="C317" t="inlineStr">
        <is>
          <t>Muçarela Mozzana 2 kg</t>
        </is>
      </c>
      <c r="D317" t="inlineStr">
        <is>
          <t>Padaria</t>
        </is>
      </c>
      <c r="E317" t="n">
        <v>5740.52</v>
      </c>
      <c r="F317" t="n">
        <v>298.96</v>
      </c>
      <c r="G317" t="n">
        <v>148</v>
      </c>
      <c r="J317" t="inlineStr">
        <is>
          <t>M</t>
        </is>
      </c>
      <c r="K317" t="n">
        <v>2024</v>
      </c>
      <c r="L317" t="n">
        <v>7</v>
      </c>
      <c r="M317" t="inlineStr">
        <is>
          <t>Todos</t>
        </is>
      </c>
      <c r="N317" t="inlineStr">
        <is>
          <t>Mercearia / Sacolão</t>
        </is>
      </c>
      <c r="O317" t="n">
        <v>2</v>
      </c>
      <c r="P317" t="n">
        <v>3</v>
      </c>
      <c r="Q317" t="n">
        <v>0</v>
      </c>
    </row>
    <row r="318">
      <c r="A318" t="n">
        <v>2024</v>
      </c>
      <c r="B318" t="n">
        <v>6</v>
      </c>
      <c r="C318" t="inlineStr">
        <is>
          <t>Muçarela Mozzana 2 kg</t>
        </is>
      </c>
      <c r="D318" t="inlineStr">
        <is>
          <t>Pastelaria</t>
        </is>
      </c>
      <c r="E318" t="n">
        <v>6940.22</v>
      </c>
      <c r="F318" t="n">
        <v>365.62</v>
      </c>
      <c r="G318" t="n">
        <v>181</v>
      </c>
      <c r="J318" t="inlineStr">
        <is>
          <t>A</t>
        </is>
      </c>
      <c r="K318" t="n">
        <v>2024</v>
      </c>
      <c r="L318" t="n">
        <v>8</v>
      </c>
      <c r="M318" t="inlineStr">
        <is>
          <t>Todos</t>
        </is>
      </c>
      <c r="N318" t="inlineStr">
        <is>
          <t>Mercearia / Sacolão</t>
        </is>
      </c>
      <c r="O318" t="n">
        <v>4</v>
      </c>
      <c r="P318" t="n">
        <v>21</v>
      </c>
      <c r="Q318" t="n">
        <v>4</v>
      </c>
    </row>
    <row r="319">
      <c r="A319" t="n">
        <v>2024</v>
      </c>
      <c r="B319" t="n">
        <v>6</v>
      </c>
      <c r="C319" t="inlineStr">
        <is>
          <t>Muçarela Mozzana 2 kg</t>
        </is>
      </c>
      <c r="D319" t="inlineStr">
        <is>
          <t>Pessoa Física</t>
        </is>
      </c>
      <c r="E319" t="n">
        <v>6194.71</v>
      </c>
      <c r="F319" t="n">
        <v>325.22</v>
      </c>
      <c r="G319" t="n">
        <v>161</v>
      </c>
      <c r="J319" t="inlineStr">
        <is>
          <t>M</t>
        </is>
      </c>
      <c r="K319" t="n">
        <v>2024</v>
      </c>
      <c r="L319" t="n">
        <v>8</v>
      </c>
      <c r="M319" t="inlineStr">
        <is>
          <t>Todos</t>
        </is>
      </c>
      <c r="N319" t="inlineStr">
        <is>
          <t>Mercearia / Sacolão</t>
        </is>
      </c>
      <c r="O319" t="n">
        <v>1</v>
      </c>
      <c r="P319" t="n">
        <v>1</v>
      </c>
      <c r="Q319" t="n">
        <v>0</v>
      </c>
    </row>
    <row r="320">
      <c r="A320" t="n">
        <v>2024</v>
      </c>
      <c r="B320" t="n">
        <v>6</v>
      </c>
      <c r="C320" t="inlineStr">
        <is>
          <t>Muçarela Mozzana 2 kg</t>
        </is>
      </c>
      <c r="D320" t="inlineStr">
        <is>
          <t>Pizzaria</t>
        </is>
      </c>
      <c r="E320" t="n">
        <v>118225.62</v>
      </c>
      <c r="F320" t="n">
        <v>6211.5</v>
      </c>
      <c r="G320" t="n">
        <v>3075</v>
      </c>
      <c r="J320" t="inlineStr">
        <is>
          <t>A</t>
        </is>
      </c>
      <c r="K320" t="n">
        <v>2024</v>
      </c>
      <c r="L320" t="n">
        <v>9</v>
      </c>
      <c r="M320" t="inlineStr">
        <is>
          <t>Todos</t>
        </is>
      </c>
      <c r="N320" t="inlineStr">
        <is>
          <t>Mercearia / Sacolão</t>
        </is>
      </c>
      <c r="O320" t="n">
        <v>5</v>
      </c>
      <c r="P320" t="n">
        <v>24</v>
      </c>
      <c r="Q320" t="n">
        <v>5</v>
      </c>
    </row>
    <row r="321">
      <c r="A321" t="n">
        <v>2024</v>
      </c>
      <c r="B321" t="n">
        <v>6</v>
      </c>
      <c r="C321" t="inlineStr">
        <is>
          <t>Muçarela Mozzana 2 kg</t>
        </is>
      </c>
      <c r="D321" t="inlineStr">
        <is>
          <t>Restaurante / Cantina</t>
        </is>
      </c>
      <c r="E321" t="n">
        <v>28321.14</v>
      </c>
      <c r="F321" t="n">
        <v>1519.04</v>
      </c>
      <c r="G321" t="n">
        <v>752</v>
      </c>
      <c r="J321" t="inlineStr">
        <is>
          <t>M</t>
        </is>
      </c>
      <c r="K321" t="n">
        <v>2024</v>
      </c>
      <c r="L321" t="n">
        <v>9</v>
      </c>
      <c r="M321" t="inlineStr">
        <is>
          <t>Todos</t>
        </is>
      </c>
      <c r="N321" t="inlineStr">
        <is>
          <t>Mercearia / Sacolão</t>
        </is>
      </c>
      <c r="O321" t="n">
        <v>3</v>
      </c>
      <c r="P321" t="n">
        <v>3</v>
      </c>
      <c r="Q321" t="n">
        <v>0</v>
      </c>
    </row>
    <row r="322">
      <c r="A322" t="n">
        <v>2024</v>
      </c>
      <c r="B322" t="n">
        <v>6</v>
      </c>
      <c r="C322" t="inlineStr">
        <is>
          <t>Muçarela Mozzana 2 kg</t>
        </is>
      </c>
      <c r="D322" t="inlineStr">
        <is>
          <t>Rotisserie</t>
        </is>
      </c>
      <c r="E322" t="n">
        <v>38.4</v>
      </c>
      <c r="F322" t="n">
        <v>2.02</v>
      </c>
      <c r="G322" t="n">
        <v>1</v>
      </c>
      <c r="J322" t="inlineStr">
        <is>
          <t>A</t>
        </is>
      </c>
      <c r="K322" t="n">
        <v>2024</v>
      </c>
      <c r="L322" t="n">
        <v>10</v>
      </c>
      <c r="M322" t="inlineStr">
        <is>
          <t>Todos</t>
        </is>
      </c>
      <c r="N322" t="inlineStr">
        <is>
          <t>Mercearia / Sacolão</t>
        </is>
      </c>
      <c r="O322" t="n">
        <v>6</v>
      </c>
      <c r="P322" t="n">
        <v>26</v>
      </c>
      <c r="Q322" t="n">
        <v>6</v>
      </c>
    </row>
    <row r="323">
      <c r="A323" t="n">
        <v>2024</v>
      </c>
      <c r="B323" t="n">
        <v>6</v>
      </c>
      <c r="C323" t="inlineStr">
        <is>
          <t>Muçarela Mozzana 2 kg</t>
        </is>
      </c>
      <c r="D323" t="inlineStr">
        <is>
          <t>Supermercado</t>
        </is>
      </c>
      <c r="E323" t="n">
        <v>6288.74</v>
      </c>
      <c r="F323" t="n">
        <v>309.06</v>
      </c>
      <c r="G323" t="n">
        <v>153</v>
      </c>
      <c r="J323" t="inlineStr">
        <is>
          <t>M</t>
        </is>
      </c>
      <c r="K323" t="n">
        <v>2024</v>
      </c>
      <c r="L323" t="n">
        <v>10</v>
      </c>
      <c r="M323" t="inlineStr">
        <is>
          <t>Todos</t>
        </is>
      </c>
      <c r="N323" t="inlineStr">
        <is>
          <t>Mercearia / Sacolão</t>
        </is>
      </c>
      <c r="O323" t="n">
        <v>2</v>
      </c>
      <c r="P323" t="n">
        <v>2</v>
      </c>
      <c r="Q323" t="n">
        <v>0</v>
      </c>
    </row>
    <row r="324">
      <c r="A324" t="n">
        <v>2024</v>
      </c>
      <c r="B324" t="n">
        <v>6</v>
      </c>
      <c r="C324" t="inlineStr">
        <is>
          <t>Requeijão Pizzalet 1,8 kg</t>
        </is>
      </c>
      <c r="D324" t="inlineStr">
        <is>
          <t>Bar / Chopperia</t>
        </is>
      </c>
      <c r="E324" t="n">
        <v>338.5</v>
      </c>
      <c r="F324" t="n">
        <v>46</v>
      </c>
      <c r="G324" t="n">
        <v>25</v>
      </c>
      <c r="J324" t="inlineStr">
        <is>
          <t>A</t>
        </is>
      </c>
      <c r="K324" t="n">
        <v>2024</v>
      </c>
      <c r="L324" t="n">
        <v>11</v>
      </c>
      <c r="M324" t="inlineStr">
        <is>
          <t>Todos</t>
        </is>
      </c>
      <c r="N324" t="inlineStr">
        <is>
          <t>Mercearia / Sacolão</t>
        </is>
      </c>
      <c r="O324" t="n">
        <v>6</v>
      </c>
      <c r="P324" t="n">
        <v>28</v>
      </c>
      <c r="Q324" t="n">
        <v>6</v>
      </c>
    </row>
    <row r="325">
      <c r="A325" t="n">
        <v>2024</v>
      </c>
      <c r="B325" t="n">
        <v>6</v>
      </c>
      <c r="C325" t="inlineStr">
        <is>
          <t>Requeijão Pizzalet 1,8 kg</t>
        </is>
      </c>
      <c r="D325" t="inlineStr">
        <is>
          <t>Cozinha Industrial</t>
        </is>
      </c>
      <c r="E325" t="n">
        <v>9072</v>
      </c>
      <c r="F325" t="n">
        <v>1236.48</v>
      </c>
      <c r="G325" t="n">
        <v>672</v>
      </c>
      <c r="J325" t="inlineStr">
        <is>
          <t>M</t>
        </is>
      </c>
      <c r="K325" t="n">
        <v>2024</v>
      </c>
      <c r="L325" t="n">
        <v>11</v>
      </c>
      <c r="M325" t="inlineStr">
        <is>
          <t>Todos</t>
        </is>
      </c>
      <c r="N325" t="inlineStr">
        <is>
          <t>Mercearia / Sacolão</t>
        </is>
      </c>
      <c r="O325" t="n">
        <v>1</v>
      </c>
      <c r="P325" t="n">
        <v>2</v>
      </c>
      <c r="Q325" t="n">
        <v>0</v>
      </c>
    </row>
    <row r="326">
      <c r="A326" t="n">
        <v>2024</v>
      </c>
      <c r="B326" t="n">
        <v>6</v>
      </c>
      <c r="C326" t="inlineStr">
        <is>
          <t>Requeijão Pizzalet 1,8 kg</t>
        </is>
      </c>
      <c r="D326" t="inlineStr">
        <is>
          <t>Fábrica de Massas</t>
        </is>
      </c>
      <c r="E326" t="n">
        <v>3253.5</v>
      </c>
      <c r="F326" t="n">
        <v>443.44</v>
      </c>
      <c r="G326" t="n">
        <v>241</v>
      </c>
      <c r="J326" t="inlineStr">
        <is>
          <t>A</t>
        </is>
      </c>
      <c r="K326" t="n">
        <v>2024</v>
      </c>
      <c r="L326" t="n">
        <v>12</v>
      </c>
      <c r="M326" t="inlineStr">
        <is>
          <t>Todos</t>
        </is>
      </c>
      <c r="N326" t="inlineStr">
        <is>
          <t>Mercearia / Sacolão</t>
        </is>
      </c>
      <c r="O326" t="n">
        <v>6</v>
      </c>
      <c r="P326" t="n">
        <v>34</v>
      </c>
      <c r="Q326" t="n">
        <v>6</v>
      </c>
    </row>
    <row r="327">
      <c r="A327" t="n">
        <v>2024</v>
      </c>
      <c r="B327" t="n">
        <v>6</v>
      </c>
      <c r="C327" t="inlineStr">
        <is>
          <t>Requeijão Pizzalet 1,8 kg</t>
        </is>
      </c>
      <c r="D327" t="inlineStr">
        <is>
          <t>Lanchonete / Cafeteria</t>
        </is>
      </c>
      <c r="E327" t="n">
        <v>1221.45</v>
      </c>
      <c r="F327" t="n">
        <v>165.6</v>
      </c>
      <c r="G327" t="n">
        <v>90</v>
      </c>
      <c r="J327" t="inlineStr">
        <is>
          <t>M</t>
        </is>
      </c>
      <c r="K327" t="n">
        <v>2024</v>
      </c>
      <c r="L327" t="n">
        <v>12</v>
      </c>
      <c r="M327" t="inlineStr">
        <is>
          <t>Todos</t>
        </is>
      </c>
      <c r="N327" t="inlineStr">
        <is>
          <t>Mercearia / Sacolão</t>
        </is>
      </c>
      <c r="O327" t="n">
        <v>3</v>
      </c>
      <c r="P327" t="n">
        <v>6</v>
      </c>
      <c r="Q327" t="n">
        <v>0</v>
      </c>
    </row>
    <row r="328">
      <c r="A328" t="n">
        <v>2024</v>
      </c>
      <c r="B328" t="n">
        <v>6</v>
      </c>
      <c r="C328" t="inlineStr">
        <is>
          <t>Requeijão Pizzalet 1,8 kg</t>
        </is>
      </c>
      <c r="D328" t="inlineStr">
        <is>
          <t>Padaria</t>
        </is>
      </c>
      <c r="E328" t="n">
        <v>67.7</v>
      </c>
      <c r="F328" t="n">
        <v>9.199999999999999</v>
      </c>
      <c r="G328" t="n">
        <v>5</v>
      </c>
      <c r="J328" t="inlineStr">
        <is>
          <t>A</t>
        </is>
      </c>
      <c r="K328" t="n">
        <v>2024</v>
      </c>
      <c r="L328" t="n">
        <v>1</v>
      </c>
      <c r="M328" t="inlineStr">
        <is>
          <t>Todos</t>
        </is>
      </c>
      <c r="N328" t="inlineStr">
        <is>
          <t>Buffet</t>
        </is>
      </c>
      <c r="O328" t="n">
        <v>1</v>
      </c>
      <c r="P328" t="n">
        <v>3</v>
      </c>
      <c r="Q328" t="n">
        <v>1</v>
      </c>
    </row>
    <row r="329">
      <c r="A329" t="n">
        <v>2024</v>
      </c>
      <c r="B329" t="n">
        <v>6</v>
      </c>
      <c r="C329" t="inlineStr">
        <is>
          <t>Requeijão Pizzalet 1,8 kg</t>
        </is>
      </c>
      <c r="D329" t="inlineStr">
        <is>
          <t>Pastelaria</t>
        </is>
      </c>
      <c r="E329" t="n">
        <v>2007.52</v>
      </c>
      <c r="F329" t="n">
        <v>272.32</v>
      </c>
      <c r="G329" t="n">
        <v>148</v>
      </c>
      <c r="J329" t="inlineStr">
        <is>
          <t>M</t>
        </is>
      </c>
      <c r="K329" t="n">
        <v>2024</v>
      </c>
      <c r="L329" t="n">
        <v>1</v>
      </c>
      <c r="M329" t="inlineStr">
        <is>
          <t>Todos</t>
        </is>
      </c>
      <c r="N329" t="inlineStr">
        <is>
          <t>Buffet</t>
        </is>
      </c>
      <c r="O329" t="n">
        <v>1</v>
      </c>
      <c r="P329" t="n">
        <v>3</v>
      </c>
      <c r="Q329" t="n">
        <v>0</v>
      </c>
    </row>
    <row r="330">
      <c r="A330" t="n">
        <v>2024</v>
      </c>
      <c r="B330" t="n">
        <v>6</v>
      </c>
      <c r="C330" t="inlineStr">
        <is>
          <t>Requeijão Pizzalet 1,8 kg</t>
        </is>
      </c>
      <c r="D330" t="inlineStr">
        <is>
          <t>Pizzaria</t>
        </is>
      </c>
      <c r="E330" t="n">
        <v>4499.82</v>
      </c>
      <c r="F330" t="n">
        <v>612.72</v>
      </c>
      <c r="G330" t="n">
        <v>333</v>
      </c>
      <c r="J330" t="inlineStr">
        <is>
          <t>A</t>
        </is>
      </c>
      <c r="K330" t="n">
        <v>2024</v>
      </c>
      <c r="L330" t="n">
        <v>2</v>
      </c>
      <c r="M330" t="inlineStr">
        <is>
          <t>Todos</t>
        </is>
      </c>
      <c r="N330" t="inlineStr">
        <is>
          <t>Buffet</t>
        </is>
      </c>
      <c r="O330" t="n">
        <v>2</v>
      </c>
      <c r="P330" t="n">
        <v>7</v>
      </c>
      <c r="Q330" t="n">
        <v>2</v>
      </c>
    </row>
    <row r="331">
      <c r="A331" t="n">
        <v>2024</v>
      </c>
      <c r="B331" t="n">
        <v>6</v>
      </c>
      <c r="C331" t="inlineStr">
        <is>
          <t>Requeijão Pizzalet 1,8 kg</t>
        </is>
      </c>
      <c r="D331" t="inlineStr">
        <is>
          <t>Restaurante / Cantina</t>
        </is>
      </c>
      <c r="E331" t="n">
        <v>270.8</v>
      </c>
      <c r="F331" t="n">
        <v>36.8</v>
      </c>
      <c r="G331" t="n">
        <v>20</v>
      </c>
      <c r="J331" t="inlineStr">
        <is>
          <t>M</t>
        </is>
      </c>
      <c r="K331" t="n">
        <v>2024</v>
      </c>
      <c r="L331" t="n">
        <v>2</v>
      </c>
      <c r="M331" t="inlineStr">
        <is>
          <t>Todos</t>
        </is>
      </c>
      <c r="N331" t="inlineStr">
        <is>
          <t>Buffet</t>
        </is>
      </c>
      <c r="O331" t="n">
        <v>2</v>
      </c>
      <c r="P331" t="n">
        <v>4</v>
      </c>
      <c r="Q331" t="n">
        <v>0</v>
      </c>
    </row>
    <row r="332">
      <c r="A332" t="n">
        <v>2024</v>
      </c>
      <c r="B332" t="n">
        <v>7</v>
      </c>
      <c r="C332" t="inlineStr">
        <is>
          <t>Chocolate em pó 50% 1 kg</t>
        </is>
      </c>
      <c r="D332" t="inlineStr">
        <is>
          <t>Churrascaria</t>
        </is>
      </c>
      <c r="E332" t="n">
        <v>268.43</v>
      </c>
      <c r="F332" t="n">
        <v>9.18</v>
      </c>
      <c r="G332" t="n">
        <v>9</v>
      </c>
      <c r="J332" t="inlineStr">
        <is>
          <t>A</t>
        </is>
      </c>
      <c r="K332" t="n">
        <v>2024</v>
      </c>
      <c r="L332" t="n">
        <v>3</v>
      </c>
      <c r="M332" t="inlineStr">
        <is>
          <t>Todos</t>
        </is>
      </c>
      <c r="N332" t="inlineStr">
        <is>
          <t>Buffet</t>
        </is>
      </c>
      <c r="O332" t="n">
        <v>2</v>
      </c>
      <c r="P332" t="n">
        <v>9</v>
      </c>
      <c r="Q332" t="n">
        <v>2</v>
      </c>
    </row>
    <row r="333">
      <c r="A333" t="n">
        <v>2024</v>
      </c>
      <c r="B333" t="n">
        <v>7</v>
      </c>
      <c r="C333" t="inlineStr">
        <is>
          <t>Chocolate em pó 50% 1 kg</t>
        </is>
      </c>
      <c r="D333" t="inlineStr">
        <is>
          <t>Colaborador</t>
        </is>
      </c>
      <c r="E333" t="n">
        <v>29.59</v>
      </c>
      <c r="F333" t="n">
        <v>1.02</v>
      </c>
      <c r="G333" t="n">
        <v>1</v>
      </c>
      <c r="J333" t="inlineStr">
        <is>
          <t>M</t>
        </is>
      </c>
      <c r="K333" t="n">
        <v>2024</v>
      </c>
      <c r="L333" t="n">
        <v>3</v>
      </c>
      <c r="M333" t="inlineStr">
        <is>
          <t>Todos</t>
        </is>
      </c>
      <c r="N333" t="inlineStr">
        <is>
          <t>Buffet</t>
        </is>
      </c>
      <c r="O333" t="n">
        <v>1</v>
      </c>
      <c r="P333" t="n">
        <v>2</v>
      </c>
      <c r="Q333" t="n">
        <v>0</v>
      </c>
    </row>
    <row r="334">
      <c r="A334" t="n">
        <v>2024</v>
      </c>
      <c r="B334" t="n">
        <v>7</v>
      </c>
      <c r="C334" t="inlineStr">
        <is>
          <t>Chocolate em pó 50% 1 kg</t>
        </is>
      </c>
      <c r="D334" t="inlineStr">
        <is>
          <t>Cozinha Industrial</t>
        </is>
      </c>
      <c r="E334" t="n">
        <v>89.34</v>
      </c>
      <c r="F334" t="n">
        <v>3.06</v>
      </c>
      <c r="G334" t="n">
        <v>3</v>
      </c>
      <c r="J334" t="inlineStr">
        <is>
          <t>A</t>
        </is>
      </c>
      <c r="K334" t="n">
        <v>2024</v>
      </c>
      <c r="L334" t="n">
        <v>4</v>
      </c>
      <c r="M334" t="inlineStr">
        <is>
          <t>Todos</t>
        </is>
      </c>
      <c r="N334" t="inlineStr">
        <is>
          <t>Buffet</t>
        </is>
      </c>
      <c r="O334" t="n">
        <v>3</v>
      </c>
      <c r="P334" t="n">
        <v>16</v>
      </c>
      <c r="Q334" t="n">
        <v>3</v>
      </c>
    </row>
    <row r="335">
      <c r="A335" t="n">
        <v>2024</v>
      </c>
      <c r="B335" t="n">
        <v>7</v>
      </c>
      <c r="C335" t="inlineStr">
        <is>
          <t>Chocolate em pó 50% 1 kg</t>
        </is>
      </c>
      <c r="D335" t="inlineStr">
        <is>
          <t>Hamburgueria</t>
        </is>
      </c>
      <c r="E335" t="n">
        <v>29.56</v>
      </c>
      <c r="F335" t="n">
        <v>1.02</v>
      </c>
      <c r="G335" t="n">
        <v>1</v>
      </c>
      <c r="J335" t="inlineStr">
        <is>
          <t>M</t>
        </is>
      </c>
      <c r="K335" t="n">
        <v>2024</v>
      </c>
      <c r="L335" t="n">
        <v>4</v>
      </c>
      <c r="M335" t="inlineStr">
        <is>
          <t>Todos</t>
        </is>
      </c>
      <c r="N335" t="inlineStr">
        <is>
          <t>Buffet</t>
        </is>
      </c>
      <c r="O335" t="n">
        <v>3</v>
      </c>
      <c r="P335" t="n">
        <v>7</v>
      </c>
      <c r="Q335" t="n">
        <v>0</v>
      </c>
    </row>
    <row r="336">
      <c r="A336" t="n">
        <v>2024</v>
      </c>
      <c r="B336" t="n">
        <v>7</v>
      </c>
      <c r="C336" t="inlineStr">
        <is>
          <t>Chocolate em pó 50% 1 kg</t>
        </is>
      </c>
      <c r="D336" t="inlineStr">
        <is>
          <t>Hotel / Motel / Pousada</t>
        </is>
      </c>
      <c r="E336" t="n">
        <v>958.64</v>
      </c>
      <c r="F336" t="n">
        <v>33.66</v>
      </c>
      <c r="G336" t="n">
        <v>33</v>
      </c>
      <c r="J336" t="inlineStr">
        <is>
          <t>A</t>
        </is>
      </c>
      <c r="K336" t="n">
        <v>2024</v>
      </c>
      <c r="L336" t="n">
        <v>5</v>
      </c>
      <c r="M336" t="inlineStr">
        <is>
          <t>Todos</t>
        </is>
      </c>
      <c r="N336" t="inlineStr">
        <is>
          <t>Buffet</t>
        </is>
      </c>
      <c r="O336" t="n">
        <v>4</v>
      </c>
      <c r="P336" t="n">
        <v>21</v>
      </c>
      <c r="Q336" t="n">
        <v>4</v>
      </c>
    </row>
    <row r="337">
      <c r="A337" t="n">
        <v>2024</v>
      </c>
      <c r="B337" t="n">
        <v>7</v>
      </c>
      <c r="C337" t="inlineStr">
        <is>
          <t>Chocolate em pó 50% 1 kg</t>
        </is>
      </c>
      <c r="D337" t="inlineStr">
        <is>
          <t>Outros</t>
        </is>
      </c>
      <c r="E337" t="n">
        <v>144.2</v>
      </c>
      <c r="F337" t="n">
        <v>5.1</v>
      </c>
      <c r="G337" t="n">
        <v>5</v>
      </c>
      <c r="J337" t="inlineStr">
        <is>
          <t>M</t>
        </is>
      </c>
      <c r="K337" t="n">
        <v>2024</v>
      </c>
      <c r="L337" t="n">
        <v>5</v>
      </c>
      <c r="M337" t="inlineStr">
        <is>
          <t>Todos</t>
        </is>
      </c>
      <c r="N337" t="inlineStr">
        <is>
          <t>Buffet</t>
        </is>
      </c>
      <c r="O337" t="n">
        <v>2</v>
      </c>
      <c r="P337" t="n">
        <v>5</v>
      </c>
      <c r="Q337" t="n">
        <v>0</v>
      </c>
    </row>
    <row r="338">
      <c r="A338" t="n">
        <v>2024</v>
      </c>
      <c r="B338" t="n">
        <v>7</v>
      </c>
      <c r="C338" t="inlineStr">
        <is>
          <t>Chocolate em pó 50% 1 kg</t>
        </is>
      </c>
      <c r="D338" t="inlineStr">
        <is>
          <t>Padaria</t>
        </is>
      </c>
      <c r="E338" t="n">
        <v>176.3</v>
      </c>
      <c r="F338" t="n">
        <v>6.12</v>
      </c>
      <c r="G338" t="n">
        <v>6</v>
      </c>
      <c r="J338" t="inlineStr">
        <is>
          <t>A</t>
        </is>
      </c>
      <c r="K338" t="n">
        <v>2024</v>
      </c>
      <c r="L338" t="n">
        <v>6</v>
      </c>
      <c r="M338" t="inlineStr">
        <is>
          <t>Todos</t>
        </is>
      </c>
      <c r="N338" t="inlineStr">
        <is>
          <t>Buffet</t>
        </is>
      </c>
      <c r="O338" t="n">
        <v>6</v>
      </c>
      <c r="P338" t="n">
        <v>27</v>
      </c>
      <c r="Q338" t="n">
        <v>6</v>
      </c>
    </row>
    <row r="339">
      <c r="A339" t="n">
        <v>2024</v>
      </c>
      <c r="B339" t="n">
        <v>7</v>
      </c>
      <c r="C339" t="inlineStr">
        <is>
          <t>Chocolate em pó 50% 1 kg</t>
        </is>
      </c>
      <c r="D339" t="inlineStr">
        <is>
          <t>Pizzaria</t>
        </is>
      </c>
      <c r="E339" t="n">
        <v>587.38</v>
      </c>
      <c r="F339" t="n">
        <v>20.4</v>
      </c>
      <c r="G339" t="n">
        <v>20</v>
      </c>
      <c r="J339" t="inlineStr">
        <is>
          <t>M</t>
        </is>
      </c>
      <c r="K339" t="n">
        <v>2024</v>
      </c>
      <c r="L339" t="n">
        <v>6</v>
      </c>
      <c r="M339" t="inlineStr">
        <is>
          <t>Todos</t>
        </is>
      </c>
      <c r="N339" t="inlineStr">
        <is>
          <t>Buffet</t>
        </is>
      </c>
      <c r="O339" t="n">
        <v>3</v>
      </c>
      <c r="P339" t="n">
        <v>6</v>
      </c>
      <c r="Q339" t="n">
        <v>0</v>
      </c>
    </row>
    <row r="340">
      <c r="A340" t="n">
        <v>2024</v>
      </c>
      <c r="B340" t="n">
        <v>7</v>
      </c>
      <c r="C340" t="inlineStr">
        <is>
          <t>Chocolate em pó 50% 1 kg</t>
        </is>
      </c>
      <c r="D340" t="inlineStr">
        <is>
          <t>Restaurante / Cantina</t>
        </is>
      </c>
      <c r="E340" t="n">
        <v>2389.82</v>
      </c>
      <c r="F340" t="n">
        <v>82.62</v>
      </c>
      <c r="G340" t="n">
        <v>81</v>
      </c>
      <c r="J340" t="inlineStr">
        <is>
          <t>A</t>
        </is>
      </c>
      <c r="K340" t="n">
        <v>2024</v>
      </c>
      <c r="L340" t="n">
        <v>7</v>
      </c>
      <c r="M340" t="inlineStr">
        <is>
          <t>Todos</t>
        </is>
      </c>
      <c r="N340" t="inlineStr">
        <is>
          <t>Buffet</t>
        </is>
      </c>
      <c r="O340" t="n">
        <v>6</v>
      </c>
      <c r="P340" t="n">
        <v>29</v>
      </c>
      <c r="Q340" t="n">
        <v>6</v>
      </c>
    </row>
    <row r="341">
      <c r="A341" t="n">
        <v>2024</v>
      </c>
      <c r="B341" t="n">
        <v>7</v>
      </c>
      <c r="C341" t="inlineStr">
        <is>
          <t>Composto lácteo Alibralac 1 kg</t>
        </is>
      </c>
      <c r="D341" t="inlineStr">
        <is>
          <t>Fábrica de Massas</t>
        </is>
      </c>
      <c r="E341" t="n">
        <v>121.14</v>
      </c>
      <c r="F341" t="n">
        <v>6.12</v>
      </c>
      <c r="G341" t="n">
        <v>6</v>
      </c>
      <c r="J341" t="inlineStr">
        <is>
          <t>M</t>
        </is>
      </c>
      <c r="K341" t="n">
        <v>2024</v>
      </c>
      <c r="L341" t="n">
        <v>7</v>
      </c>
      <c r="M341" t="inlineStr">
        <is>
          <t>Todos</t>
        </is>
      </c>
      <c r="N341" t="inlineStr">
        <is>
          <t>Buffet</t>
        </is>
      </c>
      <c r="O341" t="n">
        <v>1</v>
      </c>
      <c r="P341" t="n">
        <v>2</v>
      </c>
      <c r="Q341" t="n">
        <v>0</v>
      </c>
    </row>
    <row r="342">
      <c r="A342" t="n">
        <v>2024</v>
      </c>
      <c r="B342" t="n">
        <v>7</v>
      </c>
      <c r="C342" t="inlineStr">
        <is>
          <t>Composto lácteo Alibralac 1 kg</t>
        </is>
      </c>
      <c r="D342" t="inlineStr">
        <is>
          <t>Hotel / Motel / Pousada</t>
        </is>
      </c>
      <c r="E342" t="n">
        <v>203.9</v>
      </c>
      <c r="F342" t="n">
        <v>10.2</v>
      </c>
      <c r="G342" t="n">
        <v>10</v>
      </c>
      <c r="J342" t="inlineStr">
        <is>
          <t>A</t>
        </is>
      </c>
      <c r="K342" t="n">
        <v>2024</v>
      </c>
      <c r="L342" t="n">
        <v>8</v>
      </c>
      <c r="M342" t="inlineStr">
        <is>
          <t>Todos</t>
        </is>
      </c>
      <c r="N342" t="inlineStr">
        <is>
          <t>Buffet</t>
        </is>
      </c>
      <c r="O342" t="n">
        <v>7</v>
      </c>
      <c r="P342" t="n">
        <v>36</v>
      </c>
      <c r="Q342" t="n">
        <v>7</v>
      </c>
    </row>
    <row r="343">
      <c r="A343" t="n">
        <v>2024</v>
      </c>
      <c r="B343" t="n">
        <v>7</v>
      </c>
      <c r="C343" t="inlineStr">
        <is>
          <t>Composto lácteo Alibralac 1 kg</t>
        </is>
      </c>
      <c r="D343" t="inlineStr">
        <is>
          <t>Mercearia / Sacolão</t>
        </is>
      </c>
      <c r="E343" t="n">
        <v>40.38</v>
      </c>
      <c r="F343" t="n">
        <v>2.04</v>
      </c>
      <c r="G343" t="n">
        <v>2</v>
      </c>
      <c r="J343" t="inlineStr">
        <is>
          <t>M</t>
        </is>
      </c>
      <c r="K343" t="n">
        <v>2024</v>
      </c>
      <c r="L343" t="n">
        <v>8</v>
      </c>
      <c r="M343" t="inlineStr">
        <is>
          <t>Todos</t>
        </is>
      </c>
      <c r="N343" t="inlineStr">
        <is>
          <t>Buffet</t>
        </is>
      </c>
      <c r="O343" t="n">
        <v>3</v>
      </c>
      <c r="P343" t="n">
        <v>7</v>
      </c>
      <c r="Q343" t="n">
        <v>0</v>
      </c>
    </row>
    <row r="344">
      <c r="A344" t="n">
        <v>2024</v>
      </c>
      <c r="B344" t="n">
        <v>7</v>
      </c>
      <c r="C344" t="inlineStr">
        <is>
          <t>Composto lácteo Alibralac 1 kg</t>
        </is>
      </c>
      <c r="D344" t="inlineStr">
        <is>
          <t>Padaria</t>
        </is>
      </c>
      <c r="E344" t="n">
        <v>201.9</v>
      </c>
      <c r="F344" t="n">
        <v>10.2</v>
      </c>
      <c r="G344" t="n">
        <v>10</v>
      </c>
      <c r="J344" t="inlineStr">
        <is>
          <t>A</t>
        </is>
      </c>
      <c r="K344" t="n">
        <v>2024</v>
      </c>
      <c r="L344" t="n">
        <v>9</v>
      </c>
      <c r="M344" t="inlineStr">
        <is>
          <t>Todos</t>
        </is>
      </c>
      <c r="N344" t="inlineStr">
        <is>
          <t>Buffet</t>
        </is>
      </c>
      <c r="O344" t="n">
        <v>8</v>
      </c>
      <c r="P344" t="n">
        <v>40</v>
      </c>
      <c r="Q344" t="n">
        <v>8</v>
      </c>
    </row>
    <row r="345">
      <c r="A345" t="n">
        <v>2024</v>
      </c>
      <c r="B345" t="n">
        <v>7</v>
      </c>
      <c r="C345" t="inlineStr">
        <is>
          <t>Composto lácteo Alibralac 1 kg</t>
        </is>
      </c>
      <c r="D345" t="inlineStr">
        <is>
          <t>Pizzaria</t>
        </is>
      </c>
      <c r="E345" t="n">
        <v>242.58</v>
      </c>
      <c r="F345" t="n">
        <v>12.24</v>
      </c>
      <c r="G345" t="n">
        <v>12</v>
      </c>
      <c r="J345" t="inlineStr">
        <is>
          <t>M</t>
        </is>
      </c>
      <c r="K345" t="n">
        <v>2024</v>
      </c>
      <c r="L345" t="n">
        <v>9</v>
      </c>
      <c r="M345" t="inlineStr">
        <is>
          <t>Todos</t>
        </is>
      </c>
      <c r="N345" t="inlineStr">
        <is>
          <t>Buffet</t>
        </is>
      </c>
      <c r="O345" t="n">
        <v>2</v>
      </c>
      <c r="P345" t="n">
        <v>4</v>
      </c>
      <c r="Q345" t="n">
        <v>0</v>
      </c>
    </row>
    <row r="346">
      <c r="A346" t="n">
        <v>2024</v>
      </c>
      <c r="B346" t="n">
        <v>7</v>
      </c>
      <c r="C346" t="inlineStr">
        <is>
          <t>Composto lácteo Alibralac 1 kg</t>
        </is>
      </c>
      <c r="D346" t="inlineStr">
        <is>
          <t>Restaurante / Cantina</t>
        </is>
      </c>
      <c r="E346" t="n">
        <v>2637.9</v>
      </c>
      <c r="F346" t="n">
        <v>132.6</v>
      </c>
      <c r="G346" t="n">
        <v>130</v>
      </c>
      <c r="J346" t="inlineStr">
        <is>
          <t>A</t>
        </is>
      </c>
      <c r="K346" t="n">
        <v>2024</v>
      </c>
      <c r="L346" t="n">
        <v>10</v>
      </c>
      <c r="M346" t="inlineStr">
        <is>
          <t>Todos</t>
        </is>
      </c>
      <c r="N346" t="inlineStr">
        <is>
          <t>Buffet</t>
        </is>
      </c>
      <c r="O346" t="n">
        <v>8</v>
      </c>
      <c r="P346" t="n">
        <v>49</v>
      </c>
      <c r="Q346" t="n">
        <v>8</v>
      </c>
    </row>
    <row r="347">
      <c r="A347" t="n">
        <v>2024</v>
      </c>
      <c r="B347" t="n">
        <v>7</v>
      </c>
      <c r="C347" t="inlineStr">
        <is>
          <t>Composto lácteo Merilú 400 g</t>
        </is>
      </c>
      <c r="D347" t="inlineStr">
        <is>
          <t>Bar / Chopperia</t>
        </is>
      </c>
      <c r="E347" t="n">
        <v>7.25</v>
      </c>
      <c r="F347" t="n">
        <v>0.42</v>
      </c>
      <c r="G347" t="n">
        <v>1</v>
      </c>
      <c r="J347" t="inlineStr">
        <is>
          <t>M</t>
        </is>
      </c>
      <c r="K347" t="n">
        <v>2024</v>
      </c>
      <c r="L347" t="n">
        <v>10</v>
      </c>
      <c r="M347" t="inlineStr">
        <is>
          <t>Todos</t>
        </is>
      </c>
      <c r="N347" t="inlineStr">
        <is>
          <t>Buffet</t>
        </is>
      </c>
      <c r="O347" t="n">
        <v>3</v>
      </c>
      <c r="P347" t="n">
        <v>9</v>
      </c>
      <c r="Q347" t="n">
        <v>0</v>
      </c>
    </row>
    <row r="348">
      <c r="A348" t="n">
        <v>2024</v>
      </c>
      <c r="B348" t="n">
        <v>7</v>
      </c>
      <c r="C348" t="inlineStr">
        <is>
          <t>Composto lácteo Merilú 400 g</t>
        </is>
      </c>
      <c r="D348" t="inlineStr">
        <is>
          <t>Churrascaria</t>
        </is>
      </c>
      <c r="E348" t="n">
        <v>63.12</v>
      </c>
      <c r="F348" t="n">
        <v>3.36</v>
      </c>
      <c r="G348" t="n">
        <v>8</v>
      </c>
      <c r="J348" t="inlineStr">
        <is>
          <t>A</t>
        </is>
      </c>
      <c r="K348" t="n">
        <v>2024</v>
      </c>
      <c r="L348" t="n">
        <v>11</v>
      </c>
      <c r="M348" t="inlineStr">
        <is>
          <t>Todos</t>
        </is>
      </c>
      <c r="N348" t="inlineStr">
        <is>
          <t>Buffet</t>
        </is>
      </c>
      <c r="O348" t="n">
        <v>8</v>
      </c>
      <c r="P348" t="n">
        <v>58</v>
      </c>
      <c r="Q348" t="n">
        <v>8</v>
      </c>
    </row>
    <row r="349">
      <c r="A349" t="n">
        <v>2024</v>
      </c>
      <c r="B349" t="n">
        <v>7</v>
      </c>
      <c r="C349" t="inlineStr">
        <is>
          <t>Composto lácteo Merilú 400 g</t>
        </is>
      </c>
      <c r="D349" t="inlineStr">
        <is>
          <t>Hamburgueria</t>
        </is>
      </c>
      <c r="E349" t="n">
        <v>85.8</v>
      </c>
      <c r="F349" t="n">
        <v>5.04</v>
      </c>
      <c r="G349" t="n">
        <v>12</v>
      </c>
      <c r="J349" t="inlineStr">
        <is>
          <t>M</t>
        </is>
      </c>
      <c r="K349" t="n">
        <v>2024</v>
      </c>
      <c r="L349" t="n">
        <v>11</v>
      </c>
      <c r="M349" t="inlineStr">
        <is>
          <t>Todos</t>
        </is>
      </c>
      <c r="N349" t="inlineStr">
        <is>
          <t>Buffet</t>
        </is>
      </c>
      <c r="O349" t="n">
        <v>3</v>
      </c>
      <c r="P349" t="n">
        <v>9</v>
      </c>
      <c r="Q349" t="n">
        <v>0</v>
      </c>
    </row>
    <row r="350">
      <c r="A350" t="n">
        <v>2024</v>
      </c>
      <c r="B350" t="n">
        <v>7</v>
      </c>
      <c r="C350" t="inlineStr">
        <is>
          <t>Composto lácteo Merilú 400 g</t>
        </is>
      </c>
      <c r="D350" t="inlineStr">
        <is>
          <t>Lanchonete / Cafeteria</t>
        </is>
      </c>
      <c r="E350" t="n">
        <v>49.73</v>
      </c>
      <c r="F350" t="n">
        <v>2.94</v>
      </c>
      <c r="G350" t="n">
        <v>7</v>
      </c>
      <c r="J350" t="inlineStr">
        <is>
          <t>A</t>
        </is>
      </c>
      <c r="K350" t="n">
        <v>2024</v>
      </c>
      <c r="L350" t="n">
        <v>12</v>
      </c>
      <c r="M350" t="inlineStr">
        <is>
          <t>Todos</t>
        </is>
      </c>
      <c r="N350" t="inlineStr">
        <is>
          <t>Buffet</t>
        </is>
      </c>
      <c r="O350" t="n">
        <v>8</v>
      </c>
      <c r="P350" t="n">
        <v>63</v>
      </c>
      <c r="Q350" t="n">
        <v>8</v>
      </c>
    </row>
    <row r="351">
      <c r="A351" t="n">
        <v>2024</v>
      </c>
      <c r="B351" t="n">
        <v>7</v>
      </c>
      <c r="C351" t="inlineStr">
        <is>
          <t>Composto lácteo Merilú 400 g</t>
        </is>
      </c>
      <c r="D351" t="inlineStr">
        <is>
          <t>Outros</t>
        </is>
      </c>
      <c r="E351" t="n">
        <v>630.29</v>
      </c>
      <c r="F351" t="n">
        <v>37.38</v>
      </c>
      <c r="G351" t="n">
        <v>89</v>
      </c>
      <c r="J351" t="inlineStr">
        <is>
          <t>M</t>
        </is>
      </c>
      <c r="K351" t="n">
        <v>2024</v>
      </c>
      <c r="L351" t="n">
        <v>12</v>
      </c>
      <c r="M351" t="inlineStr">
        <is>
          <t>Todos</t>
        </is>
      </c>
      <c r="N351" t="inlineStr">
        <is>
          <t>Buffet</t>
        </is>
      </c>
      <c r="O351" t="n">
        <v>2</v>
      </c>
      <c r="P351" t="n">
        <v>5</v>
      </c>
      <c r="Q351" t="n">
        <v>0</v>
      </c>
    </row>
    <row r="352">
      <c r="A352" t="n">
        <v>2024</v>
      </c>
      <c r="B352" t="n">
        <v>7</v>
      </c>
      <c r="C352" t="inlineStr">
        <is>
          <t>Composto lácteo Merilú 400 g</t>
        </is>
      </c>
      <c r="D352" t="inlineStr">
        <is>
          <t>Padaria</t>
        </is>
      </c>
      <c r="E352" t="n">
        <v>318.6</v>
      </c>
      <c r="F352" t="n">
        <v>18.9</v>
      </c>
      <c r="G352" t="n">
        <v>45</v>
      </c>
      <c r="J352" t="inlineStr">
        <is>
          <t>A</t>
        </is>
      </c>
      <c r="K352" t="n">
        <v>2024</v>
      </c>
      <c r="L352" t="n">
        <v>1</v>
      </c>
      <c r="M352" t="inlineStr">
        <is>
          <t>Todos</t>
        </is>
      </c>
      <c r="N352" t="inlineStr">
        <is>
          <t>Hotel / Motel / Pousada</t>
        </is>
      </c>
      <c r="O352" t="n">
        <v>8</v>
      </c>
      <c r="P352" t="n">
        <v>14</v>
      </c>
      <c r="Q352" t="n">
        <v>8</v>
      </c>
    </row>
    <row r="353">
      <c r="A353" t="n">
        <v>2024</v>
      </c>
      <c r="B353" t="n">
        <v>7</v>
      </c>
      <c r="C353" t="inlineStr">
        <is>
          <t>Composto lácteo Merilú 400 g</t>
        </is>
      </c>
      <c r="D353" t="inlineStr">
        <is>
          <t>Pizzaria</t>
        </is>
      </c>
      <c r="E353" t="n">
        <v>174.75</v>
      </c>
      <c r="F353" t="n">
        <v>10.5</v>
      </c>
      <c r="G353" t="n">
        <v>25</v>
      </c>
      <c r="J353" t="inlineStr">
        <is>
          <t>M</t>
        </is>
      </c>
      <c r="K353" t="n">
        <v>2024</v>
      </c>
      <c r="L353" t="n">
        <v>1</v>
      </c>
      <c r="M353" t="inlineStr">
        <is>
          <t>Todos</t>
        </is>
      </c>
      <c r="N353" t="inlineStr">
        <is>
          <t>Hotel / Motel / Pousada</t>
        </is>
      </c>
      <c r="O353" t="n">
        <v>8</v>
      </c>
      <c r="P353" t="n">
        <v>14</v>
      </c>
      <c r="Q353" t="n">
        <v>0</v>
      </c>
    </row>
    <row r="354">
      <c r="A354" t="n">
        <v>2024</v>
      </c>
      <c r="B354" t="n">
        <v>7</v>
      </c>
      <c r="C354" t="inlineStr">
        <is>
          <t>Composto lácteo Merilú 400 g</t>
        </is>
      </c>
      <c r="D354" t="inlineStr">
        <is>
          <t>Restaurante / Cantina</t>
        </is>
      </c>
      <c r="E354" t="n">
        <v>63.92</v>
      </c>
      <c r="F354" t="n">
        <v>3.36</v>
      </c>
      <c r="G354" t="n">
        <v>8</v>
      </c>
      <c r="J354" t="inlineStr">
        <is>
          <t>A</t>
        </is>
      </c>
      <c r="K354" t="n">
        <v>2024</v>
      </c>
      <c r="L354" t="n">
        <v>2</v>
      </c>
      <c r="M354" t="inlineStr">
        <is>
          <t>Todos</t>
        </is>
      </c>
      <c r="N354" t="inlineStr">
        <is>
          <t>Hotel / Motel / Pousada</t>
        </is>
      </c>
      <c r="O354" t="n">
        <v>13</v>
      </c>
      <c r="P354" t="n">
        <v>28</v>
      </c>
      <c r="Q354" t="n">
        <v>13</v>
      </c>
    </row>
    <row r="355">
      <c r="A355" t="n">
        <v>2024</v>
      </c>
      <c r="B355" t="n">
        <v>7</v>
      </c>
      <c r="C355" t="inlineStr">
        <is>
          <t>Composto lácteo Merilú 400 g</t>
        </is>
      </c>
      <c r="D355" t="inlineStr">
        <is>
          <t>Supermercado</t>
        </is>
      </c>
      <c r="E355" t="n">
        <v>14.16</v>
      </c>
      <c r="F355" t="n">
        <v>0.84</v>
      </c>
      <c r="G355" t="n">
        <v>2</v>
      </c>
      <c r="J355" t="inlineStr">
        <is>
          <t>M</t>
        </is>
      </c>
      <c r="K355" t="n">
        <v>2024</v>
      </c>
      <c r="L355" t="n">
        <v>2</v>
      </c>
      <c r="M355" t="inlineStr">
        <is>
          <t>Todos</t>
        </is>
      </c>
      <c r="N355" t="inlineStr">
        <is>
          <t>Hotel / Motel / Pousada</t>
        </is>
      </c>
      <c r="O355" t="n">
        <v>9</v>
      </c>
      <c r="P355" t="n">
        <v>14</v>
      </c>
      <c r="Q355" t="n">
        <v>0</v>
      </c>
    </row>
    <row r="356">
      <c r="A356" t="n">
        <v>2024</v>
      </c>
      <c r="B356" t="n">
        <v>7</v>
      </c>
      <c r="C356" t="inlineStr">
        <is>
          <t>Muçarela Mozzalet 2 kg</t>
        </is>
      </c>
      <c r="D356" t="inlineStr">
        <is>
          <t>Cozinha Industrial</t>
        </is>
      </c>
      <c r="E356" t="n">
        <v>1267.5</v>
      </c>
      <c r="F356" t="n">
        <v>68</v>
      </c>
      <c r="G356" t="n">
        <v>34</v>
      </c>
      <c r="J356" t="inlineStr">
        <is>
          <t>A</t>
        </is>
      </c>
      <c r="K356" t="n">
        <v>2024</v>
      </c>
      <c r="L356" t="n">
        <v>3</v>
      </c>
      <c r="M356" t="inlineStr">
        <is>
          <t>Todos</t>
        </is>
      </c>
      <c r="N356" t="inlineStr">
        <is>
          <t>Hotel / Motel / Pousada</t>
        </is>
      </c>
      <c r="O356" t="n">
        <v>16</v>
      </c>
      <c r="P356" t="n">
        <v>41</v>
      </c>
      <c r="Q356" t="n">
        <v>16</v>
      </c>
    </row>
    <row r="357">
      <c r="A357" t="n">
        <v>2024</v>
      </c>
      <c r="B357" t="n">
        <v>7</v>
      </c>
      <c r="C357" t="inlineStr">
        <is>
          <t>Muçarela Mozzalet 2 kg</t>
        </is>
      </c>
      <c r="D357" t="inlineStr">
        <is>
          <t>Fábrica de Massas</t>
        </is>
      </c>
      <c r="E357" t="n">
        <v>1364.4</v>
      </c>
      <c r="F357" t="n">
        <v>72</v>
      </c>
      <c r="G357" t="n">
        <v>36</v>
      </c>
      <c r="J357" t="inlineStr">
        <is>
          <t>M</t>
        </is>
      </c>
      <c r="K357" t="n">
        <v>2024</v>
      </c>
      <c r="L357" t="n">
        <v>3</v>
      </c>
      <c r="M357" t="inlineStr">
        <is>
          <t>Todos</t>
        </is>
      </c>
      <c r="N357" t="inlineStr">
        <is>
          <t>Hotel / Motel / Pousada</t>
        </is>
      </c>
      <c r="O357" t="n">
        <v>10</v>
      </c>
      <c r="P357" t="n">
        <v>13</v>
      </c>
      <c r="Q357" t="n">
        <v>0</v>
      </c>
    </row>
    <row r="358">
      <c r="A358" t="n">
        <v>2024</v>
      </c>
      <c r="B358" t="n">
        <v>7</v>
      </c>
      <c r="C358" t="inlineStr">
        <is>
          <t>Muçarela Mozzalet 2 kg</t>
        </is>
      </c>
      <c r="D358" t="inlineStr">
        <is>
          <t>Lanchonete / Cafeteria</t>
        </is>
      </c>
      <c r="E358" t="n">
        <v>1156.11</v>
      </c>
      <c r="F358" t="n">
        <v>58</v>
      </c>
      <c r="G358" t="n">
        <v>29</v>
      </c>
      <c r="J358" t="inlineStr">
        <is>
          <t>A</t>
        </is>
      </c>
      <c r="K358" t="n">
        <v>2024</v>
      </c>
      <c r="L358" t="n">
        <v>4</v>
      </c>
      <c r="M358" t="inlineStr">
        <is>
          <t>Todos</t>
        </is>
      </c>
      <c r="N358" t="inlineStr">
        <is>
          <t>Hotel / Motel / Pousada</t>
        </is>
      </c>
      <c r="O358" t="n">
        <v>22</v>
      </c>
      <c r="P358" t="n">
        <v>59</v>
      </c>
      <c r="Q358" t="n">
        <v>22</v>
      </c>
    </row>
    <row r="359">
      <c r="A359" t="n">
        <v>2024</v>
      </c>
      <c r="B359" t="n">
        <v>7</v>
      </c>
      <c r="C359" t="inlineStr">
        <is>
          <t>Muçarela Mozzalet 2 kg</t>
        </is>
      </c>
      <c r="D359" t="inlineStr">
        <is>
          <t>Pastelaria</t>
        </is>
      </c>
      <c r="E359" t="n">
        <v>341.19</v>
      </c>
      <c r="F359" t="n">
        <v>18</v>
      </c>
      <c r="G359" t="n">
        <v>9</v>
      </c>
      <c r="J359" t="inlineStr">
        <is>
          <t>M</t>
        </is>
      </c>
      <c r="K359" t="n">
        <v>2024</v>
      </c>
      <c r="L359" t="n">
        <v>4</v>
      </c>
      <c r="M359" t="inlineStr">
        <is>
          <t>Todos</t>
        </is>
      </c>
      <c r="N359" t="inlineStr">
        <is>
          <t>Hotel / Motel / Pousada</t>
        </is>
      </c>
      <c r="O359" t="n">
        <v>12</v>
      </c>
      <c r="P359" t="n">
        <v>18</v>
      </c>
      <c r="Q359" t="n">
        <v>0</v>
      </c>
    </row>
    <row r="360">
      <c r="A360" t="n">
        <v>2024</v>
      </c>
      <c r="B360" t="n">
        <v>7</v>
      </c>
      <c r="C360" t="inlineStr">
        <is>
          <t>Muçarela Mozzalet 2 kg</t>
        </is>
      </c>
      <c r="D360" t="inlineStr">
        <is>
          <t>Pessoa Física</t>
        </is>
      </c>
      <c r="E360" t="n">
        <v>1012.5</v>
      </c>
      <c r="F360" t="n">
        <v>54</v>
      </c>
      <c r="G360" t="n">
        <v>27</v>
      </c>
      <c r="J360" t="inlineStr">
        <is>
          <t>A</t>
        </is>
      </c>
      <c r="K360" t="n">
        <v>2024</v>
      </c>
      <c r="L360" t="n">
        <v>5</v>
      </c>
      <c r="M360" t="inlineStr">
        <is>
          <t>Todos</t>
        </is>
      </c>
      <c r="N360" t="inlineStr">
        <is>
          <t>Hotel / Motel / Pousada</t>
        </is>
      </c>
      <c r="O360" t="n">
        <v>25</v>
      </c>
      <c r="P360" t="n">
        <v>71</v>
      </c>
      <c r="Q360" t="n">
        <v>25</v>
      </c>
    </row>
    <row r="361">
      <c r="A361" t="n">
        <v>2024</v>
      </c>
      <c r="B361" t="n">
        <v>7</v>
      </c>
      <c r="C361" t="inlineStr">
        <is>
          <t>Muçarela Mozzalet 2 kg</t>
        </is>
      </c>
      <c r="D361" t="inlineStr">
        <is>
          <t>Pizzaria</t>
        </is>
      </c>
      <c r="E361" t="n">
        <v>3949.72</v>
      </c>
      <c r="F361" t="n">
        <v>208</v>
      </c>
      <c r="G361" t="n">
        <v>104</v>
      </c>
      <c r="J361" t="inlineStr">
        <is>
          <t>M</t>
        </is>
      </c>
      <c r="K361" t="n">
        <v>2024</v>
      </c>
      <c r="L361" t="n">
        <v>5</v>
      </c>
      <c r="M361" t="inlineStr">
        <is>
          <t>Todos</t>
        </is>
      </c>
      <c r="N361" t="inlineStr">
        <is>
          <t>Hotel / Motel / Pousada</t>
        </is>
      </c>
      <c r="O361" t="n">
        <v>11</v>
      </c>
      <c r="P361" t="n">
        <v>12</v>
      </c>
      <c r="Q361" t="n">
        <v>0</v>
      </c>
    </row>
    <row r="362">
      <c r="A362" t="n">
        <v>2024</v>
      </c>
      <c r="B362" t="n">
        <v>7</v>
      </c>
      <c r="C362" t="inlineStr">
        <is>
          <t>Muçarela Mozzalet 2 kg</t>
        </is>
      </c>
      <c r="D362" t="inlineStr">
        <is>
          <t>Restaurante / Cantina</t>
        </is>
      </c>
      <c r="E362" t="n">
        <v>4968.71</v>
      </c>
      <c r="F362" t="n">
        <v>268</v>
      </c>
      <c r="G362" t="n">
        <v>134</v>
      </c>
      <c r="J362" t="inlineStr">
        <is>
          <t>A</t>
        </is>
      </c>
      <c r="K362" t="n">
        <v>2024</v>
      </c>
      <c r="L362" t="n">
        <v>6</v>
      </c>
      <c r="M362" t="inlineStr">
        <is>
          <t>Todos</t>
        </is>
      </c>
      <c r="N362" t="inlineStr">
        <is>
          <t>Hotel / Motel / Pousada</t>
        </is>
      </c>
      <c r="O362" t="n">
        <v>27</v>
      </c>
      <c r="P362" t="n">
        <v>81</v>
      </c>
      <c r="Q362" t="n">
        <v>27</v>
      </c>
    </row>
    <row r="363">
      <c r="A363" t="n">
        <v>2024</v>
      </c>
      <c r="B363" t="n">
        <v>7</v>
      </c>
      <c r="C363" t="inlineStr">
        <is>
          <t>Muçarela Mozzana 2 kg</t>
        </is>
      </c>
      <c r="D363" t="inlineStr">
        <is>
          <t>Adega</t>
        </is>
      </c>
      <c r="E363" t="n">
        <v>1051.2</v>
      </c>
      <c r="F363" t="n">
        <v>54.54</v>
      </c>
      <c r="G363" t="n">
        <v>27</v>
      </c>
      <c r="J363" t="inlineStr">
        <is>
          <t>M</t>
        </is>
      </c>
      <c r="K363" t="n">
        <v>2024</v>
      </c>
      <c r="L363" t="n">
        <v>6</v>
      </c>
      <c r="M363" t="inlineStr">
        <is>
          <t>Todos</t>
        </is>
      </c>
      <c r="N363" t="inlineStr">
        <is>
          <t>Hotel / Motel / Pousada</t>
        </is>
      </c>
      <c r="O363" t="n">
        <v>7</v>
      </c>
      <c r="P363" t="n">
        <v>10</v>
      </c>
      <c r="Q363" t="n">
        <v>0</v>
      </c>
    </row>
    <row r="364">
      <c r="A364" t="n">
        <v>2024</v>
      </c>
      <c r="B364" t="n">
        <v>7</v>
      </c>
      <c r="C364" t="inlineStr">
        <is>
          <t>Muçarela Mozzana 2 kg</t>
        </is>
      </c>
      <c r="D364" t="inlineStr">
        <is>
          <t>Buffet</t>
        </is>
      </c>
      <c r="E364" t="n">
        <v>441.1</v>
      </c>
      <c r="F364" t="n">
        <v>22.22</v>
      </c>
      <c r="G364" t="n">
        <v>11</v>
      </c>
      <c r="J364" t="inlineStr">
        <is>
          <t>A</t>
        </is>
      </c>
      <c r="K364" t="n">
        <v>2024</v>
      </c>
      <c r="L364" t="n">
        <v>7</v>
      </c>
      <c r="M364" t="inlineStr">
        <is>
          <t>Todos</t>
        </is>
      </c>
      <c r="N364" t="inlineStr">
        <is>
          <t>Hotel / Motel / Pousada</t>
        </is>
      </c>
      <c r="O364" t="n">
        <v>27</v>
      </c>
      <c r="P364" t="n">
        <v>92</v>
      </c>
      <c r="Q364" t="n">
        <v>27</v>
      </c>
    </row>
    <row r="365">
      <c r="A365" t="n">
        <v>2024</v>
      </c>
      <c r="B365" t="n">
        <v>7</v>
      </c>
      <c r="C365" t="inlineStr">
        <is>
          <t>Muçarela Mozzana 2 kg</t>
        </is>
      </c>
      <c r="D365" t="inlineStr">
        <is>
          <t>Confeitaria</t>
        </is>
      </c>
      <c r="E365" t="n">
        <v>478.14</v>
      </c>
      <c r="F365" t="n">
        <v>24.24</v>
      </c>
      <c r="G365" t="n">
        <v>12</v>
      </c>
      <c r="J365" t="inlineStr">
        <is>
          <t>M</t>
        </is>
      </c>
      <c r="K365" t="n">
        <v>2024</v>
      </c>
      <c r="L365" t="n">
        <v>7</v>
      </c>
      <c r="M365" t="inlineStr">
        <is>
          <t>Todos</t>
        </is>
      </c>
      <c r="N365" t="inlineStr">
        <is>
          <t>Hotel / Motel / Pousada</t>
        </is>
      </c>
      <c r="O365" t="n">
        <v>7</v>
      </c>
      <c r="P365" t="n">
        <v>11</v>
      </c>
      <c r="Q365" t="n">
        <v>0</v>
      </c>
    </row>
    <row r="366">
      <c r="A366" t="n">
        <v>2024</v>
      </c>
      <c r="B366" t="n">
        <v>7</v>
      </c>
      <c r="C366" t="inlineStr">
        <is>
          <t>Muçarela Mozzana 2 kg</t>
        </is>
      </c>
      <c r="D366" t="inlineStr">
        <is>
          <t>Cozinha Industrial</t>
        </is>
      </c>
      <c r="E366" t="n">
        <v>19405.75</v>
      </c>
      <c r="F366" t="n">
        <v>1020.1</v>
      </c>
      <c r="G366" t="n">
        <v>505</v>
      </c>
      <c r="J366" t="inlineStr">
        <is>
          <t>A</t>
        </is>
      </c>
      <c r="K366" t="n">
        <v>2024</v>
      </c>
      <c r="L366" t="n">
        <v>8</v>
      </c>
      <c r="M366" t="inlineStr">
        <is>
          <t>Todos</t>
        </is>
      </c>
      <c r="N366" t="inlineStr">
        <is>
          <t>Hotel / Motel / Pousada</t>
        </is>
      </c>
      <c r="O366" t="n">
        <v>31</v>
      </c>
      <c r="P366" t="n">
        <v>107</v>
      </c>
      <c r="Q366" t="n">
        <v>31</v>
      </c>
    </row>
    <row r="367">
      <c r="A367" t="n">
        <v>2024</v>
      </c>
      <c r="B367" t="n">
        <v>7</v>
      </c>
      <c r="C367" t="inlineStr">
        <is>
          <t>Muçarela Mozzana 2 kg</t>
        </is>
      </c>
      <c r="D367" t="inlineStr">
        <is>
          <t>Cozinha Oriental</t>
        </is>
      </c>
      <c r="E367" t="n">
        <v>2440.4</v>
      </c>
      <c r="F367" t="n">
        <v>129.28</v>
      </c>
      <c r="G367" t="n">
        <v>64</v>
      </c>
      <c r="J367" t="inlineStr">
        <is>
          <t>M</t>
        </is>
      </c>
      <c r="K367" t="n">
        <v>2024</v>
      </c>
      <c r="L367" t="n">
        <v>8</v>
      </c>
      <c r="M367" t="inlineStr">
        <is>
          <t>Todos</t>
        </is>
      </c>
      <c r="N367" t="inlineStr">
        <is>
          <t>Hotel / Motel / Pousada</t>
        </is>
      </c>
      <c r="O367" t="n">
        <v>10</v>
      </c>
      <c r="P367" t="n">
        <v>15</v>
      </c>
      <c r="Q367" t="n">
        <v>0</v>
      </c>
    </row>
    <row r="368">
      <c r="A368" t="n">
        <v>2024</v>
      </c>
      <c r="B368" t="n">
        <v>7</v>
      </c>
      <c r="C368" t="inlineStr">
        <is>
          <t>Muçarela Mozzana 2 kg</t>
        </is>
      </c>
      <c r="D368" t="inlineStr">
        <is>
          <t>Esfiharia</t>
        </is>
      </c>
      <c r="E368" t="n">
        <v>4854.3</v>
      </c>
      <c r="F368" t="n">
        <v>248.46</v>
      </c>
      <c r="G368" t="n">
        <v>123</v>
      </c>
      <c r="J368" t="inlineStr">
        <is>
          <t>A</t>
        </is>
      </c>
      <c r="K368" t="n">
        <v>2024</v>
      </c>
      <c r="L368" t="n">
        <v>9</v>
      </c>
      <c r="M368" t="inlineStr">
        <is>
          <t>Todos</t>
        </is>
      </c>
      <c r="N368" t="inlineStr">
        <is>
          <t>Hotel / Motel / Pousada</t>
        </is>
      </c>
      <c r="O368" t="n">
        <v>31</v>
      </c>
      <c r="P368" t="n">
        <v>120</v>
      </c>
      <c r="Q368" t="n">
        <v>31</v>
      </c>
    </row>
    <row r="369">
      <c r="A369" t="n">
        <v>2024</v>
      </c>
      <c r="B369" t="n">
        <v>7</v>
      </c>
      <c r="C369" t="inlineStr">
        <is>
          <t>Muçarela Mozzana 2 kg</t>
        </is>
      </c>
      <c r="D369" t="inlineStr">
        <is>
          <t>Fábrica de Massas</t>
        </is>
      </c>
      <c r="E369" t="n">
        <v>8579.969999999999</v>
      </c>
      <c r="F369" t="n">
        <v>448.44</v>
      </c>
      <c r="G369" t="n">
        <v>222</v>
      </c>
      <c r="J369" t="inlineStr">
        <is>
          <t>M</t>
        </is>
      </c>
      <c r="K369" t="n">
        <v>2024</v>
      </c>
      <c r="L369" t="n">
        <v>9</v>
      </c>
      <c r="M369" t="inlineStr">
        <is>
          <t>Todos</t>
        </is>
      </c>
      <c r="N369" t="inlineStr">
        <is>
          <t>Hotel / Motel / Pousada</t>
        </is>
      </c>
      <c r="O369" t="n">
        <v>9</v>
      </c>
      <c r="P369" t="n">
        <v>13</v>
      </c>
      <c r="Q369" t="n">
        <v>0</v>
      </c>
    </row>
    <row r="370">
      <c r="A370" t="n">
        <v>2024</v>
      </c>
      <c r="B370" t="n">
        <v>7</v>
      </c>
      <c r="C370" t="inlineStr">
        <is>
          <t>Muçarela Mozzana 2 kg</t>
        </is>
      </c>
      <c r="D370" t="inlineStr">
        <is>
          <t>Hamburgueria</t>
        </is>
      </c>
      <c r="E370" t="n">
        <v>784.04</v>
      </c>
      <c r="F370" t="n">
        <v>40.4</v>
      </c>
      <c r="G370" t="n">
        <v>20</v>
      </c>
      <c r="J370" t="inlineStr">
        <is>
          <t>A</t>
        </is>
      </c>
      <c r="K370" t="n">
        <v>2024</v>
      </c>
      <c r="L370" t="n">
        <v>10</v>
      </c>
      <c r="M370" t="inlineStr">
        <is>
          <t>Todos</t>
        </is>
      </c>
      <c r="N370" t="inlineStr">
        <is>
          <t>Hotel / Motel / Pousada</t>
        </is>
      </c>
      <c r="O370" t="n">
        <v>31</v>
      </c>
      <c r="P370" t="n">
        <v>135</v>
      </c>
      <c r="Q370" t="n">
        <v>31</v>
      </c>
    </row>
    <row r="371">
      <c r="A371" t="n">
        <v>2024</v>
      </c>
      <c r="B371" t="n">
        <v>7</v>
      </c>
      <c r="C371" t="inlineStr">
        <is>
          <t>Muçarela Mozzana 2 kg</t>
        </is>
      </c>
      <c r="D371" t="inlineStr">
        <is>
          <t>Lanchonete / Cafeteria</t>
        </is>
      </c>
      <c r="E371" t="n">
        <v>745.77</v>
      </c>
      <c r="F371" t="n">
        <v>38.38</v>
      </c>
      <c r="G371" t="n">
        <v>19</v>
      </c>
      <c r="J371" t="inlineStr">
        <is>
          <t>M</t>
        </is>
      </c>
      <c r="K371" t="n">
        <v>2024</v>
      </c>
      <c r="L371" t="n">
        <v>10</v>
      </c>
      <c r="M371" t="inlineStr">
        <is>
          <t>Todos</t>
        </is>
      </c>
      <c r="N371" t="inlineStr">
        <is>
          <t>Hotel / Motel / Pousada</t>
        </is>
      </c>
      <c r="O371" t="n">
        <v>10</v>
      </c>
      <c r="P371" t="n">
        <v>15</v>
      </c>
      <c r="Q371" t="n">
        <v>0</v>
      </c>
    </row>
    <row r="372">
      <c r="A372" t="n">
        <v>2024</v>
      </c>
      <c r="B372" t="n">
        <v>7</v>
      </c>
      <c r="C372" t="inlineStr">
        <is>
          <t>Muçarela Mozzana 2 kg</t>
        </is>
      </c>
      <c r="D372" t="inlineStr">
        <is>
          <t>Laticínios / Distribuidor</t>
        </is>
      </c>
      <c r="E372" t="n">
        <v>111.75</v>
      </c>
      <c r="F372" t="n">
        <v>6.06</v>
      </c>
      <c r="G372" t="n">
        <v>3</v>
      </c>
      <c r="J372" t="inlineStr">
        <is>
          <t>A</t>
        </is>
      </c>
      <c r="K372" t="n">
        <v>2024</v>
      </c>
      <c r="L372" t="n">
        <v>11</v>
      </c>
      <c r="M372" t="inlineStr">
        <is>
          <t>Todos</t>
        </is>
      </c>
      <c r="N372" t="inlineStr">
        <is>
          <t>Hotel / Motel / Pousada</t>
        </is>
      </c>
      <c r="O372" t="n">
        <v>32</v>
      </c>
      <c r="P372" t="n">
        <v>147</v>
      </c>
      <c r="Q372" t="n">
        <v>32</v>
      </c>
    </row>
    <row r="373">
      <c r="A373" t="n">
        <v>2024</v>
      </c>
      <c r="B373" t="n">
        <v>7</v>
      </c>
      <c r="C373" t="inlineStr">
        <is>
          <t>Muçarela Mozzana 2 kg</t>
        </is>
      </c>
      <c r="D373" t="inlineStr">
        <is>
          <t>Mercearia / Sacolão</t>
        </is>
      </c>
      <c r="E373" t="n">
        <v>1387.62</v>
      </c>
      <c r="F373" t="n">
        <v>72.72</v>
      </c>
      <c r="G373" t="n">
        <v>36</v>
      </c>
      <c r="J373" t="inlineStr">
        <is>
          <t>M</t>
        </is>
      </c>
      <c r="K373" t="n">
        <v>2024</v>
      </c>
      <c r="L373" t="n">
        <v>11</v>
      </c>
      <c r="M373" t="inlineStr">
        <is>
          <t>Todos</t>
        </is>
      </c>
      <c r="N373" t="inlineStr">
        <is>
          <t>Hotel / Motel / Pousada</t>
        </is>
      </c>
      <c r="O373" t="n">
        <v>8</v>
      </c>
      <c r="P373" t="n">
        <v>12</v>
      </c>
      <c r="Q373" t="n">
        <v>0</v>
      </c>
    </row>
    <row r="374">
      <c r="A374" t="n">
        <v>2024</v>
      </c>
      <c r="B374" t="n">
        <v>7</v>
      </c>
      <c r="C374" t="inlineStr">
        <is>
          <t>Muçarela Mozzana 2 kg</t>
        </is>
      </c>
      <c r="D374" t="inlineStr">
        <is>
          <t>Não Selecionado</t>
        </is>
      </c>
      <c r="E374" t="n">
        <v>361.8</v>
      </c>
      <c r="F374" t="n">
        <v>18.18</v>
      </c>
      <c r="G374" t="n">
        <v>9</v>
      </c>
      <c r="J374" t="inlineStr">
        <is>
          <t>A</t>
        </is>
      </c>
      <c r="K374" t="n">
        <v>2024</v>
      </c>
      <c r="L374" t="n">
        <v>12</v>
      </c>
      <c r="M374" t="inlineStr">
        <is>
          <t>Todos</t>
        </is>
      </c>
      <c r="N374" t="inlineStr">
        <is>
          <t>Hotel / Motel / Pousada</t>
        </is>
      </c>
      <c r="O374" t="n">
        <v>32</v>
      </c>
      <c r="P374" t="n">
        <v>158</v>
      </c>
      <c r="Q374" t="n">
        <v>32</v>
      </c>
    </row>
    <row r="375">
      <c r="A375" t="n">
        <v>2024</v>
      </c>
      <c r="B375" t="n">
        <v>7</v>
      </c>
      <c r="C375" t="inlineStr">
        <is>
          <t>Muçarela Mozzana 2 kg</t>
        </is>
      </c>
      <c r="D375" t="inlineStr">
        <is>
          <t>Outros</t>
        </is>
      </c>
      <c r="E375" t="n">
        <v>23998.9</v>
      </c>
      <c r="F375" t="n">
        <v>1232.2</v>
      </c>
      <c r="G375" t="n">
        <v>610</v>
      </c>
      <c r="J375" t="inlineStr">
        <is>
          <t>M</t>
        </is>
      </c>
      <c r="K375" t="n">
        <v>2024</v>
      </c>
      <c r="L375" t="n">
        <v>12</v>
      </c>
      <c r="M375" t="inlineStr">
        <is>
          <t>Todos</t>
        </is>
      </c>
      <c r="N375" t="inlineStr">
        <is>
          <t>Hotel / Motel / Pousada</t>
        </is>
      </c>
      <c r="O375" t="n">
        <v>7</v>
      </c>
      <c r="P375" t="n">
        <v>11</v>
      </c>
      <c r="Q375" t="n">
        <v>0</v>
      </c>
    </row>
    <row r="376">
      <c r="A376" t="n">
        <v>2024</v>
      </c>
      <c r="B376" t="n">
        <v>7</v>
      </c>
      <c r="C376" t="inlineStr">
        <is>
          <t>Muçarela Mozzana 2 kg</t>
        </is>
      </c>
      <c r="D376" t="inlineStr">
        <is>
          <t>Padaria</t>
        </is>
      </c>
      <c r="E376" t="n">
        <v>4511.16</v>
      </c>
      <c r="F376" t="n">
        <v>230.28</v>
      </c>
      <c r="G376" t="n">
        <v>114</v>
      </c>
      <c r="J376" t="inlineStr">
        <is>
          <t>A</t>
        </is>
      </c>
      <c r="K376" t="n">
        <v>2024</v>
      </c>
      <c r="L376" t="n">
        <v>1</v>
      </c>
      <c r="M376" t="inlineStr">
        <is>
          <t>Todos</t>
        </is>
      </c>
      <c r="N376" t="inlineStr">
        <is>
          <t>Hamburgueria</t>
        </is>
      </c>
      <c r="O376" t="n">
        <v>4</v>
      </c>
      <c r="P376" t="n">
        <v>10</v>
      </c>
      <c r="Q376" t="n">
        <v>4</v>
      </c>
    </row>
    <row r="377">
      <c r="A377" t="n">
        <v>2024</v>
      </c>
      <c r="B377" t="n">
        <v>7</v>
      </c>
      <c r="C377" t="inlineStr">
        <is>
          <t>Muçarela Mozzana 2 kg</t>
        </is>
      </c>
      <c r="D377" t="inlineStr">
        <is>
          <t>Pastelaria</t>
        </is>
      </c>
      <c r="E377" t="n">
        <v>7048.74</v>
      </c>
      <c r="F377" t="n">
        <v>355.52</v>
      </c>
      <c r="G377" t="n">
        <v>176</v>
      </c>
      <c r="J377" t="inlineStr">
        <is>
          <t>M</t>
        </is>
      </c>
      <c r="K377" t="n">
        <v>2024</v>
      </c>
      <c r="L377" t="n">
        <v>1</v>
      </c>
      <c r="M377" t="inlineStr">
        <is>
          <t>Todos</t>
        </is>
      </c>
      <c r="N377" t="inlineStr">
        <is>
          <t>Hamburgueria</t>
        </is>
      </c>
      <c r="O377" t="n">
        <v>4</v>
      </c>
      <c r="P377" t="n">
        <v>10</v>
      </c>
      <c r="Q377" t="n">
        <v>0</v>
      </c>
    </row>
    <row r="378">
      <c r="A378" t="n">
        <v>2024</v>
      </c>
      <c r="B378" t="n">
        <v>7</v>
      </c>
      <c r="C378" t="inlineStr">
        <is>
          <t>Muçarela Mozzana 2 kg</t>
        </is>
      </c>
      <c r="D378" t="inlineStr">
        <is>
          <t>Pessoa Física</t>
        </is>
      </c>
      <c r="E378" t="n">
        <v>8337.83</v>
      </c>
      <c r="F378" t="n">
        <v>424.2</v>
      </c>
      <c r="G378" t="n">
        <v>210</v>
      </c>
      <c r="J378" t="inlineStr">
        <is>
          <t>A</t>
        </is>
      </c>
      <c r="K378" t="n">
        <v>2024</v>
      </c>
      <c r="L378" t="n">
        <v>2</v>
      </c>
      <c r="M378" t="inlineStr">
        <is>
          <t>Todos</t>
        </is>
      </c>
      <c r="N378" t="inlineStr">
        <is>
          <t>Hamburgueria</t>
        </is>
      </c>
      <c r="O378" t="n">
        <v>6</v>
      </c>
      <c r="P378" t="n">
        <v>18</v>
      </c>
      <c r="Q378" t="n">
        <v>6</v>
      </c>
    </row>
    <row r="379">
      <c r="A379" t="n">
        <v>2024</v>
      </c>
      <c r="B379" t="n">
        <v>7</v>
      </c>
      <c r="C379" t="inlineStr">
        <is>
          <t>Muçarela Mozzana 2 kg</t>
        </is>
      </c>
      <c r="D379" t="inlineStr">
        <is>
          <t>Pizzaria</t>
        </is>
      </c>
      <c r="E379" t="n">
        <v>122887.61</v>
      </c>
      <c r="F379" t="n">
        <v>6344.82</v>
      </c>
      <c r="G379" t="n">
        <v>3141</v>
      </c>
      <c r="J379" t="inlineStr">
        <is>
          <t>M</t>
        </is>
      </c>
      <c r="K379" t="n">
        <v>2024</v>
      </c>
      <c r="L379" t="n">
        <v>2</v>
      </c>
      <c r="M379" t="inlineStr">
        <is>
          <t>Todos</t>
        </is>
      </c>
      <c r="N379" t="inlineStr">
        <is>
          <t>Hamburgueria</t>
        </is>
      </c>
      <c r="O379" t="n">
        <v>5</v>
      </c>
      <c r="P379" t="n">
        <v>8</v>
      </c>
      <c r="Q379" t="n">
        <v>0</v>
      </c>
    </row>
    <row r="380">
      <c r="A380" t="n">
        <v>2024</v>
      </c>
      <c r="B380" t="n">
        <v>7</v>
      </c>
      <c r="C380" t="inlineStr">
        <is>
          <t>Muçarela Mozzana 2 kg</t>
        </is>
      </c>
      <c r="D380" t="inlineStr">
        <is>
          <t>Restaurante / Cantina</t>
        </is>
      </c>
      <c r="E380" t="n">
        <v>12261.98</v>
      </c>
      <c r="F380" t="n">
        <v>636.3</v>
      </c>
      <c r="G380" t="n">
        <v>315</v>
      </c>
      <c r="J380" t="inlineStr">
        <is>
          <t>A</t>
        </is>
      </c>
      <c r="K380" t="n">
        <v>2024</v>
      </c>
      <c r="L380" t="n">
        <v>3</v>
      </c>
      <c r="M380" t="inlineStr">
        <is>
          <t>Todos</t>
        </is>
      </c>
      <c r="N380" t="inlineStr">
        <is>
          <t>Hamburgueria</t>
        </is>
      </c>
      <c r="O380" t="n">
        <v>10</v>
      </c>
      <c r="P380" t="n">
        <v>28</v>
      </c>
      <c r="Q380" t="n">
        <v>10</v>
      </c>
    </row>
    <row r="381">
      <c r="A381" t="n">
        <v>2024</v>
      </c>
      <c r="B381" t="n">
        <v>7</v>
      </c>
      <c r="C381" t="inlineStr">
        <is>
          <t>Muçarela Mozzana 2 kg</t>
        </is>
      </c>
      <c r="D381" t="inlineStr">
        <is>
          <t>Supermercado</t>
        </is>
      </c>
      <c r="E381" t="n">
        <v>5088.35</v>
      </c>
      <c r="F381" t="n">
        <v>244.42</v>
      </c>
      <c r="G381" t="n">
        <v>121</v>
      </c>
      <c r="J381" t="inlineStr">
        <is>
          <t>M</t>
        </is>
      </c>
      <c r="K381" t="n">
        <v>2024</v>
      </c>
      <c r="L381" t="n">
        <v>3</v>
      </c>
      <c r="M381" t="inlineStr">
        <is>
          <t>Todos</t>
        </is>
      </c>
      <c r="N381" t="inlineStr">
        <is>
          <t>Hamburgueria</t>
        </is>
      </c>
      <c r="O381" t="n">
        <v>7</v>
      </c>
      <c r="P381" t="n">
        <v>10</v>
      </c>
      <c r="Q381" t="n">
        <v>0</v>
      </c>
    </row>
    <row r="382">
      <c r="A382" t="n">
        <v>2024</v>
      </c>
      <c r="B382" t="n">
        <v>7</v>
      </c>
      <c r="C382" t="inlineStr">
        <is>
          <t>Parmesão ralado Parmozzana 1 kg</t>
        </is>
      </c>
      <c r="D382" t="inlineStr">
        <is>
          <t>Bar / Chopperia</t>
        </is>
      </c>
      <c r="E382" t="n">
        <v>219.06</v>
      </c>
      <c r="F382" t="n">
        <v>6.12</v>
      </c>
      <c r="G382" t="n">
        <v>6</v>
      </c>
      <c r="J382" t="inlineStr">
        <is>
          <t>A</t>
        </is>
      </c>
      <c r="K382" t="n">
        <v>2024</v>
      </c>
      <c r="L382" t="n">
        <v>4</v>
      </c>
      <c r="M382" t="inlineStr">
        <is>
          <t>Todos</t>
        </is>
      </c>
      <c r="N382" t="inlineStr">
        <is>
          <t>Hamburgueria</t>
        </is>
      </c>
      <c r="O382" t="n">
        <v>10</v>
      </c>
      <c r="P382" t="n">
        <v>34</v>
      </c>
      <c r="Q382" t="n">
        <v>10</v>
      </c>
    </row>
    <row r="383">
      <c r="A383" t="n">
        <v>2024</v>
      </c>
      <c r="B383" t="n">
        <v>7</v>
      </c>
      <c r="C383" t="inlineStr">
        <is>
          <t>Parmesão ralado Parmozzana 1 kg</t>
        </is>
      </c>
      <c r="D383" t="inlineStr">
        <is>
          <t>Lanchonete / Cafeteria</t>
        </is>
      </c>
      <c r="E383" t="n">
        <v>326.22</v>
      </c>
      <c r="F383" t="n">
        <v>9.18</v>
      </c>
      <c r="G383" t="n">
        <v>9</v>
      </c>
      <c r="J383" t="inlineStr">
        <is>
          <t>M</t>
        </is>
      </c>
      <c r="K383" t="n">
        <v>2024</v>
      </c>
      <c r="L383" t="n">
        <v>4</v>
      </c>
      <c r="M383" t="inlineStr">
        <is>
          <t>Todos</t>
        </is>
      </c>
      <c r="N383" t="inlineStr">
        <is>
          <t>Hamburgueria</t>
        </is>
      </c>
      <c r="O383" t="n">
        <v>3</v>
      </c>
      <c r="P383" t="n">
        <v>6</v>
      </c>
      <c r="Q383" t="n">
        <v>0</v>
      </c>
    </row>
    <row r="384">
      <c r="A384" t="n">
        <v>2024</v>
      </c>
      <c r="B384" t="n">
        <v>7</v>
      </c>
      <c r="C384" t="inlineStr">
        <is>
          <t>Parmesão ralado Parmozzana 1 kg</t>
        </is>
      </c>
      <c r="D384" t="inlineStr">
        <is>
          <t>Não Selecionado</t>
        </is>
      </c>
      <c r="E384" t="n">
        <v>71.62</v>
      </c>
      <c r="F384" t="n">
        <v>2.04</v>
      </c>
      <c r="G384" t="n">
        <v>2</v>
      </c>
      <c r="J384" t="inlineStr">
        <is>
          <t>A</t>
        </is>
      </c>
      <c r="K384" t="n">
        <v>2024</v>
      </c>
      <c r="L384" t="n">
        <v>5</v>
      </c>
      <c r="M384" t="inlineStr">
        <is>
          <t>Todos</t>
        </is>
      </c>
      <c r="N384" t="inlineStr">
        <is>
          <t>Hamburgueria</t>
        </is>
      </c>
      <c r="O384" t="n">
        <v>10</v>
      </c>
      <c r="P384" t="n">
        <v>39</v>
      </c>
      <c r="Q384" t="n">
        <v>10</v>
      </c>
    </row>
    <row r="385">
      <c r="A385" t="n">
        <v>2024</v>
      </c>
      <c r="B385" t="n">
        <v>7</v>
      </c>
      <c r="C385" t="inlineStr">
        <is>
          <t>Parmesão ralado Parmozzana 1 kg</t>
        </is>
      </c>
      <c r="D385" t="inlineStr">
        <is>
          <t>Outros</t>
        </is>
      </c>
      <c r="E385" t="n">
        <v>72.83</v>
      </c>
      <c r="F385" t="n">
        <v>2.04</v>
      </c>
      <c r="G385" t="n">
        <v>2</v>
      </c>
      <c r="J385" t="inlineStr">
        <is>
          <t>M</t>
        </is>
      </c>
      <c r="K385" t="n">
        <v>2024</v>
      </c>
      <c r="L385" t="n">
        <v>5</v>
      </c>
      <c r="M385" t="inlineStr">
        <is>
          <t>Todos</t>
        </is>
      </c>
      <c r="N385" t="inlineStr">
        <is>
          <t>Hamburgueria</t>
        </is>
      </c>
      <c r="O385" t="n">
        <v>2</v>
      </c>
      <c r="P385" t="n">
        <v>5</v>
      </c>
      <c r="Q385" t="n">
        <v>0</v>
      </c>
    </row>
    <row r="386">
      <c r="A386" t="n">
        <v>2024</v>
      </c>
      <c r="B386" t="n">
        <v>7</v>
      </c>
      <c r="C386" t="inlineStr">
        <is>
          <t>Parmesão ralado Parmozzana 1 kg</t>
        </is>
      </c>
      <c r="D386" t="inlineStr">
        <is>
          <t>Pizzaria</t>
        </is>
      </c>
      <c r="E386" t="n">
        <v>656.24</v>
      </c>
      <c r="F386" t="n">
        <v>18.36</v>
      </c>
      <c r="G386" t="n">
        <v>18</v>
      </c>
      <c r="J386" t="inlineStr">
        <is>
          <t>A</t>
        </is>
      </c>
      <c r="K386" t="n">
        <v>2024</v>
      </c>
      <c r="L386" t="n">
        <v>6</v>
      </c>
      <c r="M386" t="inlineStr">
        <is>
          <t>Todos</t>
        </is>
      </c>
      <c r="N386" t="inlineStr">
        <is>
          <t>Hamburgueria</t>
        </is>
      </c>
      <c r="O386" t="n">
        <v>12</v>
      </c>
      <c r="P386" t="n">
        <v>52</v>
      </c>
      <c r="Q386" t="n">
        <v>12</v>
      </c>
    </row>
    <row r="387">
      <c r="A387" t="n">
        <v>2024</v>
      </c>
      <c r="B387" t="n">
        <v>7</v>
      </c>
      <c r="C387" t="inlineStr">
        <is>
          <t>Parmesão ralado Parmozzana 1 kg</t>
        </is>
      </c>
      <c r="D387" t="inlineStr">
        <is>
          <t>Restaurante / Cantina</t>
        </is>
      </c>
      <c r="E387" t="n">
        <v>253.36</v>
      </c>
      <c r="F387" t="n">
        <v>7.14</v>
      </c>
      <c r="G387" t="n">
        <v>7</v>
      </c>
      <c r="J387" t="inlineStr">
        <is>
          <t>M</t>
        </is>
      </c>
      <c r="K387" t="n">
        <v>2024</v>
      </c>
      <c r="L387" t="n">
        <v>6</v>
      </c>
      <c r="M387" t="inlineStr">
        <is>
          <t>Todos</t>
        </is>
      </c>
      <c r="N387" t="inlineStr">
        <is>
          <t>Hamburgueria</t>
        </is>
      </c>
      <c r="O387" t="n">
        <v>5</v>
      </c>
      <c r="P387" t="n">
        <v>13</v>
      </c>
      <c r="Q387" t="n">
        <v>0</v>
      </c>
    </row>
    <row r="388">
      <c r="A388" t="n">
        <v>2024</v>
      </c>
      <c r="B388" t="n">
        <v>7</v>
      </c>
      <c r="C388" t="inlineStr">
        <is>
          <t>Requeijão Pizzalet 1,8 kg</t>
        </is>
      </c>
      <c r="D388" t="inlineStr">
        <is>
          <t>Bar / Chopperia</t>
        </is>
      </c>
      <c r="E388" t="n">
        <v>409.2</v>
      </c>
      <c r="F388" t="n">
        <v>55.2</v>
      </c>
      <c r="G388" t="n">
        <v>30</v>
      </c>
      <c r="J388" t="inlineStr">
        <is>
          <t>A</t>
        </is>
      </c>
      <c r="K388" t="n">
        <v>2024</v>
      </c>
      <c r="L388" t="n">
        <v>7</v>
      </c>
      <c r="M388" t="inlineStr">
        <is>
          <t>Todos</t>
        </is>
      </c>
      <c r="N388" t="inlineStr">
        <is>
          <t>Hamburgueria</t>
        </is>
      </c>
      <c r="O388" t="n">
        <v>12</v>
      </c>
      <c r="P388" t="n">
        <v>60</v>
      </c>
      <c r="Q388" t="n">
        <v>12</v>
      </c>
    </row>
    <row r="389">
      <c r="A389" t="n">
        <v>2024</v>
      </c>
      <c r="B389" t="n">
        <v>7</v>
      </c>
      <c r="C389" t="inlineStr">
        <is>
          <t>Requeijão Pizzalet 1,8 kg</t>
        </is>
      </c>
      <c r="D389" t="inlineStr">
        <is>
          <t>Fábrica de Massas</t>
        </is>
      </c>
      <c r="E389" t="n">
        <v>2977.99</v>
      </c>
      <c r="F389" t="n">
        <v>384.56</v>
      </c>
      <c r="G389" t="n">
        <v>209</v>
      </c>
      <c r="J389" t="inlineStr">
        <is>
          <t>M</t>
        </is>
      </c>
      <c r="K389" t="n">
        <v>2024</v>
      </c>
      <c r="L389" t="n">
        <v>7</v>
      </c>
      <c r="M389" t="inlineStr">
        <is>
          <t>Todos</t>
        </is>
      </c>
      <c r="N389" t="inlineStr">
        <is>
          <t>Hamburgueria</t>
        </is>
      </c>
      <c r="O389" t="n">
        <v>3</v>
      </c>
      <c r="P389" t="n">
        <v>8</v>
      </c>
      <c r="Q389" t="n">
        <v>0</v>
      </c>
    </row>
    <row r="390">
      <c r="A390" t="n">
        <v>2024</v>
      </c>
      <c r="B390" t="n">
        <v>7</v>
      </c>
      <c r="C390" t="inlineStr">
        <is>
          <t>Requeijão Pizzalet 1,8 kg</t>
        </is>
      </c>
      <c r="D390" t="inlineStr">
        <is>
          <t>Lanchonete / Cafeteria</t>
        </is>
      </c>
      <c r="E390" t="n">
        <v>1163.7</v>
      </c>
      <c r="F390" t="n">
        <v>156.4</v>
      </c>
      <c r="G390" t="n">
        <v>85</v>
      </c>
      <c r="J390" t="inlineStr">
        <is>
          <t>A</t>
        </is>
      </c>
      <c r="K390" t="n">
        <v>2024</v>
      </c>
      <c r="L390" t="n">
        <v>8</v>
      </c>
      <c r="M390" t="inlineStr">
        <is>
          <t>Todos</t>
        </is>
      </c>
      <c r="N390" t="inlineStr">
        <is>
          <t>Hamburgueria</t>
        </is>
      </c>
      <c r="O390" t="n">
        <v>13</v>
      </c>
      <c r="P390" t="n">
        <v>61</v>
      </c>
      <c r="Q390" t="n">
        <v>13</v>
      </c>
    </row>
    <row r="391">
      <c r="A391" t="n">
        <v>2024</v>
      </c>
      <c r="B391" t="n">
        <v>7</v>
      </c>
      <c r="C391" t="inlineStr">
        <is>
          <t>Requeijão Pizzalet 1,8 kg</t>
        </is>
      </c>
      <c r="D391" t="inlineStr">
        <is>
          <t>Pastelaria</t>
        </is>
      </c>
      <c r="E391" t="n">
        <v>2373.52</v>
      </c>
      <c r="F391" t="n">
        <v>316.48</v>
      </c>
      <c r="G391" t="n">
        <v>172</v>
      </c>
      <c r="J391" t="inlineStr">
        <is>
          <t>M</t>
        </is>
      </c>
      <c r="K391" t="n">
        <v>2024</v>
      </c>
      <c r="L391" t="n">
        <v>8</v>
      </c>
      <c r="M391" t="inlineStr">
        <is>
          <t>Todos</t>
        </is>
      </c>
      <c r="N391" t="inlineStr">
        <is>
          <t>Hamburgueria</t>
        </is>
      </c>
      <c r="O391" t="n">
        <v>1</v>
      </c>
      <c r="P391" t="n">
        <v>1</v>
      </c>
      <c r="Q391" t="n">
        <v>0</v>
      </c>
    </row>
    <row r="392">
      <c r="A392" t="n">
        <v>2024</v>
      </c>
      <c r="B392" t="n">
        <v>7</v>
      </c>
      <c r="C392" t="inlineStr">
        <is>
          <t>Requeijão Pizzalet 1,8 kg</t>
        </is>
      </c>
      <c r="D392" t="inlineStr">
        <is>
          <t>Pizzaria</t>
        </is>
      </c>
      <c r="E392" t="n">
        <v>4387.76</v>
      </c>
      <c r="F392" t="n">
        <v>583.28</v>
      </c>
      <c r="G392" t="n">
        <v>317</v>
      </c>
      <c r="J392" t="inlineStr">
        <is>
          <t>A</t>
        </is>
      </c>
      <c r="K392" t="n">
        <v>2024</v>
      </c>
      <c r="L392" t="n">
        <v>9</v>
      </c>
      <c r="M392" t="inlineStr">
        <is>
          <t>Todos</t>
        </is>
      </c>
      <c r="N392" t="inlineStr">
        <is>
          <t>Hamburgueria</t>
        </is>
      </c>
      <c r="O392" t="n">
        <v>13</v>
      </c>
      <c r="P392" t="n">
        <v>63</v>
      </c>
      <c r="Q392" t="n">
        <v>13</v>
      </c>
    </row>
    <row r="393">
      <c r="A393" t="n">
        <v>2024</v>
      </c>
      <c r="B393" t="n">
        <v>7</v>
      </c>
      <c r="C393" t="inlineStr">
        <is>
          <t>Requeijão Pizzalet 1,8 kg</t>
        </is>
      </c>
      <c r="D393" t="inlineStr">
        <is>
          <t>Restaurante / Cantina</t>
        </is>
      </c>
      <c r="E393" t="n">
        <v>357.44</v>
      </c>
      <c r="F393" t="n">
        <v>47.84</v>
      </c>
      <c r="G393" t="n">
        <v>26</v>
      </c>
      <c r="J393" t="inlineStr">
        <is>
          <t>M</t>
        </is>
      </c>
      <c r="K393" t="n">
        <v>2024</v>
      </c>
      <c r="L393" t="n">
        <v>9</v>
      </c>
      <c r="M393" t="inlineStr">
        <is>
          <t>Todos</t>
        </is>
      </c>
      <c r="N393" t="inlineStr">
        <is>
          <t>Hamburgueria</t>
        </is>
      </c>
      <c r="O393" t="n">
        <v>2</v>
      </c>
      <c r="P393" t="n">
        <v>2</v>
      </c>
      <c r="Q393" t="n">
        <v>0</v>
      </c>
    </row>
    <row r="394">
      <c r="A394" t="n">
        <v>2024</v>
      </c>
      <c r="B394" t="n">
        <v>8</v>
      </c>
      <c r="C394" t="inlineStr">
        <is>
          <t>Chocolate em pó 50% 1 kg</t>
        </is>
      </c>
      <c r="D394" t="inlineStr">
        <is>
          <t>Churrascaria</t>
        </is>
      </c>
      <c r="E394" t="n">
        <v>29.55</v>
      </c>
      <c r="F394" t="n">
        <v>1.02</v>
      </c>
      <c r="G394" t="n">
        <v>1</v>
      </c>
      <c r="J394" t="inlineStr">
        <is>
          <t>A</t>
        </is>
      </c>
      <c r="K394" t="n">
        <v>2024</v>
      </c>
      <c r="L394" t="n">
        <v>10</v>
      </c>
      <c r="M394" t="inlineStr">
        <is>
          <t>Todos</t>
        </is>
      </c>
      <c r="N394" t="inlineStr">
        <is>
          <t>Hamburgueria</t>
        </is>
      </c>
      <c r="O394" t="n">
        <v>13</v>
      </c>
      <c r="P394" t="n">
        <v>65</v>
      </c>
      <c r="Q394" t="n">
        <v>13</v>
      </c>
    </row>
    <row r="395">
      <c r="A395" t="n">
        <v>2024</v>
      </c>
      <c r="B395" t="n">
        <v>8</v>
      </c>
      <c r="C395" t="inlineStr">
        <is>
          <t>Chocolate em pó 50% 1 kg</t>
        </is>
      </c>
      <c r="D395" t="inlineStr">
        <is>
          <t>Cozinha Industrial</t>
        </is>
      </c>
      <c r="E395" t="n">
        <v>292.24</v>
      </c>
      <c r="F395" t="n">
        <v>9.18</v>
      </c>
      <c r="G395" t="n">
        <v>9</v>
      </c>
      <c r="J395" t="inlineStr">
        <is>
          <t>M</t>
        </is>
      </c>
      <c r="K395" t="n">
        <v>2024</v>
      </c>
      <c r="L395" t="n">
        <v>10</v>
      </c>
      <c r="M395" t="inlineStr">
        <is>
          <t>Todos</t>
        </is>
      </c>
      <c r="N395" t="inlineStr">
        <is>
          <t>Hamburgueria</t>
        </is>
      </c>
      <c r="O395" t="n">
        <v>2</v>
      </c>
      <c r="P395" t="n">
        <v>2</v>
      </c>
      <c r="Q395" t="n">
        <v>0</v>
      </c>
    </row>
    <row r="396">
      <c r="A396" t="n">
        <v>2024</v>
      </c>
      <c r="B396" t="n">
        <v>8</v>
      </c>
      <c r="C396" t="inlineStr">
        <is>
          <t>Chocolate em pó 50% 1 kg</t>
        </is>
      </c>
      <c r="D396" t="inlineStr">
        <is>
          <t>Hotel / Motel / Pousada</t>
        </is>
      </c>
      <c r="E396" t="n">
        <v>1603.04</v>
      </c>
      <c r="F396" t="n">
        <v>56.1</v>
      </c>
      <c r="G396" t="n">
        <v>55</v>
      </c>
      <c r="J396" t="inlineStr">
        <is>
          <t>A</t>
        </is>
      </c>
      <c r="K396" t="n">
        <v>2024</v>
      </c>
      <c r="L396" t="n">
        <v>11</v>
      </c>
      <c r="M396" t="inlineStr">
        <is>
          <t>Todos</t>
        </is>
      </c>
      <c r="N396" t="inlineStr">
        <is>
          <t>Hamburgueria</t>
        </is>
      </c>
      <c r="O396" t="n">
        <v>13</v>
      </c>
      <c r="P396" t="n">
        <v>70</v>
      </c>
      <c r="Q396" t="n">
        <v>13</v>
      </c>
    </row>
    <row r="397">
      <c r="A397" t="n">
        <v>2024</v>
      </c>
      <c r="B397" t="n">
        <v>8</v>
      </c>
      <c r="C397" t="inlineStr">
        <is>
          <t>Chocolate em pó 50% 1 kg</t>
        </is>
      </c>
      <c r="D397" t="inlineStr">
        <is>
          <t>Lanchonete / Cafeteria</t>
        </is>
      </c>
      <c r="E397" t="n">
        <v>236.48</v>
      </c>
      <c r="F397" t="n">
        <v>8.16</v>
      </c>
      <c r="G397" t="n">
        <v>8</v>
      </c>
      <c r="J397" t="inlineStr">
        <is>
          <t>M</t>
        </is>
      </c>
      <c r="K397" t="n">
        <v>2024</v>
      </c>
      <c r="L397" t="n">
        <v>11</v>
      </c>
      <c r="M397" t="inlineStr">
        <is>
          <t>Todos</t>
        </is>
      </c>
      <c r="N397" t="inlineStr">
        <is>
          <t>Hamburgueria</t>
        </is>
      </c>
      <c r="O397" t="n">
        <v>2</v>
      </c>
      <c r="P397" t="n">
        <v>5</v>
      </c>
      <c r="Q397" t="n">
        <v>0</v>
      </c>
    </row>
    <row r="398">
      <c r="A398" t="n">
        <v>2024</v>
      </c>
      <c r="B398" t="n">
        <v>8</v>
      </c>
      <c r="C398" t="inlineStr">
        <is>
          <t>Chocolate em pó 50% 1 kg</t>
        </is>
      </c>
      <c r="D398" t="inlineStr">
        <is>
          <t>Outros</t>
        </is>
      </c>
      <c r="E398" t="n">
        <v>260.88</v>
      </c>
      <c r="F398" t="n">
        <v>9.18</v>
      </c>
      <c r="G398" t="n">
        <v>9</v>
      </c>
      <c r="J398" t="inlineStr">
        <is>
          <t>A</t>
        </is>
      </c>
      <c r="K398" t="n">
        <v>2024</v>
      </c>
      <c r="L398" t="n">
        <v>12</v>
      </c>
      <c r="M398" t="inlineStr">
        <is>
          <t>Todos</t>
        </is>
      </c>
      <c r="N398" t="inlineStr">
        <is>
          <t>Hamburgueria</t>
        </is>
      </c>
      <c r="O398" t="n">
        <v>15</v>
      </c>
      <c r="P398" t="n">
        <v>77</v>
      </c>
      <c r="Q398" t="n">
        <v>15</v>
      </c>
    </row>
    <row r="399">
      <c r="A399" t="n">
        <v>2024</v>
      </c>
      <c r="B399" t="n">
        <v>8</v>
      </c>
      <c r="C399" t="inlineStr">
        <is>
          <t>Chocolate em pó 50% 1 kg</t>
        </is>
      </c>
      <c r="D399" t="inlineStr">
        <is>
          <t>Padaria</t>
        </is>
      </c>
      <c r="E399" t="n">
        <v>237.32</v>
      </c>
      <c r="F399" t="n">
        <v>8.16</v>
      </c>
      <c r="G399" t="n">
        <v>8</v>
      </c>
      <c r="J399" t="inlineStr">
        <is>
          <t>M</t>
        </is>
      </c>
      <c r="K399" t="n">
        <v>2024</v>
      </c>
      <c r="L399" t="n">
        <v>12</v>
      </c>
      <c r="M399" t="inlineStr">
        <is>
          <t>Todos</t>
        </is>
      </c>
      <c r="N399" t="inlineStr">
        <is>
          <t>Hamburgueria</t>
        </is>
      </c>
      <c r="O399" t="n">
        <v>4</v>
      </c>
      <c r="P399" t="n">
        <v>7</v>
      </c>
      <c r="Q399" t="n">
        <v>0</v>
      </c>
    </row>
    <row r="400">
      <c r="A400" t="n">
        <v>2024</v>
      </c>
      <c r="B400" t="n">
        <v>8</v>
      </c>
      <c r="C400" t="inlineStr">
        <is>
          <t>Chocolate em pó 50% 1 kg</t>
        </is>
      </c>
      <c r="D400" t="inlineStr">
        <is>
          <t>Pessoa Física</t>
        </is>
      </c>
      <c r="E400" t="n">
        <v>210.04</v>
      </c>
      <c r="F400" t="n">
        <v>7.14</v>
      </c>
      <c r="G400" t="n">
        <v>7</v>
      </c>
      <c r="J400" t="inlineStr">
        <is>
          <t>A</t>
        </is>
      </c>
      <c r="K400" t="n">
        <v>2024</v>
      </c>
      <c r="L400" t="n">
        <v>1</v>
      </c>
      <c r="M400" t="inlineStr">
        <is>
          <t>Todos</t>
        </is>
      </c>
      <c r="N400" t="inlineStr">
        <is>
          <t>Laticínios / Distribuidor</t>
        </is>
      </c>
      <c r="O400" t="n">
        <v>2</v>
      </c>
      <c r="P400" t="n">
        <v>3</v>
      </c>
      <c r="Q400" t="n">
        <v>2</v>
      </c>
    </row>
    <row r="401">
      <c r="A401" t="n">
        <v>2024</v>
      </c>
      <c r="B401" t="n">
        <v>8</v>
      </c>
      <c r="C401" t="inlineStr">
        <is>
          <t>Chocolate em pó 50% 1 kg</t>
        </is>
      </c>
      <c r="D401" t="inlineStr">
        <is>
          <t>Pizzaria</t>
        </is>
      </c>
      <c r="E401" t="n">
        <v>465.6</v>
      </c>
      <c r="F401" t="n">
        <v>16.32</v>
      </c>
      <c r="G401" t="n">
        <v>16</v>
      </c>
      <c r="J401" t="inlineStr">
        <is>
          <t>M</t>
        </is>
      </c>
      <c r="K401" t="n">
        <v>2024</v>
      </c>
      <c r="L401" t="n">
        <v>1</v>
      </c>
      <c r="M401" t="inlineStr">
        <is>
          <t>Todos</t>
        </is>
      </c>
      <c r="N401" t="inlineStr">
        <is>
          <t>Laticínios / Distribuidor</t>
        </is>
      </c>
      <c r="O401" t="n">
        <v>2</v>
      </c>
      <c r="P401" t="n">
        <v>3</v>
      </c>
      <c r="Q401" t="n">
        <v>0</v>
      </c>
    </row>
    <row r="402">
      <c r="A402" t="n">
        <v>2024</v>
      </c>
      <c r="B402" t="n">
        <v>8</v>
      </c>
      <c r="C402" t="inlineStr">
        <is>
          <t>Chocolate em pó 50% 1 kg</t>
        </is>
      </c>
      <c r="D402" t="inlineStr">
        <is>
          <t>Restaurante / Cantina</t>
        </is>
      </c>
      <c r="E402" t="n">
        <v>1105.38</v>
      </c>
      <c r="F402" t="n">
        <v>37.74</v>
      </c>
      <c r="G402" t="n">
        <v>37</v>
      </c>
      <c r="J402" t="inlineStr">
        <is>
          <t>A</t>
        </is>
      </c>
      <c r="K402" t="n">
        <v>2024</v>
      </c>
      <c r="L402" t="n">
        <v>2</v>
      </c>
      <c r="M402" t="inlineStr">
        <is>
          <t>Todos</t>
        </is>
      </c>
      <c r="N402" t="inlineStr">
        <is>
          <t>Laticínios / Distribuidor</t>
        </is>
      </c>
      <c r="O402" t="n">
        <v>3</v>
      </c>
      <c r="P402" t="n">
        <v>6</v>
      </c>
      <c r="Q402" t="n">
        <v>3</v>
      </c>
    </row>
    <row r="403">
      <c r="A403" t="n">
        <v>2024</v>
      </c>
      <c r="B403" t="n">
        <v>8</v>
      </c>
      <c r="C403" t="inlineStr">
        <is>
          <t>Composto lácteo Alibralac 1 kg</t>
        </is>
      </c>
      <c r="D403" t="inlineStr">
        <is>
          <t>Hotel / Motel / Pousada</t>
        </is>
      </c>
      <c r="E403" t="n">
        <v>611.7</v>
      </c>
      <c r="F403" t="n">
        <v>30.6</v>
      </c>
      <c r="G403" t="n">
        <v>30</v>
      </c>
      <c r="J403" t="inlineStr">
        <is>
          <t>M</t>
        </is>
      </c>
      <c r="K403" t="n">
        <v>2024</v>
      </c>
      <c r="L403" t="n">
        <v>2</v>
      </c>
      <c r="M403" t="inlineStr">
        <is>
          <t>Todos</t>
        </is>
      </c>
      <c r="N403" t="inlineStr">
        <is>
          <t>Laticínios / Distribuidor</t>
        </is>
      </c>
      <c r="O403" t="n">
        <v>2</v>
      </c>
      <c r="P403" t="n">
        <v>3</v>
      </c>
      <c r="Q403" t="n">
        <v>0</v>
      </c>
    </row>
    <row r="404">
      <c r="A404" t="n">
        <v>2024</v>
      </c>
      <c r="B404" t="n">
        <v>8</v>
      </c>
      <c r="C404" t="inlineStr">
        <is>
          <t>Composto lácteo Alibralac 1 kg</t>
        </is>
      </c>
      <c r="D404" t="inlineStr">
        <is>
          <t>Lanchonete / Cafeteria</t>
        </is>
      </c>
      <c r="E404" t="n">
        <v>20.39</v>
      </c>
      <c r="F404" t="n">
        <v>1.02</v>
      </c>
      <c r="G404" t="n">
        <v>1</v>
      </c>
      <c r="J404" t="inlineStr">
        <is>
          <t>A</t>
        </is>
      </c>
      <c r="K404" t="n">
        <v>2024</v>
      </c>
      <c r="L404" t="n">
        <v>3</v>
      </c>
      <c r="M404" t="inlineStr">
        <is>
          <t>Todos</t>
        </is>
      </c>
      <c r="N404" t="inlineStr">
        <is>
          <t>Laticínios / Distribuidor</t>
        </is>
      </c>
      <c r="O404" t="n">
        <v>4</v>
      </c>
      <c r="P404" t="n">
        <v>10</v>
      </c>
      <c r="Q404" t="n">
        <v>4</v>
      </c>
    </row>
    <row r="405">
      <c r="A405" t="n">
        <v>2024</v>
      </c>
      <c r="B405" t="n">
        <v>8</v>
      </c>
      <c r="C405" t="inlineStr">
        <is>
          <t>Composto lácteo Alibralac 1 kg</t>
        </is>
      </c>
      <c r="D405" t="inlineStr">
        <is>
          <t>Outros</t>
        </is>
      </c>
      <c r="E405" t="n">
        <v>237</v>
      </c>
      <c r="F405" t="n">
        <v>12.24</v>
      </c>
      <c r="G405" t="n">
        <v>12</v>
      </c>
      <c r="J405" t="inlineStr">
        <is>
          <t>M</t>
        </is>
      </c>
      <c r="K405" t="n">
        <v>2024</v>
      </c>
      <c r="L405" t="n">
        <v>3</v>
      </c>
      <c r="M405" t="inlineStr">
        <is>
          <t>Todos</t>
        </is>
      </c>
      <c r="N405" t="inlineStr">
        <is>
          <t>Laticínios / Distribuidor</t>
        </is>
      </c>
      <c r="O405" t="n">
        <v>3</v>
      </c>
      <c r="P405" t="n">
        <v>4</v>
      </c>
      <c r="Q405" t="n">
        <v>0</v>
      </c>
    </row>
    <row r="406">
      <c r="A406" t="n">
        <v>2024</v>
      </c>
      <c r="B406" t="n">
        <v>8</v>
      </c>
      <c r="C406" t="inlineStr">
        <is>
          <t>Composto lácteo Alibralac 1 kg</t>
        </is>
      </c>
      <c r="D406" t="inlineStr">
        <is>
          <t>Padaria</t>
        </is>
      </c>
      <c r="E406" t="n">
        <v>563.3200000000001</v>
      </c>
      <c r="F406" t="n">
        <v>28.56</v>
      </c>
      <c r="G406" t="n">
        <v>28</v>
      </c>
      <c r="J406" t="inlineStr">
        <is>
          <t>A</t>
        </is>
      </c>
      <c r="K406" t="n">
        <v>2024</v>
      </c>
      <c r="L406" t="n">
        <v>4</v>
      </c>
      <c r="M406" t="inlineStr">
        <is>
          <t>Todos</t>
        </is>
      </c>
      <c r="N406" t="inlineStr">
        <is>
          <t>Laticínios / Distribuidor</t>
        </is>
      </c>
      <c r="O406" t="n">
        <v>4</v>
      </c>
      <c r="P406" t="n">
        <v>15</v>
      </c>
      <c r="Q406" t="n">
        <v>4</v>
      </c>
    </row>
    <row r="407">
      <c r="A407" t="n">
        <v>2024</v>
      </c>
      <c r="B407" t="n">
        <v>8</v>
      </c>
      <c r="C407" t="inlineStr">
        <is>
          <t>Composto lácteo Alibralac 1 kg</t>
        </is>
      </c>
      <c r="D407" t="inlineStr">
        <is>
          <t>Pizzaria</t>
        </is>
      </c>
      <c r="E407" t="n">
        <v>401.02</v>
      </c>
      <c r="F407" t="n">
        <v>20.4</v>
      </c>
      <c r="G407" t="n">
        <v>20</v>
      </c>
      <c r="J407" t="inlineStr">
        <is>
          <t>M</t>
        </is>
      </c>
      <c r="K407" t="n">
        <v>2024</v>
      </c>
      <c r="L407" t="n">
        <v>4</v>
      </c>
      <c r="M407" t="inlineStr">
        <is>
          <t>Todos</t>
        </is>
      </c>
      <c r="N407" t="inlineStr">
        <is>
          <t>Laticínios / Distribuidor</t>
        </is>
      </c>
      <c r="O407" t="n">
        <v>2</v>
      </c>
      <c r="P407" t="n">
        <v>5</v>
      </c>
      <c r="Q407" t="n">
        <v>0</v>
      </c>
    </row>
    <row r="408">
      <c r="A408" t="n">
        <v>2024</v>
      </c>
      <c r="B408" t="n">
        <v>8</v>
      </c>
      <c r="C408" t="inlineStr">
        <is>
          <t>Composto lácteo Alibralac 1 kg</t>
        </is>
      </c>
      <c r="D408" t="inlineStr">
        <is>
          <t>Restaurante / Cantina</t>
        </is>
      </c>
      <c r="E408" t="n">
        <v>1817.1</v>
      </c>
      <c r="F408" t="n">
        <v>91.8</v>
      </c>
      <c r="G408" t="n">
        <v>90</v>
      </c>
      <c r="J408" t="inlineStr">
        <is>
          <t>A</t>
        </is>
      </c>
      <c r="K408" t="n">
        <v>2024</v>
      </c>
      <c r="L408" t="n">
        <v>5</v>
      </c>
      <c r="M408" t="inlineStr">
        <is>
          <t>Todos</t>
        </is>
      </c>
      <c r="N408" t="inlineStr">
        <is>
          <t>Laticínios / Distribuidor</t>
        </is>
      </c>
      <c r="O408" t="n">
        <v>4</v>
      </c>
      <c r="P408" t="n">
        <v>20</v>
      </c>
      <c r="Q408" t="n">
        <v>4</v>
      </c>
    </row>
    <row r="409">
      <c r="A409" t="n">
        <v>2024</v>
      </c>
      <c r="B409" t="n">
        <v>8</v>
      </c>
      <c r="C409" t="inlineStr">
        <is>
          <t>Composto lácteo Merilú 400 g</t>
        </is>
      </c>
      <c r="D409" t="inlineStr">
        <is>
          <t>Outros</t>
        </is>
      </c>
      <c r="E409" t="n">
        <v>327.76</v>
      </c>
      <c r="F409" t="n">
        <v>19.74</v>
      </c>
      <c r="G409" t="n">
        <v>47</v>
      </c>
      <c r="J409" t="inlineStr">
        <is>
          <t>M</t>
        </is>
      </c>
      <c r="K409" t="n">
        <v>2024</v>
      </c>
      <c r="L409" t="n">
        <v>5</v>
      </c>
      <c r="M409" t="inlineStr">
        <is>
          <t>Todos</t>
        </is>
      </c>
      <c r="N409" t="inlineStr">
        <is>
          <t>Laticínios / Distribuidor</t>
        </is>
      </c>
      <c r="O409" t="n">
        <v>2</v>
      </c>
      <c r="P409" t="n">
        <v>5</v>
      </c>
      <c r="Q409" t="n">
        <v>0</v>
      </c>
    </row>
    <row r="410">
      <c r="A410" t="n">
        <v>2024</v>
      </c>
      <c r="B410" t="n">
        <v>8</v>
      </c>
      <c r="C410" t="inlineStr">
        <is>
          <t>Composto lácteo Merilú 400 g</t>
        </is>
      </c>
      <c r="D410" t="inlineStr">
        <is>
          <t>Padaria</t>
        </is>
      </c>
      <c r="E410" t="n">
        <v>601.8</v>
      </c>
      <c r="F410" t="n">
        <v>35.7</v>
      </c>
      <c r="G410" t="n">
        <v>85</v>
      </c>
      <c r="J410" t="inlineStr">
        <is>
          <t>A</t>
        </is>
      </c>
      <c r="K410" t="n">
        <v>2024</v>
      </c>
      <c r="L410" t="n">
        <v>6</v>
      </c>
      <c r="M410" t="inlineStr">
        <is>
          <t>Todos</t>
        </is>
      </c>
      <c r="N410" t="inlineStr">
        <is>
          <t>Laticínios / Distribuidor</t>
        </is>
      </c>
      <c r="O410" t="n">
        <v>4</v>
      </c>
      <c r="P410" t="n">
        <v>24</v>
      </c>
      <c r="Q410" t="n">
        <v>4</v>
      </c>
    </row>
    <row r="411">
      <c r="A411" t="n">
        <v>2024</v>
      </c>
      <c r="B411" t="n">
        <v>8</v>
      </c>
      <c r="C411" t="inlineStr">
        <is>
          <t>Composto lácteo Merilú 400 g</t>
        </is>
      </c>
      <c r="D411" t="inlineStr">
        <is>
          <t>Restaurante / Cantina</t>
        </is>
      </c>
      <c r="E411" t="n">
        <v>47.94</v>
      </c>
      <c r="F411" t="n">
        <v>2.52</v>
      </c>
      <c r="G411" t="n">
        <v>6</v>
      </c>
      <c r="J411" t="inlineStr">
        <is>
          <t>M</t>
        </is>
      </c>
      <c r="K411" t="n">
        <v>2024</v>
      </c>
      <c r="L411" t="n">
        <v>6</v>
      </c>
      <c r="M411" t="inlineStr">
        <is>
          <t>Todos</t>
        </is>
      </c>
      <c r="N411" t="inlineStr">
        <is>
          <t>Laticínios / Distribuidor</t>
        </is>
      </c>
      <c r="O411" t="n">
        <v>2</v>
      </c>
      <c r="P411" t="n">
        <v>4</v>
      </c>
      <c r="Q411" t="n">
        <v>0</v>
      </c>
    </row>
    <row r="412">
      <c r="A412" t="n">
        <v>2024</v>
      </c>
      <c r="B412" t="n">
        <v>8</v>
      </c>
      <c r="C412" t="inlineStr">
        <is>
          <t>Composto lácteo Merilú 400 g</t>
        </is>
      </c>
      <c r="D412" t="inlineStr">
        <is>
          <t>Supermercado</t>
        </is>
      </c>
      <c r="E412" t="n">
        <v>28.32</v>
      </c>
      <c r="F412" t="n">
        <v>1.68</v>
      </c>
      <c r="G412" t="n">
        <v>4</v>
      </c>
      <c r="J412" t="inlineStr">
        <is>
          <t>A</t>
        </is>
      </c>
      <c r="K412" t="n">
        <v>2024</v>
      </c>
      <c r="L412" t="n">
        <v>7</v>
      </c>
      <c r="M412" t="inlineStr">
        <is>
          <t>Todos</t>
        </is>
      </c>
      <c r="N412" t="inlineStr">
        <is>
          <t>Laticínios / Distribuidor</t>
        </is>
      </c>
      <c r="O412" t="n">
        <v>4</v>
      </c>
      <c r="P412" t="n">
        <v>25</v>
      </c>
      <c r="Q412" t="n">
        <v>4</v>
      </c>
    </row>
    <row r="413">
      <c r="A413" t="n">
        <v>2024</v>
      </c>
      <c r="B413" t="n">
        <v>8</v>
      </c>
      <c r="C413" t="inlineStr">
        <is>
          <t>Muçarela Mozzalet 2 kg</t>
        </is>
      </c>
      <c r="D413" t="inlineStr">
        <is>
          <t>Esfiharia</t>
        </is>
      </c>
      <c r="E413" t="n">
        <v>37.6</v>
      </c>
      <c r="F413" t="n">
        <v>2</v>
      </c>
      <c r="G413" t="n">
        <v>1</v>
      </c>
      <c r="J413" t="inlineStr">
        <is>
          <t>M</t>
        </is>
      </c>
      <c r="K413" t="n">
        <v>2024</v>
      </c>
      <c r="L413" t="n">
        <v>7</v>
      </c>
      <c r="M413" t="inlineStr">
        <is>
          <t>Todos</t>
        </is>
      </c>
      <c r="N413" t="inlineStr">
        <is>
          <t>Laticínios / Distribuidor</t>
        </is>
      </c>
      <c r="O413" t="n">
        <v>1</v>
      </c>
      <c r="P413" t="n">
        <v>1</v>
      </c>
      <c r="Q413" t="n">
        <v>0</v>
      </c>
    </row>
    <row r="414">
      <c r="A414" t="n">
        <v>2024</v>
      </c>
      <c r="B414" t="n">
        <v>8</v>
      </c>
      <c r="C414" t="inlineStr">
        <is>
          <t>Muçarela Mozzalet 2 kg</t>
        </is>
      </c>
      <c r="D414" t="inlineStr">
        <is>
          <t>Lanchonete / Cafeteria</t>
        </is>
      </c>
      <c r="E414" t="n">
        <v>1118.67</v>
      </c>
      <c r="F414" t="n">
        <v>58</v>
      </c>
      <c r="G414" t="n">
        <v>29</v>
      </c>
      <c r="J414" t="inlineStr">
        <is>
          <t>A</t>
        </is>
      </c>
      <c r="K414" t="n">
        <v>2024</v>
      </c>
      <c r="L414" t="n">
        <v>8</v>
      </c>
      <c r="M414" t="inlineStr">
        <is>
          <t>Todos</t>
        </is>
      </c>
      <c r="N414" t="inlineStr">
        <is>
          <t>Laticínios / Distribuidor</t>
        </is>
      </c>
      <c r="O414" t="n">
        <v>4</v>
      </c>
      <c r="P414" t="n">
        <v>25</v>
      </c>
      <c r="Q414" t="n">
        <v>4</v>
      </c>
    </row>
    <row r="415">
      <c r="A415" t="n">
        <v>2024</v>
      </c>
      <c r="B415" t="n">
        <v>8</v>
      </c>
      <c r="C415" t="inlineStr">
        <is>
          <t>Muçarela Mozzalet 2 kg</t>
        </is>
      </c>
      <c r="D415" t="inlineStr">
        <is>
          <t>Outros</t>
        </is>
      </c>
      <c r="E415" t="n">
        <v>77.36</v>
      </c>
      <c r="F415" t="n">
        <v>4</v>
      </c>
      <c r="G415" t="n">
        <v>2</v>
      </c>
      <c r="J415" t="inlineStr">
        <is>
          <t>A</t>
        </is>
      </c>
      <c r="K415" t="n">
        <v>2024</v>
      </c>
      <c r="L415" t="n">
        <v>9</v>
      </c>
      <c r="M415" t="inlineStr">
        <is>
          <t>Todos</t>
        </is>
      </c>
      <c r="N415" t="inlineStr">
        <is>
          <t>Laticínios / Distribuidor</t>
        </is>
      </c>
      <c r="O415" t="n">
        <v>4</v>
      </c>
      <c r="P415" t="n">
        <v>25</v>
      </c>
      <c r="Q415" t="n">
        <v>4</v>
      </c>
    </row>
    <row r="416">
      <c r="A416" t="n">
        <v>2024</v>
      </c>
      <c r="B416" t="n">
        <v>8</v>
      </c>
      <c r="C416" t="inlineStr">
        <is>
          <t>Muçarela Mozzalet 2 kg</t>
        </is>
      </c>
      <c r="D416" t="inlineStr">
        <is>
          <t>Padaria</t>
        </is>
      </c>
      <c r="E416" t="n">
        <v>758.2</v>
      </c>
      <c r="F416" t="n">
        <v>40</v>
      </c>
      <c r="G416" t="n">
        <v>20</v>
      </c>
      <c r="J416" t="inlineStr">
        <is>
          <t>A</t>
        </is>
      </c>
      <c r="K416" t="n">
        <v>2024</v>
      </c>
      <c r="L416" t="n">
        <v>10</v>
      </c>
      <c r="M416" t="inlineStr">
        <is>
          <t>Todos</t>
        </is>
      </c>
      <c r="N416" t="inlineStr">
        <is>
          <t>Laticínios / Distribuidor</t>
        </is>
      </c>
      <c r="O416" t="n">
        <v>4</v>
      </c>
      <c r="P416" t="n">
        <v>25</v>
      </c>
      <c r="Q416" t="n">
        <v>4</v>
      </c>
    </row>
    <row r="417">
      <c r="A417" t="n">
        <v>2024</v>
      </c>
      <c r="B417" t="n">
        <v>8</v>
      </c>
      <c r="C417" t="inlineStr">
        <is>
          <t>Muçarela Mozzalet 2 kg</t>
        </is>
      </c>
      <c r="D417" t="inlineStr">
        <is>
          <t>Pastelaria</t>
        </is>
      </c>
      <c r="E417" t="n">
        <v>114.84</v>
      </c>
      <c r="F417" t="n">
        <v>6</v>
      </c>
      <c r="G417" t="n">
        <v>3</v>
      </c>
      <c r="J417" t="inlineStr">
        <is>
          <t>A</t>
        </is>
      </c>
      <c r="K417" t="n">
        <v>2024</v>
      </c>
      <c r="L417" t="n">
        <v>11</v>
      </c>
      <c r="M417" t="inlineStr">
        <is>
          <t>Todos</t>
        </is>
      </c>
      <c r="N417" t="inlineStr">
        <is>
          <t>Laticínios / Distribuidor</t>
        </is>
      </c>
      <c r="O417" t="n">
        <v>4</v>
      </c>
      <c r="P417" t="n">
        <v>25</v>
      </c>
      <c r="Q417" t="n">
        <v>4</v>
      </c>
    </row>
    <row r="418">
      <c r="A418" t="n">
        <v>2024</v>
      </c>
      <c r="B418" t="n">
        <v>8</v>
      </c>
      <c r="C418" t="inlineStr">
        <is>
          <t>Muçarela Mozzalet 2 kg</t>
        </is>
      </c>
      <c r="D418" t="inlineStr">
        <is>
          <t>Pessoa Física</t>
        </is>
      </c>
      <c r="E418" t="n">
        <v>840.1799999999999</v>
      </c>
      <c r="F418" t="n">
        <v>44</v>
      </c>
      <c r="G418" t="n">
        <v>22</v>
      </c>
      <c r="J418" t="inlineStr">
        <is>
          <t>A</t>
        </is>
      </c>
      <c r="K418" t="n">
        <v>2024</v>
      </c>
      <c r="L418" t="n">
        <v>12</v>
      </c>
      <c r="M418" t="inlineStr">
        <is>
          <t>Todos</t>
        </is>
      </c>
      <c r="N418" t="inlineStr">
        <is>
          <t>Laticínios / Distribuidor</t>
        </is>
      </c>
      <c r="O418" t="n">
        <v>4</v>
      </c>
      <c r="P418" t="n">
        <v>25</v>
      </c>
      <c r="Q418" t="n">
        <v>4</v>
      </c>
    </row>
    <row r="419">
      <c r="A419" t="n">
        <v>2024</v>
      </c>
      <c r="B419" t="n">
        <v>8</v>
      </c>
      <c r="C419" t="inlineStr">
        <is>
          <t>Muçarela Mozzalet 2 kg</t>
        </is>
      </c>
      <c r="D419" t="inlineStr">
        <is>
          <t>Pizzaria</t>
        </is>
      </c>
      <c r="E419" t="n">
        <v>3513.48</v>
      </c>
      <c r="F419" t="n">
        <v>186</v>
      </c>
      <c r="G419" t="n">
        <v>93</v>
      </c>
      <c r="J419" t="inlineStr">
        <is>
          <t>A</t>
        </is>
      </c>
      <c r="K419" t="n">
        <v>2024</v>
      </c>
      <c r="L419" t="n">
        <v>1</v>
      </c>
      <c r="M419" t="inlineStr">
        <is>
          <t>Todos</t>
        </is>
      </c>
      <c r="N419" t="inlineStr">
        <is>
          <t>Cozinha Oriental</t>
        </is>
      </c>
      <c r="O419" t="n">
        <v>1</v>
      </c>
      <c r="P419" t="n">
        <v>6</v>
      </c>
      <c r="Q419" t="n">
        <v>1</v>
      </c>
    </row>
    <row r="420">
      <c r="A420" t="n">
        <v>2024</v>
      </c>
      <c r="B420" t="n">
        <v>8</v>
      </c>
      <c r="C420" t="inlineStr">
        <is>
          <t>Muçarela Mozzalet 2 kg</t>
        </is>
      </c>
      <c r="D420" t="inlineStr">
        <is>
          <t>Restaurante / Cantina</t>
        </is>
      </c>
      <c r="E420" t="n">
        <v>13391.58</v>
      </c>
      <c r="F420" t="n">
        <v>728</v>
      </c>
      <c r="G420" t="n">
        <v>364</v>
      </c>
      <c r="J420" t="inlineStr">
        <is>
          <t>M</t>
        </is>
      </c>
      <c r="K420" t="n">
        <v>2024</v>
      </c>
      <c r="L420" t="n">
        <v>1</v>
      </c>
      <c r="M420" t="inlineStr">
        <is>
          <t>Todos</t>
        </is>
      </c>
      <c r="N420" t="inlineStr">
        <is>
          <t>Cozinha Oriental</t>
        </is>
      </c>
      <c r="O420" t="n">
        <v>1</v>
      </c>
      <c r="P420" t="n">
        <v>6</v>
      </c>
      <c r="Q420" t="n">
        <v>0</v>
      </c>
    </row>
    <row r="421">
      <c r="A421" t="n">
        <v>2024</v>
      </c>
      <c r="B421" t="n">
        <v>8</v>
      </c>
      <c r="C421" t="inlineStr">
        <is>
          <t>Muçarela Mozzana 2 kg</t>
        </is>
      </c>
      <c r="D421" t="inlineStr">
        <is>
          <t>Adega</t>
        </is>
      </c>
      <c r="E421" t="n">
        <v>727.2</v>
      </c>
      <c r="F421" t="n">
        <v>36.36</v>
      </c>
      <c r="G421" t="n">
        <v>18</v>
      </c>
      <c r="J421" t="inlineStr">
        <is>
          <t>A</t>
        </is>
      </c>
      <c r="K421" t="n">
        <v>2024</v>
      </c>
      <c r="L421" t="n">
        <v>2</v>
      </c>
      <c r="M421" t="inlineStr">
        <is>
          <t>Todos</t>
        </is>
      </c>
      <c r="N421" t="inlineStr">
        <is>
          <t>Cozinha Oriental</t>
        </is>
      </c>
      <c r="O421" t="n">
        <v>1</v>
      </c>
      <c r="P421" t="n">
        <v>9</v>
      </c>
      <c r="Q421" t="n">
        <v>1</v>
      </c>
    </row>
    <row r="422">
      <c r="A422" t="n">
        <v>2024</v>
      </c>
      <c r="B422" t="n">
        <v>8</v>
      </c>
      <c r="C422" t="inlineStr">
        <is>
          <t>Muçarela Mozzana 2 kg</t>
        </is>
      </c>
      <c r="D422" t="inlineStr">
        <is>
          <t>Buffet</t>
        </is>
      </c>
      <c r="E422" t="n">
        <v>2154.6</v>
      </c>
      <c r="F422" t="n">
        <v>109.08</v>
      </c>
      <c r="G422" t="n">
        <v>54</v>
      </c>
      <c r="J422" t="inlineStr">
        <is>
          <t>M</t>
        </is>
      </c>
      <c r="K422" t="n">
        <v>2024</v>
      </c>
      <c r="L422" t="n">
        <v>2</v>
      </c>
      <c r="M422" t="inlineStr">
        <is>
          <t>Todos</t>
        </is>
      </c>
      <c r="N422" t="inlineStr">
        <is>
          <t>Cozinha Oriental</t>
        </is>
      </c>
      <c r="O422" t="n">
        <v>1</v>
      </c>
      <c r="P422" t="n">
        <v>3</v>
      </c>
      <c r="Q422" t="n">
        <v>0</v>
      </c>
    </row>
    <row r="423">
      <c r="A423" t="n">
        <v>2024</v>
      </c>
      <c r="B423" t="n">
        <v>8</v>
      </c>
      <c r="C423" t="inlineStr">
        <is>
          <t>Muçarela Mozzana 2 kg</t>
        </is>
      </c>
      <c r="D423" t="inlineStr">
        <is>
          <t>Confeitaria</t>
        </is>
      </c>
      <c r="E423" t="n">
        <v>372.15</v>
      </c>
      <c r="F423" t="n">
        <v>18.18</v>
      </c>
      <c r="G423" t="n">
        <v>9</v>
      </c>
      <c r="J423" t="inlineStr">
        <is>
          <t>A</t>
        </is>
      </c>
      <c r="K423" t="n">
        <v>2024</v>
      </c>
      <c r="L423" t="n">
        <v>3</v>
      </c>
      <c r="M423" t="inlineStr">
        <is>
          <t>Todos</t>
        </is>
      </c>
      <c r="N423" t="inlineStr">
        <is>
          <t>Cozinha Oriental</t>
        </is>
      </c>
      <c r="O423" t="n">
        <v>1</v>
      </c>
      <c r="P423" t="n">
        <v>13</v>
      </c>
      <c r="Q423" t="n">
        <v>1</v>
      </c>
    </row>
    <row r="424">
      <c r="A424" t="n">
        <v>2024</v>
      </c>
      <c r="B424" t="n">
        <v>8</v>
      </c>
      <c r="C424" t="inlineStr">
        <is>
          <t>Muçarela Mozzana 2 kg</t>
        </is>
      </c>
      <c r="D424" t="inlineStr">
        <is>
          <t>Cozinha Industrial</t>
        </is>
      </c>
      <c r="E424" t="n">
        <v>11165.29</v>
      </c>
      <c r="F424" t="n">
        <v>579.74</v>
      </c>
      <c r="G424" t="n">
        <v>287</v>
      </c>
      <c r="J424" t="inlineStr">
        <is>
          <t>M</t>
        </is>
      </c>
      <c r="K424" t="n">
        <v>2024</v>
      </c>
      <c r="L424" t="n">
        <v>3</v>
      </c>
      <c r="M424" t="inlineStr">
        <is>
          <t>Todos</t>
        </is>
      </c>
      <c r="N424" t="inlineStr">
        <is>
          <t>Cozinha Oriental</t>
        </is>
      </c>
      <c r="O424" t="n">
        <v>1</v>
      </c>
      <c r="P424" t="n">
        <v>4</v>
      </c>
      <c r="Q424" t="n">
        <v>0</v>
      </c>
    </row>
    <row r="425">
      <c r="A425" t="n">
        <v>2024</v>
      </c>
      <c r="B425" t="n">
        <v>8</v>
      </c>
      <c r="C425" t="inlineStr">
        <is>
          <t>Muçarela Mozzana 2 kg</t>
        </is>
      </c>
      <c r="D425" t="inlineStr">
        <is>
          <t>Cozinha Oriental</t>
        </is>
      </c>
      <c r="E425" t="n">
        <v>314.4</v>
      </c>
      <c r="F425" t="n">
        <v>16.16</v>
      </c>
      <c r="G425" t="n">
        <v>8</v>
      </c>
      <c r="J425" t="inlineStr">
        <is>
          <t>A</t>
        </is>
      </c>
      <c r="K425" t="n">
        <v>2024</v>
      </c>
      <c r="L425" t="n">
        <v>4</v>
      </c>
      <c r="M425" t="inlineStr">
        <is>
          <t>Todos</t>
        </is>
      </c>
      <c r="N425" t="inlineStr">
        <is>
          <t>Cozinha Oriental</t>
        </is>
      </c>
      <c r="O425" t="n">
        <v>1</v>
      </c>
      <c r="P425" t="n">
        <v>17</v>
      </c>
      <c r="Q425" t="n">
        <v>1</v>
      </c>
    </row>
    <row r="426">
      <c r="A426" t="n">
        <v>2024</v>
      </c>
      <c r="B426" t="n">
        <v>8</v>
      </c>
      <c r="C426" t="inlineStr">
        <is>
          <t>Muçarela Mozzana 2 kg</t>
        </is>
      </c>
      <c r="D426" t="inlineStr">
        <is>
          <t>Esfiharia</t>
        </is>
      </c>
      <c r="E426" t="n">
        <v>2948.8</v>
      </c>
      <c r="F426" t="n">
        <v>149.48</v>
      </c>
      <c r="G426" t="n">
        <v>74</v>
      </c>
      <c r="J426" t="inlineStr">
        <is>
          <t>M</t>
        </is>
      </c>
      <c r="K426" t="n">
        <v>2024</v>
      </c>
      <c r="L426" t="n">
        <v>4</v>
      </c>
      <c r="M426" t="inlineStr">
        <is>
          <t>Todos</t>
        </is>
      </c>
      <c r="N426" t="inlineStr">
        <is>
          <t>Cozinha Oriental</t>
        </is>
      </c>
      <c r="O426" t="n">
        <v>1</v>
      </c>
      <c r="P426" t="n">
        <v>4</v>
      </c>
      <c r="Q426" t="n">
        <v>0</v>
      </c>
    </row>
    <row r="427">
      <c r="A427" t="n">
        <v>2024</v>
      </c>
      <c r="B427" t="n">
        <v>8</v>
      </c>
      <c r="C427" t="inlineStr">
        <is>
          <t>Muçarela Mozzana 2 kg</t>
        </is>
      </c>
      <c r="D427" t="inlineStr">
        <is>
          <t>Fábrica de Massas</t>
        </is>
      </c>
      <c r="E427" t="n">
        <v>19874.6</v>
      </c>
      <c r="F427" t="n">
        <v>1026.16</v>
      </c>
      <c r="G427" t="n">
        <v>508</v>
      </c>
      <c r="J427" t="inlineStr">
        <is>
          <t>A</t>
        </is>
      </c>
      <c r="K427" t="n">
        <v>2024</v>
      </c>
      <c r="L427" t="n">
        <v>5</v>
      </c>
      <c r="M427" t="inlineStr">
        <is>
          <t>Todos</t>
        </is>
      </c>
      <c r="N427" t="inlineStr">
        <is>
          <t>Cozinha Oriental</t>
        </is>
      </c>
      <c r="O427" t="n">
        <v>1</v>
      </c>
      <c r="P427" t="n">
        <v>22</v>
      </c>
      <c r="Q427" t="n">
        <v>1</v>
      </c>
    </row>
    <row r="428">
      <c r="A428" t="n">
        <v>2024</v>
      </c>
      <c r="B428" t="n">
        <v>8</v>
      </c>
      <c r="C428" t="inlineStr">
        <is>
          <t>Muçarela Mozzana 2 kg</t>
        </is>
      </c>
      <c r="D428" t="inlineStr">
        <is>
          <t>Hamburgueria</t>
        </is>
      </c>
      <c r="E428" t="n">
        <v>40.1</v>
      </c>
      <c r="F428" t="n">
        <v>2.02</v>
      </c>
      <c r="G428" t="n">
        <v>1</v>
      </c>
      <c r="J428" t="inlineStr">
        <is>
          <t>M</t>
        </is>
      </c>
      <c r="K428" t="n">
        <v>2024</v>
      </c>
      <c r="L428" t="n">
        <v>5</v>
      </c>
      <c r="M428" t="inlineStr">
        <is>
          <t>Todos</t>
        </is>
      </c>
      <c r="N428" t="inlineStr">
        <is>
          <t>Cozinha Oriental</t>
        </is>
      </c>
      <c r="O428" t="n">
        <v>1</v>
      </c>
      <c r="P428" t="n">
        <v>5</v>
      </c>
      <c r="Q428" t="n">
        <v>0</v>
      </c>
    </row>
    <row r="429">
      <c r="A429" t="n">
        <v>2024</v>
      </c>
      <c r="B429" t="n">
        <v>8</v>
      </c>
      <c r="C429" t="inlineStr">
        <is>
          <t>Muçarela Mozzana 2 kg</t>
        </is>
      </c>
      <c r="D429" t="inlineStr">
        <is>
          <t>Lanchonete / Cafeteria</t>
        </is>
      </c>
      <c r="E429" t="n">
        <v>2462.8</v>
      </c>
      <c r="F429" t="n">
        <v>125.24</v>
      </c>
      <c r="G429" t="n">
        <v>62</v>
      </c>
      <c r="J429" t="inlineStr">
        <is>
          <t>A</t>
        </is>
      </c>
      <c r="K429" t="n">
        <v>2024</v>
      </c>
      <c r="L429" t="n">
        <v>6</v>
      </c>
      <c r="M429" t="inlineStr">
        <is>
          <t>Todos</t>
        </is>
      </c>
      <c r="N429" t="inlineStr">
        <is>
          <t>Cozinha Oriental</t>
        </is>
      </c>
      <c r="O429" t="n">
        <v>1</v>
      </c>
      <c r="P429" t="n">
        <v>25</v>
      </c>
      <c r="Q429" t="n">
        <v>1</v>
      </c>
    </row>
    <row r="430">
      <c r="A430" t="n">
        <v>2024</v>
      </c>
      <c r="B430" t="n">
        <v>8</v>
      </c>
      <c r="C430" t="inlineStr">
        <is>
          <t>Muçarela Mozzana 2 kg</t>
        </is>
      </c>
      <c r="D430" t="inlineStr">
        <is>
          <t>Outros</t>
        </is>
      </c>
      <c r="E430" t="n">
        <v>24843.49</v>
      </c>
      <c r="F430" t="n">
        <v>1266.54</v>
      </c>
      <c r="G430" t="n">
        <v>627</v>
      </c>
      <c r="J430" t="inlineStr">
        <is>
          <t>M</t>
        </is>
      </c>
      <c r="K430" t="n">
        <v>2024</v>
      </c>
      <c r="L430" t="n">
        <v>6</v>
      </c>
      <c r="M430" t="inlineStr">
        <is>
          <t>Todos</t>
        </is>
      </c>
      <c r="N430" t="inlineStr">
        <is>
          <t>Cozinha Oriental</t>
        </is>
      </c>
      <c r="O430" t="n">
        <v>1</v>
      </c>
      <c r="P430" t="n">
        <v>3</v>
      </c>
      <c r="Q430" t="n">
        <v>0</v>
      </c>
    </row>
    <row r="431">
      <c r="A431" t="n">
        <v>2024</v>
      </c>
      <c r="B431" t="n">
        <v>8</v>
      </c>
      <c r="C431" t="inlineStr">
        <is>
          <t>Muçarela Mozzana 2 kg</t>
        </is>
      </c>
      <c r="D431" t="inlineStr">
        <is>
          <t>Padaria</t>
        </is>
      </c>
      <c r="E431" t="n">
        <v>4731.47</v>
      </c>
      <c r="F431" t="n">
        <v>238.36</v>
      </c>
      <c r="G431" t="n">
        <v>118</v>
      </c>
      <c r="J431" t="inlineStr">
        <is>
          <t>A</t>
        </is>
      </c>
      <c r="K431" t="n">
        <v>2024</v>
      </c>
      <c r="L431" t="n">
        <v>7</v>
      </c>
      <c r="M431" t="inlineStr">
        <is>
          <t>Todos</t>
        </is>
      </c>
      <c r="N431" t="inlineStr">
        <is>
          <t>Cozinha Oriental</t>
        </is>
      </c>
      <c r="O431" t="n">
        <v>2</v>
      </c>
      <c r="P431" t="n">
        <v>32</v>
      </c>
      <c r="Q431" t="n">
        <v>2</v>
      </c>
    </row>
    <row r="432">
      <c r="A432" t="n">
        <v>2024</v>
      </c>
      <c r="B432" t="n">
        <v>8</v>
      </c>
      <c r="C432" t="inlineStr">
        <is>
          <t>Muçarela Mozzana 2 kg</t>
        </is>
      </c>
      <c r="D432" t="inlineStr">
        <is>
          <t>Pastelaria</t>
        </is>
      </c>
      <c r="E432" t="n">
        <v>4310.62</v>
      </c>
      <c r="F432" t="n">
        <v>218.16</v>
      </c>
      <c r="G432" t="n">
        <v>108</v>
      </c>
      <c r="J432" t="inlineStr">
        <is>
          <t>M</t>
        </is>
      </c>
      <c r="K432" t="n">
        <v>2024</v>
      </c>
      <c r="L432" t="n">
        <v>7</v>
      </c>
      <c r="M432" t="inlineStr">
        <is>
          <t>Todos</t>
        </is>
      </c>
      <c r="N432" t="inlineStr">
        <is>
          <t>Cozinha Oriental</t>
        </is>
      </c>
      <c r="O432" t="n">
        <v>2</v>
      </c>
      <c r="P432" t="n">
        <v>7</v>
      </c>
      <c r="Q432" t="n">
        <v>0</v>
      </c>
    </row>
    <row r="433">
      <c r="A433" t="n">
        <v>2024</v>
      </c>
      <c r="B433" t="n">
        <v>8</v>
      </c>
      <c r="C433" t="inlineStr">
        <is>
          <t>Muçarela Mozzana 2 kg</t>
        </is>
      </c>
      <c r="D433" t="inlineStr">
        <is>
          <t>Pessoa Física</t>
        </is>
      </c>
      <c r="E433" t="n">
        <v>8359.74</v>
      </c>
      <c r="F433" t="n">
        <v>422.18</v>
      </c>
      <c r="G433" t="n">
        <v>209</v>
      </c>
      <c r="J433" t="inlineStr">
        <is>
          <t>A</t>
        </is>
      </c>
      <c r="K433" t="n">
        <v>2024</v>
      </c>
      <c r="L433" t="n">
        <v>8</v>
      </c>
      <c r="M433" t="inlineStr">
        <is>
          <t>Todos</t>
        </is>
      </c>
      <c r="N433" t="inlineStr">
        <is>
          <t>Cozinha Oriental</t>
        </is>
      </c>
      <c r="O433" t="n">
        <v>2</v>
      </c>
      <c r="P433" t="n">
        <v>39</v>
      </c>
      <c r="Q433" t="n">
        <v>2</v>
      </c>
    </row>
    <row r="434">
      <c r="A434" t="n">
        <v>2024</v>
      </c>
      <c r="B434" t="n">
        <v>8</v>
      </c>
      <c r="C434" t="inlineStr">
        <is>
          <t>Muçarela Mozzana 2 kg</t>
        </is>
      </c>
      <c r="D434" t="inlineStr">
        <is>
          <t>Pizzaria</t>
        </is>
      </c>
      <c r="E434" t="n">
        <v>102110.03</v>
      </c>
      <c r="F434" t="n">
        <v>5205.54</v>
      </c>
      <c r="G434" t="n">
        <v>2577</v>
      </c>
      <c r="J434" t="inlineStr">
        <is>
          <t>M</t>
        </is>
      </c>
      <c r="K434" t="n">
        <v>2024</v>
      </c>
      <c r="L434" t="n">
        <v>8</v>
      </c>
      <c r="M434" t="inlineStr">
        <is>
          <t>Todos</t>
        </is>
      </c>
      <c r="N434" t="inlineStr">
        <is>
          <t>Cozinha Oriental</t>
        </is>
      </c>
      <c r="O434" t="n">
        <v>1</v>
      </c>
      <c r="P434" t="n">
        <v>7</v>
      </c>
      <c r="Q434" t="n">
        <v>0</v>
      </c>
    </row>
    <row r="435">
      <c r="A435" t="n">
        <v>2024</v>
      </c>
      <c r="B435" t="n">
        <v>8</v>
      </c>
      <c r="C435" t="inlineStr">
        <is>
          <t>Muçarela Mozzana 2 kg</t>
        </is>
      </c>
      <c r="D435" t="inlineStr">
        <is>
          <t>Restaurante / Cantina</t>
        </is>
      </c>
      <c r="E435" t="n">
        <v>26134.91</v>
      </c>
      <c r="F435" t="n">
        <v>1355.42</v>
      </c>
      <c r="G435" t="n">
        <v>671</v>
      </c>
      <c r="J435" t="inlineStr">
        <is>
          <t>A</t>
        </is>
      </c>
      <c r="K435" t="n">
        <v>2024</v>
      </c>
      <c r="L435" t="n">
        <v>9</v>
      </c>
      <c r="M435" t="inlineStr">
        <is>
          <t>Todos</t>
        </is>
      </c>
      <c r="N435" t="inlineStr">
        <is>
          <t>Cozinha Oriental</t>
        </is>
      </c>
      <c r="O435" t="n">
        <v>4</v>
      </c>
      <c r="P435" t="n">
        <v>47</v>
      </c>
      <c r="Q435" t="n">
        <v>4</v>
      </c>
    </row>
    <row r="436">
      <c r="A436" t="n">
        <v>2024</v>
      </c>
      <c r="B436" t="n">
        <v>8</v>
      </c>
      <c r="C436" t="inlineStr">
        <is>
          <t>Muçarela Mozzana 2 kg</t>
        </is>
      </c>
      <c r="D436" t="inlineStr">
        <is>
          <t>Rotisserie</t>
        </is>
      </c>
      <c r="E436" t="n">
        <v>38.95</v>
      </c>
      <c r="F436" t="n">
        <v>2.02</v>
      </c>
      <c r="G436" t="n">
        <v>1</v>
      </c>
      <c r="J436" t="inlineStr">
        <is>
          <t>M</t>
        </is>
      </c>
      <c r="K436" t="n">
        <v>2024</v>
      </c>
      <c r="L436" t="n">
        <v>9</v>
      </c>
      <c r="M436" t="inlineStr">
        <is>
          <t>Todos</t>
        </is>
      </c>
      <c r="N436" t="inlineStr">
        <is>
          <t>Cozinha Oriental</t>
        </is>
      </c>
      <c r="O436" t="n">
        <v>3</v>
      </c>
      <c r="P436" t="n">
        <v>8</v>
      </c>
      <c r="Q436" t="n">
        <v>0</v>
      </c>
    </row>
    <row r="437">
      <c r="A437" t="n">
        <v>2024</v>
      </c>
      <c r="B437" t="n">
        <v>8</v>
      </c>
      <c r="C437" t="inlineStr">
        <is>
          <t>Muçarela Mozzana 2 kg</t>
        </is>
      </c>
      <c r="D437" t="inlineStr">
        <is>
          <t>Supermercado</t>
        </is>
      </c>
      <c r="E437" t="n">
        <v>4133.52</v>
      </c>
      <c r="F437" t="n">
        <v>199.98</v>
      </c>
      <c r="G437" t="n">
        <v>99</v>
      </c>
      <c r="J437" t="inlineStr">
        <is>
          <t>A</t>
        </is>
      </c>
      <c r="K437" t="n">
        <v>2024</v>
      </c>
      <c r="L437" t="n">
        <v>10</v>
      </c>
      <c r="M437" t="inlineStr">
        <is>
          <t>Todos</t>
        </is>
      </c>
      <c r="N437" t="inlineStr">
        <is>
          <t>Cozinha Oriental</t>
        </is>
      </c>
      <c r="O437" t="n">
        <v>4</v>
      </c>
      <c r="P437" t="n">
        <v>54</v>
      </c>
      <c r="Q437" t="n">
        <v>4</v>
      </c>
    </row>
    <row r="438">
      <c r="A438" t="n">
        <v>2024</v>
      </c>
      <c r="B438" t="n">
        <v>8</v>
      </c>
      <c r="C438" t="inlineStr">
        <is>
          <t>Parmesão ralado Parmozzana 1 kg</t>
        </is>
      </c>
      <c r="D438" t="inlineStr">
        <is>
          <t>Bar / Chopperia</t>
        </is>
      </c>
      <c r="E438" t="n">
        <v>9.99</v>
      </c>
      <c r="F438" t="n">
        <v>1.02</v>
      </c>
      <c r="G438" t="n">
        <v>1</v>
      </c>
      <c r="J438" t="inlineStr">
        <is>
          <t>M</t>
        </is>
      </c>
      <c r="K438" t="n">
        <v>2024</v>
      </c>
      <c r="L438" t="n">
        <v>10</v>
      </c>
      <c r="M438" t="inlineStr">
        <is>
          <t>Todos</t>
        </is>
      </c>
      <c r="N438" t="inlineStr">
        <is>
          <t>Cozinha Oriental</t>
        </is>
      </c>
      <c r="O438" t="n">
        <v>1</v>
      </c>
      <c r="P438" t="n">
        <v>7</v>
      </c>
      <c r="Q438" t="n">
        <v>0</v>
      </c>
    </row>
    <row r="439">
      <c r="A439" t="n">
        <v>2024</v>
      </c>
      <c r="B439" t="n">
        <v>8</v>
      </c>
      <c r="C439" t="inlineStr">
        <is>
          <t>Parmesão ralado Parmozzana 1 kg</t>
        </is>
      </c>
      <c r="D439" t="inlineStr">
        <is>
          <t>Buffet</t>
        </is>
      </c>
      <c r="E439" t="n">
        <v>69.93000000000001</v>
      </c>
      <c r="F439" t="n">
        <v>7.14</v>
      </c>
      <c r="G439" t="n">
        <v>7</v>
      </c>
      <c r="J439" t="inlineStr">
        <is>
          <t>A</t>
        </is>
      </c>
      <c r="K439" t="n">
        <v>2024</v>
      </c>
      <c r="L439" t="n">
        <v>11</v>
      </c>
      <c r="M439" t="inlineStr">
        <is>
          <t>Todos</t>
        </is>
      </c>
      <c r="N439" t="inlineStr">
        <is>
          <t>Cozinha Oriental</t>
        </is>
      </c>
      <c r="O439" t="n">
        <v>4</v>
      </c>
      <c r="P439" t="n">
        <v>62</v>
      </c>
      <c r="Q439" t="n">
        <v>4</v>
      </c>
    </row>
    <row r="440">
      <c r="A440" t="n">
        <v>2024</v>
      </c>
      <c r="B440" t="n">
        <v>8</v>
      </c>
      <c r="C440" t="inlineStr">
        <is>
          <t>Parmesão ralado Parmozzana 1 kg</t>
        </is>
      </c>
      <c r="D440" t="inlineStr">
        <is>
          <t>Churrascaria</t>
        </is>
      </c>
      <c r="E440" t="n">
        <v>65.40000000000001</v>
      </c>
      <c r="F440" t="n">
        <v>6.12</v>
      </c>
      <c r="G440" t="n">
        <v>6</v>
      </c>
      <c r="J440" t="inlineStr">
        <is>
          <t>M</t>
        </is>
      </c>
      <c r="K440" t="n">
        <v>2024</v>
      </c>
      <c r="L440" t="n">
        <v>11</v>
      </c>
      <c r="M440" t="inlineStr">
        <is>
          <t>Todos</t>
        </is>
      </c>
      <c r="N440" t="inlineStr">
        <is>
          <t>Cozinha Oriental</t>
        </is>
      </c>
      <c r="O440" t="n">
        <v>1</v>
      </c>
      <c r="P440" t="n">
        <v>8</v>
      </c>
      <c r="Q440" t="n">
        <v>0</v>
      </c>
    </row>
    <row r="441">
      <c r="A441" t="n">
        <v>2024</v>
      </c>
      <c r="B441" t="n">
        <v>8</v>
      </c>
      <c r="C441" t="inlineStr">
        <is>
          <t>Parmesão ralado Parmozzana 1 kg</t>
        </is>
      </c>
      <c r="D441" t="inlineStr">
        <is>
          <t>Colaborador</t>
        </is>
      </c>
      <c r="E441" t="n">
        <v>99.90000000000001</v>
      </c>
      <c r="F441" t="n">
        <v>10.2</v>
      </c>
      <c r="G441" t="n">
        <v>10</v>
      </c>
      <c r="J441" t="inlineStr">
        <is>
          <t>A</t>
        </is>
      </c>
      <c r="K441" t="n">
        <v>2024</v>
      </c>
      <c r="L441" t="n">
        <v>12</v>
      </c>
      <c r="M441" t="inlineStr">
        <is>
          <t>Todos</t>
        </is>
      </c>
      <c r="N441" t="inlineStr">
        <is>
          <t>Cozinha Oriental</t>
        </is>
      </c>
      <c r="O441" t="n">
        <v>4</v>
      </c>
      <c r="P441" t="n">
        <v>68</v>
      </c>
      <c r="Q441" t="n">
        <v>4</v>
      </c>
    </row>
    <row r="442">
      <c r="A442" t="n">
        <v>2024</v>
      </c>
      <c r="B442" t="n">
        <v>8</v>
      </c>
      <c r="C442" t="inlineStr">
        <is>
          <t>Parmesão ralado Parmozzana 1 kg</t>
        </is>
      </c>
      <c r="D442" t="inlineStr">
        <is>
          <t>Lanchonete / Cafeteria</t>
        </is>
      </c>
      <c r="E442" t="n">
        <v>66.39</v>
      </c>
      <c r="F442" t="n">
        <v>4.08</v>
      </c>
      <c r="G442" t="n">
        <v>4</v>
      </c>
      <c r="J442" t="inlineStr">
        <is>
          <t>M</t>
        </is>
      </c>
      <c r="K442" t="n">
        <v>2024</v>
      </c>
      <c r="L442" t="n">
        <v>12</v>
      </c>
      <c r="M442" t="inlineStr">
        <is>
          <t>Todos</t>
        </is>
      </c>
      <c r="N442" t="inlineStr">
        <is>
          <t>Cozinha Oriental</t>
        </is>
      </c>
      <c r="O442" t="n">
        <v>1</v>
      </c>
      <c r="P442" t="n">
        <v>6</v>
      </c>
      <c r="Q442" t="n">
        <v>0</v>
      </c>
    </row>
    <row r="443">
      <c r="A443" t="n">
        <v>2024</v>
      </c>
      <c r="B443" t="n">
        <v>8</v>
      </c>
      <c r="C443" t="inlineStr">
        <is>
          <t>Parmesão ralado Parmozzana 1 kg</t>
        </is>
      </c>
      <c r="D443" t="inlineStr">
        <is>
          <t>Mercearia / Sacolão</t>
        </is>
      </c>
      <c r="E443" t="n">
        <v>119.88</v>
      </c>
      <c r="F443" t="n">
        <v>12.24</v>
      </c>
      <c r="G443" t="n">
        <v>12</v>
      </c>
      <c r="J443" t="inlineStr">
        <is>
          <t>A</t>
        </is>
      </c>
      <c r="K443" t="n">
        <v>2024</v>
      </c>
      <c r="L443" t="n">
        <v>3</v>
      </c>
      <c r="M443" t="inlineStr">
        <is>
          <t>Todos</t>
        </is>
      </c>
      <c r="N443" t="inlineStr">
        <is>
          <t>Adega</t>
        </is>
      </c>
      <c r="O443" t="n">
        <v>1</v>
      </c>
      <c r="P443" t="n">
        <v>1</v>
      </c>
      <c r="Q443" t="n">
        <v>1</v>
      </c>
    </row>
    <row r="444">
      <c r="A444" t="n">
        <v>2024</v>
      </c>
      <c r="B444" t="n">
        <v>8</v>
      </c>
      <c r="C444" t="inlineStr">
        <is>
          <t>Parmesão ralado Parmozzana 1 kg</t>
        </is>
      </c>
      <c r="D444" t="inlineStr">
        <is>
          <t>Não Selecionado</t>
        </is>
      </c>
      <c r="E444" t="n">
        <v>36</v>
      </c>
      <c r="F444" t="n">
        <v>1.02</v>
      </c>
      <c r="G444" t="n">
        <v>1</v>
      </c>
      <c r="J444" t="inlineStr">
        <is>
          <t>M</t>
        </is>
      </c>
      <c r="K444" t="n">
        <v>2024</v>
      </c>
      <c r="L444" t="n">
        <v>3</v>
      </c>
      <c r="M444" t="inlineStr">
        <is>
          <t>Todos</t>
        </is>
      </c>
      <c r="N444" t="inlineStr">
        <is>
          <t>Adega</t>
        </is>
      </c>
      <c r="O444" t="n">
        <v>1</v>
      </c>
      <c r="P444" t="n">
        <v>1</v>
      </c>
      <c r="Q444" t="n">
        <v>0</v>
      </c>
    </row>
    <row r="445">
      <c r="A445" t="n">
        <v>2024</v>
      </c>
      <c r="B445" t="n">
        <v>8</v>
      </c>
      <c r="C445" t="inlineStr">
        <is>
          <t>Parmesão ralado Parmozzana 1 kg</t>
        </is>
      </c>
      <c r="D445" t="inlineStr">
        <is>
          <t>Outros</t>
        </is>
      </c>
      <c r="E445" t="n">
        <v>144.89</v>
      </c>
      <c r="F445" t="n">
        <v>12.24</v>
      </c>
      <c r="G445" t="n">
        <v>12</v>
      </c>
      <c r="J445" t="inlineStr">
        <is>
          <t>A</t>
        </is>
      </c>
      <c r="K445" t="n">
        <v>2024</v>
      </c>
      <c r="L445" t="n">
        <v>4</v>
      </c>
      <c r="M445" t="inlineStr">
        <is>
          <t>Todos</t>
        </is>
      </c>
      <c r="N445" t="inlineStr">
        <is>
          <t>Adega</t>
        </is>
      </c>
      <c r="O445" t="n">
        <v>1</v>
      </c>
      <c r="P445" t="n">
        <v>1</v>
      </c>
      <c r="Q445" t="n">
        <v>1</v>
      </c>
    </row>
    <row r="446">
      <c r="A446" t="n">
        <v>2024</v>
      </c>
      <c r="B446" t="n">
        <v>8</v>
      </c>
      <c r="C446" t="inlineStr">
        <is>
          <t>Parmesão ralado Parmozzana 1 kg</t>
        </is>
      </c>
      <c r="D446" t="inlineStr">
        <is>
          <t>Padaria</t>
        </is>
      </c>
      <c r="E446" t="n">
        <v>1159.49</v>
      </c>
      <c r="F446" t="n">
        <v>115.26</v>
      </c>
      <c r="G446" t="n">
        <v>113</v>
      </c>
      <c r="J446" t="inlineStr">
        <is>
          <t>A</t>
        </is>
      </c>
      <c r="K446" t="n">
        <v>2024</v>
      </c>
      <c r="L446" t="n">
        <v>5</v>
      </c>
      <c r="M446" t="inlineStr">
        <is>
          <t>Todos</t>
        </is>
      </c>
      <c r="N446" t="inlineStr">
        <is>
          <t>Adega</t>
        </is>
      </c>
      <c r="O446" t="n">
        <v>2</v>
      </c>
      <c r="P446" t="n">
        <v>2</v>
      </c>
      <c r="Q446" t="n">
        <v>2</v>
      </c>
    </row>
    <row r="447">
      <c r="A447" t="n">
        <v>2024</v>
      </c>
      <c r="B447" t="n">
        <v>8</v>
      </c>
      <c r="C447" t="inlineStr">
        <is>
          <t>Parmesão ralado Parmozzana 1 kg</t>
        </is>
      </c>
      <c r="D447" t="inlineStr">
        <is>
          <t>Pessoa Física</t>
        </is>
      </c>
      <c r="E447" t="n">
        <v>129.87</v>
      </c>
      <c r="F447" t="n">
        <v>13.26</v>
      </c>
      <c r="G447" t="n">
        <v>13</v>
      </c>
      <c r="J447" t="inlineStr">
        <is>
          <t>M</t>
        </is>
      </c>
      <c r="K447" t="n">
        <v>2024</v>
      </c>
      <c r="L447" t="n">
        <v>5</v>
      </c>
      <c r="M447" t="inlineStr">
        <is>
          <t>Todos</t>
        </is>
      </c>
      <c r="N447" t="inlineStr">
        <is>
          <t>Adega</t>
        </is>
      </c>
      <c r="O447" t="n">
        <v>1</v>
      </c>
      <c r="P447" t="n">
        <v>1</v>
      </c>
      <c r="Q447" t="n">
        <v>0</v>
      </c>
    </row>
    <row r="448">
      <c r="A448" t="n">
        <v>2024</v>
      </c>
      <c r="B448" t="n">
        <v>8</v>
      </c>
      <c r="C448" t="inlineStr">
        <is>
          <t>Parmesão ralado Parmozzana 1 kg</t>
        </is>
      </c>
      <c r="D448" t="inlineStr">
        <is>
          <t>Pizzaria</t>
        </is>
      </c>
      <c r="E448" t="n">
        <v>2000.75</v>
      </c>
      <c r="F448" t="n">
        <v>179.52</v>
      </c>
      <c r="G448" t="n">
        <v>176</v>
      </c>
      <c r="J448" t="inlineStr">
        <is>
          <t>A</t>
        </is>
      </c>
      <c r="K448" t="n">
        <v>2024</v>
      </c>
      <c r="L448" t="n">
        <v>6</v>
      </c>
      <c r="M448" t="inlineStr">
        <is>
          <t>Todos</t>
        </is>
      </c>
      <c r="N448" t="inlineStr">
        <is>
          <t>Adega</t>
        </is>
      </c>
      <c r="O448" t="n">
        <v>2</v>
      </c>
      <c r="P448" t="n">
        <v>3</v>
      </c>
      <c r="Q448" t="n">
        <v>2</v>
      </c>
    </row>
    <row r="449">
      <c r="A449" t="n">
        <v>2024</v>
      </c>
      <c r="B449" t="n">
        <v>8</v>
      </c>
      <c r="C449" t="inlineStr">
        <is>
          <t>Parmesão ralado Parmozzana 1 kg</t>
        </is>
      </c>
      <c r="D449" t="inlineStr">
        <is>
          <t>Restaurante / Cantina</t>
        </is>
      </c>
      <c r="E449" t="n">
        <v>313.83</v>
      </c>
      <c r="F449" t="n">
        <v>21.42</v>
      </c>
      <c r="G449" t="n">
        <v>21</v>
      </c>
      <c r="J449" t="inlineStr">
        <is>
          <t>M</t>
        </is>
      </c>
      <c r="K449" t="n">
        <v>2024</v>
      </c>
      <c r="L449" t="n">
        <v>6</v>
      </c>
      <c r="M449" t="inlineStr">
        <is>
          <t>Todos</t>
        </is>
      </c>
      <c r="N449" t="inlineStr">
        <is>
          <t>Adega</t>
        </is>
      </c>
      <c r="O449" t="n">
        <v>1</v>
      </c>
      <c r="P449" t="n">
        <v>1</v>
      </c>
      <c r="Q449" t="n">
        <v>0</v>
      </c>
    </row>
    <row r="450">
      <c r="A450" t="n">
        <v>2024</v>
      </c>
      <c r="B450" t="n">
        <v>8</v>
      </c>
      <c r="C450" t="inlineStr">
        <is>
          <t>Parmesão ralado Parmozzana 1 kg</t>
        </is>
      </c>
      <c r="D450" t="inlineStr">
        <is>
          <t>Rotisserie</t>
        </is>
      </c>
      <c r="E450" t="n">
        <v>66.3</v>
      </c>
      <c r="F450" t="n">
        <v>4.08</v>
      </c>
      <c r="G450" t="n">
        <v>4</v>
      </c>
      <c r="J450" t="inlineStr">
        <is>
          <t>A</t>
        </is>
      </c>
      <c r="K450" t="n">
        <v>2024</v>
      </c>
      <c r="L450" t="n">
        <v>7</v>
      </c>
      <c r="M450" t="inlineStr">
        <is>
          <t>Todos</t>
        </is>
      </c>
      <c r="N450" t="inlineStr">
        <is>
          <t>Adega</t>
        </is>
      </c>
      <c r="O450" t="n">
        <v>2</v>
      </c>
      <c r="P450" t="n">
        <v>5</v>
      </c>
      <c r="Q450" t="n">
        <v>2</v>
      </c>
    </row>
    <row r="451">
      <c r="A451" t="n">
        <v>2024</v>
      </c>
      <c r="B451" t="n">
        <v>8</v>
      </c>
      <c r="C451" t="inlineStr">
        <is>
          <t>Parmesão ralado Parmozzana 1 kg</t>
        </is>
      </c>
      <c r="D451" t="inlineStr">
        <is>
          <t>Supermercado</t>
        </is>
      </c>
      <c r="E451" t="n">
        <v>3136.86</v>
      </c>
      <c r="F451" t="n">
        <v>320.28</v>
      </c>
      <c r="G451" t="n">
        <v>314</v>
      </c>
      <c r="J451" t="inlineStr">
        <is>
          <t>M</t>
        </is>
      </c>
      <c r="K451" t="n">
        <v>2024</v>
      </c>
      <c r="L451" t="n">
        <v>7</v>
      </c>
      <c r="M451" t="inlineStr">
        <is>
          <t>Todos</t>
        </is>
      </c>
      <c r="N451" t="inlineStr">
        <is>
          <t>Adega</t>
        </is>
      </c>
      <c r="O451" t="n">
        <v>1</v>
      </c>
      <c r="P451" t="n">
        <v>2</v>
      </c>
      <c r="Q451" t="n">
        <v>0</v>
      </c>
    </row>
    <row r="452">
      <c r="A452" t="n">
        <v>2024</v>
      </c>
      <c r="B452" t="n">
        <v>8</v>
      </c>
      <c r="C452" t="inlineStr">
        <is>
          <t>Requeijão Pizzalet 1,8 kg</t>
        </is>
      </c>
      <c r="D452" t="inlineStr">
        <is>
          <t>Bar / Chopperia</t>
        </is>
      </c>
      <c r="E452" t="n">
        <v>257.26</v>
      </c>
      <c r="F452" t="n">
        <v>34.96</v>
      </c>
      <c r="G452" t="n">
        <v>19</v>
      </c>
      <c r="J452" t="inlineStr">
        <is>
          <t>A</t>
        </is>
      </c>
      <c r="K452" t="n">
        <v>2024</v>
      </c>
      <c r="L452" t="n">
        <v>8</v>
      </c>
      <c r="M452" t="inlineStr">
        <is>
          <t>Todos</t>
        </is>
      </c>
      <c r="N452" t="inlineStr">
        <is>
          <t>Adega</t>
        </is>
      </c>
      <c r="O452" t="n">
        <v>2</v>
      </c>
      <c r="P452" t="n">
        <v>6</v>
      </c>
      <c r="Q452" t="n">
        <v>2</v>
      </c>
    </row>
    <row r="453">
      <c r="A453" t="n">
        <v>2024</v>
      </c>
      <c r="B453" t="n">
        <v>8</v>
      </c>
      <c r="C453" t="inlineStr">
        <is>
          <t>Requeijão Pizzalet 1,8 kg</t>
        </is>
      </c>
      <c r="D453" t="inlineStr">
        <is>
          <t>Fábrica de Massas</t>
        </is>
      </c>
      <c r="E453" t="n">
        <v>1296</v>
      </c>
      <c r="F453" t="n">
        <v>176.64</v>
      </c>
      <c r="G453" t="n">
        <v>96</v>
      </c>
      <c r="J453" t="inlineStr">
        <is>
          <t>M</t>
        </is>
      </c>
      <c r="K453" t="n">
        <v>2024</v>
      </c>
      <c r="L453" t="n">
        <v>8</v>
      </c>
      <c r="M453" t="inlineStr">
        <is>
          <t>Todos</t>
        </is>
      </c>
      <c r="N453" t="inlineStr">
        <is>
          <t>Adega</t>
        </is>
      </c>
      <c r="O453" t="n">
        <v>1</v>
      </c>
      <c r="P453" t="n">
        <v>1</v>
      </c>
      <c r="Q453" t="n">
        <v>0</v>
      </c>
    </row>
    <row r="454">
      <c r="A454" t="n">
        <v>2024</v>
      </c>
      <c r="B454" t="n">
        <v>8</v>
      </c>
      <c r="C454" t="inlineStr">
        <is>
          <t>Requeijão Pizzalet 1,8 kg</t>
        </is>
      </c>
      <c r="D454" t="inlineStr">
        <is>
          <t>Lanchonete / Cafeteria</t>
        </is>
      </c>
      <c r="E454" t="n">
        <v>1573.04</v>
      </c>
      <c r="F454" t="n">
        <v>213.44</v>
      </c>
      <c r="G454" t="n">
        <v>116</v>
      </c>
      <c r="J454" t="inlineStr">
        <is>
          <t>A</t>
        </is>
      </c>
      <c r="K454" t="n">
        <v>2024</v>
      </c>
      <c r="L454" t="n">
        <v>9</v>
      </c>
      <c r="M454" t="inlineStr">
        <is>
          <t>Todos</t>
        </is>
      </c>
      <c r="N454" t="inlineStr">
        <is>
          <t>Adega</t>
        </is>
      </c>
      <c r="O454" t="n">
        <v>2</v>
      </c>
      <c r="P454" t="n">
        <v>6</v>
      </c>
      <c r="Q454" t="n">
        <v>2</v>
      </c>
    </row>
    <row r="455">
      <c r="A455" t="n">
        <v>2024</v>
      </c>
      <c r="B455" t="n">
        <v>8</v>
      </c>
      <c r="C455" t="inlineStr">
        <is>
          <t>Requeijão Pizzalet 1,8 kg</t>
        </is>
      </c>
      <c r="D455" t="inlineStr">
        <is>
          <t>Pastelaria</t>
        </is>
      </c>
      <c r="E455" t="n">
        <v>1898.4</v>
      </c>
      <c r="F455" t="n">
        <v>257.6</v>
      </c>
      <c r="G455" t="n">
        <v>140</v>
      </c>
      <c r="J455" t="inlineStr">
        <is>
          <t>A</t>
        </is>
      </c>
      <c r="K455" t="n">
        <v>2024</v>
      </c>
      <c r="L455" t="n">
        <v>10</v>
      </c>
      <c r="M455" t="inlineStr">
        <is>
          <t>Todos</t>
        </is>
      </c>
      <c r="N455" t="inlineStr">
        <is>
          <t>Adega</t>
        </is>
      </c>
      <c r="O455" t="n">
        <v>2</v>
      </c>
      <c r="P455" t="n">
        <v>7</v>
      </c>
      <c r="Q455" t="n">
        <v>2</v>
      </c>
    </row>
    <row r="456">
      <c r="A456" t="n">
        <v>2024</v>
      </c>
      <c r="B456" t="n">
        <v>8</v>
      </c>
      <c r="C456" t="inlineStr">
        <is>
          <t>Requeijão Pizzalet 1,8 kg</t>
        </is>
      </c>
      <c r="D456" t="inlineStr">
        <is>
          <t>Pizzaria</t>
        </is>
      </c>
      <c r="E456" t="n">
        <v>5313.6</v>
      </c>
      <c r="F456" t="n">
        <v>713.92</v>
      </c>
      <c r="G456" t="n">
        <v>388</v>
      </c>
      <c r="J456" t="inlineStr">
        <is>
          <t>M</t>
        </is>
      </c>
      <c r="K456" t="n">
        <v>2024</v>
      </c>
      <c r="L456" t="n">
        <v>10</v>
      </c>
      <c r="M456" t="inlineStr">
        <is>
          <t>Todos</t>
        </is>
      </c>
      <c r="N456" t="inlineStr">
        <is>
          <t>Adega</t>
        </is>
      </c>
      <c r="O456" t="n">
        <v>1</v>
      </c>
      <c r="P456" t="n">
        <v>1</v>
      </c>
      <c r="Q456" t="n">
        <v>0</v>
      </c>
    </row>
    <row r="457">
      <c r="A457" t="n">
        <v>2024</v>
      </c>
      <c r="B457" t="n">
        <v>8</v>
      </c>
      <c r="C457" t="inlineStr">
        <is>
          <t>Requeijão Pizzalet 1,8 kg</t>
        </is>
      </c>
      <c r="D457" t="inlineStr">
        <is>
          <t>Restaurante / Cantina</t>
        </is>
      </c>
      <c r="E457" t="n">
        <v>406.2</v>
      </c>
      <c r="F457" t="n">
        <v>55.2</v>
      </c>
      <c r="G457" t="n">
        <v>30</v>
      </c>
      <c r="J457" t="inlineStr">
        <is>
          <t>A</t>
        </is>
      </c>
      <c r="K457" t="n">
        <v>2024</v>
      </c>
      <c r="L457" t="n">
        <v>11</v>
      </c>
      <c r="M457" t="inlineStr">
        <is>
          <t>Todos</t>
        </is>
      </c>
      <c r="N457" t="inlineStr">
        <is>
          <t>Adega</t>
        </is>
      </c>
      <c r="O457" t="n">
        <v>2</v>
      </c>
      <c r="P457" t="n">
        <v>8</v>
      </c>
      <c r="Q457" t="n">
        <v>2</v>
      </c>
    </row>
    <row r="458">
      <c r="A458" t="n">
        <v>2024</v>
      </c>
      <c r="B458" t="n">
        <v>9</v>
      </c>
      <c r="C458" t="inlineStr">
        <is>
          <t>Chocolate em pó 50% 1 kg</t>
        </is>
      </c>
      <c r="D458" t="inlineStr">
        <is>
          <t>Churrascaria</t>
        </is>
      </c>
      <c r="E458" t="n">
        <v>425.55</v>
      </c>
      <c r="F458" t="n">
        <v>13.26</v>
      </c>
      <c r="G458" t="n">
        <v>13</v>
      </c>
      <c r="J458" t="inlineStr">
        <is>
          <t>M</t>
        </is>
      </c>
      <c r="K458" t="n">
        <v>2024</v>
      </c>
      <c r="L458" t="n">
        <v>11</v>
      </c>
      <c r="M458" t="inlineStr">
        <is>
          <t>Todos</t>
        </is>
      </c>
      <c r="N458" t="inlineStr">
        <is>
          <t>Adega</t>
        </is>
      </c>
      <c r="O458" t="n">
        <v>1</v>
      </c>
      <c r="P458" t="n">
        <v>1</v>
      </c>
      <c r="Q458" t="n">
        <v>0</v>
      </c>
    </row>
    <row r="459">
      <c r="A459" t="n">
        <v>2024</v>
      </c>
      <c r="B459" t="n">
        <v>9</v>
      </c>
      <c r="C459" t="inlineStr">
        <is>
          <t>Chocolate em pó 50% 1 kg</t>
        </is>
      </c>
      <c r="D459" t="inlineStr">
        <is>
          <t>Colaborador</t>
        </is>
      </c>
      <c r="E459" t="n">
        <v>32.74</v>
      </c>
      <c r="F459" t="n">
        <v>1.02</v>
      </c>
      <c r="G459" t="n">
        <v>1</v>
      </c>
      <c r="J459" t="inlineStr">
        <is>
          <t>A</t>
        </is>
      </c>
      <c r="K459" t="n">
        <v>2024</v>
      </c>
      <c r="L459" t="n">
        <v>12</v>
      </c>
      <c r="M459" t="inlineStr">
        <is>
          <t>Todos</t>
        </is>
      </c>
      <c r="N459" t="inlineStr">
        <is>
          <t>Adega</t>
        </is>
      </c>
      <c r="O459" t="n">
        <v>2</v>
      </c>
      <c r="P459" t="n">
        <v>9</v>
      </c>
      <c r="Q459" t="n">
        <v>2</v>
      </c>
    </row>
    <row r="460">
      <c r="A460" t="n">
        <v>2024</v>
      </c>
      <c r="B460" t="n">
        <v>9</v>
      </c>
      <c r="C460" t="inlineStr">
        <is>
          <t>Chocolate em pó 50% 1 kg</t>
        </is>
      </c>
      <c r="D460" t="inlineStr">
        <is>
          <t>Confeitaria</t>
        </is>
      </c>
      <c r="E460" t="n">
        <v>98.40000000000001</v>
      </c>
      <c r="F460" t="n">
        <v>3.06</v>
      </c>
      <c r="G460" t="n">
        <v>3</v>
      </c>
      <c r="J460" t="inlineStr">
        <is>
          <t>M</t>
        </is>
      </c>
      <c r="K460" t="n">
        <v>2024</v>
      </c>
      <c r="L460" t="n">
        <v>12</v>
      </c>
      <c r="M460" t="inlineStr">
        <is>
          <t>Todos</t>
        </is>
      </c>
      <c r="N460" t="inlineStr">
        <is>
          <t>Adega</t>
        </is>
      </c>
      <c r="O460" t="n">
        <v>1</v>
      </c>
      <c r="P460" t="n">
        <v>1</v>
      </c>
      <c r="Q460" t="n">
        <v>0</v>
      </c>
    </row>
    <row r="461">
      <c r="A461" t="n">
        <v>2024</v>
      </c>
      <c r="B461" t="n">
        <v>9</v>
      </c>
      <c r="C461" t="inlineStr">
        <is>
          <t>Chocolate em pó 50% 1 kg</t>
        </is>
      </c>
      <c r="D461" t="inlineStr">
        <is>
          <t>Cozinha Industrial</t>
        </is>
      </c>
      <c r="E461" t="n">
        <v>262.46</v>
      </c>
      <c r="F461" t="n">
        <v>8.16</v>
      </c>
      <c r="G461" t="n">
        <v>8</v>
      </c>
      <c r="J461" t="inlineStr">
        <is>
          <t>A</t>
        </is>
      </c>
      <c r="K461" t="n">
        <v>2024</v>
      </c>
      <c r="L461" t="n">
        <v>1</v>
      </c>
      <c r="M461" t="inlineStr">
        <is>
          <t>Todos</t>
        </is>
      </c>
      <c r="N461" t="inlineStr">
        <is>
          <t>Bar / Chopperia</t>
        </is>
      </c>
      <c r="O461" t="n">
        <v>2</v>
      </c>
      <c r="P461" t="n">
        <v>3</v>
      </c>
      <c r="Q461" t="n">
        <v>2</v>
      </c>
    </row>
    <row r="462">
      <c r="A462" t="n">
        <v>2024</v>
      </c>
      <c r="B462" t="n">
        <v>9</v>
      </c>
      <c r="C462" t="inlineStr">
        <is>
          <t>Chocolate em pó 50% 1 kg</t>
        </is>
      </c>
      <c r="D462" t="inlineStr">
        <is>
          <t>Cozinha Oriental</t>
        </is>
      </c>
      <c r="E462" t="n">
        <v>65.33</v>
      </c>
      <c r="F462" t="n">
        <v>2.04</v>
      </c>
      <c r="G462" t="n">
        <v>2</v>
      </c>
      <c r="J462" t="inlineStr">
        <is>
          <t>M</t>
        </is>
      </c>
      <c r="K462" t="n">
        <v>2024</v>
      </c>
      <c r="L462" t="n">
        <v>1</v>
      </c>
      <c r="M462" t="inlineStr">
        <is>
          <t>Todos</t>
        </is>
      </c>
      <c r="N462" t="inlineStr">
        <is>
          <t>Bar / Chopperia</t>
        </is>
      </c>
      <c r="O462" t="n">
        <v>2</v>
      </c>
      <c r="P462" t="n">
        <v>3</v>
      </c>
      <c r="Q462" t="n">
        <v>0</v>
      </c>
    </row>
    <row r="463">
      <c r="A463" t="n">
        <v>2024</v>
      </c>
      <c r="B463" t="n">
        <v>9</v>
      </c>
      <c r="C463" t="inlineStr">
        <is>
          <t>Chocolate em pó 50% 1 kg</t>
        </is>
      </c>
      <c r="D463" t="inlineStr">
        <is>
          <t>Hamburgueria</t>
        </is>
      </c>
      <c r="E463" t="n">
        <v>325</v>
      </c>
      <c r="F463" t="n">
        <v>10.2</v>
      </c>
      <c r="G463" t="n">
        <v>10</v>
      </c>
      <c r="J463" t="inlineStr">
        <is>
          <t>A</t>
        </is>
      </c>
      <c r="K463" t="n">
        <v>2024</v>
      </c>
      <c r="L463" t="n">
        <v>2</v>
      </c>
      <c r="M463" t="inlineStr">
        <is>
          <t>Todos</t>
        </is>
      </c>
      <c r="N463" t="inlineStr">
        <is>
          <t>Bar / Chopperia</t>
        </is>
      </c>
      <c r="O463" t="n">
        <v>4</v>
      </c>
      <c r="P463" t="n">
        <v>8</v>
      </c>
      <c r="Q463" t="n">
        <v>4</v>
      </c>
    </row>
    <row r="464">
      <c r="A464" t="n">
        <v>2024</v>
      </c>
      <c r="B464" t="n">
        <v>9</v>
      </c>
      <c r="C464" t="inlineStr">
        <is>
          <t>Chocolate em pó 50% 1 kg</t>
        </is>
      </c>
      <c r="D464" t="inlineStr">
        <is>
          <t>Hotel / Motel / Pousada</t>
        </is>
      </c>
      <c r="E464" t="n">
        <v>866.8</v>
      </c>
      <c r="F464" t="n">
        <v>27.54</v>
      </c>
      <c r="G464" t="n">
        <v>27</v>
      </c>
      <c r="J464" t="inlineStr">
        <is>
          <t>M</t>
        </is>
      </c>
      <c r="K464" t="n">
        <v>2024</v>
      </c>
      <c r="L464" t="n">
        <v>2</v>
      </c>
      <c r="M464" t="inlineStr">
        <is>
          <t>Todos</t>
        </is>
      </c>
      <c r="N464" t="inlineStr">
        <is>
          <t>Bar / Chopperia</t>
        </is>
      </c>
      <c r="O464" t="n">
        <v>3</v>
      </c>
      <c r="P464" t="n">
        <v>5</v>
      </c>
      <c r="Q464" t="n">
        <v>0</v>
      </c>
    </row>
    <row r="465">
      <c r="A465" t="n">
        <v>2024</v>
      </c>
      <c r="B465" t="n">
        <v>9</v>
      </c>
      <c r="C465" t="inlineStr">
        <is>
          <t>Chocolate em pó 50% 1 kg</t>
        </is>
      </c>
      <c r="D465" t="inlineStr">
        <is>
          <t>Lanchonete / Cafeteria</t>
        </is>
      </c>
      <c r="E465" t="n">
        <v>162.74</v>
      </c>
      <c r="F465" t="n">
        <v>5.1</v>
      </c>
      <c r="G465" t="n">
        <v>5</v>
      </c>
      <c r="J465" t="inlineStr">
        <is>
          <t>A</t>
        </is>
      </c>
      <c r="K465" t="n">
        <v>2024</v>
      </c>
      <c r="L465" t="n">
        <v>3</v>
      </c>
      <c r="M465" t="inlineStr">
        <is>
          <t>Todos</t>
        </is>
      </c>
      <c r="N465" t="inlineStr">
        <is>
          <t>Bar / Chopperia</t>
        </is>
      </c>
      <c r="O465" t="n">
        <v>4</v>
      </c>
      <c r="P465" t="n">
        <v>12</v>
      </c>
      <c r="Q465" t="n">
        <v>4</v>
      </c>
    </row>
    <row r="466">
      <c r="A466" t="n">
        <v>2024</v>
      </c>
      <c r="B466" t="n">
        <v>9</v>
      </c>
      <c r="C466" t="inlineStr">
        <is>
          <t>Chocolate em pó 50% 1 kg</t>
        </is>
      </c>
      <c r="D466" t="inlineStr">
        <is>
          <t>Outros</t>
        </is>
      </c>
      <c r="E466" t="n">
        <v>95.5</v>
      </c>
      <c r="F466" t="n">
        <v>3.06</v>
      </c>
      <c r="G466" t="n">
        <v>3</v>
      </c>
      <c r="J466" t="inlineStr">
        <is>
          <t>M</t>
        </is>
      </c>
      <c r="K466" t="n">
        <v>2024</v>
      </c>
      <c r="L466" t="n">
        <v>3</v>
      </c>
      <c r="M466" t="inlineStr">
        <is>
          <t>Todos</t>
        </is>
      </c>
      <c r="N466" t="inlineStr">
        <is>
          <t>Bar / Chopperia</t>
        </is>
      </c>
      <c r="O466" t="n">
        <v>2</v>
      </c>
      <c r="P466" t="n">
        <v>4</v>
      </c>
      <c r="Q466" t="n">
        <v>0</v>
      </c>
    </row>
    <row r="467">
      <c r="A467" t="n">
        <v>2024</v>
      </c>
      <c r="B467" t="n">
        <v>9</v>
      </c>
      <c r="C467" t="inlineStr">
        <is>
          <t>Chocolate em pó 50% 1 kg</t>
        </is>
      </c>
      <c r="D467" t="inlineStr">
        <is>
          <t>Padaria</t>
        </is>
      </c>
      <c r="E467" t="n">
        <v>194.24</v>
      </c>
      <c r="F467" t="n">
        <v>6.12</v>
      </c>
      <c r="G467" t="n">
        <v>6</v>
      </c>
      <c r="J467" t="inlineStr">
        <is>
          <t>A</t>
        </is>
      </c>
      <c r="K467" t="n">
        <v>2024</v>
      </c>
      <c r="L467" t="n">
        <v>4</v>
      </c>
      <c r="M467" t="inlineStr">
        <is>
          <t>Todos</t>
        </is>
      </c>
      <c r="N467" t="inlineStr">
        <is>
          <t>Bar / Chopperia</t>
        </is>
      </c>
      <c r="O467" t="n">
        <v>4</v>
      </c>
      <c r="P467" t="n">
        <v>17</v>
      </c>
      <c r="Q467" t="n">
        <v>4</v>
      </c>
    </row>
    <row r="468">
      <c r="A468" t="n">
        <v>2024</v>
      </c>
      <c r="B468" t="n">
        <v>9</v>
      </c>
      <c r="C468" t="inlineStr">
        <is>
          <t>Chocolate em pó 50% 1 kg</t>
        </is>
      </c>
      <c r="D468" t="inlineStr">
        <is>
          <t>Pizzaria</t>
        </is>
      </c>
      <c r="E468" t="n">
        <v>1333.7</v>
      </c>
      <c r="F468" t="n">
        <v>41.82</v>
      </c>
      <c r="G468" t="n">
        <v>41</v>
      </c>
      <c r="J468" t="inlineStr">
        <is>
          <t>M</t>
        </is>
      </c>
      <c r="K468" t="n">
        <v>2024</v>
      </c>
      <c r="L468" t="n">
        <v>4</v>
      </c>
      <c r="M468" t="inlineStr">
        <is>
          <t>Todos</t>
        </is>
      </c>
      <c r="N468" t="inlineStr">
        <is>
          <t>Bar / Chopperia</t>
        </is>
      </c>
      <c r="O468" t="n">
        <v>1</v>
      </c>
      <c r="P468" t="n">
        <v>5</v>
      </c>
      <c r="Q468" t="n">
        <v>0</v>
      </c>
    </row>
    <row r="469">
      <c r="A469" t="n">
        <v>2024</v>
      </c>
      <c r="B469" t="n">
        <v>9</v>
      </c>
      <c r="C469" t="inlineStr">
        <is>
          <t>Chocolate em pó 50% 1 kg</t>
        </is>
      </c>
      <c r="D469" t="inlineStr">
        <is>
          <t>Restaurante / Cantina</t>
        </is>
      </c>
      <c r="E469" t="n">
        <v>1001.59</v>
      </c>
      <c r="F469" t="n">
        <v>31.62</v>
      </c>
      <c r="G469" t="n">
        <v>31</v>
      </c>
      <c r="J469" t="inlineStr">
        <is>
          <t>A</t>
        </is>
      </c>
      <c r="K469" t="n">
        <v>2024</v>
      </c>
      <c r="L469" t="n">
        <v>5</v>
      </c>
      <c r="M469" t="inlineStr">
        <is>
          <t>Todos</t>
        </is>
      </c>
      <c r="N469" t="inlineStr">
        <is>
          <t>Bar / Chopperia</t>
        </is>
      </c>
      <c r="O469" t="n">
        <v>6</v>
      </c>
      <c r="P469" t="n">
        <v>21</v>
      </c>
      <c r="Q469" t="n">
        <v>6</v>
      </c>
    </row>
    <row r="470">
      <c r="A470" t="n">
        <v>2024</v>
      </c>
      <c r="B470" t="n">
        <v>9</v>
      </c>
      <c r="C470" t="inlineStr">
        <is>
          <t>Composto lácteo Alibralac 1 kg</t>
        </is>
      </c>
      <c r="D470" t="inlineStr">
        <is>
          <t>Hotel / Motel / Pousada</t>
        </is>
      </c>
      <c r="E470" t="n">
        <v>815.6</v>
      </c>
      <c r="F470" t="n">
        <v>40.8</v>
      </c>
      <c r="G470" t="n">
        <v>40</v>
      </c>
      <c r="J470" t="inlineStr">
        <is>
          <t>M</t>
        </is>
      </c>
      <c r="K470" t="n">
        <v>2024</v>
      </c>
      <c r="L470" t="n">
        <v>5</v>
      </c>
      <c r="M470" t="inlineStr">
        <is>
          <t>Todos</t>
        </is>
      </c>
      <c r="N470" t="inlineStr">
        <is>
          <t>Bar / Chopperia</t>
        </is>
      </c>
      <c r="O470" t="n">
        <v>3</v>
      </c>
      <c r="P470" t="n">
        <v>4</v>
      </c>
      <c r="Q470" t="n">
        <v>0</v>
      </c>
    </row>
    <row r="471">
      <c r="A471" t="n">
        <v>2024</v>
      </c>
      <c r="B471" t="n">
        <v>9</v>
      </c>
      <c r="C471" t="inlineStr">
        <is>
          <t>Composto lácteo Alibralac 1 kg</t>
        </is>
      </c>
      <c r="D471" t="inlineStr">
        <is>
          <t>Padaria</t>
        </is>
      </c>
      <c r="E471" t="n">
        <v>100.95</v>
      </c>
      <c r="F471" t="n">
        <v>5.1</v>
      </c>
      <c r="G471" t="n">
        <v>5</v>
      </c>
      <c r="J471" t="inlineStr">
        <is>
          <t>A</t>
        </is>
      </c>
      <c r="K471" t="n">
        <v>2024</v>
      </c>
      <c r="L471" t="n">
        <v>6</v>
      </c>
      <c r="M471" t="inlineStr">
        <is>
          <t>Todos</t>
        </is>
      </c>
      <c r="N471" t="inlineStr">
        <is>
          <t>Bar / Chopperia</t>
        </is>
      </c>
      <c r="O471" t="n">
        <v>6</v>
      </c>
      <c r="P471" t="n">
        <v>25</v>
      </c>
      <c r="Q471" t="n">
        <v>6</v>
      </c>
    </row>
    <row r="472">
      <c r="A472" t="n">
        <v>2024</v>
      </c>
      <c r="B472" t="n">
        <v>9</v>
      </c>
      <c r="C472" t="inlineStr">
        <is>
          <t>Composto lácteo Alibralac 1 kg</t>
        </is>
      </c>
      <c r="D472" t="inlineStr">
        <is>
          <t>Pizzaria</t>
        </is>
      </c>
      <c r="E472" t="n">
        <v>1385.5</v>
      </c>
      <c r="F472" t="n">
        <v>71.40000000000001</v>
      </c>
      <c r="G472" t="n">
        <v>70</v>
      </c>
      <c r="J472" t="inlineStr">
        <is>
          <t>M</t>
        </is>
      </c>
      <c r="K472" t="n">
        <v>2024</v>
      </c>
      <c r="L472" t="n">
        <v>6</v>
      </c>
      <c r="M472" t="inlineStr">
        <is>
          <t>Todos</t>
        </is>
      </c>
      <c r="N472" t="inlineStr">
        <is>
          <t>Bar / Chopperia</t>
        </is>
      </c>
      <c r="O472" t="n">
        <v>1</v>
      </c>
      <c r="P472" t="n">
        <v>4</v>
      </c>
      <c r="Q472" t="n">
        <v>0</v>
      </c>
    </row>
    <row r="473">
      <c r="A473" t="n">
        <v>2024</v>
      </c>
      <c r="B473" t="n">
        <v>9</v>
      </c>
      <c r="C473" t="inlineStr">
        <is>
          <t>Composto lácteo Alibralac 1 kg</t>
        </is>
      </c>
      <c r="D473" t="inlineStr">
        <is>
          <t>Restaurante / Cantina</t>
        </is>
      </c>
      <c r="E473" t="n">
        <v>1429.3</v>
      </c>
      <c r="F473" t="n">
        <v>71.40000000000001</v>
      </c>
      <c r="G473" t="n">
        <v>70</v>
      </c>
      <c r="J473" t="inlineStr">
        <is>
          <t>A</t>
        </is>
      </c>
      <c r="K473" t="n">
        <v>2024</v>
      </c>
      <c r="L473" t="n">
        <v>7</v>
      </c>
      <c r="M473" t="inlineStr">
        <is>
          <t>Todos</t>
        </is>
      </c>
      <c r="N473" t="inlineStr">
        <is>
          <t>Bar / Chopperia</t>
        </is>
      </c>
      <c r="O473" t="n">
        <v>8</v>
      </c>
      <c r="P473" t="n">
        <v>30</v>
      </c>
      <c r="Q473" t="n">
        <v>8</v>
      </c>
    </row>
    <row r="474">
      <c r="A474" t="n">
        <v>2024</v>
      </c>
      <c r="B474" t="n">
        <v>9</v>
      </c>
      <c r="C474" t="inlineStr">
        <is>
          <t>Composto lácteo Merilú 400 g</t>
        </is>
      </c>
      <c r="D474" t="inlineStr">
        <is>
          <t>Churrascaria</t>
        </is>
      </c>
      <c r="E474" t="n">
        <v>47.34</v>
      </c>
      <c r="F474" t="n">
        <v>2.52</v>
      </c>
      <c r="G474" t="n">
        <v>6</v>
      </c>
      <c r="J474" t="inlineStr">
        <is>
          <t>M</t>
        </is>
      </c>
      <c r="K474" t="n">
        <v>2024</v>
      </c>
      <c r="L474" t="n">
        <v>7</v>
      </c>
      <c r="M474" t="inlineStr">
        <is>
          <t>Todos</t>
        </is>
      </c>
      <c r="N474" t="inlineStr">
        <is>
          <t>Bar / Chopperia</t>
        </is>
      </c>
      <c r="O474" t="n">
        <v>3</v>
      </c>
      <c r="P474" t="n">
        <v>5</v>
      </c>
      <c r="Q474" t="n">
        <v>0</v>
      </c>
    </row>
    <row r="475">
      <c r="A475" t="n">
        <v>2024</v>
      </c>
      <c r="B475" t="n">
        <v>9</v>
      </c>
      <c r="C475" t="inlineStr">
        <is>
          <t>Composto lácteo Merilú 400 g</t>
        </is>
      </c>
      <c r="D475" t="inlineStr">
        <is>
          <t>Lanchonete / Cafeteria</t>
        </is>
      </c>
      <c r="E475" t="n">
        <v>74.5</v>
      </c>
      <c r="F475" t="n">
        <v>4.62</v>
      </c>
      <c r="G475" t="n">
        <v>11</v>
      </c>
      <c r="J475" t="inlineStr">
        <is>
          <t>A</t>
        </is>
      </c>
      <c r="K475" t="n">
        <v>2024</v>
      </c>
      <c r="L475" t="n">
        <v>8</v>
      </c>
      <c r="M475" t="inlineStr">
        <is>
          <t>Todos</t>
        </is>
      </c>
      <c r="N475" t="inlineStr">
        <is>
          <t>Bar / Chopperia</t>
        </is>
      </c>
      <c r="O475" t="n">
        <v>9</v>
      </c>
      <c r="P475" t="n">
        <v>34</v>
      </c>
      <c r="Q475" t="n">
        <v>9</v>
      </c>
    </row>
    <row r="476">
      <c r="A476" t="n">
        <v>2024</v>
      </c>
      <c r="B476" t="n">
        <v>9</v>
      </c>
      <c r="C476" t="inlineStr">
        <is>
          <t>Composto lácteo Merilú 400 g</t>
        </is>
      </c>
      <c r="D476" t="inlineStr">
        <is>
          <t>Mercearia / Sacolão</t>
        </is>
      </c>
      <c r="E476" t="n">
        <v>67</v>
      </c>
      <c r="F476" t="n">
        <v>4.2</v>
      </c>
      <c r="G476" t="n">
        <v>10</v>
      </c>
      <c r="J476" t="inlineStr">
        <is>
          <t>M</t>
        </is>
      </c>
      <c r="K476" t="n">
        <v>2024</v>
      </c>
      <c r="L476" t="n">
        <v>8</v>
      </c>
      <c r="M476" t="inlineStr">
        <is>
          <t>Todos</t>
        </is>
      </c>
      <c r="N476" t="inlineStr">
        <is>
          <t>Bar / Chopperia</t>
        </is>
      </c>
      <c r="O476" t="n">
        <v>2</v>
      </c>
      <c r="P476" t="n">
        <v>4</v>
      </c>
      <c r="Q476" t="n">
        <v>0</v>
      </c>
    </row>
    <row r="477">
      <c r="A477" t="n">
        <v>2024</v>
      </c>
      <c r="B477" t="n">
        <v>9</v>
      </c>
      <c r="C477" t="inlineStr">
        <is>
          <t>Composto lácteo Merilú 400 g</t>
        </is>
      </c>
      <c r="D477" t="inlineStr">
        <is>
          <t>Outros</t>
        </is>
      </c>
      <c r="E477" t="n">
        <v>652.85</v>
      </c>
      <c r="F477" t="n">
        <v>39.9</v>
      </c>
      <c r="G477" t="n">
        <v>95</v>
      </c>
      <c r="J477" t="inlineStr">
        <is>
          <t>A</t>
        </is>
      </c>
      <c r="K477" t="n">
        <v>2024</v>
      </c>
      <c r="L477" t="n">
        <v>9</v>
      </c>
      <c r="M477" t="inlineStr">
        <is>
          <t>Todos</t>
        </is>
      </c>
      <c r="N477" t="inlineStr">
        <is>
          <t>Bar / Chopperia</t>
        </is>
      </c>
      <c r="O477" t="n">
        <v>9</v>
      </c>
      <c r="P477" t="n">
        <v>37</v>
      </c>
      <c r="Q477" t="n">
        <v>9</v>
      </c>
    </row>
    <row r="478">
      <c r="A478" t="n">
        <v>2024</v>
      </c>
      <c r="B478" t="n">
        <v>9</v>
      </c>
      <c r="C478" t="inlineStr">
        <is>
          <t>Composto lácteo Merilú 400 g</t>
        </is>
      </c>
      <c r="D478" t="inlineStr">
        <is>
          <t>Padaria</t>
        </is>
      </c>
      <c r="E478" t="n">
        <v>759.6</v>
      </c>
      <c r="F478" t="n">
        <v>46.2</v>
      </c>
      <c r="G478" t="n">
        <v>110</v>
      </c>
      <c r="J478" t="inlineStr">
        <is>
          <t>M</t>
        </is>
      </c>
      <c r="K478" t="n">
        <v>2024</v>
      </c>
      <c r="L478" t="n">
        <v>9</v>
      </c>
      <c r="M478" t="inlineStr">
        <is>
          <t>Todos</t>
        </is>
      </c>
      <c r="N478" t="inlineStr">
        <is>
          <t>Bar / Chopperia</t>
        </is>
      </c>
      <c r="O478" t="n">
        <v>1</v>
      </c>
      <c r="P478" t="n">
        <v>3</v>
      </c>
      <c r="Q478" t="n">
        <v>0</v>
      </c>
    </row>
    <row r="479">
      <c r="A479" t="n">
        <v>2024</v>
      </c>
      <c r="B479" t="n">
        <v>9</v>
      </c>
      <c r="C479" t="inlineStr">
        <is>
          <t>Composto lácteo Merilú 400 g</t>
        </is>
      </c>
      <c r="D479" t="inlineStr">
        <is>
          <t>Pizzaria</t>
        </is>
      </c>
      <c r="E479" t="n">
        <v>507.25</v>
      </c>
      <c r="F479" t="n">
        <v>31.5</v>
      </c>
      <c r="G479" t="n">
        <v>75</v>
      </c>
      <c r="J479" t="inlineStr">
        <is>
          <t>A</t>
        </is>
      </c>
      <c r="K479" t="n">
        <v>2024</v>
      </c>
      <c r="L479" t="n">
        <v>10</v>
      </c>
      <c r="M479" t="inlineStr">
        <is>
          <t>Todos</t>
        </is>
      </c>
      <c r="N479" t="inlineStr">
        <is>
          <t>Bar / Chopperia</t>
        </is>
      </c>
      <c r="O479" t="n">
        <v>11</v>
      </c>
      <c r="P479" t="n">
        <v>43</v>
      </c>
      <c r="Q479" t="n">
        <v>11</v>
      </c>
    </row>
    <row r="480">
      <c r="A480" t="n">
        <v>2024</v>
      </c>
      <c r="B480" t="n">
        <v>9</v>
      </c>
      <c r="C480" t="inlineStr">
        <is>
          <t>Composto lácteo Merilú 400 g</t>
        </is>
      </c>
      <c r="D480" t="inlineStr">
        <is>
          <t>Restaurante / Cantina</t>
        </is>
      </c>
      <c r="E480" t="n">
        <v>30.76</v>
      </c>
      <c r="F480" t="n">
        <v>1.68</v>
      </c>
      <c r="G480" t="n">
        <v>4</v>
      </c>
      <c r="J480" t="inlineStr">
        <is>
          <t>M</t>
        </is>
      </c>
      <c r="K480" t="n">
        <v>2024</v>
      </c>
      <c r="L480" t="n">
        <v>10</v>
      </c>
      <c r="M480" t="inlineStr">
        <is>
          <t>Todos</t>
        </is>
      </c>
      <c r="N480" t="inlineStr">
        <is>
          <t>Bar / Chopperia</t>
        </is>
      </c>
      <c r="O480" t="n">
        <v>3</v>
      </c>
      <c r="P480" t="n">
        <v>6</v>
      </c>
      <c r="Q480" t="n">
        <v>0</v>
      </c>
    </row>
    <row r="481">
      <c r="A481" t="n">
        <v>2024</v>
      </c>
      <c r="B481" t="n">
        <v>9</v>
      </c>
      <c r="C481" t="inlineStr">
        <is>
          <t>Muçarela Mozzalet 2 kg</t>
        </is>
      </c>
      <c r="D481" t="inlineStr">
        <is>
          <t>Cozinha Industrial</t>
        </is>
      </c>
      <c r="E481" t="n">
        <v>2429.04</v>
      </c>
      <c r="F481" t="n">
        <v>128</v>
      </c>
      <c r="G481" t="n">
        <v>64</v>
      </c>
      <c r="J481" t="inlineStr">
        <is>
          <t>A</t>
        </is>
      </c>
      <c r="K481" t="n">
        <v>2024</v>
      </c>
      <c r="L481" t="n">
        <v>11</v>
      </c>
      <c r="M481" t="inlineStr">
        <is>
          <t>Todos</t>
        </is>
      </c>
      <c r="N481" t="inlineStr">
        <is>
          <t>Bar / Chopperia</t>
        </is>
      </c>
      <c r="O481" t="n">
        <v>11</v>
      </c>
      <c r="P481" t="n">
        <v>50</v>
      </c>
      <c r="Q481" t="n">
        <v>11</v>
      </c>
    </row>
    <row r="482">
      <c r="A482" t="n">
        <v>2024</v>
      </c>
      <c r="B482" t="n">
        <v>9</v>
      </c>
      <c r="C482" t="inlineStr">
        <is>
          <t>Muçarela Mozzalet 2 kg</t>
        </is>
      </c>
      <c r="D482" t="inlineStr">
        <is>
          <t>Lanchonete / Cafeteria</t>
        </is>
      </c>
      <c r="E482" t="n">
        <v>436.29</v>
      </c>
      <c r="F482" t="n">
        <v>22</v>
      </c>
      <c r="G482" t="n">
        <v>11</v>
      </c>
      <c r="J482" t="inlineStr">
        <is>
          <t>M</t>
        </is>
      </c>
      <c r="K482" t="n">
        <v>2024</v>
      </c>
      <c r="L482" t="n">
        <v>11</v>
      </c>
      <c r="M482" t="inlineStr">
        <is>
          <t>Todos</t>
        </is>
      </c>
      <c r="N482" t="inlineStr">
        <is>
          <t>Bar / Chopperia</t>
        </is>
      </c>
      <c r="O482" t="n">
        <v>2</v>
      </c>
      <c r="P482" t="n">
        <v>7</v>
      </c>
      <c r="Q482" t="n">
        <v>0</v>
      </c>
    </row>
    <row r="483">
      <c r="A483" t="n">
        <v>2024</v>
      </c>
      <c r="B483" t="n">
        <v>9</v>
      </c>
      <c r="C483" t="inlineStr">
        <is>
          <t>Muçarela Mozzalet 2 kg</t>
        </is>
      </c>
      <c r="D483" t="inlineStr">
        <is>
          <t>Outros</t>
        </is>
      </c>
      <c r="E483" t="n">
        <v>1964.9</v>
      </c>
      <c r="F483" t="n">
        <v>106</v>
      </c>
      <c r="G483" t="n">
        <v>53</v>
      </c>
      <c r="J483" t="inlineStr">
        <is>
          <t>A</t>
        </is>
      </c>
      <c r="K483" t="n">
        <v>2024</v>
      </c>
      <c r="L483" t="n">
        <v>12</v>
      </c>
      <c r="M483" t="inlineStr">
        <is>
          <t>Todos</t>
        </is>
      </c>
      <c r="N483" t="inlineStr">
        <is>
          <t>Bar / Chopperia</t>
        </is>
      </c>
      <c r="O483" t="n">
        <v>12</v>
      </c>
      <c r="P483" t="n">
        <v>59</v>
      </c>
      <c r="Q483" t="n">
        <v>12</v>
      </c>
    </row>
    <row r="484">
      <c r="A484" t="n">
        <v>2024</v>
      </c>
      <c r="B484" t="n">
        <v>9</v>
      </c>
      <c r="C484" t="inlineStr">
        <is>
          <t>Muçarela Mozzalet 2 kg</t>
        </is>
      </c>
      <c r="D484" t="inlineStr">
        <is>
          <t>Padaria</t>
        </is>
      </c>
      <c r="E484" t="n">
        <v>490.12</v>
      </c>
      <c r="F484" t="n">
        <v>26</v>
      </c>
      <c r="G484" t="n">
        <v>13</v>
      </c>
      <c r="J484" t="inlineStr">
        <is>
          <t>M</t>
        </is>
      </c>
      <c r="K484" t="n">
        <v>2024</v>
      </c>
      <c r="L484" t="n">
        <v>12</v>
      </c>
      <c r="M484" t="inlineStr">
        <is>
          <t>Todos</t>
        </is>
      </c>
      <c r="N484" t="inlineStr">
        <is>
          <t>Bar / Chopperia</t>
        </is>
      </c>
      <c r="O484" t="n">
        <v>4</v>
      </c>
      <c r="P484" t="n">
        <v>9</v>
      </c>
      <c r="Q484" t="n">
        <v>0</v>
      </c>
    </row>
    <row r="485">
      <c r="A485" t="n">
        <v>2024</v>
      </c>
      <c r="B485" t="n">
        <v>9</v>
      </c>
      <c r="C485" t="inlineStr">
        <is>
          <t>Muçarela Mozzalet 2 kg</t>
        </is>
      </c>
      <c r="D485" t="inlineStr">
        <is>
          <t>Pastelaria</t>
        </is>
      </c>
      <c r="E485" t="n">
        <v>351</v>
      </c>
      <c r="F485" t="n">
        <v>18</v>
      </c>
      <c r="G485" t="n">
        <v>9</v>
      </c>
      <c r="J485" t="inlineStr">
        <is>
          <t>A</t>
        </is>
      </c>
      <c r="K485" t="n">
        <v>2024</v>
      </c>
      <c r="L485" t="n">
        <v>1</v>
      </c>
      <c r="M485" t="inlineStr">
        <is>
          <t>Todos</t>
        </is>
      </c>
      <c r="N485" t="inlineStr">
        <is>
          <t>Confeitaria</t>
        </is>
      </c>
      <c r="O485" t="n">
        <v>1</v>
      </c>
      <c r="P485" t="n">
        <v>1</v>
      </c>
      <c r="Q485" t="n">
        <v>1</v>
      </c>
    </row>
    <row r="486">
      <c r="A486" t="n">
        <v>2024</v>
      </c>
      <c r="B486" t="n">
        <v>9</v>
      </c>
      <c r="C486" t="inlineStr">
        <is>
          <t>Muçarela Mozzalet 2 kg</t>
        </is>
      </c>
      <c r="D486" t="inlineStr">
        <is>
          <t>Pessoa Física</t>
        </is>
      </c>
      <c r="E486" t="n">
        <v>2341.08</v>
      </c>
      <c r="F486" t="n">
        <v>126</v>
      </c>
      <c r="G486" t="n">
        <v>63</v>
      </c>
      <c r="J486" t="inlineStr">
        <is>
          <t>M</t>
        </is>
      </c>
      <c r="K486" t="n">
        <v>2024</v>
      </c>
      <c r="L486" t="n">
        <v>1</v>
      </c>
      <c r="M486" t="inlineStr">
        <is>
          <t>Todos</t>
        </is>
      </c>
      <c r="N486" t="inlineStr">
        <is>
          <t>Confeitaria</t>
        </is>
      </c>
      <c r="O486" t="n">
        <v>1</v>
      </c>
      <c r="P486" t="n">
        <v>1</v>
      </c>
      <c r="Q486" t="n">
        <v>0</v>
      </c>
    </row>
    <row r="487">
      <c r="A487" t="n">
        <v>2024</v>
      </c>
      <c r="B487" t="n">
        <v>9</v>
      </c>
      <c r="C487" t="inlineStr">
        <is>
          <t>Muçarela Mozzalet 2 kg</t>
        </is>
      </c>
      <c r="D487" t="inlineStr">
        <is>
          <t>Pizzaria</t>
        </is>
      </c>
      <c r="E487" t="n">
        <v>3972.24</v>
      </c>
      <c r="F487" t="n">
        <v>208</v>
      </c>
      <c r="G487" t="n">
        <v>104</v>
      </c>
      <c r="J487" t="inlineStr">
        <is>
          <t>A</t>
        </is>
      </c>
      <c r="K487" t="n">
        <v>2024</v>
      </c>
      <c r="L487" t="n">
        <v>2</v>
      </c>
      <c r="M487" t="inlineStr">
        <is>
          <t>Todos</t>
        </is>
      </c>
      <c r="N487" t="inlineStr">
        <is>
          <t>Confeitaria</t>
        </is>
      </c>
      <c r="O487" t="n">
        <v>1</v>
      </c>
      <c r="P487" t="n">
        <v>3</v>
      </c>
      <c r="Q487" t="n">
        <v>1</v>
      </c>
    </row>
    <row r="488">
      <c r="A488" t="n">
        <v>2024</v>
      </c>
      <c r="B488" t="n">
        <v>9</v>
      </c>
      <c r="C488" t="inlineStr">
        <is>
          <t>Muçarela Mozzalet 2 kg</t>
        </is>
      </c>
      <c r="D488" t="inlineStr">
        <is>
          <t>Restaurante / Cantina</t>
        </is>
      </c>
      <c r="E488" t="n">
        <v>29056.2</v>
      </c>
      <c r="F488" t="n">
        <v>1580</v>
      </c>
      <c r="G488" t="n">
        <v>790</v>
      </c>
      <c r="J488" t="inlineStr">
        <is>
          <t>M</t>
        </is>
      </c>
      <c r="K488" t="n">
        <v>2024</v>
      </c>
      <c r="L488" t="n">
        <v>2</v>
      </c>
      <c r="M488" t="inlineStr">
        <is>
          <t>Todos</t>
        </is>
      </c>
      <c r="N488" t="inlineStr">
        <is>
          <t>Confeitaria</t>
        </is>
      </c>
      <c r="O488" t="n">
        <v>1</v>
      </c>
      <c r="P488" t="n">
        <v>2</v>
      </c>
      <c r="Q488" t="n">
        <v>0</v>
      </c>
    </row>
    <row r="489">
      <c r="A489" t="n">
        <v>2024</v>
      </c>
      <c r="B489" t="n">
        <v>9</v>
      </c>
      <c r="C489" t="inlineStr">
        <is>
          <t>Muçarela Mozzana 2 kg</t>
        </is>
      </c>
      <c r="D489" t="inlineStr">
        <is>
          <t>Buffet</t>
        </is>
      </c>
      <c r="E489" t="n">
        <v>761.9</v>
      </c>
      <c r="F489" t="n">
        <v>38.38</v>
      </c>
      <c r="G489" t="n">
        <v>19</v>
      </c>
      <c r="J489" t="inlineStr">
        <is>
          <t>A</t>
        </is>
      </c>
      <c r="K489" t="n">
        <v>2024</v>
      </c>
      <c r="L489" t="n">
        <v>3</v>
      </c>
      <c r="M489" t="inlineStr">
        <is>
          <t>Todos</t>
        </is>
      </c>
      <c r="N489" t="inlineStr">
        <is>
          <t>Confeitaria</t>
        </is>
      </c>
      <c r="O489" t="n">
        <v>2</v>
      </c>
      <c r="P489" t="n">
        <v>4</v>
      </c>
      <c r="Q489" t="n">
        <v>2</v>
      </c>
    </row>
    <row r="490">
      <c r="A490" t="n">
        <v>2024</v>
      </c>
      <c r="B490" t="n">
        <v>9</v>
      </c>
      <c r="C490" t="inlineStr">
        <is>
          <t>Muçarela Mozzana 2 kg</t>
        </is>
      </c>
      <c r="D490" t="inlineStr">
        <is>
          <t>Confeitaria</t>
        </is>
      </c>
      <c r="E490" t="n">
        <v>372.15</v>
      </c>
      <c r="F490" t="n">
        <v>18.18</v>
      </c>
      <c r="G490" t="n">
        <v>9</v>
      </c>
      <c r="J490" t="inlineStr">
        <is>
          <t>M</t>
        </is>
      </c>
      <c r="K490" t="n">
        <v>2024</v>
      </c>
      <c r="L490" t="n">
        <v>3</v>
      </c>
      <c r="M490" t="inlineStr">
        <is>
          <t>Todos</t>
        </is>
      </c>
      <c r="N490" t="inlineStr">
        <is>
          <t>Confeitaria</t>
        </is>
      </c>
      <c r="O490" t="n">
        <v>1</v>
      </c>
      <c r="P490" t="n">
        <v>1</v>
      </c>
      <c r="Q490" t="n">
        <v>0</v>
      </c>
    </row>
    <row r="491">
      <c r="A491" t="n">
        <v>2024</v>
      </c>
      <c r="B491" t="n">
        <v>9</v>
      </c>
      <c r="C491" t="inlineStr">
        <is>
          <t>Muçarela Mozzana 2 kg</t>
        </is>
      </c>
      <c r="D491" t="inlineStr">
        <is>
          <t>Cozinha Industrial</t>
        </is>
      </c>
      <c r="E491" t="n">
        <v>8232.52</v>
      </c>
      <c r="F491" t="n">
        <v>426.22</v>
      </c>
      <c r="G491" t="n">
        <v>211</v>
      </c>
      <c r="J491" t="inlineStr">
        <is>
          <t>A</t>
        </is>
      </c>
      <c r="K491" t="n">
        <v>2024</v>
      </c>
      <c r="L491" t="n">
        <v>4</v>
      </c>
      <c r="M491" t="inlineStr">
        <is>
          <t>Todos</t>
        </is>
      </c>
      <c r="N491" t="inlineStr">
        <is>
          <t>Confeitaria</t>
        </is>
      </c>
      <c r="O491" t="n">
        <v>2</v>
      </c>
      <c r="P491" t="n">
        <v>5</v>
      </c>
      <c r="Q491" t="n">
        <v>2</v>
      </c>
    </row>
    <row r="492">
      <c r="A492" t="n">
        <v>2024</v>
      </c>
      <c r="B492" t="n">
        <v>9</v>
      </c>
      <c r="C492" t="inlineStr">
        <is>
          <t>Muçarela Mozzana 2 kg</t>
        </is>
      </c>
      <c r="D492" t="inlineStr">
        <is>
          <t>Cozinha Oriental</t>
        </is>
      </c>
      <c r="E492" t="n">
        <v>432.3</v>
      </c>
      <c r="F492" t="n">
        <v>22.22</v>
      </c>
      <c r="G492" t="n">
        <v>11</v>
      </c>
      <c r="J492" t="inlineStr">
        <is>
          <t>M</t>
        </is>
      </c>
      <c r="K492" t="n">
        <v>2024</v>
      </c>
      <c r="L492" t="n">
        <v>4</v>
      </c>
      <c r="M492" t="inlineStr">
        <is>
          <t>Todos</t>
        </is>
      </c>
      <c r="N492" t="inlineStr">
        <is>
          <t>Confeitaria</t>
        </is>
      </c>
      <c r="O492" t="n">
        <v>1</v>
      </c>
      <c r="P492" t="n">
        <v>1</v>
      </c>
      <c r="Q492" t="n">
        <v>0</v>
      </c>
    </row>
    <row r="493">
      <c r="A493" t="n">
        <v>2024</v>
      </c>
      <c r="B493" t="n">
        <v>9</v>
      </c>
      <c r="C493" t="inlineStr">
        <is>
          <t>Muçarela Mozzana 2 kg</t>
        </is>
      </c>
      <c r="D493" t="inlineStr">
        <is>
          <t>Esfiharia</t>
        </is>
      </c>
      <c r="E493" t="n">
        <v>4508.6</v>
      </c>
      <c r="F493" t="n">
        <v>228.26</v>
      </c>
      <c r="G493" t="n">
        <v>113</v>
      </c>
      <c r="J493" t="inlineStr">
        <is>
          <t>A</t>
        </is>
      </c>
      <c r="K493" t="n">
        <v>2024</v>
      </c>
      <c r="L493" t="n">
        <v>5</v>
      </c>
      <c r="M493" t="inlineStr">
        <is>
          <t>Todos</t>
        </is>
      </c>
      <c r="N493" t="inlineStr">
        <is>
          <t>Confeitaria</t>
        </is>
      </c>
      <c r="O493" t="n">
        <v>2</v>
      </c>
      <c r="P493" t="n">
        <v>7</v>
      </c>
      <c r="Q493" t="n">
        <v>2</v>
      </c>
    </row>
    <row r="494">
      <c r="A494" t="n">
        <v>2024</v>
      </c>
      <c r="B494" t="n">
        <v>9</v>
      </c>
      <c r="C494" t="inlineStr">
        <is>
          <t>Muçarela Mozzana 2 kg</t>
        </is>
      </c>
      <c r="D494" t="inlineStr">
        <is>
          <t>Fábrica de Massas</t>
        </is>
      </c>
      <c r="E494" t="n">
        <v>14516.65</v>
      </c>
      <c r="F494" t="n">
        <v>749.42</v>
      </c>
      <c r="G494" t="n">
        <v>371</v>
      </c>
      <c r="J494" t="inlineStr">
        <is>
          <t>M</t>
        </is>
      </c>
      <c r="K494" t="n">
        <v>2024</v>
      </c>
      <c r="L494" t="n">
        <v>5</v>
      </c>
      <c r="M494" t="inlineStr">
        <is>
          <t>Todos</t>
        </is>
      </c>
      <c r="N494" t="inlineStr">
        <is>
          <t>Confeitaria</t>
        </is>
      </c>
      <c r="O494" t="n">
        <v>1</v>
      </c>
      <c r="P494" t="n">
        <v>2</v>
      </c>
      <c r="Q494" t="n">
        <v>0</v>
      </c>
    </row>
    <row r="495">
      <c r="A495" t="n">
        <v>2024</v>
      </c>
      <c r="B495" t="n">
        <v>9</v>
      </c>
      <c r="C495" t="inlineStr">
        <is>
          <t>Muçarela Mozzana 2 kg</t>
        </is>
      </c>
      <c r="D495" t="inlineStr">
        <is>
          <t>Hamburgueria</t>
        </is>
      </c>
      <c r="E495" t="n">
        <v>120.3</v>
      </c>
      <c r="F495" t="n">
        <v>6.06</v>
      </c>
      <c r="G495" t="n">
        <v>3</v>
      </c>
      <c r="J495" t="inlineStr">
        <is>
          <t>A</t>
        </is>
      </c>
      <c r="K495" t="n">
        <v>2024</v>
      </c>
      <c r="L495" t="n">
        <v>6</v>
      </c>
      <c r="M495" t="inlineStr">
        <is>
          <t>Todos</t>
        </is>
      </c>
      <c r="N495" t="inlineStr">
        <is>
          <t>Confeitaria</t>
        </is>
      </c>
      <c r="O495" t="n">
        <v>2</v>
      </c>
      <c r="P495" t="n">
        <v>7</v>
      </c>
      <c r="Q495" t="n">
        <v>2</v>
      </c>
    </row>
    <row r="496">
      <c r="A496" t="n">
        <v>2024</v>
      </c>
      <c r="B496" t="n">
        <v>9</v>
      </c>
      <c r="C496" t="inlineStr">
        <is>
          <t>Muçarela Mozzana 2 kg</t>
        </is>
      </c>
      <c r="D496" t="inlineStr">
        <is>
          <t>Lanchonete / Cafeteria</t>
        </is>
      </c>
      <c r="E496" t="n">
        <v>754.5</v>
      </c>
      <c r="F496" t="n">
        <v>38.38</v>
      </c>
      <c r="G496" t="n">
        <v>19</v>
      </c>
      <c r="J496" t="inlineStr">
        <is>
          <t>A</t>
        </is>
      </c>
      <c r="K496" t="n">
        <v>2024</v>
      </c>
      <c r="L496" t="n">
        <v>7</v>
      </c>
      <c r="M496" t="inlineStr">
        <is>
          <t>Todos</t>
        </is>
      </c>
      <c r="N496" t="inlineStr">
        <is>
          <t>Confeitaria</t>
        </is>
      </c>
      <c r="O496" t="n">
        <v>2</v>
      </c>
      <c r="P496" t="n">
        <v>9</v>
      </c>
      <c r="Q496" t="n">
        <v>2</v>
      </c>
    </row>
    <row r="497">
      <c r="A497" t="n">
        <v>2024</v>
      </c>
      <c r="B497" t="n">
        <v>9</v>
      </c>
      <c r="C497" t="inlineStr">
        <is>
          <t>Muçarela Mozzana 2 kg</t>
        </is>
      </c>
      <c r="D497" t="inlineStr">
        <is>
          <t>Mercearia / Sacolão</t>
        </is>
      </c>
      <c r="E497" t="n">
        <v>745.72</v>
      </c>
      <c r="F497" t="n">
        <v>38.38</v>
      </c>
      <c r="G497" t="n">
        <v>19</v>
      </c>
      <c r="J497" t="inlineStr">
        <is>
          <t>M</t>
        </is>
      </c>
      <c r="K497" t="n">
        <v>2024</v>
      </c>
      <c r="L497" t="n">
        <v>7</v>
      </c>
      <c r="M497" t="inlineStr">
        <is>
          <t>Todos</t>
        </is>
      </c>
      <c r="N497" t="inlineStr">
        <is>
          <t>Confeitaria</t>
        </is>
      </c>
      <c r="O497" t="n">
        <v>1</v>
      </c>
      <c r="P497" t="n">
        <v>2</v>
      </c>
      <c r="Q497" t="n">
        <v>0</v>
      </c>
    </row>
    <row r="498">
      <c r="A498" t="n">
        <v>2024</v>
      </c>
      <c r="B498" t="n">
        <v>9</v>
      </c>
      <c r="C498" t="inlineStr">
        <is>
          <t>Muçarela Mozzana 2 kg</t>
        </is>
      </c>
      <c r="D498" t="inlineStr">
        <is>
          <t>Não Selecionado</t>
        </is>
      </c>
      <c r="E498" t="n">
        <v>389</v>
      </c>
      <c r="F498" t="n">
        <v>20.2</v>
      </c>
      <c r="G498" t="n">
        <v>10</v>
      </c>
      <c r="J498" t="inlineStr">
        <is>
          <t>A</t>
        </is>
      </c>
      <c r="K498" t="n">
        <v>2024</v>
      </c>
      <c r="L498" t="n">
        <v>8</v>
      </c>
      <c r="M498" t="inlineStr">
        <is>
          <t>Todos</t>
        </is>
      </c>
      <c r="N498" t="inlineStr">
        <is>
          <t>Confeitaria</t>
        </is>
      </c>
      <c r="O498" t="n">
        <v>2</v>
      </c>
      <c r="P498" t="n">
        <v>10</v>
      </c>
      <c r="Q498" t="n">
        <v>2</v>
      </c>
    </row>
    <row r="499">
      <c r="A499" t="n">
        <v>2024</v>
      </c>
      <c r="B499" t="n">
        <v>9</v>
      </c>
      <c r="C499" t="inlineStr">
        <is>
          <t>Muçarela Mozzana 2 kg</t>
        </is>
      </c>
      <c r="D499" t="inlineStr">
        <is>
          <t>Outros</t>
        </is>
      </c>
      <c r="E499" t="n">
        <v>16537.19</v>
      </c>
      <c r="F499" t="n">
        <v>840.3200000000001</v>
      </c>
      <c r="G499" t="n">
        <v>416</v>
      </c>
      <c r="J499" t="inlineStr">
        <is>
          <t>M</t>
        </is>
      </c>
      <c r="K499" t="n">
        <v>2024</v>
      </c>
      <c r="L499" t="n">
        <v>8</v>
      </c>
      <c r="M499" t="inlineStr">
        <is>
          <t>Todos</t>
        </is>
      </c>
      <c r="N499" t="inlineStr">
        <is>
          <t>Confeitaria</t>
        </is>
      </c>
      <c r="O499" t="n">
        <v>1</v>
      </c>
      <c r="P499" t="n">
        <v>1</v>
      </c>
      <c r="Q499" t="n">
        <v>0</v>
      </c>
    </row>
    <row r="500">
      <c r="A500" t="n">
        <v>2024</v>
      </c>
      <c r="B500" t="n">
        <v>9</v>
      </c>
      <c r="C500" t="inlineStr">
        <is>
          <t>Muçarela Mozzana 2 kg</t>
        </is>
      </c>
      <c r="D500" t="inlineStr">
        <is>
          <t>Padaria</t>
        </is>
      </c>
      <c r="E500" t="n">
        <v>2892.15</v>
      </c>
      <c r="F500" t="n">
        <v>145.44</v>
      </c>
      <c r="G500" t="n">
        <v>72</v>
      </c>
      <c r="J500" t="inlineStr">
        <is>
          <t>A</t>
        </is>
      </c>
      <c r="K500" t="n">
        <v>2024</v>
      </c>
      <c r="L500" t="n">
        <v>9</v>
      </c>
      <c r="M500" t="inlineStr">
        <is>
          <t>Todos</t>
        </is>
      </c>
      <c r="N500" t="inlineStr">
        <is>
          <t>Confeitaria</t>
        </is>
      </c>
      <c r="O500" t="n">
        <v>4</v>
      </c>
      <c r="P500" t="n">
        <v>13</v>
      </c>
      <c r="Q500" t="n">
        <v>4</v>
      </c>
    </row>
    <row r="501">
      <c r="A501" t="n">
        <v>2024</v>
      </c>
      <c r="B501" t="n">
        <v>9</v>
      </c>
      <c r="C501" t="inlineStr">
        <is>
          <t>Muçarela Mozzana 2 kg</t>
        </is>
      </c>
      <c r="D501" t="inlineStr">
        <is>
          <t>Pastelaria</t>
        </is>
      </c>
      <c r="E501" t="n">
        <v>6418.06</v>
      </c>
      <c r="F501" t="n">
        <v>323.2</v>
      </c>
      <c r="G501" t="n">
        <v>160</v>
      </c>
      <c r="J501" t="inlineStr">
        <is>
          <t>M</t>
        </is>
      </c>
      <c r="K501" t="n">
        <v>2024</v>
      </c>
      <c r="L501" t="n">
        <v>9</v>
      </c>
      <c r="M501" t="inlineStr">
        <is>
          <t>Todos</t>
        </is>
      </c>
      <c r="N501" t="inlineStr">
        <is>
          <t>Confeitaria</t>
        </is>
      </c>
      <c r="O501" t="n">
        <v>3</v>
      </c>
      <c r="P501" t="n">
        <v>3</v>
      </c>
      <c r="Q501" t="n">
        <v>0</v>
      </c>
    </row>
    <row r="502">
      <c r="A502" t="n">
        <v>2024</v>
      </c>
      <c r="B502" t="n">
        <v>9</v>
      </c>
      <c r="C502" t="inlineStr">
        <is>
          <t>Muçarela Mozzana 2 kg</t>
        </is>
      </c>
      <c r="D502" t="inlineStr">
        <is>
          <t>Pessoa Física</t>
        </is>
      </c>
      <c r="E502" t="n">
        <v>11626.12</v>
      </c>
      <c r="F502" t="n">
        <v>585.8</v>
      </c>
      <c r="G502" t="n">
        <v>290</v>
      </c>
      <c r="J502" t="inlineStr">
        <is>
          <t>A</t>
        </is>
      </c>
      <c r="K502" t="n">
        <v>2024</v>
      </c>
      <c r="L502" t="n">
        <v>10</v>
      </c>
      <c r="M502" t="inlineStr">
        <is>
          <t>Todos</t>
        </is>
      </c>
      <c r="N502" t="inlineStr">
        <is>
          <t>Confeitaria</t>
        </is>
      </c>
      <c r="O502" t="n">
        <v>5</v>
      </c>
      <c r="P502" t="n">
        <v>16</v>
      </c>
      <c r="Q502" t="n">
        <v>5</v>
      </c>
    </row>
    <row r="503">
      <c r="A503" t="n">
        <v>2024</v>
      </c>
      <c r="B503" t="n">
        <v>9</v>
      </c>
      <c r="C503" t="inlineStr">
        <is>
          <t>Muçarela Mozzana 2 kg</t>
        </is>
      </c>
      <c r="D503" t="inlineStr">
        <is>
          <t>Pizzaria</t>
        </is>
      </c>
      <c r="E503" t="n">
        <v>125042.54</v>
      </c>
      <c r="F503" t="n">
        <v>6356.94</v>
      </c>
      <c r="G503" t="n">
        <v>3147</v>
      </c>
      <c r="J503" t="inlineStr">
        <is>
          <t>M</t>
        </is>
      </c>
      <c r="K503" t="n">
        <v>2024</v>
      </c>
      <c r="L503" t="n">
        <v>10</v>
      </c>
      <c r="M503" t="inlineStr">
        <is>
          <t>Todos</t>
        </is>
      </c>
      <c r="N503" t="inlineStr">
        <is>
          <t>Confeitaria</t>
        </is>
      </c>
      <c r="O503" t="n">
        <v>2</v>
      </c>
      <c r="P503" t="n">
        <v>3</v>
      </c>
      <c r="Q503" t="n">
        <v>0</v>
      </c>
    </row>
    <row r="504">
      <c r="A504" t="n">
        <v>2024</v>
      </c>
      <c r="B504" t="n">
        <v>9</v>
      </c>
      <c r="C504" t="inlineStr">
        <is>
          <t>Muçarela Mozzana 2 kg</t>
        </is>
      </c>
      <c r="D504" t="inlineStr">
        <is>
          <t>Restaurante / Cantina</t>
        </is>
      </c>
      <c r="E504" t="n">
        <v>20346.68</v>
      </c>
      <c r="F504" t="n">
        <v>1046.36</v>
      </c>
      <c r="G504" t="n">
        <v>518</v>
      </c>
      <c r="J504" t="inlineStr">
        <is>
          <t>A</t>
        </is>
      </c>
      <c r="K504" t="n">
        <v>2024</v>
      </c>
      <c r="L504" t="n">
        <v>11</v>
      </c>
      <c r="M504" t="inlineStr">
        <is>
          <t>Todos</t>
        </is>
      </c>
      <c r="N504" t="inlineStr">
        <is>
          <t>Confeitaria</t>
        </is>
      </c>
      <c r="O504" t="n">
        <v>5</v>
      </c>
      <c r="P504" t="n">
        <v>16</v>
      </c>
      <c r="Q504" t="n">
        <v>5</v>
      </c>
    </row>
    <row r="505">
      <c r="A505" t="n">
        <v>2024</v>
      </c>
      <c r="B505" t="n">
        <v>9</v>
      </c>
      <c r="C505" t="inlineStr">
        <is>
          <t>Muçarela Mozzana 2 kg</t>
        </is>
      </c>
      <c r="D505" t="inlineStr">
        <is>
          <t>Supermercado</t>
        </is>
      </c>
      <c r="E505" t="n">
        <v>4212.28</v>
      </c>
      <c r="F505" t="n">
        <v>204.02</v>
      </c>
      <c r="G505" t="n">
        <v>101</v>
      </c>
      <c r="J505" t="inlineStr">
        <is>
          <t>A</t>
        </is>
      </c>
      <c r="K505" t="n">
        <v>2024</v>
      </c>
      <c r="L505" t="n">
        <v>12</v>
      </c>
      <c r="M505" t="inlineStr">
        <is>
          <t>Todos</t>
        </is>
      </c>
      <c r="N505" t="inlineStr">
        <is>
          <t>Confeitaria</t>
        </is>
      </c>
      <c r="O505" t="n">
        <v>5</v>
      </c>
      <c r="P505" t="n">
        <v>17</v>
      </c>
      <c r="Q505" t="n">
        <v>5</v>
      </c>
    </row>
    <row r="506">
      <c r="A506" t="n">
        <v>2024</v>
      </c>
      <c r="B506" t="n">
        <v>9</v>
      </c>
      <c r="C506" t="inlineStr">
        <is>
          <t>Parmesão ralado Parmozzana 1 kg</t>
        </is>
      </c>
      <c r="D506" t="inlineStr">
        <is>
          <t>Não Selecionado</t>
        </is>
      </c>
      <c r="E506" t="n">
        <v>108.48</v>
      </c>
      <c r="F506" t="n">
        <v>3.06</v>
      </c>
      <c r="G506" t="n">
        <v>3</v>
      </c>
      <c r="J506" t="inlineStr">
        <is>
          <t>M</t>
        </is>
      </c>
      <c r="K506" t="n">
        <v>2024</v>
      </c>
      <c r="L506" t="n">
        <v>12</v>
      </c>
      <c r="M506" t="inlineStr">
        <is>
          <t>Todos</t>
        </is>
      </c>
      <c r="N506" t="inlineStr">
        <is>
          <t>Confeitaria</t>
        </is>
      </c>
      <c r="O506" t="n">
        <v>1</v>
      </c>
      <c r="P506" t="n">
        <v>1</v>
      </c>
      <c r="Q506" t="n">
        <v>0</v>
      </c>
    </row>
    <row r="507">
      <c r="A507" t="n">
        <v>2024</v>
      </c>
      <c r="B507" t="n">
        <v>9</v>
      </c>
      <c r="C507" t="inlineStr">
        <is>
          <t>Parmesão ralado Parmozzana 1 kg</t>
        </is>
      </c>
      <c r="D507" t="inlineStr">
        <is>
          <t>Pizzaria</t>
        </is>
      </c>
      <c r="E507" t="n">
        <v>719.92</v>
      </c>
      <c r="F507" t="n">
        <v>20.4</v>
      </c>
      <c r="G507" t="n">
        <v>20</v>
      </c>
      <c r="J507" t="inlineStr">
        <is>
          <t>A</t>
        </is>
      </c>
      <c r="K507" t="n">
        <v>2024</v>
      </c>
      <c r="L507" t="n">
        <v>1</v>
      </c>
      <c r="M507" t="inlineStr">
        <is>
          <t>Todos</t>
        </is>
      </c>
      <c r="N507" t="inlineStr">
        <is>
          <t>Churrascaria</t>
        </is>
      </c>
      <c r="O507" t="n">
        <v>2</v>
      </c>
      <c r="P507" t="n">
        <v>3</v>
      </c>
      <c r="Q507" t="n">
        <v>2</v>
      </c>
    </row>
    <row r="508">
      <c r="A508" t="n">
        <v>2024</v>
      </c>
      <c r="B508" t="n">
        <v>9</v>
      </c>
      <c r="C508" t="inlineStr">
        <is>
          <t>Parmesão ralado Parmozzana 1 kg</t>
        </is>
      </c>
      <c r="D508" t="inlineStr">
        <is>
          <t>Restaurante / Cantina</t>
        </is>
      </c>
      <c r="E508" t="n">
        <v>146.1</v>
      </c>
      <c r="F508" t="n">
        <v>4.08</v>
      </c>
      <c r="G508" t="n">
        <v>4</v>
      </c>
      <c r="J508" t="inlineStr">
        <is>
          <t>M</t>
        </is>
      </c>
      <c r="K508" t="n">
        <v>2024</v>
      </c>
      <c r="L508" t="n">
        <v>1</v>
      </c>
      <c r="M508" t="inlineStr">
        <is>
          <t>Todos</t>
        </is>
      </c>
      <c r="N508" t="inlineStr">
        <is>
          <t>Churrascaria</t>
        </is>
      </c>
      <c r="O508" t="n">
        <v>2</v>
      </c>
      <c r="P508" t="n">
        <v>3</v>
      </c>
      <c r="Q508" t="n">
        <v>0</v>
      </c>
    </row>
    <row r="509">
      <c r="A509" t="n">
        <v>2024</v>
      </c>
      <c r="B509" t="n">
        <v>9</v>
      </c>
      <c r="C509" t="inlineStr">
        <is>
          <t>Requeijão Pizzalet 1,8 kg</t>
        </is>
      </c>
      <c r="D509" t="inlineStr">
        <is>
          <t>Bar / Chopperia</t>
        </is>
      </c>
      <c r="E509" t="n">
        <v>230.18</v>
      </c>
      <c r="F509" t="n">
        <v>31.28</v>
      </c>
      <c r="G509" t="n">
        <v>17</v>
      </c>
      <c r="J509" t="inlineStr">
        <is>
          <t>A</t>
        </is>
      </c>
      <c r="K509" t="n">
        <v>2024</v>
      </c>
      <c r="L509" t="n">
        <v>2</v>
      </c>
      <c r="M509" t="inlineStr">
        <is>
          <t>Todos</t>
        </is>
      </c>
      <c r="N509" t="inlineStr">
        <is>
          <t>Churrascaria</t>
        </is>
      </c>
      <c r="O509" t="n">
        <v>3</v>
      </c>
      <c r="P509" t="n">
        <v>5</v>
      </c>
      <c r="Q509" t="n">
        <v>3</v>
      </c>
    </row>
    <row r="510">
      <c r="A510" t="n">
        <v>2024</v>
      </c>
      <c r="B510" t="n">
        <v>9</v>
      </c>
      <c r="C510" t="inlineStr">
        <is>
          <t>Requeijão Pizzalet 1,8 kg</t>
        </is>
      </c>
      <c r="D510" t="inlineStr">
        <is>
          <t>Cozinha Industrial</t>
        </is>
      </c>
      <c r="E510" t="n">
        <v>2339.36</v>
      </c>
      <c r="F510" t="n">
        <v>323.84</v>
      </c>
      <c r="G510" t="n">
        <v>176</v>
      </c>
      <c r="J510" t="inlineStr">
        <is>
          <t>M</t>
        </is>
      </c>
      <c r="K510" t="n">
        <v>2024</v>
      </c>
      <c r="L510" t="n">
        <v>2</v>
      </c>
      <c r="M510" t="inlineStr">
        <is>
          <t>Todos</t>
        </is>
      </c>
      <c r="N510" t="inlineStr">
        <is>
          <t>Churrascaria</t>
        </is>
      </c>
      <c r="O510" t="n">
        <v>1</v>
      </c>
      <c r="P510" t="n">
        <v>2</v>
      </c>
      <c r="Q510" t="n">
        <v>0</v>
      </c>
    </row>
    <row r="511">
      <c r="A511" t="n">
        <v>2024</v>
      </c>
      <c r="B511" t="n">
        <v>9</v>
      </c>
      <c r="C511" t="inlineStr">
        <is>
          <t>Requeijão Pizzalet 1,8 kg</t>
        </is>
      </c>
      <c r="D511" t="inlineStr">
        <is>
          <t>Lanchonete / Cafeteria</t>
        </is>
      </c>
      <c r="E511" t="n">
        <v>1505.34</v>
      </c>
      <c r="F511" t="n">
        <v>204.24</v>
      </c>
      <c r="G511" t="n">
        <v>111</v>
      </c>
      <c r="J511" t="inlineStr">
        <is>
          <t>A</t>
        </is>
      </c>
      <c r="K511" t="n">
        <v>2024</v>
      </c>
      <c r="L511" t="n">
        <v>3</v>
      </c>
      <c r="M511" t="inlineStr">
        <is>
          <t>Todos</t>
        </is>
      </c>
      <c r="N511" t="inlineStr">
        <is>
          <t>Churrascaria</t>
        </is>
      </c>
      <c r="O511" t="n">
        <v>3</v>
      </c>
      <c r="P511" t="n">
        <v>6</v>
      </c>
      <c r="Q511" t="n">
        <v>3</v>
      </c>
    </row>
    <row r="512">
      <c r="A512" t="n">
        <v>2024</v>
      </c>
      <c r="B512" t="n">
        <v>9</v>
      </c>
      <c r="C512" t="inlineStr">
        <is>
          <t>Requeijão Pizzalet 1,8 kg</t>
        </is>
      </c>
      <c r="D512" t="inlineStr">
        <is>
          <t>Outros</t>
        </is>
      </c>
      <c r="E512" t="n">
        <v>13.81</v>
      </c>
      <c r="F512" t="n">
        <v>1.84</v>
      </c>
      <c r="G512" t="n">
        <v>1</v>
      </c>
      <c r="J512" t="inlineStr">
        <is>
          <t>M</t>
        </is>
      </c>
      <c r="K512" t="n">
        <v>2024</v>
      </c>
      <c r="L512" t="n">
        <v>3</v>
      </c>
      <c r="M512" t="inlineStr">
        <is>
          <t>Todos</t>
        </is>
      </c>
      <c r="N512" t="inlineStr">
        <is>
          <t>Churrascaria</t>
        </is>
      </c>
      <c r="O512" t="n">
        <v>1</v>
      </c>
      <c r="P512" t="n">
        <v>1</v>
      </c>
      <c r="Q512" t="n">
        <v>0</v>
      </c>
    </row>
    <row r="513">
      <c r="A513" t="n">
        <v>2024</v>
      </c>
      <c r="B513" t="n">
        <v>9</v>
      </c>
      <c r="C513" t="inlineStr">
        <is>
          <t>Requeijão Pizzalet 1,8 kg</t>
        </is>
      </c>
      <c r="D513" t="inlineStr">
        <is>
          <t>Pastelaria</t>
        </is>
      </c>
      <c r="E513" t="n">
        <v>2497.76</v>
      </c>
      <c r="F513" t="n">
        <v>338.56</v>
      </c>
      <c r="G513" t="n">
        <v>184</v>
      </c>
      <c r="J513" t="inlineStr">
        <is>
          <t>A</t>
        </is>
      </c>
      <c r="K513" t="n">
        <v>2024</v>
      </c>
      <c r="L513" t="n">
        <v>4</v>
      </c>
      <c r="M513" t="inlineStr">
        <is>
          <t>Todos</t>
        </is>
      </c>
      <c r="N513" t="inlineStr">
        <is>
          <t>Churrascaria</t>
        </is>
      </c>
      <c r="O513" t="n">
        <v>5</v>
      </c>
      <c r="P513" t="n">
        <v>11</v>
      </c>
      <c r="Q513" t="n">
        <v>5</v>
      </c>
    </row>
    <row r="514">
      <c r="A514" t="n">
        <v>2024</v>
      </c>
      <c r="B514" t="n">
        <v>9</v>
      </c>
      <c r="C514" t="inlineStr">
        <is>
          <t>Requeijão Pizzalet 1,8 kg</t>
        </is>
      </c>
      <c r="D514" t="inlineStr">
        <is>
          <t>Pizzaria</t>
        </is>
      </c>
      <c r="E514" t="n">
        <v>5044.39</v>
      </c>
      <c r="F514" t="n">
        <v>678.96</v>
      </c>
      <c r="G514" t="n">
        <v>369</v>
      </c>
      <c r="J514" t="inlineStr">
        <is>
          <t>M</t>
        </is>
      </c>
      <c r="K514" t="n">
        <v>2024</v>
      </c>
      <c r="L514" t="n">
        <v>4</v>
      </c>
      <c r="M514" t="inlineStr">
        <is>
          <t>Todos</t>
        </is>
      </c>
      <c r="N514" t="inlineStr">
        <is>
          <t>Churrascaria</t>
        </is>
      </c>
      <c r="O514" t="n">
        <v>4</v>
      </c>
      <c r="P514" t="n">
        <v>5</v>
      </c>
      <c r="Q514" t="n">
        <v>0</v>
      </c>
    </row>
    <row r="515">
      <c r="A515" t="n">
        <v>2024</v>
      </c>
      <c r="B515" t="n">
        <v>9</v>
      </c>
      <c r="C515" t="inlineStr">
        <is>
          <t>Requeijão Pizzalet 1,8 kg</t>
        </is>
      </c>
      <c r="D515" t="inlineStr">
        <is>
          <t>Restaurante / Cantina</t>
        </is>
      </c>
      <c r="E515" t="n">
        <v>189.56</v>
      </c>
      <c r="F515" t="n">
        <v>25.76</v>
      </c>
      <c r="G515" t="n">
        <v>14</v>
      </c>
      <c r="J515" t="inlineStr">
        <is>
          <t>A</t>
        </is>
      </c>
      <c r="K515" t="n">
        <v>2024</v>
      </c>
      <c r="L515" t="n">
        <v>5</v>
      </c>
      <c r="M515" t="inlineStr">
        <is>
          <t>Todos</t>
        </is>
      </c>
      <c r="N515" t="inlineStr">
        <is>
          <t>Churrascaria</t>
        </is>
      </c>
      <c r="O515" t="n">
        <v>6</v>
      </c>
      <c r="P515" t="n">
        <v>17</v>
      </c>
      <c r="Q515" t="n">
        <v>6</v>
      </c>
    </row>
    <row r="516">
      <c r="A516" t="n">
        <v>2024</v>
      </c>
      <c r="B516" t="n">
        <v>10</v>
      </c>
      <c r="C516" t="inlineStr">
        <is>
          <t>Chocolate em pó 50% 1 kg</t>
        </is>
      </c>
      <c r="D516" t="inlineStr">
        <is>
          <t>Buffet</t>
        </is>
      </c>
      <c r="E516" t="n">
        <v>32.83</v>
      </c>
      <c r="F516" t="n">
        <v>1.02</v>
      </c>
      <c r="G516" t="n">
        <v>1</v>
      </c>
      <c r="J516" t="inlineStr">
        <is>
          <t>M</t>
        </is>
      </c>
      <c r="K516" t="n">
        <v>2024</v>
      </c>
      <c r="L516" t="n">
        <v>5</v>
      </c>
      <c r="M516" t="inlineStr">
        <is>
          <t>Todos</t>
        </is>
      </c>
      <c r="N516" t="inlineStr">
        <is>
          <t>Churrascaria</t>
        </is>
      </c>
      <c r="O516" t="n">
        <v>4</v>
      </c>
      <c r="P516" t="n">
        <v>6</v>
      </c>
      <c r="Q516" t="n">
        <v>0</v>
      </c>
    </row>
    <row r="517">
      <c r="A517" t="n">
        <v>2024</v>
      </c>
      <c r="B517" t="n">
        <v>10</v>
      </c>
      <c r="C517" t="inlineStr">
        <is>
          <t>Chocolate em pó 50% 1 kg</t>
        </is>
      </c>
      <c r="D517" t="inlineStr">
        <is>
          <t>Confeitaria</t>
        </is>
      </c>
      <c r="E517" t="n">
        <v>32.5</v>
      </c>
      <c r="F517" t="n">
        <v>1.02</v>
      </c>
      <c r="G517" t="n">
        <v>1</v>
      </c>
      <c r="J517" t="inlineStr">
        <is>
          <t>A</t>
        </is>
      </c>
      <c r="K517" t="n">
        <v>2024</v>
      </c>
      <c r="L517" t="n">
        <v>6</v>
      </c>
      <c r="M517" t="inlineStr">
        <is>
          <t>Todos</t>
        </is>
      </c>
      <c r="N517" t="inlineStr">
        <is>
          <t>Churrascaria</t>
        </is>
      </c>
      <c r="O517" t="n">
        <v>6</v>
      </c>
      <c r="P517" t="n">
        <v>18</v>
      </c>
      <c r="Q517" t="n">
        <v>6</v>
      </c>
    </row>
    <row r="518">
      <c r="A518" t="n">
        <v>2024</v>
      </c>
      <c r="B518" t="n">
        <v>10</v>
      </c>
      <c r="C518" t="inlineStr">
        <is>
          <t>Chocolate em pó 50% 1 kg</t>
        </is>
      </c>
      <c r="D518" t="inlineStr">
        <is>
          <t>Cozinha Industrial</t>
        </is>
      </c>
      <c r="E518" t="n">
        <v>36.52</v>
      </c>
      <c r="F518" t="n">
        <v>1.02</v>
      </c>
      <c r="G518" t="n">
        <v>1</v>
      </c>
      <c r="J518" t="inlineStr">
        <is>
          <t>M</t>
        </is>
      </c>
      <c r="K518" t="n">
        <v>2024</v>
      </c>
      <c r="L518" t="n">
        <v>6</v>
      </c>
      <c r="M518" t="inlineStr">
        <is>
          <t>Todos</t>
        </is>
      </c>
      <c r="N518" t="inlineStr">
        <is>
          <t>Churrascaria</t>
        </is>
      </c>
      <c r="O518" t="n">
        <v>1</v>
      </c>
      <c r="P518" t="n">
        <v>1</v>
      </c>
      <c r="Q518" t="n">
        <v>0</v>
      </c>
    </row>
    <row r="519">
      <c r="A519" t="n">
        <v>2024</v>
      </c>
      <c r="B519" t="n">
        <v>10</v>
      </c>
      <c r="C519" t="inlineStr">
        <is>
          <t>Chocolate em pó 50% 1 kg</t>
        </is>
      </c>
      <c r="D519" t="inlineStr">
        <is>
          <t>Hotel / Motel / Pousada</t>
        </is>
      </c>
      <c r="E519" t="n">
        <v>732.73</v>
      </c>
      <c r="F519" t="n">
        <v>22.44</v>
      </c>
      <c r="G519" t="n">
        <v>22</v>
      </c>
      <c r="J519" t="inlineStr">
        <is>
          <t>A</t>
        </is>
      </c>
      <c r="K519" t="n">
        <v>2024</v>
      </c>
      <c r="L519" t="n">
        <v>7</v>
      </c>
      <c r="M519" t="inlineStr">
        <is>
          <t>Todos</t>
        </is>
      </c>
      <c r="N519" t="inlineStr">
        <is>
          <t>Churrascaria</t>
        </is>
      </c>
      <c r="O519" t="n">
        <v>7</v>
      </c>
      <c r="P519" t="n">
        <v>22</v>
      </c>
      <c r="Q519" t="n">
        <v>7</v>
      </c>
    </row>
    <row r="520">
      <c r="A520" t="n">
        <v>2024</v>
      </c>
      <c r="B520" t="n">
        <v>10</v>
      </c>
      <c r="C520" t="inlineStr">
        <is>
          <t>Chocolate em pó 50% 1 kg</t>
        </is>
      </c>
      <c r="D520" t="inlineStr">
        <is>
          <t>Outros</t>
        </is>
      </c>
      <c r="E520" t="n">
        <v>606.1900000000001</v>
      </c>
      <c r="F520" t="n">
        <v>18.36</v>
      </c>
      <c r="G520" t="n">
        <v>18</v>
      </c>
      <c r="J520" t="inlineStr">
        <is>
          <t>M</t>
        </is>
      </c>
      <c r="K520" t="n">
        <v>2024</v>
      </c>
      <c r="L520" t="n">
        <v>7</v>
      </c>
      <c r="M520" t="inlineStr">
        <is>
          <t>Todos</t>
        </is>
      </c>
      <c r="N520" t="inlineStr">
        <is>
          <t>Churrascaria</t>
        </is>
      </c>
      <c r="O520" t="n">
        <v>3</v>
      </c>
      <c r="P520" t="n">
        <v>4</v>
      </c>
      <c r="Q520" t="n">
        <v>0</v>
      </c>
    </row>
    <row r="521">
      <c r="A521" t="n">
        <v>2024</v>
      </c>
      <c r="B521" t="n">
        <v>10</v>
      </c>
      <c r="C521" t="inlineStr">
        <is>
          <t>Chocolate em pó 50% 1 kg</t>
        </is>
      </c>
      <c r="D521" t="inlineStr">
        <is>
          <t>Padaria</t>
        </is>
      </c>
      <c r="E521" t="n">
        <v>174.5</v>
      </c>
      <c r="F521" t="n">
        <v>5.1</v>
      </c>
      <c r="G521" t="n">
        <v>5</v>
      </c>
      <c r="J521" t="inlineStr">
        <is>
          <t>A</t>
        </is>
      </c>
      <c r="K521" t="n">
        <v>2024</v>
      </c>
      <c r="L521" t="n">
        <v>8</v>
      </c>
      <c r="M521" t="inlineStr">
        <is>
          <t>Todos</t>
        </is>
      </c>
      <c r="N521" t="inlineStr">
        <is>
          <t>Churrascaria</t>
        </is>
      </c>
      <c r="O521" t="n">
        <v>9</v>
      </c>
      <c r="P521" t="n">
        <v>25</v>
      </c>
      <c r="Q521" t="n">
        <v>9</v>
      </c>
    </row>
    <row r="522">
      <c r="A522" t="n">
        <v>2024</v>
      </c>
      <c r="B522" t="n">
        <v>10</v>
      </c>
      <c r="C522" t="inlineStr">
        <is>
          <t>Chocolate em pó 50% 1 kg</t>
        </is>
      </c>
      <c r="D522" t="inlineStr">
        <is>
          <t>Pizzaria</t>
        </is>
      </c>
      <c r="E522" t="n">
        <v>1370.94</v>
      </c>
      <c r="F522" t="n">
        <v>42.84</v>
      </c>
      <c r="G522" t="n">
        <v>42</v>
      </c>
      <c r="J522" t="inlineStr">
        <is>
          <t>M</t>
        </is>
      </c>
      <c r="K522" t="n">
        <v>2024</v>
      </c>
      <c r="L522" t="n">
        <v>8</v>
      </c>
      <c r="M522" t="inlineStr">
        <is>
          <t>Todos</t>
        </is>
      </c>
      <c r="N522" t="inlineStr">
        <is>
          <t>Churrascaria</t>
        </is>
      </c>
      <c r="O522" t="n">
        <v>3</v>
      </c>
      <c r="P522" t="n">
        <v>3</v>
      </c>
      <c r="Q522" t="n">
        <v>0</v>
      </c>
    </row>
    <row r="523">
      <c r="A523" t="n">
        <v>2024</v>
      </c>
      <c r="B523" t="n">
        <v>10</v>
      </c>
      <c r="C523" t="inlineStr">
        <is>
          <t>Chocolate em pó 50% 1 kg</t>
        </is>
      </c>
      <c r="D523" t="inlineStr">
        <is>
          <t>Restaurante / Cantina</t>
        </is>
      </c>
      <c r="E523" t="n">
        <v>1635.89</v>
      </c>
      <c r="F523" t="n">
        <v>48.96</v>
      </c>
      <c r="G523" t="n">
        <v>48</v>
      </c>
      <c r="J523" t="inlineStr">
        <is>
          <t>A</t>
        </is>
      </c>
      <c r="K523" t="n">
        <v>2024</v>
      </c>
      <c r="L523" t="n">
        <v>9</v>
      </c>
      <c r="M523" t="inlineStr">
        <is>
          <t>Todos</t>
        </is>
      </c>
      <c r="N523" t="inlineStr">
        <is>
          <t>Churrascaria</t>
        </is>
      </c>
      <c r="O523" t="n">
        <v>11</v>
      </c>
      <c r="P523" t="n">
        <v>31</v>
      </c>
      <c r="Q523" t="n">
        <v>11</v>
      </c>
    </row>
    <row r="524">
      <c r="A524" t="n">
        <v>2024</v>
      </c>
      <c r="B524" t="n">
        <v>10</v>
      </c>
      <c r="C524" t="inlineStr">
        <is>
          <t>Composto lácteo Alibralac 1 kg</t>
        </is>
      </c>
      <c r="D524" t="inlineStr">
        <is>
          <t>Buffet</t>
        </is>
      </c>
      <c r="E524" t="n">
        <v>20.39</v>
      </c>
      <c r="F524" t="n">
        <v>1.02</v>
      </c>
      <c r="G524" t="n">
        <v>1</v>
      </c>
      <c r="J524" t="inlineStr">
        <is>
          <t>M</t>
        </is>
      </c>
      <c r="K524" t="n">
        <v>2024</v>
      </c>
      <c r="L524" t="n">
        <v>9</v>
      </c>
      <c r="M524" t="inlineStr">
        <is>
          <t>Todos</t>
        </is>
      </c>
      <c r="N524" t="inlineStr">
        <is>
          <t>Churrascaria</t>
        </is>
      </c>
      <c r="O524" t="n">
        <v>4</v>
      </c>
      <c r="P524" t="n">
        <v>6</v>
      </c>
      <c r="Q524" t="n">
        <v>0</v>
      </c>
    </row>
    <row r="525">
      <c r="A525" t="n">
        <v>2024</v>
      </c>
      <c r="B525" t="n">
        <v>10</v>
      </c>
      <c r="C525" t="inlineStr">
        <is>
          <t>Composto lácteo Alibralac 1 kg</t>
        </is>
      </c>
      <c r="D525" t="inlineStr">
        <is>
          <t>Cozinha Industrial</t>
        </is>
      </c>
      <c r="E525" t="n">
        <v>922.5</v>
      </c>
      <c r="F525" t="n">
        <v>45.9</v>
      </c>
      <c r="G525" t="n">
        <v>45</v>
      </c>
      <c r="J525" t="inlineStr">
        <is>
          <t>A</t>
        </is>
      </c>
      <c r="K525" t="n">
        <v>2024</v>
      </c>
      <c r="L525" t="n">
        <v>10</v>
      </c>
      <c r="M525" t="inlineStr">
        <is>
          <t>Todos</t>
        </is>
      </c>
      <c r="N525" t="inlineStr">
        <is>
          <t>Churrascaria</t>
        </is>
      </c>
      <c r="O525" t="n">
        <v>11</v>
      </c>
      <c r="P525" t="n">
        <v>31</v>
      </c>
      <c r="Q525" t="n">
        <v>11</v>
      </c>
    </row>
    <row r="526">
      <c r="A526" t="n">
        <v>2024</v>
      </c>
      <c r="B526" t="n">
        <v>10</v>
      </c>
      <c r="C526" t="inlineStr">
        <is>
          <t>Composto lácteo Alibralac 1 kg</t>
        </is>
      </c>
      <c r="D526" t="inlineStr">
        <is>
          <t>Fábrica de Massas</t>
        </is>
      </c>
      <c r="E526" t="n">
        <v>40.38</v>
      </c>
      <c r="F526" t="n">
        <v>2.04</v>
      </c>
      <c r="G526" t="n">
        <v>2</v>
      </c>
      <c r="J526" t="inlineStr">
        <is>
          <t>A</t>
        </is>
      </c>
      <c r="K526" t="n">
        <v>2024</v>
      </c>
      <c r="L526" t="n">
        <v>11</v>
      </c>
      <c r="M526" t="inlineStr">
        <is>
          <t>Todos</t>
        </is>
      </c>
      <c r="N526" t="inlineStr">
        <is>
          <t>Churrascaria</t>
        </is>
      </c>
      <c r="O526" t="n">
        <v>12</v>
      </c>
      <c r="P526" t="n">
        <v>32</v>
      </c>
      <c r="Q526" t="n">
        <v>12</v>
      </c>
    </row>
    <row r="527">
      <c r="A527" t="n">
        <v>2024</v>
      </c>
      <c r="B527" t="n">
        <v>10</v>
      </c>
      <c r="C527" t="inlineStr">
        <is>
          <t>Composto lácteo Alibralac 1 kg</t>
        </is>
      </c>
      <c r="D527" t="inlineStr">
        <is>
          <t>Hotel / Motel / Pousada</t>
        </is>
      </c>
      <c r="E527" t="n">
        <v>835.99</v>
      </c>
      <c r="F527" t="n">
        <v>41.82</v>
      </c>
      <c r="G527" t="n">
        <v>41</v>
      </c>
      <c r="J527" t="inlineStr">
        <is>
          <t>M</t>
        </is>
      </c>
      <c r="K527" t="n">
        <v>2024</v>
      </c>
      <c r="L527" t="n">
        <v>11</v>
      </c>
      <c r="M527" t="inlineStr">
        <is>
          <t>Todos</t>
        </is>
      </c>
      <c r="N527" t="inlineStr">
        <is>
          <t>Churrascaria</t>
        </is>
      </c>
      <c r="O527" t="n">
        <v>1</v>
      </c>
      <c r="P527" t="n">
        <v>1</v>
      </c>
      <c r="Q527" t="n">
        <v>0</v>
      </c>
    </row>
    <row r="528">
      <c r="A528" t="n">
        <v>2024</v>
      </c>
      <c r="B528" t="n">
        <v>10</v>
      </c>
      <c r="C528" t="inlineStr">
        <is>
          <t>Composto lácteo Alibralac 1 kg</t>
        </is>
      </c>
      <c r="D528" t="inlineStr">
        <is>
          <t>Padaria</t>
        </is>
      </c>
      <c r="E528" t="n">
        <v>302.85</v>
      </c>
      <c r="F528" t="n">
        <v>15.3</v>
      </c>
      <c r="G528" t="n">
        <v>15</v>
      </c>
      <c r="J528" t="inlineStr">
        <is>
          <t>A</t>
        </is>
      </c>
      <c r="K528" t="n">
        <v>2024</v>
      </c>
      <c r="L528" t="n">
        <v>12</v>
      </c>
      <c r="M528" t="inlineStr">
        <is>
          <t>Todos</t>
        </is>
      </c>
      <c r="N528" t="inlineStr">
        <is>
          <t>Churrascaria</t>
        </is>
      </c>
      <c r="O528" t="n">
        <v>12</v>
      </c>
      <c r="P528" t="n">
        <v>34</v>
      </c>
      <c r="Q528" t="n">
        <v>12</v>
      </c>
    </row>
    <row r="529">
      <c r="A529" t="n">
        <v>2024</v>
      </c>
      <c r="B529" t="n">
        <v>10</v>
      </c>
      <c r="C529" t="inlineStr">
        <is>
          <t>Composto lácteo Alibralac 1 kg</t>
        </is>
      </c>
      <c r="D529" t="inlineStr">
        <is>
          <t>Pizzaria</t>
        </is>
      </c>
      <c r="E529" t="n">
        <v>400</v>
      </c>
      <c r="F529" t="n">
        <v>20.4</v>
      </c>
      <c r="G529" t="n">
        <v>20</v>
      </c>
      <c r="J529" t="inlineStr">
        <is>
          <t>M</t>
        </is>
      </c>
      <c r="K529" t="n">
        <v>2024</v>
      </c>
      <c r="L529" t="n">
        <v>12</v>
      </c>
      <c r="M529" t="inlineStr">
        <is>
          <t>Todos</t>
        </is>
      </c>
      <c r="N529" t="inlineStr">
        <is>
          <t>Churrascaria</t>
        </is>
      </c>
      <c r="O529" t="n">
        <v>2</v>
      </c>
      <c r="P529" t="n">
        <v>2</v>
      </c>
      <c r="Q529" t="n">
        <v>0</v>
      </c>
    </row>
    <row r="530">
      <c r="A530" t="n">
        <v>2024</v>
      </c>
      <c r="B530" t="n">
        <v>10</v>
      </c>
      <c r="C530" t="inlineStr">
        <is>
          <t>Composto lácteo Merilú 400 g</t>
        </is>
      </c>
      <c r="D530" t="inlineStr">
        <is>
          <t>Hamburgueria</t>
        </is>
      </c>
      <c r="E530" t="n">
        <v>20.43</v>
      </c>
      <c r="F530" t="n">
        <v>1.26</v>
      </c>
      <c r="G530" t="n">
        <v>3</v>
      </c>
      <c r="J530" t="inlineStr">
        <is>
          <t>A</t>
        </is>
      </c>
      <c r="K530" t="n">
        <v>2024</v>
      </c>
      <c r="L530" t="n">
        <v>2</v>
      </c>
      <c r="M530" t="inlineStr">
        <is>
          <t>Todos</t>
        </is>
      </c>
      <c r="N530" t="inlineStr">
        <is>
          <t>Não Selecionado</t>
        </is>
      </c>
      <c r="O530" t="n">
        <v>1</v>
      </c>
      <c r="P530" t="n">
        <v>1</v>
      </c>
      <c r="Q530" t="n">
        <v>1</v>
      </c>
    </row>
    <row r="531">
      <c r="A531" t="n">
        <v>2024</v>
      </c>
      <c r="B531" t="n">
        <v>10</v>
      </c>
      <c r="C531" t="inlineStr">
        <is>
          <t>Composto lácteo Merilú 400 g</t>
        </is>
      </c>
      <c r="D531" t="inlineStr">
        <is>
          <t>Outros</t>
        </is>
      </c>
      <c r="E531" t="n">
        <v>424.8</v>
      </c>
      <c r="F531" t="n">
        <v>25.2</v>
      </c>
      <c r="G531" t="n">
        <v>60</v>
      </c>
      <c r="J531" t="inlineStr">
        <is>
          <t>M</t>
        </is>
      </c>
      <c r="K531" t="n">
        <v>2024</v>
      </c>
      <c r="L531" t="n">
        <v>2</v>
      </c>
      <c r="M531" t="inlineStr">
        <is>
          <t>Todos</t>
        </is>
      </c>
      <c r="N531" t="inlineStr">
        <is>
          <t>Não Selecionado</t>
        </is>
      </c>
      <c r="O531" t="n">
        <v>1</v>
      </c>
      <c r="P531" t="n">
        <v>1</v>
      </c>
      <c r="Q531" t="n">
        <v>0</v>
      </c>
    </row>
    <row r="532">
      <c r="A532" t="n">
        <v>2024</v>
      </c>
      <c r="B532" t="n">
        <v>10</v>
      </c>
      <c r="C532" t="inlineStr">
        <is>
          <t>Composto lácteo Merilú 400 g</t>
        </is>
      </c>
      <c r="D532" t="inlineStr">
        <is>
          <t>Padaria</t>
        </is>
      </c>
      <c r="E532" t="n">
        <v>946.4</v>
      </c>
      <c r="F532" t="n">
        <v>58.8</v>
      </c>
      <c r="G532" t="n">
        <v>140</v>
      </c>
      <c r="J532" t="inlineStr">
        <is>
          <t>A</t>
        </is>
      </c>
      <c r="K532" t="n">
        <v>2024</v>
      </c>
      <c r="L532" t="n">
        <v>3</v>
      </c>
      <c r="M532" t="inlineStr">
        <is>
          <t>Todos</t>
        </is>
      </c>
      <c r="N532" t="inlineStr">
        <is>
          <t>Não Selecionado</t>
        </is>
      </c>
      <c r="O532" t="n">
        <v>1</v>
      </c>
      <c r="P532" t="n">
        <v>2</v>
      </c>
      <c r="Q532" t="n">
        <v>1</v>
      </c>
    </row>
    <row r="533">
      <c r="A533" t="n">
        <v>2024</v>
      </c>
      <c r="B533" t="n">
        <v>10</v>
      </c>
      <c r="C533" t="inlineStr">
        <is>
          <t>Composto lácteo Merilú 400 g</t>
        </is>
      </c>
      <c r="D533" t="inlineStr">
        <is>
          <t>Restaurante / Cantina</t>
        </is>
      </c>
      <c r="E533" t="n">
        <v>46.14</v>
      </c>
      <c r="F533" t="n">
        <v>2.52</v>
      </c>
      <c r="G533" t="n">
        <v>6</v>
      </c>
      <c r="J533" t="inlineStr">
        <is>
          <t>M</t>
        </is>
      </c>
      <c r="K533" t="n">
        <v>2024</v>
      </c>
      <c r="L533" t="n">
        <v>3</v>
      </c>
      <c r="M533" t="inlineStr">
        <is>
          <t>Todos</t>
        </is>
      </c>
      <c r="N533" t="inlineStr">
        <is>
          <t>Não Selecionado</t>
        </is>
      </c>
      <c r="O533" t="n">
        <v>1</v>
      </c>
      <c r="P533" t="n">
        <v>1</v>
      </c>
      <c r="Q533" t="n">
        <v>0</v>
      </c>
    </row>
    <row r="534">
      <c r="A534" t="n">
        <v>2024</v>
      </c>
      <c r="B534" t="n">
        <v>10</v>
      </c>
      <c r="C534" t="inlineStr">
        <is>
          <t>Muçarela Mozzalet 2 kg</t>
        </is>
      </c>
      <c r="D534" t="inlineStr">
        <is>
          <t>Cozinha Industrial</t>
        </is>
      </c>
      <c r="E534" t="n">
        <v>8080.7</v>
      </c>
      <c r="F534" t="n">
        <v>408</v>
      </c>
      <c r="G534" t="n">
        <v>204</v>
      </c>
      <c r="J534" t="inlineStr">
        <is>
          <t>A</t>
        </is>
      </c>
      <c r="K534" t="n">
        <v>2024</v>
      </c>
      <c r="L534" t="n">
        <v>4</v>
      </c>
      <c r="M534" t="inlineStr">
        <is>
          <t>Todos</t>
        </is>
      </c>
      <c r="N534" t="inlineStr">
        <is>
          <t>Não Selecionado</t>
        </is>
      </c>
      <c r="O534" t="n">
        <v>1</v>
      </c>
      <c r="P534" t="n">
        <v>3</v>
      </c>
      <c r="Q534" t="n">
        <v>1</v>
      </c>
    </row>
    <row r="535">
      <c r="A535" t="n">
        <v>2024</v>
      </c>
      <c r="B535" t="n">
        <v>10</v>
      </c>
      <c r="C535" t="inlineStr">
        <is>
          <t>Muçarela Mozzalet 2 kg</t>
        </is>
      </c>
      <c r="D535" t="inlineStr">
        <is>
          <t>Fábrica de Massas</t>
        </is>
      </c>
      <c r="E535" t="n">
        <v>9867.059999999999</v>
      </c>
      <c r="F535" t="n">
        <v>504</v>
      </c>
      <c r="G535" t="n">
        <v>252</v>
      </c>
      <c r="J535" t="inlineStr">
        <is>
          <t>M</t>
        </is>
      </c>
      <c r="K535" t="n">
        <v>2024</v>
      </c>
      <c r="L535" t="n">
        <v>4</v>
      </c>
      <c r="M535" t="inlineStr">
        <is>
          <t>Todos</t>
        </is>
      </c>
      <c r="N535" t="inlineStr">
        <is>
          <t>Não Selecionado</t>
        </is>
      </c>
      <c r="O535" t="n">
        <v>1</v>
      </c>
      <c r="P535" t="n">
        <v>1</v>
      </c>
      <c r="Q535" t="n">
        <v>0</v>
      </c>
    </row>
    <row r="536">
      <c r="A536" t="n">
        <v>2024</v>
      </c>
      <c r="B536" t="n">
        <v>10</v>
      </c>
      <c r="C536" t="inlineStr">
        <is>
          <t>Muçarela Mozzalet 2 kg</t>
        </is>
      </c>
      <c r="D536" t="inlineStr">
        <is>
          <t>Lanchonete / Cafeteria</t>
        </is>
      </c>
      <c r="E536" t="n">
        <v>1111.05</v>
      </c>
      <c r="F536" t="n">
        <v>54</v>
      </c>
      <c r="G536" t="n">
        <v>27</v>
      </c>
      <c r="J536" t="inlineStr">
        <is>
          <t>A</t>
        </is>
      </c>
      <c r="K536" t="n">
        <v>2024</v>
      </c>
      <c r="L536" t="n">
        <v>5</v>
      </c>
      <c r="M536" t="inlineStr">
        <is>
          <t>Todos</t>
        </is>
      </c>
      <c r="N536" t="inlineStr">
        <is>
          <t>Não Selecionado</t>
        </is>
      </c>
      <c r="O536" t="n">
        <v>1</v>
      </c>
      <c r="P536" t="n">
        <v>4</v>
      </c>
      <c r="Q536" t="n">
        <v>1</v>
      </c>
    </row>
    <row r="537">
      <c r="A537" t="n">
        <v>2024</v>
      </c>
      <c r="B537" t="n">
        <v>10</v>
      </c>
      <c r="C537" t="inlineStr">
        <is>
          <t>Muçarela Mozzalet 2 kg</t>
        </is>
      </c>
      <c r="D537" t="inlineStr">
        <is>
          <t>Loja de Conveniência</t>
        </is>
      </c>
      <c r="E537" t="n">
        <v>40.78</v>
      </c>
      <c r="F537" t="n">
        <v>2</v>
      </c>
      <c r="G537" t="n">
        <v>1</v>
      </c>
      <c r="J537" t="inlineStr">
        <is>
          <t>M</t>
        </is>
      </c>
      <c r="K537" t="n">
        <v>2024</v>
      </c>
      <c r="L537" t="n">
        <v>5</v>
      </c>
      <c r="M537" t="inlineStr">
        <is>
          <t>Todos</t>
        </is>
      </c>
      <c r="N537" t="inlineStr">
        <is>
          <t>Não Selecionado</t>
        </is>
      </c>
      <c r="O537" t="n">
        <v>1</v>
      </c>
      <c r="P537" t="n">
        <v>1</v>
      </c>
      <c r="Q537" t="n">
        <v>0</v>
      </c>
    </row>
    <row r="538">
      <c r="A538" t="n">
        <v>2024</v>
      </c>
      <c r="B538" t="n">
        <v>10</v>
      </c>
      <c r="C538" t="inlineStr">
        <is>
          <t>Muçarela Mozzalet 2 kg</t>
        </is>
      </c>
      <c r="D538" t="inlineStr">
        <is>
          <t>Outros</t>
        </is>
      </c>
      <c r="E538" t="n">
        <v>4954</v>
      </c>
      <c r="F538" t="n">
        <v>250</v>
      </c>
      <c r="G538" t="n">
        <v>125</v>
      </c>
      <c r="J538" t="inlineStr">
        <is>
          <t>A</t>
        </is>
      </c>
      <c r="K538" t="n">
        <v>2024</v>
      </c>
      <c r="L538" t="n">
        <v>6</v>
      </c>
      <c r="M538" t="inlineStr">
        <is>
          <t>Todos</t>
        </is>
      </c>
      <c r="N538" t="inlineStr">
        <is>
          <t>Não Selecionado</t>
        </is>
      </c>
      <c r="O538" t="n">
        <v>1</v>
      </c>
      <c r="P538" t="n">
        <v>4</v>
      </c>
      <c r="Q538" t="n">
        <v>1</v>
      </c>
    </row>
    <row r="539">
      <c r="A539" t="n">
        <v>2024</v>
      </c>
      <c r="B539" t="n">
        <v>10</v>
      </c>
      <c r="C539" t="inlineStr">
        <is>
          <t>Muçarela Mozzalet 2 kg</t>
        </is>
      </c>
      <c r="D539" t="inlineStr">
        <is>
          <t>Padaria</t>
        </is>
      </c>
      <c r="E539" t="n">
        <v>1496.57</v>
      </c>
      <c r="F539" t="n">
        <v>76</v>
      </c>
      <c r="G539" t="n">
        <v>38</v>
      </c>
      <c r="J539" t="inlineStr">
        <is>
          <t>A</t>
        </is>
      </c>
      <c r="K539" t="n">
        <v>2024</v>
      </c>
      <c r="L539" t="n">
        <v>7</v>
      </c>
      <c r="M539" t="inlineStr">
        <is>
          <t>Todos</t>
        </is>
      </c>
      <c r="N539" t="inlineStr">
        <is>
          <t>Não Selecionado</t>
        </is>
      </c>
      <c r="O539" t="n">
        <v>2</v>
      </c>
      <c r="P539" t="n">
        <v>6</v>
      </c>
      <c r="Q539" t="n">
        <v>2</v>
      </c>
    </row>
    <row r="540">
      <c r="A540" t="n">
        <v>2024</v>
      </c>
      <c r="B540" t="n">
        <v>10</v>
      </c>
      <c r="C540" t="inlineStr">
        <is>
          <t>Muçarela Mozzalet 2 kg</t>
        </is>
      </c>
      <c r="D540" t="inlineStr">
        <is>
          <t>Pastelaria</t>
        </is>
      </c>
      <c r="E540" t="n">
        <v>377.91</v>
      </c>
      <c r="F540" t="n">
        <v>18</v>
      </c>
      <c r="G540" t="n">
        <v>9</v>
      </c>
      <c r="J540" t="inlineStr">
        <is>
          <t>M</t>
        </is>
      </c>
      <c r="K540" t="n">
        <v>2024</v>
      </c>
      <c r="L540" t="n">
        <v>7</v>
      </c>
      <c r="M540" t="inlineStr">
        <is>
          <t>Todos</t>
        </is>
      </c>
      <c r="N540" t="inlineStr">
        <is>
          <t>Não Selecionado</t>
        </is>
      </c>
      <c r="O540" t="n">
        <v>2</v>
      </c>
      <c r="P540" t="n">
        <v>2</v>
      </c>
      <c r="Q540" t="n">
        <v>0</v>
      </c>
    </row>
    <row r="541">
      <c r="A541" t="n">
        <v>2024</v>
      </c>
      <c r="B541" t="n">
        <v>10</v>
      </c>
      <c r="C541" t="inlineStr">
        <is>
          <t>Muçarela Mozzalet 2 kg</t>
        </is>
      </c>
      <c r="D541" t="inlineStr">
        <is>
          <t>Pessoa Física</t>
        </is>
      </c>
      <c r="E541" t="n">
        <v>4024.08</v>
      </c>
      <c r="F541" t="n">
        <v>216</v>
      </c>
      <c r="G541" t="n">
        <v>108</v>
      </c>
      <c r="J541" t="inlineStr">
        <is>
          <t>A</t>
        </is>
      </c>
      <c r="K541" t="n">
        <v>2024</v>
      </c>
      <c r="L541" t="n">
        <v>8</v>
      </c>
      <c r="M541" t="inlineStr">
        <is>
          <t>Todos</t>
        </is>
      </c>
      <c r="N541" t="inlineStr">
        <is>
          <t>Não Selecionado</t>
        </is>
      </c>
      <c r="O541" t="n">
        <v>2</v>
      </c>
      <c r="P541" t="n">
        <v>7</v>
      </c>
      <c r="Q541" t="n">
        <v>2</v>
      </c>
    </row>
    <row r="542">
      <c r="A542" t="n">
        <v>2024</v>
      </c>
      <c r="B542" t="n">
        <v>10</v>
      </c>
      <c r="C542" t="inlineStr">
        <is>
          <t>Muçarela Mozzalet 2 kg</t>
        </is>
      </c>
      <c r="D542" t="inlineStr">
        <is>
          <t>Pizzaria</t>
        </is>
      </c>
      <c r="E542" t="n">
        <v>8109.39</v>
      </c>
      <c r="F542" t="n">
        <v>404</v>
      </c>
      <c r="G542" t="n">
        <v>202</v>
      </c>
      <c r="J542" t="inlineStr">
        <is>
          <t>M</t>
        </is>
      </c>
      <c r="K542" t="n">
        <v>2024</v>
      </c>
      <c r="L542" t="n">
        <v>8</v>
      </c>
      <c r="M542" t="inlineStr">
        <is>
          <t>Todos</t>
        </is>
      </c>
      <c r="N542" t="inlineStr">
        <is>
          <t>Não Selecionado</t>
        </is>
      </c>
      <c r="O542" t="n">
        <v>1</v>
      </c>
      <c r="P542" t="n">
        <v>1</v>
      </c>
      <c r="Q542" t="n">
        <v>0</v>
      </c>
    </row>
    <row r="543">
      <c r="A543" t="n">
        <v>2024</v>
      </c>
      <c r="B543" t="n">
        <v>10</v>
      </c>
      <c r="C543" t="inlineStr">
        <is>
          <t>Muçarela Mozzalet 2 kg</t>
        </is>
      </c>
      <c r="D543" t="inlineStr">
        <is>
          <t>Restaurante / Cantina</t>
        </is>
      </c>
      <c r="E543" t="n">
        <v>41033.52</v>
      </c>
      <c r="F543" t="n">
        <v>2138</v>
      </c>
      <c r="G543" t="n">
        <v>1069</v>
      </c>
      <c r="J543" t="inlineStr">
        <is>
          <t>A</t>
        </is>
      </c>
      <c r="K543" t="n">
        <v>2024</v>
      </c>
      <c r="L543" t="n">
        <v>9</v>
      </c>
      <c r="M543" t="inlineStr">
        <is>
          <t>Todos</t>
        </is>
      </c>
      <c r="N543" t="inlineStr">
        <is>
          <t>Não Selecionado</t>
        </is>
      </c>
      <c r="O543" t="n">
        <v>3</v>
      </c>
      <c r="P543" t="n">
        <v>9</v>
      </c>
      <c r="Q543" t="n">
        <v>3</v>
      </c>
    </row>
    <row r="544">
      <c r="A544" t="n">
        <v>2024</v>
      </c>
      <c r="B544" t="n">
        <v>10</v>
      </c>
      <c r="C544" t="inlineStr">
        <is>
          <t>Muçarela Mozzana 2 kg</t>
        </is>
      </c>
      <c r="D544" t="inlineStr">
        <is>
          <t>Adega</t>
        </is>
      </c>
      <c r="E544" t="n">
        <v>756</v>
      </c>
      <c r="F544" t="n">
        <v>36.36</v>
      </c>
      <c r="G544" t="n">
        <v>18</v>
      </c>
      <c r="J544" t="inlineStr">
        <is>
          <t>M</t>
        </is>
      </c>
      <c r="K544" t="n">
        <v>2024</v>
      </c>
      <c r="L544" t="n">
        <v>9</v>
      </c>
      <c r="M544" t="inlineStr">
        <is>
          <t>Todos</t>
        </is>
      </c>
      <c r="N544" t="inlineStr">
        <is>
          <t>Não Selecionado</t>
        </is>
      </c>
      <c r="O544" t="n">
        <v>2</v>
      </c>
      <c r="P544" t="n">
        <v>2</v>
      </c>
      <c r="Q544" t="n">
        <v>0</v>
      </c>
    </row>
    <row r="545">
      <c r="A545" t="n">
        <v>2024</v>
      </c>
      <c r="B545" t="n">
        <v>10</v>
      </c>
      <c r="C545" t="inlineStr">
        <is>
          <t>Muçarela Mozzana 2 kg</t>
        </is>
      </c>
      <c r="D545" t="inlineStr">
        <is>
          <t>Buffet</t>
        </is>
      </c>
      <c r="E545" t="n">
        <v>1449.61</v>
      </c>
      <c r="F545" t="n">
        <v>70.7</v>
      </c>
      <c r="G545" t="n">
        <v>35</v>
      </c>
      <c r="J545" t="inlineStr">
        <is>
          <t>A</t>
        </is>
      </c>
      <c r="K545" t="n">
        <v>2024</v>
      </c>
      <c r="L545" t="n">
        <v>10</v>
      </c>
      <c r="M545" t="inlineStr">
        <is>
          <t>Todos</t>
        </is>
      </c>
      <c r="N545" t="inlineStr">
        <is>
          <t>Não Selecionado</t>
        </is>
      </c>
      <c r="O545" t="n">
        <v>3</v>
      </c>
      <c r="P545" t="n">
        <v>10</v>
      </c>
      <c r="Q545" t="n">
        <v>3</v>
      </c>
    </row>
    <row r="546">
      <c r="A546" t="n">
        <v>2024</v>
      </c>
      <c r="B546" t="n">
        <v>10</v>
      </c>
      <c r="C546" t="inlineStr">
        <is>
          <t>Muçarela Mozzana 2 kg</t>
        </is>
      </c>
      <c r="D546" t="inlineStr">
        <is>
          <t>Confeitaria</t>
        </is>
      </c>
      <c r="E546" t="n">
        <v>752.22</v>
      </c>
      <c r="F546" t="n">
        <v>36.36</v>
      </c>
      <c r="G546" t="n">
        <v>18</v>
      </c>
      <c r="J546" t="inlineStr">
        <is>
          <t>M</t>
        </is>
      </c>
      <c r="K546" t="n">
        <v>2024</v>
      </c>
      <c r="L546" t="n">
        <v>10</v>
      </c>
      <c r="M546" t="inlineStr">
        <is>
          <t>Todos</t>
        </is>
      </c>
      <c r="N546" t="inlineStr">
        <is>
          <t>Não Selecionado</t>
        </is>
      </c>
      <c r="O546" t="n">
        <v>1</v>
      </c>
      <c r="P546" t="n">
        <v>1</v>
      </c>
      <c r="Q546" t="n">
        <v>0</v>
      </c>
    </row>
    <row r="547">
      <c r="A547" t="n">
        <v>2024</v>
      </c>
      <c r="B547" t="n">
        <v>10</v>
      </c>
      <c r="C547" t="inlineStr">
        <is>
          <t>Muçarela Mozzana 2 kg</t>
        </is>
      </c>
      <c r="D547" t="inlineStr">
        <is>
          <t>Cozinha Industrial</t>
        </is>
      </c>
      <c r="E547" t="n">
        <v>9180.959999999999</v>
      </c>
      <c r="F547" t="n">
        <v>466.62</v>
      </c>
      <c r="G547" t="n">
        <v>231</v>
      </c>
      <c r="J547" t="inlineStr">
        <is>
          <t>A</t>
        </is>
      </c>
      <c r="K547" t="n">
        <v>2024</v>
      </c>
      <c r="L547" t="n">
        <v>11</v>
      </c>
      <c r="M547" t="inlineStr">
        <is>
          <t>Todos</t>
        </is>
      </c>
      <c r="N547" t="inlineStr">
        <is>
          <t>Não Selecionado</t>
        </is>
      </c>
      <c r="O547" t="n">
        <v>3</v>
      </c>
      <c r="P547" t="n">
        <v>10</v>
      </c>
      <c r="Q547" t="n">
        <v>3</v>
      </c>
    </row>
    <row r="548">
      <c r="A548" t="n">
        <v>2024</v>
      </c>
      <c r="B548" t="n">
        <v>10</v>
      </c>
      <c r="C548" t="inlineStr">
        <is>
          <t>Muçarela Mozzana 2 kg</t>
        </is>
      </c>
      <c r="D548" t="inlineStr">
        <is>
          <t>Cozinha Oriental</t>
        </is>
      </c>
      <c r="E548" t="n">
        <v>527.5</v>
      </c>
      <c r="F548" t="n">
        <v>26.26</v>
      </c>
      <c r="G548" t="n">
        <v>13</v>
      </c>
      <c r="J548" t="inlineStr">
        <is>
          <t>A</t>
        </is>
      </c>
      <c r="K548" t="n">
        <v>2024</v>
      </c>
      <c r="L548" t="n">
        <v>12</v>
      </c>
      <c r="M548" t="inlineStr">
        <is>
          <t>Todos</t>
        </is>
      </c>
      <c r="N548" t="inlineStr">
        <is>
          <t>Não Selecionado</t>
        </is>
      </c>
      <c r="O548" t="n">
        <v>3</v>
      </c>
      <c r="P548" t="n">
        <v>10</v>
      </c>
      <c r="Q548" t="n">
        <v>3</v>
      </c>
    </row>
    <row r="549">
      <c r="A549" t="n">
        <v>2024</v>
      </c>
      <c r="B549" t="n">
        <v>10</v>
      </c>
      <c r="C549" t="inlineStr">
        <is>
          <t>Muçarela Mozzana 2 kg</t>
        </is>
      </c>
      <c r="D549" t="inlineStr">
        <is>
          <t>Esfiharia</t>
        </is>
      </c>
      <c r="E549" t="n">
        <v>2837.7</v>
      </c>
      <c r="F549" t="n">
        <v>139.38</v>
      </c>
      <c r="G549" t="n">
        <v>69</v>
      </c>
      <c r="J549" t="inlineStr">
        <is>
          <t>A</t>
        </is>
      </c>
      <c r="K549" t="n">
        <v>2024</v>
      </c>
      <c r="L549" t="n">
        <v>1</v>
      </c>
      <c r="M549" t="inlineStr">
        <is>
          <t>Todos</t>
        </is>
      </c>
      <c r="N549" t="inlineStr">
        <is>
          <t>Loja de Conveniência</t>
        </is>
      </c>
      <c r="O549" t="n">
        <v>1</v>
      </c>
      <c r="P549" t="n">
        <v>1</v>
      </c>
      <c r="Q549" t="n">
        <v>1</v>
      </c>
    </row>
    <row r="550">
      <c r="A550" t="n">
        <v>2024</v>
      </c>
      <c r="B550" t="n">
        <v>10</v>
      </c>
      <c r="C550" t="inlineStr">
        <is>
          <t>Muçarela Mozzana 2 kg</t>
        </is>
      </c>
      <c r="D550" t="inlineStr">
        <is>
          <t>Fábrica de Massas</t>
        </is>
      </c>
      <c r="E550" t="n">
        <v>17551.15</v>
      </c>
      <c r="F550" t="n">
        <v>862.54</v>
      </c>
      <c r="G550" t="n">
        <v>427</v>
      </c>
      <c r="J550" t="inlineStr">
        <is>
          <t>M</t>
        </is>
      </c>
      <c r="K550" t="n">
        <v>2024</v>
      </c>
      <c r="L550" t="n">
        <v>1</v>
      </c>
      <c r="M550" t="inlineStr">
        <is>
          <t>Todos</t>
        </is>
      </c>
      <c r="N550" t="inlineStr">
        <is>
          <t>Loja de Conveniência</t>
        </is>
      </c>
      <c r="O550" t="n">
        <v>1</v>
      </c>
      <c r="P550" t="n">
        <v>1</v>
      </c>
      <c r="Q550" t="n">
        <v>0</v>
      </c>
    </row>
    <row r="551">
      <c r="A551" t="n">
        <v>2024</v>
      </c>
      <c r="B551" t="n">
        <v>10</v>
      </c>
      <c r="C551" t="inlineStr">
        <is>
          <t>Muçarela Mozzana 2 kg</t>
        </is>
      </c>
      <c r="D551" t="inlineStr">
        <is>
          <t>Hamburgueria</t>
        </is>
      </c>
      <c r="E551" t="n">
        <v>120</v>
      </c>
      <c r="F551" t="n">
        <v>6.06</v>
      </c>
      <c r="G551" t="n">
        <v>3</v>
      </c>
      <c r="J551" t="inlineStr">
        <is>
          <t>A</t>
        </is>
      </c>
      <c r="K551" t="n">
        <v>2024</v>
      </c>
      <c r="L551" t="n">
        <v>2</v>
      </c>
      <c r="M551" t="inlineStr">
        <is>
          <t>Todos</t>
        </is>
      </c>
      <c r="N551" t="inlineStr">
        <is>
          <t>Loja de Conveniência</t>
        </is>
      </c>
      <c r="O551" t="n">
        <v>1</v>
      </c>
      <c r="P551" t="n">
        <v>2</v>
      </c>
      <c r="Q551" t="n">
        <v>1</v>
      </c>
    </row>
    <row r="552">
      <c r="A552" t="n">
        <v>2024</v>
      </c>
      <c r="B552" t="n">
        <v>10</v>
      </c>
      <c r="C552" t="inlineStr">
        <is>
          <t>Muçarela Mozzana 2 kg</t>
        </is>
      </c>
      <c r="D552" t="inlineStr">
        <is>
          <t>Lanchonete / Cafeteria</t>
        </is>
      </c>
      <c r="E552" t="n">
        <v>1764.7</v>
      </c>
      <c r="F552" t="n">
        <v>86.86</v>
      </c>
      <c r="G552" t="n">
        <v>43</v>
      </c>
      <c r="J552" t="inlineStr">
        <is>
          <t>M</t>
        </is>
      </c>
      <c r="K552" t="n">
        <v>2024</v>
      </c>
      <c r="L552" t="n">
        <v>2</v>
      </c>
      <c r="M552" t="inlineStr">
        <is>
          <t>Todos</t>
        </is>
      </c>
      <c r="N552" t="inlineStr">
        <is>
          <t>Loja de Conveniência</t>
        </is>
      </c>
      <c r="O552" t="n">
        <v>1</v>
      </c>
      <c r="P552" t="n">
        <v>1</v>
      </c>
      <c r="Q552" t="n">
        <v>0</v>
      </c>
    </row>
    <row r="553">
      <c r="A553" t="n">
        <v>2024</v>
      </c>
      <c r="B553" t="n">
        <v>10</v>
      </c>
      <c r="C553" t="inlineStr">
        <is>
          <t>Muçarela Mozzana 2 kg</t>
        </is>
      </c>
      <c r="D553" t="inlineStr">
        <is>
          <t>Loja de Conveniência</t>
        </is>
      </c>
      <c r="E553" t="n">
        <v>777.1</v>
      </c>
      <c r="F553" t="n">
        <v>38.38</v>
      </c>
      <c r="G553" t="n">
        <v>19</v>
      </c>
      <c r="J553" t="inlineStr">
        <is>
          <t>A</t>
        </is>
      </c>
      <c r="K553" t="n">
        <v>2024</v>
      </c>
      <c r="L553" t="n">
        <v>3</v>
      </c>
      <c r="M553" t="inlineStr">
        <is>
          <t>Todos</t>
        </is>
      </c>
      <c r="N553" t="inlineStr">
        <is>
          <t>Loja de Conveniência</t>
        </is>
      </c>
      <c r="O553" t="n">
        <v>1</v>
      </c>
      <c r="P553" t="n">
        <v>2</v>
      </c>
      <c r="Q553" t="n">
        <v>1</v>
      </c>
    </row>
    <row r="554">
      <c r="A554" t="n">
        <v>2024</v>
      </c>
      <c r="B554" t="n">
        <v>10</v>
      </c>
      <c r="C554" t="inlineStr">
        <is>
          <t>Muçarela Mozzana 2 kg</t>
        </is>
      </c>
      <c r="D554" t="inlineStr">
        <is>
          <t>Mercearia / Sacolão</t>
        </is>
      </c>
      <c r="E554" t="n">
        <v>1121.13</v>
      </c>
      <c r="F554" t="n">
        <v>54.54</v>
      </c>
      <c r="G554" t="n">
        <v>27</v>
      </c>
      <c r="J554" t="inlineStr">
        <is>
          <t>A</t>
        </is>
      </c>
      <c r="K554" t="n">
        <v>2024</v>
      </c>
      <c r="L554" t="n">
        <v>4</v>
      </c>
      <c r="M554" t="inlineStr">
        <is>
          <t>Todos</t>
        </is>
      </c>
      <c r="N554" t="inlineStr">
        <is>
          <t>Loja de Conveniência</t>
        </is>
      </c>
      <c r="O554" t="n">
        <v>1</v>
      </c>
      <c r="P554" t="n">
        <v>3</v>
      </c>
      <c r="Q554" t="n">
        <v>1</v>
      </c>
    </row>
    <row r="555">
      <c r="A555" t="n">
        <v>2024</v>
      </c>
      <c r="B555" t="n">
        <v>10</v>
      </c>
      <c r="C555" t="inlineStr">
        <is>
          <t>Muçarela Mozzana 2 kg</t>
        </is>
      </c>
      <c r="D555" t="inlineStr">
        <is>
          <t>Não Selecionado</t>
        </is>
      </c>
      <c r="E555" t="n">
        <v>194.5</v>
      </c>
      <c r="F555" t="n">
        <v>10.1</v>
      </c>
      <c r="G555" t="n">
        <v>5</v>
      </c>
      <c r="J555" t="inlineStr">
        <is>
          <t>M</t>
        </is>
      </c>
      <c r="K555" t="n">
        <v>2024</v>
      </c>
      <c r="L555" t="n">
        <v>4</v>
      </c>
      <c r="M555" t="inlineStr">
        <is>
          <t>Todos</t>
        </is>
      </c>
      <c r="N555" t="inlineStr">
        <is>
          <t>Loja de Conveniência</t>
        </is>
      </c>
      <c r="O555" t="n">
        <v>1</v>
      </c>
      <c r="P555" t="n">
        <v>1</v>
      </c>
      <c r="Q555" t="n">
        <v>0</v>
      </c>
    </row>
    <row r="556">
      <c r="A556" t="n">
        <v>2024</v>
      </c>
      <c r="B556" t="n">
        <v>10</v>
      </c>
      <c r="C556" t="inlineStr">
        <is>
          <t>Muçarela Mozzana 2 kg</t>
        </is>
      </c>
      <c r="D556" t="inlineStr">
        <is>
          <t>Outros</t>
        </is>
      </c>
      <c r="E556" t="n">
        <v>17793.63</v>
      </c>
      <c r="F556" t="n">
        <v>882.74</v>
      </c>
      <c r="G556" t="n">
        <v>437</v>
      </c>
      <c r="J556" t="inlineStr">
        <is>
          <t>A</t>
        </is>
      </c>
      <c r="K556" t="n">
        <v>2024</v>
      </c>
      <c r="L556" t="n">
        <v>5</v>
      </c>
      <c r="M556" t="inlineStr">
        <is>
          <t>Todos</t>
        </is>
      </c>
      <c r="N556" t="inlineStr">
        <is>
          <t>Loja de Conveniência</t>
        </is>
      </c>
      <c r="O556" t="n">
        <v>1</v>
      </c>
      <c r="P556" t="n">
        <v>3</v>
      </c>
      <c r="Q556" t="n">
        <v>1</v>
      </c>
    </row>
    <row r="557">
      <c r="A557" t="n">
        <v>2024</v>
      </c>
      <c r="B557" t="n">
        <v>10</v>
      </c>
      <c r="C557" t="inlineStr">
        <is>
          <t>Muçarela Mozzana 2 kg</t>
        </is>
      </c>
      <c r="D557" t="inlineStr">
        <is>
          <t>Padaria</t>
        </is>
      </c>
      <c r="E557" t="n">
        <v>5408.21</v>
      </c>
      <c r="F557" t="n">
        <v>264.62</v>
      </c>
      <c r="G557" t="n">
        <v>131</v>
      </c>
      <c r="J557" t="inlineStr">
        <is>
          <t>A</t>
        </is>
      </c>
      <c r="K557" t="n">
        <v>2024</v>
      </c>
      <c r="L557" t="n">
        <v>6</v>
      </c>
      <c r="M557" t="inlineStr">
        <is>
          <t>Todos</t>
        </is>
      </c>
      <c r="N557" t="inlineStr">
        <is>
          <t>Loja de Conveniência</t>
        </is>
      </c>
      <c r="O557" t="n">
        <v>1</v>
      </c>
      <c r="P557" t="n">
        <v>3</v>
      </c>
      <c r="Q557" t="n">
        <v>1</v>
      </c>
    </row>
    <row r="558">
      <c r="A558" t="n">
        <v>2024</v>
      </c>
      <c r="B558" t="n">
        <v>10</v>
      </c>
      <c r="C558" t="inlineStr">
        <is>
          <t>Muçarela Mozzana 2 kg</t>
        </is>
      </c>
      <c r="D558" t="inlineStr">
        <is>
          <t>Pastelaria</t>
        </is>
      </c>
      <c r="E558" t="n">
        <v>12012.34</v>
      </c>
      <c r="F558" t="n">
        <v>595.9</v>
      </c>
      <c r="G558" t="n">
        <v>295</v>
      </c>
      <c r="J558" t="inlineStr">
        <is>
          <t>A</t>
        </is>
      </c>
      <c r="K558" t="n">
        <v>2024</v>
      </c>
      <c r="L558" t="n">
        <v>7</v>
      </c>
      <c r="M558" t="inlineStr">
        <is>
          <t>Todos</t>
        </is>
      </c>
      <c r="N558" t="inlineStr">
        <is>
          <t>Loja de Conveniência</t>
        </is>
      </c>
      <c r="O558" t="n">
        <v>1</v>
      </c>
      <c r="P558" t="n">
        <v>3</v>
      </c>
      <c r="Q558" t="n">
        <v>1</v>
      </c>
    </row>
    <row r="559">
      <c r="A559" t="n">
        <v>2024</v>
      </c>
      <c r="B559" t="n">
        <v>10</v>
      </c>
      <c r="C559" t="inlineStr">
        <is>
          <t>Muçarela Mozzana 2 kg</t>
        </is>
      </c>
      <c r="D559" t="inlineStr">
        <is>
          <t>Pessoa Física</t>
        </is>
      </c>
      <c r="E559" t="n">
        <v>8325.92</v>
      </c>
      <c r="F559" t="n">
        <v>406.02</v>
      </c>
      <c r="G559" t="n">
        <v>201</v>
      </c>
      <c r="J559" t="inlineStr">
        <is>
          <t>A</t>
        </is>
      </c>
      <c r="K559" t="n">
        <v>2024</v>
      </c>
      <c r="L559" t="n">
        <v>8</v>
      </c>
      <c r="M559" t="inlineStr">
        <is>
          <t>Todos</t>
        </is>
      </c>
      <c r="N559" t="inlineStr">
        <is>
          <t>Loja de Conveniência</t>
        </is>
      </c>
      <c r="O559" t="n">
        <v>1</v>
      </c>
      <c r="P559" t="n">
        <v>3</v>
      </c>
      <c r="Q559" t="n">
        <v>1</v>
      </c>
    </row>
    <row r="560">
      <c r="A560" t="n">
        <v>2024</v>
      </c>
      <c r="B560" t="n">
        <v>10</v>
      </c>
      <c r="C560" t="inlineStr">
        <is>
          <t>Muçarela Mozzana 2 kg</t>
        </is>
      </c>
      <c r="D560" t="inlineStr">
        <is>
          <t>Pizzaria</t>
        </is>
      </c>
      <c r="E560" t="n">
        <v>130223.47</v>
      </c>
      <c r="F560" t="n">
        <v>6421.58</v>
      </c>
      <c r="G560" t="n">
        <v>3179</v>
      </c>
      <c r="J560" t="inlineStr">
        <is>
          <t>A</t>
        </is>
      </c>
      <c r="K560" t="n">
        <v>2024</v>
      </c>
      <c r="L560" t="n">
        <v>9</v>
      </c>
      <c r="M560" t="inlineStr">
        <is>
          <t>Todos</t>
        </is>
      </c>
      <c r="N560" t="inlineStr">
        <is>
          <t>Loja de Conveniência</t>
        </is>
      </c>
      <c r="O560" t="n">
        <v>1</v>
      </c>
      <c r="P560" t="n">
        <v>3</v>
      </c>
      <c r="Q560" t="n">
        <v>1</v>
      </c>
    </row>
    <row r="561">
      <c r="A561" t="n">
        <v>2024</v>
      </c>
      <c r="B561" t="n">
        <v>10</v>
      </c>
      <c r="C561" t="inlineStr">
        <is>
          <t>Muçarela Mozzana 2 kg</t>
        </is>
      </c>
      <c r="D561" t="inlineStr">
        <is>
          <t>Restaurante / Cantina</t>
        </is>
      </c>
      <c r="E561" t="n">
        <v>17309.26</v>
      </c>
      <c r="F561" t="n">
        <v>862.54</v>
      </c>
      <c r="G561" t="n">
        <v>427</v>
      </c>
      <c r="J561" t="inlineStr">
        <is>
          <t>A</t>
        </is>
      </c>
      <c r="K561" t="n">
        <v>2024</v>
      </c>
      <c r="L561" t="n">
        <v>10</v>
      </c>
      <c r="M561" t="inlineStr">
        <is>
          <t>Todos</t>
        </is>
      </c>
      <c r="N561" t="inlineStr">
        <is>
          <t>Loja de Conveniência</t>
        </is>
      </c>
      <c r="O561" t="n">
        <v>2</v>
      </c>
      <c r="P561" t="n">
        <v>5</v>
      </c>
      <c r="Q561" t="n">
        <v>2</v>
      </c>
    </row>
    <row r="562">
      <c r="A562" t="n">
        <v>2024</v>
      </c>
      <c r="B562" t="n">
        <v>10</v>
      </c>
      <c r="C562" t="inlineStr">
        <is>
          <t>Muçarela Mozzana 2 kg</t>
        </is>
      </c>
      <c r="D562" t="inlineStr">
        <is>
          <t>Rotisserie</t>
        </is>
      </c>
      <c r="E562" t="n">
        <v>38.95</v>
      </c>
      <c r="F562" t="n">
        <v>2.02</v>
      </c>
      <c r="G562" t="n">
        <v>1</v>
      </c>
      <c r="J562" t="inlineStr">
        <is>
          <t>M</t>
        </is>
      </c>
      <c r="K562" t="n">
        <v>2024</v>
      </c>
      <c r="L562" t="n">
        <v>10</v>
      </c>
      <c r="M562" t="inlineStr">
        <is>
          <t>Todos</t>
        </is>
      </c>
      <c r="N562" t="inlineStr">
        <is>
          <t>Loja de Conveniência</t>
        </is>
      </c>
      <c r="O562" t="n">
        <v>2</v>
      </c>
      <c r="P562" t="n">
        <v>2</v>
      </c>
      <c r="Q562" t="n">
        <v>0</v>
      </c>
    </row>
    <row r="563">
      <c r="A563" t="n">
        <v>2024</v>
      </c>
      <c r="B563" t="n">
        <v>10</v>
      </c>
      <c r="C563" t="inlineStr">
        <is>
          <t>Muçarela Mozzana 2 kg</t>
        </is>
      </c>
      <c r="D563" t="inlineStr">
        <is>
          <t>Supermercado</t>
        </is>
      </c>
      <c r="E563" t="n">
        <v>5246.82</v>
      </c>
      <c r="F563" t="n">
        <v>248.46</v>
      </c>
      <c r="G563" t="n">
        <v>123</v>
      </c>
      <c r="J563" t="inlineStr">
        <is>
          <t>A</t>
        </is>
      </c>
      <c r="K563" t="n">
        <v>2024</v>
      </c>
      <c r="L563" t="n">
        <v>11</v>
      </c>
      <c r="M563" t="inlineStr">
        <is>
          <t>Todos</t>
        </is>
      </c>
      <c r="N563" t="inlineStr">
        <is>
          <t>Loja de Conveniência</t>
        </is>
      </c>
      <c r="O563" t="n">
        <v>2</v>
      </c>
      <c r="P563" t="n">
        <v>6</v>
      </c>
      <c r="Q563" t="n">
        <v>2</v>
      </c>
    </row>
    <row r="564">
      <c r="A564" t="n">
        <v>2024</v>
      </c>
      <c r="B564" t="n">
        <v>10</v>
      </c>
      <c r="C564" t="inlineStr">
        <is>
          <t>Parmesão ralado Parmozzana 1 kg</t>
        </is>
      </c>
      <c r="D564" t="inlineStr">
        <is>
          <t>Bar / Chopperia</t>
        </is>
      </c>
      <c r="E564" t="n">
        <v>104.81</v>
      </c>
      <c r="F564" t="n">
        <v>3.06</v>
      </c>
      <c r="G564" t="n">
        <v>3</v>
      </c>
      <c r="J564" t="inlineStr">
        <is>
          <t>M</t>
        </is>
      </c>
      <c r="K564" t="n">
        <v>2024</v>
      </c>
      <c r="L564" t="n">
        <v>11</v>
      </c>
      <c r="M564" t="inlineStr">
        <is>
          <t>Todos</t>
        </is>
      </c>
      <c r="N564" t="inlineStr">
        <is>
          <t>Loja de Conveniência</t>
        </is>
      </c>
      <c r="O564" t="n">
        <v>1</v>
      </c>
      <c r="P564" t="n">
        <v>1</v>
      </c>
      <c r="Q564" t="n">
        <v>0</v>
      </c>
    </row>
    <row r="565">
      <c r="A565" t="n">
        <v>2024</v>
      </c>
      <c r="B565" t="n">
        <v>10</v>
      </c>
      <c r="C565" t="inlineStr">
        <is>
          <t>Parmesão ralado Parmozzana 1 kg</t>
        </is>
      </c>
      <c r="D565" t="inlineStr">
        <is>
          <t>Pastelaria</t>
        </is>
      </c>
      <c r="E565" t="n">
        <v>36.06</v>
      </c>
      <c r="F565" t="n">
        <v>1.02</v>
      </c>
      <c r="G565" t="n">
        <v>1</v>
      </c>
      <c r="J565" t="inlineStr">
        <is>
          <t>A</t>
        </is>
      </c>
      <c r="K565" t="n">
        <v>2024</v>
      </c>
      <c r="L565" t="n">
        <v>12</v>
      </c>
      <c r="M565" t="inlineStr">
        <is>
          <t>Todos</t>
        </is>
      </c>
      <c r="N565" t="inlineStr">
        <is>
          <t>Loja de Conveniência</t>
        </is>
      </c>
      <c r="O565" t="n">
        <v>2</v>
      </c>
      <c r="P565" t="n">
        <v>6</v>
      </c>
      <c r="Q565" t="n">
        <v>2</v>
      </c>
    </row>
    <row r="566">
      <c r="A566" t="n">
        <v>2024</v>
      </c>
      <c r="B566" t="n">
        <v>10</v>
      </c>
      <c r="C566" t="inlineStr">
        <is>
          <t>Parmesão ralado Parmozzana 1 kg</t>
        </is>
      </c>
      <c r="D566" t="inlineStr">
        <is>
          <t>Pizzaria</t>
        </is>
      </c>
      <c r="E566" t="n">
        <v>901.7</v>
      </c>
      <c r="F566" t="n">
        <v>26.52</v>
      </c>
      <c r="G566" t="n">
        <v>26</v>
      </c>
      <c r="J566" t="inlineStr">
        <is>
          <t>A</t>
        </is>
      </c>
      <c r="K566" t="n">
        <v>2024</v>
      </c>
      <c r="L566" t="n">
        <v>1</v>
      </c>
      <c r="M566" t="inlineStr">
        <is>
          <t>Todos</t>
        </is>
      </c>
      <c r="N566" t="inlineStr">
        <is>
          <t>Hospital / Casa de Repouso</t>
        </is>
      </c>
      <c r="O566" t="n">
        <v>1</v>
      </c>
      <c r="P566" t="n">
        <v>1</v>
      </c>
      <c r="Q566" t="n">
        <v>1</v>
      </c>
    </row>
    <row r="567">
      <c r="A567" t="n">
        <v>2024</v>
      </c>
      <c r="B567" t="n">
        <v>10</v>
      </c>
      <c r="C567" t="inlineStr">
        <is>
          <t>Parmesão ralado Parmozzana 1 kg</t>
        </is>
      </c>
      <c r="D567" t="inlineStr">
        <is>
          <t>Restaurante / Cantina</t>
        </is>
      </c>
      <c r="E567" t="n">
        <v>426.79</v>
      </c>
      <c r="F567" t="n">
        <v>12.24</v>
      </c>
      <c r="G567" t="n">
        <v>12</v>
      </c>
      <c r="J567" t="inlineStr">
        <is>
          <t>M</t>
        </is>
      </c>
      <c r="K567" t="n">
        <v>2024</v>
      </c>
      <c r="L567" t="n">
        <v>1</v>
      </c>
      <c r="M567" t="inlineStr">
        <is>
          <t>Todos</t>
        </is>
      </c>
      <c r="N567" t="inlineStr">
        <is>
          <t>Hospital / Casa de Repouso</t>
        </is>
      </c>
      <c r="O567" t="n">
        <v>1</v>
      </c>
      <c r="P567" t="n">
        <v>1</v>
      </c>
      <c r="Q567" t="n">
        <v>0</v>
      </c>
    </row>
    <row r="568">
      <c r="A568" t="n">
        <v>2024</v>
      </c>
      <c r="B568" t="n">
        <v>10</v>
      </c>
      <c r="C568" t="inlineStr">
        <is>
          <t>Parmesão ralado Parmozzana 1 kg</t>
        </is>
      </c>
      <c r="D568" t="inlineStr">
        <is>
          <t>Rotisserie</t>
        </is>
      </c>
      <c r="E568" t="n">
        <v>36.6</v>
      </c>
      <c r="F568" t="n">
        <v>1.02</v>
      </c>
      <c r="G568" t="n">
        <v>1</v>
      </c>
      <c r="J568" t="inlineStr">
        <is>
          <t>A</t>
        </is>
      </c>
      <c r="K568" t="n">
        <v>2024</v>
      </c>
      <c r="L568" t="n">
        <v>2</v>
      </c>
      <c r="M568" t="inlineStr">
        <is>
          <t>Todos</t>
        </is>
      </c>
      <c r="N568" t="inlineStr">
        <is>
          <t>Hospital / Casa de Repouso</t>
        </is>
      </c>
      <c r="O568" t="n">
        <v>1</v>
      </c>
      <c r="P568" t="n">
        <v>2</v>
      </c>
      <c r="Q568" t="n">
        <v>1</v>
      </c>
    </row>
    <row r="569">
      <c r="A569" t="n">
        <v>2024</v>
      </c>
      <c r="B569" t="n">
        <v>10</v>
      </c>
      <c r="C569" t="inlineStr">
        <is>
          <t>Requeijão Pizzalet 1,8 kg</t>
        </is>
      </c>
      <c r="D569" t="inlineStr">
        <is>
          <t>Bar / Chopperia</t>
        </is>
      </c>
      <c r="E569" t="n">
        <v>291.54</v>
      </c>
      <c r="F569" t="n">
        <v>38.64</v>
      </c>
      <c r="G569" t="n">
        <v>21</v>
      </c>
      <c r="J569" t="inlineStr">
        <is>
          <t>M</t>
        </is>
      </c>
      <c r="K569" t="n">
        <v>2024</v>
      </c>
      <c r="L569" t="n">
        <v>2</v>
      </c>
      <c r="M569" t="inlineStr">
        <is>
          <t>Todos</t>
        </is>
      </c>
      <c r="N569" t="inlineStr">
        <is>
          <t>Hospital / Casa de Repouso</t>
        </is>
      </c>
      <c r="O569" t="n">
        <v>1</v>
      </c>
      <c r="P569" t="n">
        <v>1</v>
      </c>
      <c r="Q569" t="n">
        <v>0</v>
      </c>
    </row>
    <row r="570">
      <c r="A570" t="n">
        <v>2024</v>
      </c>
      <c r="B570" t="n">
        <v>10</v>
      </c>
      <c r="C570" t="inlineStr">
        <is>
          <t>Requeijão Pizzalet 1,8 kg</t>
        </is>
      </c>
      <c r="D570" t="inlineStr">
        <is>
          <t>Lanchonete / Cafeteria</t>
        </is>
      </c>
      <c r="E570" t="n">
        <v>1548.26</v>
      </c>
      <c r="F570" t="n">
        <v>204.24</v>
      </c>
      <c r="G570" t="n">
        <v>111</v>
      </c>
      <c r="J570" t="inlineStr">
        <is>
          <t>A</t>
        </is>
      </c>
      <c r="K570" t="n">
        <v>2024</v>
      </c>
      <c r="L570" t="n">
        <v>3</v>
      </c>
      <c r="M570" t="inlineStr">
        <is>
          <t>Todos</t>
        </is>
      </c>
      <c r="N570" t="inlineStr">
        <is>
          <t>Hospital / Casa de Repouso</t>
        </is>
      </c>
      <c r="O570" t="n">
        <v>1</v>
      </c>
      <c r="P570" t="n">
        <v>2</v>
      </c>
      <c r="Q570" t="n">
        <v>1</v>
      </c>
    </row>
    <row r="571">
      <c r="A571" t="n">
        <v>2024</v>
      </c>
      <c r="B571" t="n">
        <v>10</v>
      </c>
      <c r="C571" t="inlineStr">
        <is>
          <t>Requeijão Pizzalet 1,8 kg</t>
        </is>
      </c>
      <c r="D571" t="inlineStr">
        <is>
          <t>Pastelaria</t>
        </is>
      </c>
      <c r="E571" t="n">
        <v>1919.24</v>
      </c>
      <c r="F571" t="n">
        <v>250.24</v>
      </c>
      <c r="G571" t="n">
        <v>136</v>
      </c>
      <c r="J571" t="inlineStr">
        <is>
          <t>A</t>
        </is>
      </c>
      <c r="K571" t="n">
        <v>2024</v>
      </c>
      <c r="L571" t="n">
        <v>4</v>
      </c>
      <c r="M571" t="inlineStr">
        <is>
          <t>Todos</t>
        </is>
      </c>
      <c r="N571" t="inlineStr">
        <is>
          <t>Hospital / Casa de Repouso</t>
        </is>
      </c>
      <c r="O571" t="n">
        <v>1</v>
      </c>
      <c r="P571" t="n">
        <v>2</v>
      </c>
      <c r="Q571" t="n">
        <v>1</v>
      </c>
    </row>
    <row r="572">
      <c r="A572" t="n">
        <v>2024</v>
      </c>
      <c r="B572" t="n">
        <v>10</v>
      </c>
      <c r="C572" t="inlineStr">
        <is>
          <t>Requeijão Pizzalet 1,8 kg</t>
        </is>
      </c>
      <c r="D572" t="inlineStr">
        <is>
          <t>Pizzaria</t>
        </is>
      </c>
      <c r="E572" t="n">
        <v>5632.45</v>
      </c>
      <c r="F572" t="n">
        <v>730.48</v>
      </c>
      <c r="G572" t="n">
        <v>397</v>
      </c>
      <c r="J572" t="inlineStr">
        <is>
          <t>A</t>
        </is>
      </c>
      <c r="K572" t="n">
        <v>2024</v>
      </c>
      <c r="L572" t="n">
        <v>5</v>
      </c>
      <c r="M572" t="inlineStr">
        <is>
          <t>Todos</t>
        </is>
      </c>
      <c r="N572" t="inlineStr">
        <is>
          <t>Hospital / Casa de Repouso</t>
        </is>
      </c>
      <c r="O572" t="n">
        <v>1</v>
      </c>
      <c r="P572" t="n">
        <v>2</v>
      </c>
      <c r="Q572" t="n">
        <v>1</v>
      </c>
    </row>
    <row r="573">
      <c r="A573" t="n">
        <v>2024</v>
      </c>
      <c r="B573" t="n">
        <v>10</v>
      </c>
      <c r="C573" t="inlineStr">
        <is>
          <t>Requeijão Pizzalet 1,8 kg</t>
        </is>
      </c>
      <c r="D573" t="inlineStr">
        <is>
          <t>Restaurante / Cantina</t>
        </is>
      </c>
      <c r="E573" t="n">
        <v>223.84</v>
      </c>
      <c r="F573" t="n">
        <v>29.44</v>
      </c>
      <c r="G573" t="n">
        <v>16</v>
      </c>
      <c r="J573" t="inlineStr">
        <is>
          <t>A</t>
        </is>
      </c>
      <c r="K573" t="n">
        <v>2024</v>
      </c>
      <c r="L573" t="n">
        <v>6</v>
      </c>
      <c r="M573" t="inlineStr">
        <is>
          <t>Todos</t>
        </is>
      </c>
      <c r="N573" t="inlineStr">
        <is>
          <t>Hospital / Casa de Repouso</t>
        </is>
      </c>
      <c r="O573" t="n">
        <v>1</v>
      </c>
      <c r="P573" t="n">
        <v>2</v>
      </c>
      <c r="Q573" t="n">
        <v>1</v>
      </c>
    </row>
    <row r="574">
      <c r="A574" t="n">
        <v>2024</v>
      </c>
      <c r="B574" t="n">
        <v>11</v>
      </c>
      <c r="C574" t="inlineStr">
        <is>
          <t>Chocolate em pó 50% 1 kg</t>
        </is>
      </c>
      <c r="D574" t="inlineStr">
        <is>
          <t>Churrascaria</t>
        </is>
      </c>
      <c r="E574" t="n">
        <v>73.04000000000001</v>
      </c>
      <c r="F574" t="n">
        <v>2.04</v>
      </c>
      <c r="G574" t="n">
        <v>2</v>
      </c>
      <c r="J574" t="inlineStr">
        <is>
          <t>A</t>
        </is>
      </c>
      <c r="K574" t="n">
        <v>2024</v>
      </c>
      <c r="L574" t="n">
        <v>7</v>
      </c>
      <c r="M574" t="inlineStr">
        <is>
          <t>Todos</t>
        </is>
      </c>
      <c r="N574" t="inlineStr">
        <is>
          <t>Hospital / Casa de Repouso</t>
        </is>
      </c>
      <c r="O574" t="n">
        <v>1</v>
      </c>
      <c r="P574" t="n">
        <v>2</v>
      </c>
      <c r="Q574" t="n">
        <v>1</v>
      </c>
    </row>
    <row r="575">
      <c r="A575" t="n">
        <v>2024</v>
      </c>
      <c r="B575" t="n">
        <v>11</v>
      </c>
      <c r="C575" t="inlineStr">
        <is>
          <t>Chocolate em pó 50% 1 kg</t>
        </is>
      </c>
      <c r="D575" t="inlineStr">
        <is>
          <t>Cozinha Industrial</t>
        </is>
      </c>
      <c r="E575" t="n">
        <v>109.65</v>
      </c>
      <c r="F575" t="n">
        <v>3.06</v>
      </c>
      <c r="G575" t="n">
        <v>3</v>
      </c>
      <c r="J575" t="inlineStr">
        <is>
          <t>A</t>
        </is>
      </c>
      <c r="K575" t="n">
        <v>2024</v>
      </c>
      <c r="L575" t="n">
        <v>8</v>
      </c>
      <c r="M575" t="inlineStr">
        <is>
          <t>Todos</t>
        </is>
      </c>
      <c r="N575" t="inlineStr">
        <is>
          <t>Hospital / Casa de Repouso</t>
        </is>
      </c>
      <c r="O575" t="n">
        <v>1</v>
      </c>
      <c r="P575" t="n">
        <v>2</v>
      </c>
      <c r="Q575" t="n">
        <v>1</v>
      </c>
    </row>
    <row r="576">
      <c r="A576" t="n">
        <v>2024</v>
      </c>
      <c r="B576" t="n">
        <v>11</v>
      </c>
      <c r="C576" t="inlineStr">
        <is>
          <t>Chocolate em pó 50% 1 kg</t>
        </is>
      </c>
      <c r="D576" t="inlineStr">
        <is>
          <t>Hotel / Motel / Pousada</t>
        </is>
      </c>
      <c r="E576" t="n">
        <v>865.99</v>
      </c>
      <c r="F576" t="n">
        <v>24.48</v>
      </c>
      <c r="G576" t="n">
        <v>24</v>
      </c>
      <c r="J576" t="inlineStr">
        <is>
          <t>A</t>
        </is>
      </c>
      <c r="K576" t="n">
        <v>2024</v>
      </c>
      <c r="L576" t="n">
        <v>9</v>
      </c>
      <c r="M576" t="inlineStr">
        <is>
          <t>Todos</t>
        </is>
      </c>
      <c r="N576" t="inlineStr">
        <is>
          <t>Hospital / Casa de Repouso</t>
        </is>
      </c>
      <c r="O576" t="n">
        <v>1</v>
      </c>
      <c r="P576" t="n">
        <v>2</v>
      </c>
      <c r="Q576" t="n">
        <v>1</v>
      </c>
    </row>
    <row r="577">
      <c r="A577" t="n">
        <v>2024</v>
      </c>
      <c r="B577" t="n">
        <v>11</v>
      </c>
      <c r="C577" t="inlineStr">
        <is>
          <t>Chocolate em pó 50% 1 kg</t>
        </is>
      </c>
      <c r="D577" t="inlineStr">
        <is>
          <t>Lanchonete / Cafeteria</t>
        </is>
      </c>
      <c r="E577" t="n">
        <v>253.75</v>
      </c>
      <c r="F577" t="n">
        <v>7.14</v>
      </c>
      <c r="G577" t="n">
        <v>7</v>
      </c>
      <c r="J577" t="inlineStr">
        <is>
          <t>A</t>
        </is>
      </c>
      <c r="K577" t="n">
        <v>2024</v>
      </c>
      <c r="L577" t="n">
        <v>10</v>
      </c>
      <c r="M577" t="inlineStr">
        <is>
          <t>Todos</t>
        </is>
      </c>
      <c r="N577" t="inlineStr">
        <is>
          <t>Hospital / Casa de Repouso</t>
        </is>
      </c>
      <c r="O577" t="n">
        <v>1</v>
      </c>
      <c r="P577" t="n">
        <v>2</v>
      </c>
      <c r="Q577" t="n">
        <v>1</v>
      </c>
    </row>
    <row r="578">
      <c r="A578" t="n">
        <v>2024</v>
      </c>
      <c r="B578" t="n">
        <v>11</v>
      </c>
      <c r="C578" t="inlineStr">
        <is>
          <t>Chocolate em pó 50% 1 kg</t>
        </is>
      </c>
      <c r="D578" t="inlineStr">
        <is>
          <t>Outros</t>
        </is>
      </c>
      <c r="E578" t="n">
        <v>217.25</v>
      </c>
      <c r="F578" t="n">
        <v>6.12</v>
      </c>
      <c r="G578" t="n">
        <v>6</v>
      </c>
      <c r="J578" t="inlineStr">
        <is>
          <t>A</t>
        </is>
      </c>
      <c r="K578" t="n">
        <v>2024</v>
      </c>
      <c r="L578" t="n">
        <v>11</v>
      </c>
      <c r="M578" t="inlineStr">
        <is>
          <t>Todos</t>
        </is>
      </c>
      <c r="N578" t="inlineStr">
        <is>
          <t>Hospital / Casa de Repouso</t>
        </is>
      </c>
      <c r="O578" t="n">
        <v>1</v>
      </c>
      <c r="P578" t="n">
        <v>2</v>
      </c>
      <c r="Q578" t="n">
        <v>1</v>
      </c>
    </row>
    <row r="579">
      <c r="A579" t="n">
        <v>2024</v>
      </c>
      <c r="B579" t="n">
        <v>11</v>
      </c>
      <c r="C579" t="inlineStr">
        <is>
          <t>Chocolate em pó 50% 1 kg</t>
        </is>
      </c>
      <c r="D579" t="inlineStr">
        <is>
          <t>Padaria</t>
        </is>
      </c>
      <c r="E579" t="n">
        <v>216.5</v>
      </c>
      <c r="F579" t="n">
        <v>6.12</v>
      </c>
      <c r="G579" t="n">
        <v>6</v>
      </c>
      <c r="J579" t="inlineStr">
        <is>
          <t>A</t>
        </is>
      </c>
      <c r="K579" t="n">
        <v>2024</v>
      </c>
      <c r="L579" t="n">
        <v>12</v>
      </c>
      <c r="M579" t="inlineStr">
        <is>
          <t>Todos</t>
        </is>
      </c>
      <c r="N579" t="inlineStr">
        <is>
          <t>Hospital / Casa de Repouso</t>
        </is>
      </c>
      <c r="O579" t="n">
        <v>1</v>
      </c>
      <c r="P579" t="n">
        <v>2</v>
      </c>
      <c r="Q579" t="n">
        <v>1</v>
      </c>
    </row>
    <row r="580">
      <c r="A580" t="n">
        <v>2024</v>
      </c>
      <c r="B580" t="n">
        <v>11</v>
      </c>
      <c r="C580" t="inlineStr">
        <is>
          <t>Chocolate em pó 50% 1 kg</t>
        </is>
      </c>
      <c r="D580" t="inlineStr">
        <is>
          <t>Pizzaria</t>
        </is>
      </c>
      <c r="E580" t="n">
        <v>145.54</v>
      </c>
      <c r="F580" t="n">
        <v>4.08</v>
      </c>
      <c r="G580" t="n">
        <v>4</v>
      </c>
      <c r="J580" t="inlineStr">
        <is>
          <t>A</t>
        </is>
      </c>
      <c r="K580" t="n">
        <v>2024</v>
      </c>
      <c r="L580" t="n">
        <v>1</v>
      </c>
      <c r="M580" t="inlineStr">
        <is>
          <t>Todos</t>
        </is>
      </c>
      <c r="N580" t="inlineStr">
        <is>
          <t>Casa Noturna</t>
        </is>
      </c>
      <c r="O580" t="n">
        <v>2</v>
      </c>
      <c r="P580" t="n">
        <v>2</v>
      </c>
      <c r="Q580" t="n">
        <v>2</v>
      </c>
    </row>
    <row r="581">
      <c r="A581" t="n">
        <v>2024</v>
      </c>
      <c r="B581" t="n">
        <v>11</v>
      </c>
      <c r="C581" t="inlineStr">
        <is>
          <t>Chocolate em pó 50% 1 kg</t>
        </is>
      </c>
      <c r="D581" t="inlineStr">
        <is>
          <t>Restaurante / Cantina</t>
        </is>
      </c>
      <c r="E581" t="n">
        <v>688.97</v>
      </c>
      <c r="F581" t="n">
        <v>19.38</v>
      </c>
      <c r="G581" t="n">
        <v>19</v>
      </c>
      <c r="J581" t="inlineStr">
        <is>
          <t>M</t>
        </is>
      </c>
      <c r="K581" t="n">
        <v>2024</v>
      </c>
      <c r="L581" t="n">
        <v>1</v>
      </c>
      <c r="M581" t="inlineStr">
        <is>
          <t>Todos</t>
        </is>
      </c>
      <c r="N581" t="inlineStr">
        <is>
          <t>Casa Noturna</t>
        </is>
      </c>
      <c r="O581" t="n">
        <v>2</v>
      </c>
      <c r="P581" t="n">
        <v>2</v>
      </c>
      <c r="Q581" t="n">
        <v>0</v>
      </c>
    </row>
    <row r="582">
      <c r="A582" t="n">
        <v>2024</v>
      </c>
      <c r="B582" t="n">
        <v>11</v>
      </c>
      <c r="C582" t="inlineStr">
        <is>
          <t>Composto lácteo Alibralac 1 kg</t>
        </is>
      </c>
      <c r="D582" t="inlineStr">
        <is>
          <t>Hotel / Motel / Pousada</t>
        </is>
      </c>
      <c r="E582" t="n">
        <v>611.7</v>
      </c>
      <c r="F582" t="n">
        <v>30.6</v>
      </c>
      <c r="G582" t="n">
        <v>30</v>
      </c>
      <c r="J582" t="inlineStr">
        <is>
          <t>A</t>
        </is>
      </c>
      <c r="K582" t="n">
        <v>2024</v>
      </c>
      <c r="L582" t="n">
        <v>2</v>
      </c>
      <c r="M582" t="inlineStr">
        <is>
          <t>Todos</t>
        </is>
      </c>
      <c r="N582" t="inlineStr">
        <is>
          <t>Casa Noturna</t>
        </is>
      </c>
      <c r="O582" t="n">
        <v>2</v>
      </c>
      <c r="P582" t="n">
        <v>2</v>
      </c>
      <c r="Q582" t="n">
        <v>2</v>
      </c>
    </row>
    <row r="583">
      <c r="A583" t="n">
        <v>2024</v>
      </c>
      <c r="B583" t="n">
        <v>11</v>
      </c>
      <c r="C583" t="inlineStr">
        <is>
          <t>Composto lácteo Alibralac 1 kg</t>
        </is>
      </c>
      <c r="D583" t="inlineStr">
        <is>
          <t>Outros</t>
        </is>
      </c>
      <c r="E583" t="n">
        <v>20.39</v>
      </c>
      <c r="F583" t="n">
        <v>1.02</v>
      </c>
      <c r="G583" t="n">
        <v>1</v>
      </c>
      <c r="J583" t="inlineStr">
        <is>
          <t>A</t>
        </is>
      </c>
      <c r="K583" t="n">
        <v>2024</v>
      </c>
      <c r="L583" t="n">
        <v>3</v>
      </c>
      <c r="M583" t="inlineStr">
        <is>
          <t>Todos</t>
        </is>
      </c>
      <c r="N583" t="inlineStr">
        <is>
          <t>Casa Noturna</t>
        </is>
      </c>
      <c r="O583" t="n">
        <v>2</v>
      </c>
      <c r="P583" t="n">
        <v>2</v>
      </c>
      <c r="Q583" t="n">
        <v>2</v>
      </c>
    </row>
    <row r="584">
      <c r="A584" t="n">
        <v>2024</v>
      </c>
      <c r="B584" t="n">
        <v>11</v>
      </c>
      <c r="C584" t="inlineStr">
        <is>
          <t>Composto lácteo Alibralac 1 kg</t>
        </is>
      </c>
      <c r="D584" t="inlineStr">
        <is>
          <t>Padaria</t>
        </is>
      </c>
      <c r="E584" t="n">
        <v>201.9</v>
      </c>
      <c r="F584" t="n">
        <v>10.2</v>
      </c>
      <c r="G584" t="n">
        <v>10</v>
      </c>
      <c r="J584" t="inlineStr">
        <is>
          <t>A</t>
        </is>
      </c>
      <c r="K584" t="n">
        <v>2024</v>
      </c>
      <c r="L584" t="n">
        <v>4</v>
      </c>
      <c r="M584" t="inlineStr">
        <is>
          <t>Todos</t>
        </is>
      </c>
      <c r="N584" t="inlineStr">
        <is>
          <t>Casa Noturna</t>
        </is>
      </c>
      <c r="O584" t="n">
        <v>2</v>
      </c>
      <c r="P584" t="n">
        <v>2</v>
      </c>
      <c r="Q584" t="n">
        <v>2</v>
      </c>
    </row>
    <row r="585">
      <c r="A585" t="n">
        <v>2024</v>
      </c>
      <c r="B585" t="n">
        <v>11</v>
      </c>
      <c r="C585" t="inlineStr">
        <is>
          <t>Composto lácteo Alibralac 1 kg</t>
        </is>
      </c>
      <c r="D585" t="inlineStr">
        <is>
          <t>Pizzaria</t>
        </is>
      </c>
      <c r="E585" t="n">
        <v>1407.6</v>
      </c>
      <c r="F585" t="n">
        <v>71.40000000000001</v>
      </c>
      <c r="G585" t="n">
        <v>70</v>
      </c>
      <c r="J585" t="inlineStr">
        <is>
          <t>A</t>
        </is>
      </c>
      <c r="K585" t="n">
        <v>2024</v>
      </c>
      <c r="L585" t="n">
        <v>5</v>
      </c>
      <c r="M585" t="inlineStr">
        <is>
          <t>Todos</t>
        </is>
      </c>
      <c r="N585" t="inlineStr">
        <is>
          <t>Casa Noturna</t>
        </is>
      </c>
      <c r="O585" t="n">
        <v>2</v>
      </c>
      <c r="P585" t="n">
        <v>4</v>
      </c>
      <c r="Q585" t="n">
        <v>2</v>
      </c>
    </row>
    <row r="586">
      <c r="A586" t="n">
        <v>2024</v>
      </c>
      <c r="B586" t="n">
        <v>11</v>
      </c>
      <c r="C586" t="inlineStr">
        <is>
          <t>Composto lácteo Alibralac 1 kg</t>
        </is>
      </c>
      <c r="D586" t="inlineStr">
        <is>
          <t>Restaurante / Cantina</t>
        </is>
      </c>
      <c r="E586" t="n">
        <v>991.11</v>
      </c>
      <c r="F586" t="n">
        <v>49.98</v>
      </c>
      <c r="G586" t="n">
        <v>49</v>
      </c>
      <c r="J586" t="inlineStr">
        <is>
          <t>M</t>
        </is>
      </c>
      <c r="K586" t="n">
        <v>2024</v>
      </c>
      <c r="L586" t="n">
        <v>5</v>
      </c>
      <c r="M586" t="inlineStr">
        <is>
          <t>Todos</t>
        </is>
      </c>
      <c r="N586" t="inlineStr">
        <is>
          <t>Casa Noturna</t>
        </is>
      </c>
      <c r="O586" t="n">
        <v>1</v>
      </c>
      <c r="P586" t="n">
        <v>2</v>
      </c>
      <c r="Q586" t="n">
        <v>0</v>
      </c>
    </row>
    <row r="587">
      <c r="A587" t="n">
        <v>2024</v>
      </c>
      <c r="B587" t="n">
        <v>11</v>
      </c>
      <c r="C587" t="inlineStr">
        <is>
          <t>Composto lácteo Merilú 400 g</t>
        </is>
      </c>
      <c r="D587" t="inlineStr">
        <is>
          <t>Hamburgueria</t>
        </is>
      </c>
      <c r="E587" t="n">
        <v>251.97</v>
      </c>
      <c r="F587" t="n">
        <v>15.54</v>
      </c>
      <c r="G587" t="n">
        <v>37</v>
      </c>
      <c r="J587" t="inlineStr">
        <is>
          <t>A</t>
        </is>
      </c>
      <c r="K587" t="n">
        <v>2024</v>
      </c>
      <c r="L587" t="n">
        <v>6</v>
      </c>
      <c r="M587" t="inlineStr">
        <is>
          <t>Todos</t>
        </is>
      </c>
      <c r="N587" t="inlineStr">
        <is>
          <t>Casa Noturna</t>
        </is>
      </c>
      <c r="O587" t="n">
        <v>3</v>
      </c>
      <c r="P587" t="n">
        <v>5</v>
      </c>
      <c r="Q587" t="n">
        <v>3</v>
      </c>
    </row>
    <row r="588">
      <c r="A588" t="n">
        <v>2024</v>
      </c>
      <c r="B588" t="n">
        <v>11</v>
      </c>
      <c r="C588" t="inlineStr">
        <is>
          <t>Composto lácteo Merilú 400 g</t>
        </is>
      </c>
      <c r="D588" t="inlineStr">
        <is>
          <t>Outros</t>
        </is>
      </c>
      <c r="E588" t="n">
        <v>424.8</v>
      </c>
      <c r="F588" t="n">
        <v>25.2</v>
      </c>
      <c r="G588" t="n">
        <v>60</v>
      </c>
      <c r="J588" t="inlineStr">
        <is>
          <t>M</t>
        </is>
      </c>
      <c r="K588" t="n">
        <v>2024</v>
      </c>
      <c r="L588" t="n">
        <v>6</v>
      </c>
      <c r="M588" t="inlineStr">
        <is>
          <t>Todos</t>
        </is>
      </c>
      <c r="N588" t="inlineStr">
        <is>
          <t>Casa Noturna</t>
        </is>
      </c>
      <c r="O588" t="n">
        <v>1</v>
      </c>
      <c r="P588" t="n">
        <v>1</v>
      </c>
      <c r="Q588" t="n">
        <v>0</v>
      </c>
    </row>
    <row r="589">
      <c r="A589" t="n">
        <v>2024</v>
      </c>
      <c r="B589" t="n">
        <v>11</v>
      </c>
      <c r="C589" t="inlineStr">
        <is>
          <t>Composto lácteo Merilú 400 g</t>
        </is>
      </c>
      <c r="D589" t="inlineStr">
        <is>
          <t>Padaria</t>
        </is>
      </c>
      <c r="E589" t="n">
        <v>338</v>
      </c>
      <c r="F589" t="n">
        <v>21</v>
      </c>
      <c r="G589" t="n">
        <v>50</v>
      </c>
      <c r="J589" t="inlineStr">
        <is>
          <t>A</t>
        </is>
      </c>
      <c r="K589" t="n">
        <v>2024</v>
      </c>
      <c r="L589" t="n">
        <v>7</v>
      </c>
      <c r="M589" t="inlineStr">
        <is>
          <t>Todos</t>
        </is>
      </c>
      <c r="N589" t="inlineStr">
        <is>
          <t>Casa Noturna</t>
        </is>
      </c>
      <c r="O589" t="n">
        <v>3</v>
      </c>
      <c r="P589" t="n">
        <v>5</v>
      </c>
      <c r="Q589" t="n">
        <v>3</v>
      </c>
    </row>
    <row r="590">
      <c r="A590" t="n">
        <v>2024</v>
      </c>
      <c r="B590" t="n">
        <v>11</v>
      </c>
      <c r="C590" t="inlineStr">
        <is>
          <t>Composto lácteo Merilú 400 g</t>
        </is>
      </c>
      <c r="D590" t="inlineStr">
        <is>
          <t>Restaurante / Cantina</t>
        </is>
      </c>
      <c r="E590" t="n">
        <v>71.73999999999999</v>
      </c>
      <c r="F590" t="n">
        <v>4.2</v>
      </c>
      <c r="G590" t="n">
        <v>10</v>
      </c>
      <c r="J590" t="inlineStr">
        <is>
          <t>A</t>
        </is>
      </c>
      <c r="K590" t="n">
        <v>2024</v>
      </c>
      <c r="L590" t="n">
        <v>8</v>
      </c>
      <c r="M590" t="inlineStr">
        <is>
          <t>Todos</t>
        </is>
      </c>
      <c r="N590" t="inlineStr">
        <is>
          <t>Casa Noturna</t>
        </is>
      </c>
      <c r="O590" t="n">
        <v>3</v>
      </c>
      <c r="P590" t="n">
        <v>5</v>
      </c>
      <c r="Q590" t="n">
        <v>3</v>
      </c>
    </row>
    <row r="591">
      <c r="A591" t="n">
        <v>2024</v>
      </c>
      <c r="B591" t="n">
        <v>11</v>
      </c>
      <c r="C591" t="inlineStr">
        <is>
          <t>Composto lácteo Merilú 400 g</t>
        </is>
      </c>
      <c r="D591" t="inlineStr">
        <is>
          <t>Supermercado</t>
        </is>
      </c>
      <c r="E591" t="n">
        <v>27.04</v>
      </c>
      <c r="F591" t="n">
        <v>1.68</v>
      </c>
      <c r="G591" t="n">
        <v>4</v>
      </c>
      <c r="J591" t="inlineStr">
        <is>
          <t>A</t>
        </is>
      </c>
      <c r="K591" t="n">
        <v>2024</v>
      </c>
      <c r="L591" t="n">
        <v>9</v>
      </c>
      <c r="M591" t="inlineStr">
        <is>
          <t>Todos</t>
        </is>
      </c>
      <c r="N591" t="inlineStr">
        <is>
          <t>Casa Noturna</t>
        </is>
      </c>
      <c r="O591" t="n">
        <v>3</v>
      </c>
      <c r="P591" t="n">
        <v>5</v>
      </c>
      <c r="Q591" t="n">
        <v>3</v>
      </c>
    </row>
    <row r="592">
      <c r="A592" t="n">
        <v>2024</v>
      </c>
      <c r="B592" t="n">
        <v>11</v>
      </c>
      <c r="C592" t="inlineStr">
        <is>
          <t>Muçarela Mozzalet 2 kg</t>
        </is>
      </c>
      <c r="D592" t="inlineStr">
        <is>
          <t>Buffet</t>
        </is>
      </c>
      <c r="E592" t="n">
        <v>1361.14</v>
      </c>
      <c r="F592" t="n">
        <v>64</v>
      </c>
      <c r="G592" t="n">
        <v>32</v>
      </c>
      <c r="J592" t="inlineStr">
        <is>
          <t>A</t>
        </is>
      </c>
      <c r="K592" t="n">
        <v>2024</v>
      </c>
      <c r="L592" t="n">
        <v>10</v>
      </c>
      <c r="M592" t="inlineStr">
        <is>
          <t>Todos</t>
        </is>
      </c>
      <c r="N592" t="inlineStr">
        <is>
          <t>Casa Noturna</t>
        </is>
      </c>
      <c r="O592" t="n">
        <v>3</v>
      </c>
      <c r="P592" t="n">
        <v>5</v>
      </c>
      <c r="Q592" t="n">
        <v>3</v>
      </c>
    </row>
    <row r="593">
      <c r="A593" t="n">
        <v>2024</v>
      </c>
      <c r="B593" t="n">
        <v>11</v>
      </c>
      <c r="C593" t="inlineStr">
        <is>
          <t>Muçarela Mozzalet 2 kg</t>
        </is>
      </c>
      <c r="D593" t="inlineStr">
        <is>
          <t>Cozinha Industrial</t>
        </is>
      </c>
      <c r="E593" t="n">
        <v>6703.2</v>
      </c>
      <c r="F593" t="n">
        <v>334</v>
      </c>
      <c r="G593" t="n">
        <v>167</v>
      </c>
      <c r="J593" t="inlineStr">
        <is>
          <t>A</t>
        </is>
      </c>
      <c r="K593" t="n">
        <v>2024</v>
      </c>
      <c r="L593" t="n">
        <v>11</v>
      </c>
      <c r="M593" t="inlineStr">
        <is>
          <t>Todos</t>
        </is>
      </c>
      <c r="N593" t="inlineStr">
        <is>
          <t>Casa Noturna</t>
        </is>
      </c>
      <c r="O593" t="n">
        <v>3</v>
      </c>
      <c r="P593" t="n">
        <v>5</v>
      </c>
      <c r="Q593" t="n">
        <v>3</v>
      </c>
    </row>
    <row r="594">
      <c r="A594" t="n">
        <v>2024</v>
      </c>
      <c r="B594" t="n">
        <v>11</v>
      </c>
      <c r="C594" t="inlineStr">
        <is>
          <t>Muçarela Mozzalet 2 kg</t>
        </is>
      </c>
      <c r="D594" t="inlineStr">
        <is>
          <t>Fábrica de Massas</t>
        </is>
      </c>
      <c r="E594" t="n">
        <v>4341.42</v>
      </c>
      <c r="F594" t="n">
        <v>216</v>
      </c>
      <c r="G594" t="n">
        <v>108</v>
      </c>
      <c r="J594" t="inlineStr">
        <is>
          <t>A</t>
        </is>
      </c>
      <c r="K594" t="n">
        <v>2024</v>
      </c>
      <c r="L594" t="n">
        <v>12</v>
      </c>
      <c r="M594" t="inlineStr">
        <is>
          <t>Todos</t>
        </is>
      </c>
      <c r="N594" t="inlineStr">
        <is>
          <t>Casa Noturna</t>
        </is>
      </c>
      <c r="O594" t="n">
        <v>3</v>
      </c>
      <c r="P594" t="n">
        <v>5</v>
      </c>
      <c r="Q594" t="n">
        <v>3</v>
      </c>
    </row>
    <row r="595">
      <c r="A595" t="n">
        <v>2024</v>
      </c>
      <c r="B595" t="n">
        <v>11</v>
      </c>
      <c r="C595" t="inlineStr">
        <is>
          <t>Muçarela Mozzalet 2 kg</t>
        </is>
      </c>
      <c r="D595" t="inlineStr">
        <is>
          <t>Lanchonete / Cafeteria</t>
        </is>
      </c>
      <c r="E595" t="n">
        <v>926.47</v>
      </c>
      <c r="F595" t="n">
        <v>44</v>
      </c>
      <c r="G595" t="n">
        <v>22</v>
      </c>
      <c r="J595" t="inlineStr">
        <is>
          <t>A</t>
        </is>
      </c>
      <c r="K595" t="n">
        <v>2024</v>
      </c>
      <c r="L595" t="n">
        <v>7</v>
      </c>
      <c r="M595" t="inlineStr">
        <is>
          <t>Todos</t>
        </is>
      </c>
      <c r="N595" t="inlineStr">
        <is>
          <t>Colaborador</t>
        </is>
      </c>
      <c r="O595" t="n">
        <v>1</v>
      </c>
      <c r="P595" t="n">
        <v>1</v>
      </c>
      <c r="Q595" t="n">
        <v>1</v>
      </c>
    </row>
    <row r="596">
      <c r="A596" t="n">
        <v>2024</v>
      </c>
      <c r="B596" t="n">
        <v>11</v>
      </c>
      <c r="C596" t="inlineStr">
        <is>
          <t>Muçarela Mozzalet 2 kg</t>
        </is>
      </c>
      <c r="D596" t="inlineStr">
        <is>
          <t>Outros</t>
        </is>
      </c>
      <c r="E596" t="n">
        <v>3228.04</v>
      </c>
      <c r="F596" t="n">
        <v>154</v>
      </c>
      <c r="G596" t="n">
        <v>77</v>
      </c>
      <c r="J596" t="inlineStr">
        <is>
          <t>M</t>
        </is>
      </c>
      <c r="K596" t="n">
        <v>2024</v>
      </c>
      <c r="L596" t="n">
        <v>7</v>
      </c>
      <c r="M596" t="inlineStr">
        <is>
          <t>Todos</t>
        </is>
      </c>
      <c r="N596" t="inlineStr">
        <is>
          <t>Colaborador</t>
        </is>
      </c>
      <c r="O596" t="n">
        <v>1</v>
      </c>
      <c r="P596" t="n">
        <v>1</v>
      </c>
      <c r="Q596" t="n">
        <v>0</v>
      </c>
    </row>
    <row r="597">
      <c r="A597" t="n">
        <v>2024</v>
      </c>
      <c r="B597" t="n">
        <v>11</v>
      </c>
      <c r="C597" t="inlineStr">
        <is>
          <t>Muçarela Mozzalet 2 kg</t>
        </is>
      </c>
      <c r="D597" t="inlineStr">
        <is>
          <t>Padaria</t>
        </is>
      </c>
      <c r="E597" t="n">
        <v>912.1799999999999</v>
      </c>
      <c r="F597" t="n">
        <v>42</v>
      </c>
      <c r="G597" t="n">
        <v>21</v>
      </c>
      <c r="J597" t="inlineStr">
        <is>
          <t>A</t>
        </is>
      </c>
      <c r="K597" t="n">
        <v>2024</v>
      </c>
      <c r="L597" t="n">
        <v>8</v>
      </c>
      <c r="M597" t="inlineStr">
        <is>
          <t>Todos</t>
        </is>
      </c>
      <c r="N597" t="inlineStr">
        <is>
          <t>Colaborador</t>
        </is>
      </c>
      <c r="O597" t="n">
        <v>6</v>
      </c>
      <c r="P597" t="n">
        <v>6</v>
      </c>
      <c r="Q597" t="n">
        <v>6</v>
      </c>
    </row>
    <row r="598">
      <c r="A598" t="n">
        <v>2024</v>
      </c>
      <c r="B598" t="n">
        <v>11</v>
      </c>
      <c r="C598" t="inlineStr">
        <is>
          <t>Muçarela Mozzalet 2 kg</t>
        </is>
      </c>
      <c r="D598" t="inlineStr">
        <is>
          <t>Pessoa Física</t>
        </is>
      </c>
      <c r="E598" t="n">
        <v>7382.92</v>
      </c>
      <c r="F598" t="n">
        <v>366</v>
      </c>
      <c r="G598" t="n">
        <v>183</v>
      </c>
      <c r="J598" t="inlineStr">
        <is>
          <t>M</t>
        </is>
      </c>
      <c r="K598" t="n">
        <v>2024</v>
      </c>
      <c r="L598" t="n">
        <v>8</v>
      </c>
      <c r="M598" t="inlineStr">
        <is>
          <t>Todos</t>
        </is>
      </c>
      <c r="N598" t="inlineStr">
        <is>
          <t>Colaborador</t>
        </is>
      </c>
      <c r="O598" t="n">
        <v>5</v>
      </c>
      <c r="P598" t="n">
        <v>5</v>
      </c>
      <c r="Q598" t="n">
        <v>0</v>
      </c>
    </row>
    <row r="599">
      <c r="A599" t="n">
        <v>2024</v>
      </c>
      <c r="B599" t="n">
        <v>11</v>
      </c>
      <c r="C599" t="inlineStr">
        <is>
          <t>Muçarela Mozzalet 2 kg</t>
        </is>
      </c>
      <c r="D599" t="inlineStr">
        <is>
          <t>Pizzaria</t>
        </is>
      </c>
      <c r="E599" t="n">
        <v>6535.59</v>
      </c>
      <c r="F599" t="n">
        <v>316</v>
      </c>
      <c r="G599" t="n">
        <v>158</v>
      </c>
      <c r="J599" t="inlineStr">
        <is>
          <t>A</t>
        </is>
      </c>
      <c r="K599" t="n">
        <v>2024</v>
      </c>
      <c r="L599" t="n">
        <v>9</v>
      </c>
      <c r="M599" t="inlineStr">
        <is>
          <t>Todos</t>
        </is>
      </c>
      <c r="N599" t="inlineStr">
        <is>
          <t>Colaborador</t>
        </is>
      </c>
      <c r="O599" t="n">
        <v>7</v>
      </c>
      <c r="P599" t="n">
        <v>7</v>
      </c>
      <c r="Q599" t="n">
        <v>7</v>
      </c>
    </row>
    <row r="600">
      <c r="A600" t="n">
        <v>2024</v>
      </c>
      <c r="B600" t="n">
        <v>11</v>
      </c>
      <c r="C600" t="inlineStr">
        <is>
          <t>Muçarela Mozzalet 2 kg</t>
        </is>
      </c>
      <c r="D600" t="inlineStr">
        <is>
          <t>Restaurante / Cantina</t>
        </is>
      </c>
      <c r="E600" t="n">
        <v>38738.71</v>
      </c>
      <c r="F600" t="n">
        <v>1880</v>
      </c>
      <c r="G600" t="n">
        <v>940</v>
      </c>
      <c r="J600" t="inlineStr">
        <is>
          <t>M</t>
        </is>
      </c>
      <c r="K600" t="n">
        <v>2024</v>
      </c>
      <c r="L600" t="n">
        <v>9</v>
      </c>
      <c r="M600" t="inlineStr">
        <is>
          <t>Todos</t>
        </is>
      </c>
      <c r="N600" t="inlineStr">
        <is>
          <t>Colaborador</t>
        </is>
      </c>
      <c r="O600" t="n">
        <v>1</v>
      </c>
      <c r="P600" t="n">
        <v>1</v>
      </c>
      <c r="Q600" t="n">
        <v>0</v>
      </c>
    </row>
    <row r="601">
      <c r="A601" t="n">
        <v>2024</v>
      </c>
      <c r="B601" t="n">
        <v>11</v>
      </c>
      <c r="C601" t="inlineStr">
        <is>
          <t>Muçarela Mozzana 2 kg</t>
        </is>
      </c>
      <c r="D601" t="inlineStr">
        <is>
          <t>Adega</t>
        </is>
      </c>
      <c r="E601" t="n">
        <v>792.36</v>
      </c>
      <c r="F601" t="n">
        <v>36.36</v>
      </c>
      <c r="G601" t="n">
        <v>18</v>
      </c>
      <c r="J601" t="inlineStr">
        <is>
          <t>A</t>
        </is>
      </c>
      <c r="K601" t="n">
        <v>2024</v>
      </c>
      <c r="L601" t="n">
        <v>10</v>
      </c>
      <c r="M601" t="inlineStr">
        <is>
          <t>Todos</t>
        </is>
      </c>
      <c r="N601" t="inlineStr">
        <is>
          <t>Colaborador</t>
        </is>
      </c>
      <c r="O601" t="n">
        <v>7</v>
      </c>
      <c r="P601" t="n">
        <v>7</v>
      </c>
      <c r="Q601" t="n">
        <v>7</v>
      </c>
    </row>
    <row r="602">
      <c r="A602" t="n">
        <v>2024</v>
      </c>
      <c r="B602" t="n">
        <v>11</v>
      </c>
      <c r="C602" t="inlineStr">
        <is>
          <t>Muçarela Mozzana 2 kg</t>
        </is>
      </c>
      <c r="D602" t="inlineStr">
        <is>
          <t>Buffet</t>
        </is>
      </c>
      <c r="E602" t="n">
        <v>1106.05</v>
      </c>
      <c r="F602" t="n">
        <v>52.52</v>
      </c>
      <c r="G602" t="n">
        <v>26</v>
      </c>
      <c r="J602" t="inlineStr">
        <is>
          <t>A</t>
        </is>
      </c>
      <c r="K602" t="n">
        <v>2024</v>
      </c>
      <c r="L602" t="n">
        <v>11</v>
      </c>
      <c r="M602" t="inlineStr">
        <is>
          <t>Todos</t>
        </is>
      </c>
      <c r="N602" t="inlineStr">
        <is>
          <t>Colaborador</t>
        </is>
      </c>
      <c r="O602" t="n">
        <v>7</v>
      </c>
      <c r="P602" t="n">
        <v>7</v>
      </c>
      <c r="Q602" t="n">
        <v>7</v>
      </c>
    </row>
    <row r="603">
      <c r="A603" t="n">
        <v>2024</v>
      </c>
      <c r="B603" t="n">
        <v>11</v>
      </c>
      <c r="C603" t="inlineStr">
        <is>
          <t>Muçarela Mozzana 2 kg</t>
        </is>
      </c>
      <c r="D603" t="inlineStr">
        <is>
          <t>Cozinha Industrial</t>
        </is>
      </c>
      <c r="E603" t="n">
        <v>1569.42</v>
      </c>
      <c r="F603" t="n">
        <v>74.73999999999999</v>
      </c>
      <c r="G603" t="n">
        <v>37</v>
      </c>
      <c r="J603" t="inlineStr">
        <is>
          <t>A</t>
        </is>
      </c>
      <c r="K603" t="n">
        <v>2024</v>
      </c>
      <c r="L603" t="n">
        <v>12</v>
      </c>
      <c r="M603" t="inlineStr">
        <is>
          <t>Todos</t>
        </is>
      </c>
      <c r="N603" t="inlineStr">
        <is>
          <t>Colaborador</t>
        </is>
      </c>
      <c r="O603" t="n">
        <v>7</v>
      </c>
      <c r="P603" t="n">
        <v>7</v>
      </c>
      <c r="Q603" t="n">
        <v>7</v>
      </c>
    </row>
    <row r="604">
      <c r="A604" t="n">
        <v>2024</v>
      </c>
      <c r="B604" t="n">
        <v>11</v>
      </c>
      <c r="C604" t="inlineStr">
        <is>
          <t>Muçarela Mozzana 2 kg</t>
        </is>
      </c>
      <c r="D604" t="inlineStr">
        <is>
          <t>Cozinha Oriental</t>
        </is>
      </c>
      <c r="E604" t="n">
        <v>505</v>
      </c>
      <c r="F604" t="n">
        <v>24.24</v>
      </c>
      <c r="G604" t="n">
        <v>12</v>
      </c>
      <c r="J604" t="inlineStr">
        <is>
          <t>A</t>
        </is>
      </c>
      <c r="K604" t="n">
        <v>2024</v>
      </c>
      <c r="L604" t="n">
        <v>1</v>
      </c>
      <c r="M604" t="inlineStr">
        <is>
          <t>Todos</t>
        </is>
      </c>
      <c r="N604" t="inlineStr">
        <is>
          <t>Instituição Religiosa</t>
        </is>
      </c>
      <c r="O604" t="n">
        <v>1</v>
      </c>
      <c r="P604" t="n">
        <v>1</v>
      </c>
      <c r="Q604" t="n">
        <v>1</v>
      </c>
    </row>
    <row r="605">
      <c r="A605" t="n">
        <v>2024</v>
      </c>
      <c r="B605" t="n">
        <v>11</v>
      </c>
      <c r="C605" t="inlineStr">
        <is>
          <t>Muçarela Mozzana 2 kg</t>
        </is>
      </c>
      <c r="D605" t="inlineStr">
        <is>
          <t>Esfiharia</t>
        </is>
      </c>
      <c r="E605" t="n">
        <v>3433.98</v>
      </c>
      <c r="F605" t="n">
        <v>163.62</v>
      </c>
      <c r="G605" t="n">
        <v>81</v>
      </c>
      <c r="J605" t="inlineStr">
        <is>
          <t>M</t>
        </is>
      </c>
      <c r="K605" t="n">
        <v>2024</v>
      </c>
      <c r="L605" t="n">
        <v>1</v>
      </c>
      <c r="M605" t="inlineStr">
        <is>
          <t>Todos</t>
        </is>
      </c>
      <c r="N605" t="inlineStr">
        <is>
          <t>Instituição Religiosa</t>
        </is>
      </c>
      <c r="O605" t="n">
        <v>1</v>
      </c>
      <c r="P605" t="n">
        <v>1</v>
      </c>
      <c r="Q605" t="n">
        <v>0</v>
      </c>
    </row>
    <row r="606">
      <c r="A606" t="n">
        <v>2024</v>
      </c>
      <c r="B606" t="n">
        <v>11</v>
      </c>
      <c r="C606" t="inlineStr">
        <is>
          <t>Muçarela Mozzana 2 kg</t>
        </is>
      </c>
      <c r="D606" t="inlineStr">
        <is>
          <t>Fábrica de Massas</t>
        </is>
      </c>
      <c r="E606" t="n">
        <v>10726.07</v>
      </c>
      <c r="F606" t="n">
        <v>527.22</v>
      </c>
      <c r="G606" t="n">
        <v>261</v>
      </c>
      <c r="J606" t="inlineStr">
        <is>
          <t>A</t>
        </is>
      </c>
      <c r="K606" t="n">
        <v>2024</v>
      </c>
      <c r="L606" t="n">
        <v>2</v>
      </c>
      <c r="M606" t="inlineStr">
        <is>
          <t>Todos</t>
        </is>
      </c>
      <c r="N606" t="inlineStr">
        <is>
          <t>Instituição Religiosa</t>
        </is>
      </c>
      <c r="O606" t="n">
        <v>1</v>
      </c>
      <c r="P606" t="n">
        <v>1</v>
      </c>
      <c r="Q606" t="n">
        <v>1</v>
      </c>
    </row>
    <row r="607">
      <c r="A607" t="n">
        <v>2024</v>
      </c>
      <c r="B607" t="n">
        <v>11</v>
      </c>
      <c r="C607" t="inlineStr">
        <is>
          <t>Muçarela Mozzana 2 kg</t>
        </is>
      </c>
      <c r="D607" t="inlineStr">
        <is>
          <t>Hamburgueria</t>
        </is>
      </c>
      <c r="E607" t="n">
        <v>165.39</v>
      </c>
      <c r="F607" t="n">
        <v>8.08</v>
      </c>
      <c r="G607" t="n">
        <v>4</v>
      </c>
      <c r="J607" t="inlineStr">
        <is>
          <t>A</t>
        </is>
      </c>
      <c r="K607" t="n">
        <v>2024</v>
      </c>
      <c r="L607" t="n">
        <v>3</v>
      </c>
      <c r="M607" t="inlineStr">
        <is>
          <t>Todos</t>
        </is>
      </c>
      <c r="N607" t="inlineStr">
        <is>
          <t>Instituição Religiosa</t>
        </is>
      </c>
      <c r="O607" t="n">
        <v>1</v>
      </c>
      <c r="P607" t="n">
        <v>1</v>
      </c>
      <c r="Q607" t="n">
        <v>1</v>
      </c>
    </row>
    <row r="608">
      <c r="A608" t="n">
        <v>2024</v>
      </c>
      <c r="B608" t="n">
        <v>11</v>
      </c>
      <c r="C608" t="inlineStr">
        <is>
          <t>Muçarela Mozzana 2 kg</t>
        </is>
      </c>
      <c r="D608" t="inlineStr">
        <is>
          <t>Lanchonete / Cafeteria</t>
        </is>
      </c>
      <c r="E608" t="n">
        <v>1493.38</v>
      </c>
      <c r="F608" t="n">
        <v>70.7</v>
      </c>
      <c r="G608" t="n">
        <v>35</v>
      </c>
      <c r="J608" t="inlineStr">
        <is>
          <t>A</t>
        </is>
      </c>
      <c r="K608" t="n">
        <v>2024</v>
      </c>
      <c r="L608" t="n">
        <v>4</v>
      </c>
      <c r="M608" t="inlineStr">
        <is>
          <t>Todos</t>
        </is>
      </c>
      <c r="N608" t="inlineStr">
        <is>
          <t>Instituição Religiosa</t>
        </is>
      </c>
      <c r="O608" t="n">
        <v>1</v>
      </c>
      <c r="P608" t="n">
        <v>1</v>
      </c>
      <c r="Q608" t="n">
        <v>1</v>
      </c>
    </row>
    <row r="609">
      <c r="A609" t="n">
        <v>2024</v>
      </c>
      <c r="B609" t="n">
        <v>11</v>
      </c>
      <c r="C609" t="inlineStr">
        <is>
          <t>Muçarela Mozzana 2 kg</t>
        </is>
      </c>
      <c r="D609" t="inlineStr">
        <is>
          <t>Loja de Conveniência</t>
        </is>
      </c>
      <c r="E609" t="n">
        <v>788.5</v>
      </c>
      <c r="F609" t="n">
        <v>38.38</v>
      </c>
      <c r="G609" t="n">
        <v>19</v>
      </c>
      <c r="J609" t="inlineStr">
        <is>
          <t>A</t>
        </is>
      </c>
      <c r="K609" t="n">
        <v>2024</v>
      </c>
      <c r="L609" t="n">
        <v>5</v>
      </c>
      <c r="M609" t="inlineStr">
        <is>
          <t>Todos</t>
        </is>
      </c>
      <c r="N609" t="inlineStr">
        <is>
          <t>Instituição Religiosa</t>
        </is>
      </c>
      <c r="O609" t="n">
        <v>1</v>
      </c>
      <c r="P609" t="n">
        <v>1</v>
      </c>
      <c r="Q609" t="n">
        <v>1</v>
      </c>
    </row>
    <row r="610">
      <c r="A610" t="n">
        <v>2024</v>
      </c>
      <c r="B610" t="n">
        <v>11</v>
      </c>
      <c r="C610" t="inlineStr">
        <is>
          <t>Muçarela Mozzana 2 kg</t>
        </is>
      </c>
      <c r="D610" t="inlineStr">
        <is>
          <t>Mercearia / Sacolão</t>
        </is>
      </c>
      <c r="E610" t="n">
        <v>1522.44</v>
      </c>
      <c r="F610" t="n">
        <v>72.72</v>
      </c>
      <c r="G610" t="n">
        <v>36</v>
      </c>
      <c r="J610" t="inlineStr">
        <is>
          <t>A</t>
        </is>
      </c>
      <c r="K610" t="n">
        <v>2024</v>
      </c>
      <c r="L610" t="n">
        <v>6</v>
      </c>
      <c r="M610" t="inlineStr">
        <is>
          <t>Todos</t>
        </is>
      </c>
      <c r="N610" t="inlineStr">
        <is>
          <t>Instituição Religiosa</t>
        </is>
      </c>
      <c r="O610" t="n">
        <v>1</v>
      </c>
      <c r="P610" t="n">
        <v>1</v>
      </c>
      <c r="Q610" t="n">
        <v>1</v>
      </c>
    </row>
    <row r="611">
      <c r="A611" t="n">
        <v>2024</v>
      </c>
      <c r="B611" t="n">
        <v>11</v>
      </c>
      <c r="C611" t="inlineStr">
        <is>
          <t>Muçarela Mozzana 2 kg</t>
        </is>
      </c>
      <c r="D611" t="inlineStr">
        <is>
          <t>Outros</t>
        </is>
      </c>
      <c r="E611" t="n">
        <v>24660.52</v>
      </c>
      <c r="F611" t="n">
        <v>1165.54</v>
      </c>
      <c r="G611" t="n">
        <v>577</v>
      </c>
      <c r="J611" t="inlineStr">
        <is>
          <t>A</t>
        </is>
      </c>
      <c r="K611" t="n">
        <v>2024</v>
      </c>
      <c r="L611" t="n">
        <v>7</v>
      </c>
      <c r="M611" t="inlineStr">
        <is>
          <t>Todos</t>
        </is>
      </c>
      <c r="N611" t="inlineStr">
        <is>
          <t>Instituição Religiosa</t>
        </is>
      </c>
      <c r="O611" t="n">
        <v>1</v>
      </c>
      <c r="P611" t="n">
        <v>1</v>
      </c>
      <c r="Q611" t="n">
        <v>1</v>
      </c>
    </row>
    <row r="612">
      <c r="A612" t="n">
        <v>2024</v>
      </c>
      <c r="B612" t="n">
        <v>11</v>
      </c>
      <c r="C612" t="inlineStr">
        <is>
          <t>Muçarela Mozzana 2 kg</t>
        </is>
      </c>
      <c r="D612" t="inlineStr">
        <is>
          <t>Padaria</t>
        </is>
      </c>
      <c r="E612" t="n">
        <v>4593.98</v>
      </c>
      <c r="F612" t="n">
        <v>214.12</v>
      </c>
      <c r="G612" t="n">
        <v>106</v>
      </c>
      <c r="J612" t="inlineStr">
        <is>
          <t>A</t>
        </is>
      </c>
      <c r="K612" t="n">
        <v>2024</v>
      </c>
      <c r="L612" t="n">
        <v>8</v>
      </c>
      <c r="M612" t="inlineStr">
        <is>
          <t>Todos</t>
        </is>
      </c>
      <c r="N612" t="inlineStr">
        <is>
          <t>Instituição Religiosa</t>
        </is>
      </c>
      <c r="O612" t="n">
        <v>1</v>
      </c>
      <c r="P612" t="n">
        <v>1</v>
      </c>
      <c r="Q612" t="n">
        <v>1</v>
      </c>
    </row>
    <row r="613">
      <c r="A613" t="n">
        <v>2024</v>
      </c>
      <c r="B613" t="n">
        <v>11</v>
      </c>
      <c r="C613" t="inlineStr">
        <is>
          <t>Muçarela Mozzana 2 kg</t>
        </is>
      </c>
      <c r="D613" t="inlineStr">
        <is>
          <t>Pastelaria</t>
        </is>
      </c>
      <c r="E613" t="n">
        <v>9228.84</v>
      </c>
      <c r="F613" t="n">
        <v>438.34</v>
      </c>
      <c r="G613" t="n">
        <v>217</v>
      </c>
      <c r="J613" t="inlineStr">
        <is>
          <t>A</t>
        </is>
      </c>
      <c r="K613" t="n">
        <v>2024</v>
      </c>
      <c r="L613" t="n">
        <v>9</v>
      </c>
      <c r="M613" t="inlineStr">
        <is>
          <t>Todos</t>
        </is>
      </c>
      <c r="N613" t="inlineStr">
        <is>
          <t>Instituição Religiosa</t>
        </is>
      </c>
      <c r="O613" t="n">
        <v>1</v>
      </c>
      <c r="P613" t="n">
        <v>1</v>
      </c>
      <c r="Q613" t="n">
        <v>1</v>
      </c>
    </row>
    <row r="614">
      <c r="A614" t="n">
        <v>2024</v>
      </c>
      <c r="B614" t="n">
        <v>11</v>
      </c>
      <c r="C614" t="inlineStr">
        <is>
          <t>Muçarela Mozzana 2 kg</t>
        </is>
      </c>
      <c r="D614" t="inlineStr">
        <is>
          <t>Pessoa Física</t>
        </is>
      </c>
      <c r="E614" t="n">
        <v>5453.77</v>
      </c>
      <c r="F614" t="n">
        <v>254.52</v>
      </c>
      <c r="G614" t="n">
        <v>126</v>
      </c>
      <c r="J614" t="inlineStr">
        <is>
          <t>A</t>
        </is>
      </c>
      <c r="K614" t="n">
        <v>2024</v>
      </c>
      <c r="L614" t="n">
        <v>10</v>
      </c>
      <c r="M614" t="inlineStr">
        <is>
          <t>Todos</t>
        </is>
      </c>
      <c r="N614" t="inlineStr">
        <is>
          <t>Instituição Religiosa</t>
        </is>
      </c>
      <c r="O614" t="n">
        <v>1</v>
      </c>
      <c r="P614" t="n">
        <v>1</v>
      </c>
      <c r="Q614" t="n">
        <v>1</v>
      </c>
    </row>
    <row r="615">
      <c r="A615" t="n">
        <v>2024</v>
      </c>
      <c r="B615" t="n">
        <v>11</v>
      </c>
      <c r="C615" t="inlineStr">
        <is>
          <t>Muçarela Mozzana 2 kg</t>
        </is>
      </c>
      <c r="D615" t="inlineStr">
        <is>
          <t>Pizzaria</t>
        </is>
      </c>
      <c r="E615" t="n">
        <v>114051.13</v>
      </c>
      <c r="F615" t="n">
        <v>5451.98</v>
      </c>
      <c r="G615" t="n">
        <v>2699</v>
      </c>
      <c r="J615" t="inlineStr">
        <is>
          <t>A</t>
        </is>
      </c>
      <c r="K615" t="n">
        <v>2024</v>
      </c>
      <c r="L615" t="n">
        <v>11</v>
      </c>
      <c r="M615" t="inlineStr">
        <is>
          <t>Todos</t>
        </is>
      </c>
      <c r="N615" t="inlineStr">
        <is>
          <t>Instituição Religiosa</t>
        </is>
      </c>
      <c r="O615" t="n">
        <v>1</v>
      </c>
      <c r="P615" t="n">
        <v>1</v>
      </c>
      <c r="Q615" t="n">
        <v>1</v>
      </c>
    </row>
    <row r="616">
      <c r="A616" t="n">
        <v>2024</v>
      </c>
      <c r="B616" t="n">
        <v>11</v>
      </c>
      <c r="C616" t="inlineStr">
        <is>
          <t>Muçarela Mozzana 2 kg</t>
        </is>
      </c>
      <c r="D616" t="inlineStr">
        <is>
          <t>Restaurante / Cantina</t>
        </is>
      </c>
      <c r="E616" t="n">
        <v>15078.34</v>
      </c>
      <c r="F616" t="n">
        <v>721.14</v>
      </c>
      <c r="G616" t="n">
        <v>357</v>
      </c>
      <c r="J616" t="inlineStr">
        <is>
          <t>A</t>
        </is>
      </c>
      <c r="K616" t="n">
        <v>2024</v>
      </c>
      <c r="L616" t="n">
        <v>12</v>
      </c>
      <c r="M616" t="inlineStr">
        <is>
          <t>Todos</t>
        </is>
      </c>
      <c r="N616" t="inlineStr">
        <is>
          <t>Instituição Religiosa</t>
        </is>
      </c>
      <c r="O616" t="n">
        <v>1</v>
      </c>
      <c r="P616" t="n">
        <v>1</v>
      </c>
      <c r="Q616" t="n">
        <v>1</v>
      </c>
    </row>
    <row r="617">
      <c r="A617" t="n">
        <v>2024</v>
      </c>
      <c r="B617" t="n">
        <v>11</v>
      </c>
      <c r="C617" t="inlineStr">
        <is>
          <t>Muçarela Mozzana 2 kg</t>
        </is>
      </c>
      <c r="D617" t="inlineStr">
        <is>
          <t>Supermercado</t>
        </is>
      </c>
      <c r="E617" t="n">
        <v>4314.38</v>
      </c>
      <c r="F617" t="n">
        <v>199.98</v>
      </c>
      <c r="G617" t="n">
        <v>99</v>
      </c>
      <c r="J617" t="inlineStr">
        <is>
          <t>A</t>
        </is>
      </c>
      <c r="K617" t="n">
        <v>2024</v>
      </c>
      <c r="L617" t="n">
        <v>1</v>
      </c>
      <c r="M617" t="inlineStr">
        <is>
          <t>Muçarela Mozzana 2 kg</t>
        </is>
      </c>
      <c r="N617" t="inlineStr">
        <is>
          <t>Todos</t>
        </is>
      </c>
      <c r="O617" t="n">
        <v>111</v>
      </c>
      <c r="P617" t="n">
        <v>320</v>
      </c>
      <c r="Q617" t="n">
        <v>111</v>
      </c>
    </row>
    <row r="618">
      <c r="A618" t="n">
        <v>2024</v>
      </c>
      <c r="B618" t="n">
        <v>11</v>
      </c>
      <c r="C618" t="inlineStr">
        <is>
          <t>Parmesão ralado Parmozzana 1 kg</t>
        </is>
      </c>
      <c r="D618" t="inlineStr">
        <is>
          <t>Bar / Chopperia</t>
        </is>
      </c>
      <c r="E618" t="n">
        <v>31.25</v>
      </c>
      <c r="F618" t="n">
        <v>1.02</v>
      </c>
      <c r="G618" t="n">
        <v>1</v>
      </c>
      <c r="J618" t="inlineStr">
        <is>
          <t>M</t>
        </is>
      </c>
      <c r="K618" t="n">
        <v>2024</v>
      </c>
      <c r="L618" t="n">
        <v>1</v>
      </c>
      <c r="M618" t="inlineStr">
        <is>
          <t>Muçarela Mozzana 2 kg</t>
        </is>
      </c>
      <c r="N618" t="inlineStr">
        <is>
          <t>Todos</t>
        </is>
      </c>
      <c r="O618" t="n">
        <v>111</v>
      </c>
      <c r="P618" t="n">
        <v>320</v>
      </c>
      <c r="Q618" t="n">
        <v>0</v>
      </c>
    </row>
    <row r="619">
      <c r="A619" t="n">
        <v>2024</v>
      </c>
      <c r="B619" t="n">
        <v>11</v>
      </c>
      <c r="C619" t="inlineStr">
        <is>
          <t>Parmesão ralado Parmozzana 1 kg</t>
        </is>
      </c>
      <c r="D619" t="inlineStr">
        <is>
          <t>Fábrica de Massas</t>
        </is>
      </c>
      <c r="E619" t="n">
        <v>60.5</v>
      </c>
      <c r="F619" t="n">
        <v>2.04</v>
      </c>
      <c r="G619" t="n">
        <v>2</v>
      </c>
      <c r="J619" t="inlineStr">
        <is>
          <t>A</t>
        </is>
      </c>
      <c r="K619" t="n">
        <v>2024</v>
      </c>
      <c r="L619" t="n">
        <v>2</v>
      </c>
      <c r="M619" t="inlineStr">
        <is>
          <t>Muçarela Mozzana 2 kg</t>
        </is>
      </c>
      <c r="N619" t="inlineStr">
        <is>
          <t>Todos</t>
        </is>
      </c>
      <c r="O619" t="n">
        <v>132</v>
      </c>
      <c r="P619" t="n">
        <v>601</v>
      </c>
      <c r="Q619" t="n">
        <v>132</v>
      </c>
    </row>
    <row r="620">
      <c r="A620" t="n">
        <v>2024</v>
      </c>
      <c r="B620" t="n">
        <v>11</v>
      </c>
      <c r="C620" t="inlineStr">
        <is>
          <t>Parmesão ralado Parmozzana 1 kg</t>
        </is>
      </c>
      <c r="D620" t="inlineStr">
        <is>
          <t>Lanchonete / Cafeteria</t>
        </is>
      </c>
      <c r="E620" t="n">
        <v>31.64</v>
      </c>
      <c r="F620" t="n">
        <v>1.02</v>
      </c>
      <c r="G620" t="n">
        <v>1</v>
      </c>
      <c r="J620" t="inlineStr">
        <is>
          <t>M</t>
        </is>
      </c>
      <c r="K620" t="n">
        <v>2024</v>
      </c>
      <c r="L620" t="n">
        <v>2</v>
      </c>
      <c r="M620" t="inlineStr">
        <is>
          <t>Muçarela Mozzana 2 kg</t>
        </is>
      </c>
      <c r="N620" t="inlineStr">
        <is>
          <t>Todos</t>
        </is>
      </c>
      <c r="O620" t="n">
        <v>114</v>
      </c>
      <c r="P620" t="n">
        <v>281</v>
      </c>
      <c r="Q620" t="n">
        <v>0</v>
      </c>
    </row>
    <row r="621">
      <c r="A621" t="n">
        <v>2024</v>
      </c>
      <c r="B621" t="n">
        <v>11</v>
      </c>
      <c r="C621" t="inlineStr">
        <is>
          <t>Parmesão ralado Parmozzana 1 kg</t>
        </is>
      </c>
      <c r="D621" t="inlineStr">
        <is>
          <t>Outros</t>
        </is>
      </c>
      <c r="E621" t="n">
        <v>31.88</v>
      </c>
      <c r="F621" t="n">
        <v>1.02</v>
      </c>
      <c r="G621" t="n">
        <v>1</v>
      </c>
      <c r="J621" t="inlineStr">
        <is>
          <t>A</t>
        </is>
      </c>
      <c r="K621" t="n">
        <v>2024</v>
      </c>
      <c r="L621" t="n">
        <v>3</v>
      </c>
      <c r="M621" t="inlineStr">
        <is>
          <t>Muçarela Mozzana 2 kg</t>
        </is>
      </c>
      <c r="N621" t="inlineStr">
        <is>
          <t>Todos</t>
        </is>
      </c>
      <c r="O621" t="n">
        <v>147</v>
      </c>
      <c r="P621" t="n">
        <v>884</v>
      </c>
      <c r="Q621" t="n">
        <v>147</v>
      </c>
    </row>
    <row r="622">
      <c r="A622" t="n">
        <v>2024</v>
      </c>
      <c r="B622" t="n">
        <v>11</v>
      </c>
      <c r="C622" t="inlineStr">
        <is>
          <t>Parmesão ralado Parmozzana 1 kg</t>
        </is>
      </c>
      <c r="D622" t="inlineStr">
        <is>
          <t>Pizzaria</t>
        </is>
      </c>
      <c r="E622" t="n">
        <v>1277.11</v>
      </c>
      <c r="F622" t="n">
        <v>40.8</v>
      </c>
      <c r="G622" t="n">
        <v>40</v>
      </c>
      <c r="J622" t="inlineStr">
        <is>
          <t>M</t>
        </is>
      </c>
      <c r="K622" t="n">
        <v>2024</v>
      </c>
      <c r="L622" t="n">
        <v>3</v>
      </c>
      <c r="M622" t="inlineStr">
        <is>
          <t>Muçarela Mozzana 2 kg</t>
        </is>
      </c>
      <c r="N622" t="inlineStr">
        <is>
          <t>Todos</t>
        </is>
      </c>
      <c r="O622" t="n">
        <v>106</v>
      </c>
      <c r="P622" t="n">
        <v>283</v>
      </c>
      <c r="Q622" t="n">
        <v>0</v>
      </c>
    </row>
    <row r="623">
      <c r="A623" t="n">
        <v>2024</v>
      </c>
      <c r="B623" t="n">
        <v>11</v>
      </c>
      <c r="C623" t="inlineStr">
        <is>
          <t>Parmesão ralado Parmozzana 1 kg</t>
        </is>
      </c>
      <c r="D623" t="inlineStr">
        <is>
          <t>Restaurante / Cantina</t>
        </is>
      </c>
      <c r="E623" t="n">
        <v>31.25</v>
      </c>
      <c r="F623" t="n">
        <v>1.02</v>
      </c>
      <c r="G623" t="n">
        <v>1</v>
      </c>
      <c r="J623" t="inlineStr">
        <is>
          <t>A</t>
        </is>
      </c>
      <c r="K623" t="n">
        <v>2024</v>
      </c>
      <c r="L623" t="n">
        <v>4</v>
      </c>
      <c r="M623" t="inlineStr">
        <is>
          <t>Muçarela Mozzana 2 kg</t>
        </is>
      </c>
      <c r="N623" t="inlineStr">
        <is>
          <t>Todos</t>
        </is>
      </c>
      <c r="O623" t="n">
        <v>161</v>
      </c>
      <c r="P623" t="n">
        <v>1252</v>
      </c>
      <c r="Q623" t="n">
        <v>161</v>
      </c>
    </row>
    <row r="624">
      <c r="A624" t="n">
        <v>2024</v>
      </c>
      <c r="B624" t="n">
        <v>11</v>
      </c>
      <c r="C624" t="inlineStr">
        <is>
          <t>Requeijão Pizzalet 1,8 kg</t>
        </is>
      </c>
      <c r="D624" t="inlineStr">
        <is>
          <t>Bar / Chopperia</t>
        </is>
      </c>
      <c r="E624" t="n">
        <v>522.23</v>
      </c>
      <c r="F624" t="n">
        <v>68.08</v>
      </c>
      <c r="G624" t="n">
        <v>37</v>
      </c>
      <c r="J624" t="inlineStr">
        <is>
          <t>M</t>
        </is>
      </c>
      <c r="K624" t="n">
        <v>2024</v>
      </c>
      <c r="L624" t="n">
        <v>4</v>
      </c>
      <c r="M624" t="inlineStr">
        <is>
          <t>Muçarela Mozzana 2 kg</t>
        </is>
      </c>
      <c r="N624" t="inlineStr">
        <is>
          <t>Todos</t>
        </is>
      </c>
      <c r="O624" t="n">
        <v>123</v>
      </c>
      <c r="P624" t="n">
        <v>368</v>
      </c>
      <c r="Q624" t="n">
        <v>0</v>
      </c>
    </row>
    <row r="625">
      <c r="A625" t="n">
        <v>2024</v>
      </c>
      <c r="B625" t="n">
        <v>11</v>
      </c>
      <c r="C625" t="inlineStr">
        <is>
          <t>Requeijão Pizzalet 1,8 kg</t>
        </is>
      </c>
      <c r="D625" t="inlineStr">
        <is>
          <t>Cozinha Industrial</t>
        </is>
      </c>
      <c r="E625" t="n">
        <v>3185.36</v>
      </c>
      <c r="F625" t="n">
        <v>426.88</v>
      </c>
      <c r="G625" t="n">
        <v>232</v>
      </c>
      <c r="J625" t="inlineStr">
        <is>
          <t>A</t>
        </is>
      </c>
      <c r="K625" t="n">
        <v>2024</v>
      </c>
      <c r="L625" t="n">
        <v>5</v>
      </c>
      <c r="M625" t="inlineStr">
        <is>
          <t>Muçarela Mozzana 2 kg</t>
        </is>
      </c>
      <c r="N625" t="inlineStr">
        <is>
          <t>Todos</t>
        </is>
      </c>
      <c r="O625" t="n">
        <v>194</v>
      </c>
      <c r="P625" t="n">
        <v>1596</v>
      </c>
      <c r="Q625" t="n">
        <v>194</v>
      </c>
    </row>
    <row r="626">
      <c r="A626" t="n">
        <v>2024</v>
      </c>
      <c r="B626" t="n">
        <v>11</v>
      </c>
      <c r="C626" t="inlineStr">
        <is>
          <t>Requeijão Pizzalet 1,8 kg</t>
        </is>
      </c>
      <c r="D626" t="inlineStr">
        <is>
          <t>Lanchonete / Cafeteria</t>
        </is>
      </c>
      <c r="E626" t="n">
        <v>1711.11</v>
      </c>
      <c r="F626" t="n">
        <v>222.64</v>
      </c>
      <c r="G626" t="n">
        <v>121</v>
      </c>
      <c r="J626" t="inlineStr">
        <is>
          <t>M</t>
        </is>
      </c>
      <c r="K626" t="n">
        <v>2024</v>
      </c>
      <c r="L626" t="n">
        <v>5</v>
      </c>
      <c r="M626" t="inlineStr">
        <is>
          <t>Muçarela Mozzana 2 kg</t>
        </is>
      </c>
      <c r="N626" t="inlineStr">
        <is>
          <t>Todos</t>
        </is>
      </c>
      <c r="O626" t="n">
        <v>139</v>
      </c>
      <c r="P626" t="n">
        <v>344</v>
      </c>
      <c r="Q626" t="n">
        <v>0</v>
      </c>
    </row>
    <row r="627">
      <c r="A627" t="n">
        <v>2024</v>
      </c>
      <c r="B627" t="n">
        <v>11</v>
      </c>
      <c r="C627" t="inlineStr">
        <is>
          <t>Requeijão Pizzalet 1,8 kg</t>
        </is>
      </c>
      <c r="D627" t="inlineStr">
        <is>
          <t>Pastelaria</t>
        </is>
      </c>
      <c r="E627" t="n">
        <v>2237.49</v>
      </c>
      <c r="F627" t="n">
        <v>288.88</v>
      </c>
      <c r="G627" t="n">
        <v>157</v>
      </c>
      <c r="J627" t="inlineStr">
        <is>
          <t>A</t>
        </is>
      </c>
      <c r="K627" t="n">
        <v>2024</v>
      </c>
      <c r="L627" t="n">
        <v>6</v>
      </c>
      <c r="M627" t="inlineStr">
        <is>
          <t>Muçarela Mozzana 2 kg</t>
        </is>
      </c>
      <c r="N627" t="inlineStr">
        <is>
          <t>Todos</t>
        </is>
      </c>
      <c r="O627" t="n">
        <v>239</v>
      </c>
      <c r="P627" t="n">
        <v>1988</v>
      </c>
      <c r="Q627" t="n">
        <v>239</v>
      </c>
    </row>
    <row r="628">
      <c r="A628" t="n">
        <v>2024</v>
      </c>
      <c r="B628" t="n">
        <v>11</v>
      </c>
      <c r="C628" t="inlineStr">
        <is>
          <t>Requeijão Pizzalet 1,8 kg</t>
        </is>
      </c>
      <c r="D628" t="inlineStr">
        <is>
          <t>Pizzaria</t>
        </is>
      </c>
      <c r="E628" t="n">
        <v>4526.57</v>
      </c>
      <c r="F628" t="n">
        <v>586.96</v>
      </c>
      <c r="G628" t="n">
        <v>319</v>
      </c>
      <c r="J628" t="inlineStr">
        <is>
          <t>M</t>
        </is>
      </c>
      <c r="K628" t="n">
        <v>2024</v>
      </c>
      <c r="L628" t="n">
        <v>6</v>
      </c>
      <c r="M628" t="inlineStr">
        <is>
          <t>Muçarela Mozzana 2 kg</t>
        </is>
      </c>
      <c r="N628" t="inlineStr">
        <is>
          <t>Todos</t>
        </is>
      </c>
      <c r="O628" t="n">
        <v>165</v>
      </c>
      <c r="P628" t="n">
        <v>392</v>
      </c>
      <c r="Q628" t="n">
        <v>0</v>
      </c>
    </row>
    <row r="629">
      <c r="A629" t="n">
        <v>2024</v>
      </c>
      <c r="B629" t="n">
        <v>11</v>
      </c>
      <c r="C629" t="inlineStr">
        <is>
          <t>Requeijão Pizzalet 1,8 kg</t>
        </is>
      </c>
      <c r="D629" t="inlineStr">
        <is>
          <t>Restaurante / Cantina</t>
        </is>
      </c>
      <c r="E629" t="n">
        <v>307.78</v>
      </c>
      <c r="F629" t="n">
        <v>40.48</v>
      </c>
      <c r="G629" t="n">
        <v>22</v>
      </c>
      <c r="J629" t="inlineStr">
        <is>
          <t>A</t>
        </is>
      </c>
      <c r="K629" t="n">
        <v>2024</v>
      </c>
      <c r="L629" t="n">
        <v>7</v>
      </c>
      <c r="M629" t="inlineStr">
        <is>
          <t>Muçarela Mozzana 2 kg</t>
        </is>
      </c>
      <c r="N629" t="inlineStr">
        <is>
          <t>Todos</t>
        </is>
      </c>
      <c r="O629" t="n">
        <v>263</v>
      </c>
      <c r="P629" t="n">
        <v>2412</v>
      </c>
      <c r="Q629" t="n">
        <v>263</v>
      </c>
    </row>
    <row r="630">
      <c r="A630" t="n">
        <v>2024</v>
      </c>
      <c r="B630" t="n">
        <v>12</v>
      </c>
      <c r="C630" t="inlineStr">
        <is>
          <t>Chocolate em pó 50% 1 kg</t>
        </is>
      </c>
      <c r="D630" t="inlineStr">
        <is>
          <t>Bar / Chopperia</t>
        </is>
      </c>
      <c r="E630" t="n">
        <v>109.56</v>
      </c>
      <c r="F630" t="n">
        <v>3.06</v>
      </c>
      <c r="G630" t="n">
        <v>3</v>
      </c>
      <c r="J630" t="inlineStr">
        <is>
          <t>M</t>
        </is>
      </c>
      <c r="K630" t="n">
        <v>2024</v>
      </c>
      <c r="L630" t="n">
        <v>7</v>
      </c>
      <c r="M630" t="inlineStr">
        <is>
          <t>Muçarela Mozzana 2 kg</t>
        </is>
      </c>
      <c r="N630" t="inlineStr">
        <is>
          <t>Todos</t>
        </is>
      </c>
      <c r="O630" t="n">
        <v>157</v>
      </c>
      <c r="P630" t="n">
        <v>424</v>
      </c>
      <c r="Q630" t="n">
        <v>0</v>
      </c>
    </row>
    <row r="631">
      <c r="A631" t="n">
        <v>2024</v>
      </c>
      <c r="B631" t="n">
        <v>12</v>
      </c>
      <c r="C631" t="inlineStr">
        <is>
          <t>Chocolate em pó 50% 1 kg</t>
        </is>
      </c>
      <c r="D631" t="inlineStr">
        <is>
          <t>Churrascaria</t>
        </is>
      </c>
      <c r="E631" t="n">
        <v>36.61</v>
      </c>
      <c r="F631" t="n">
        <v>1.02</v>
      </c>
      <c r="G631" t="n">
        <v>1</v>
      </c>
      <c r="J631" t="inlineStr">
        <is>
          <t>A</t>
        </is>
      </c>
      <c r="K631" t="n">
        <v>2024</v>
      </c>
      <c r="L631" t="n">
        <v>8</v>
      </c>
      <c r="M631" t="inlineStr">
        <is>
          <t>Muçarela Mozzana 2 kg</t>
        </is>
      </c>
      <c r="N631" t="inlineStr">
        <is>
          <t>Todos</t>
        </is>
      </c>
      <c r="O631" t="n">
        <v>278</v>
      </c>
      <c r="P631" t="n">
        <v>2754</v>
      </c>
      <c r="Q631" t="n">
        <v>278</v>
      </c>
    </row>
    <row r="632">
      <c r="A632" t="n">
        <v>2024</v>
      </c>
      <c r="B632" t="n">
        <v>12</v>
      </c>
      <c r="C632" t="inlineStr">
        <is>
          <t>Chocolate em pó 50% 1 kg</t>
        </is>
      </c>
      <c r="D632" t="inlineStr">
        <is>
          <t>Confeitaria</t>
        </is>
      </c>
      <c r="E632" t="n">
        <v>72.5</v>
      </c>
      <c r="F632" t="n">
        <v>2.04</v>
      </c>
      <c r="G632" t="n">
        <v>2</v>
      </c>
      <c r="J632" t="inlineStr">
        <is>
          <t>M</t>
        </is>
      </c>
      <c r="K632" t="n">
        <v>2024</v>
      </c>
      <c r="L632" t="n">
        <v>8</v>
      </c>
      <c r="M632" t="inlineStr">
        <is>
          <t>Muçarela Mozzana 2 kg</t>
        </is>
      </c>
      <c r="N632" t="inlineStr">
        <is>
          <t>Todos</t>
        </is>
      </c>
      <c r="O632" t="n">
        <v>143</v>
      </c>
      <c r="P632" t="n">
        <v>342</v>
      </c>
      <c r="Q632" t="n">
        <v>0</v>
      </c>
    </row>
    <row r="633">
      <c r="A633" t="n">
        <v>2024</v>
      </c>
      <c r="B633" t="n">
        <v>12</v>
      </c>
      <c r="C633" t="inlineStr">
        <is>
          <t>Chocolate em pó 50% 1 kg</t>
        </is>
      </c>
      <c r="D633" t="inlineStr">
        <is>
          <t>Cozinha Industrial</t>
        </is>
      </c>
      <c r="E633" t="n">
        <v>477.4</v>
      </c>
      <c r="F633" t="n">
        <v>13.26</v>
      </c>
      <c r="G633" t="n">
        <v>13</v>
      </c>
      <c r="J633" t="inlineStr">
        <is>
          <t>A</t>
        </is>
      </c>
      <c r="K633" t="n">
        <v>2024</v>
      </c>
      <c r="L633" t="n">
        <v>9</v>
      </c>
      <c r="M633" t="inlineStr">
        <is>
          <t>Muçarela Mozzana 2 kg</t>
        </is>
      </c>
      <c r="N633" t="inlineStr">
        <is>
          <t>Todos</t>
        </is>
      </c>
      <c r="O633" t="n">
        <v>302</v>
      </c>
      <c r="P633" t="n">
        <v>3116</v>
      </c>
      <c r="Q633" t="n">
        <v>302</v>
      </c>
    </row>
    <row r="634">
      <c r="A634" t="n">
        <v>2024</v>
      </c>
      <c r="B634" t="n">
        <v>12</v>
      </c>
      <c r="C634" t="inlineStr">
        <is>
          <t>Chocolate em pó 50% 1 kg</t>
        </is>
      </c>
      <c r="D634" t="inlineStr">
        <is>
          <t>Hotel / Motel / Pousada</t>
        </is>
      </c>
      <c r="E634" t="n">
        <v>474.95</v>
      </c>
      <c r="F634" t="n">
        <v>13.26</v>
      </c>
      <c r="G634" t="n">
        <v>13</v>
      </c>
      <c r="J634" t="inlineStr">
        <is>
          <t>M</t>
        </is>
      </c>
      <c r="K634" t="n">
        <v>2024</v>
      </c>
      <c r="L634" t="n">
        <v>9</v>
      </c>
      <c r="M634" t="inlineStr">
        <is>
          <t>Muçarela Mozzana 2 kg</t>
        </is>
      </c>
      <c r="N634" t="inlineStr">
        <is>
          <t>Todos</t>
        </is>
      </c>
      <c r="O634" t="n">
        <v>139</v>
      </c>
      <c r="P634" t="n">
        <v>362</v>
      </c>
      <c r="Q634" t="n">
        <v>0</v>
      </c>
    </row>
    <row r="635">
      <c r="A635" t="n">
        <v>2024</v>
      </c>
      <c r="B635" t="n">
        <v>12</v>
      </c>
      <c r="C635" t="inlineStr">
        <is>
          <t>Chocolate em pó 50% 1 kg</t>
        </is>
      </c>
      <c r="D635" t="inlineStr">
        <is>
          <t>Padaria</t>
        </is>
      </c>
      <c r="E635" t="n">
        <v>107.75</v>
      </c>
      <c r="F635" t="n">
        <v>3.06</v>
      </c>
      <c r="G635" t="n">
        <v>3</v>
      </c>
      <c r="J635" t="inlineStr">
        <is>
          <t>A</t>
        </is>
      </c>
      <c r="K635" t="n">
        <v>2024</v>
      </c>
      <c r="L635" t="n">
        <v>10</v>
      </c>
      <c r="M635" t="inlineStr">
        <is>
          <t>Muçarela Mozzana 2 kg</t>
        </is>
      </c>
      <c r="N635" t="inlineStr">
        <is>
          <t>Todos</t>
        </is>
      </c>
      <c r="O635" t="n">
        <v>311</v>
      </c>
      <c r="P635" t="n">
        <v>3511</v>
      </c>
      <c r="Q635" t="n">
        <v>311</v>
      </c>
    </row>
    <row r="636">
      <c r="A636" t="n">
        <v>2024</v>
      </c>
      <c r="B636" t="n">
        <v>12</v>
      </c>
      <c r="C636" t="inlineStr">
        <is>
          <t>Chocolate em pó 50% 1 kg</t>
        </is>
      </c>
      <c r="D636" t="inlineStr">
        <is>
          <t>Pizzaria</t>
        </is>
      </c>
      <c r="E636" t="n">
        <v>143.95</v>
      </c>
      <c r="F636" t="n">
        <v>4.08</v>
      </c>
      <c r="G636" t="n">
        <v>4</v>
      </c>
      <c r="J636" t="inlineStr">
        <is>
          <t>M</t>
        </is>
      </c>
      <c r="K636" t="n">
        <v>2024</v>
      </c>
      <c r="L636" t="n">
        <v>10</v>
      </c>
      <c r="M636" t="inlineStr">
        <is>
          <t>Muçarela Mozzana 2 kg</t>
        </is>
      </c>
      <c r="N636" t="inlineStr">
        <is>
          <t>Todos</t>
        </is>
      </c>
      <c r="O636" t="n">
        <v>144</v>
      </c>
      <c r="P636" t="n">
        <v>395</v>
      </c>
      <c r="Q636" t="n">
        <v>0</v>
      </c>
    </row>
    <row r="637">
      <c r="A637" t="n">
        <v>2024</v>
      </c>
      <c r="B637" t="n">
        <v>12</v>
      </c>
      <c r="C637" t="inlineStr">
        <is>
          <t>Chocolate em pó 50% 1 kg</t>
        </is>
      </c>
      <c r="D637" t="inlineStr">
        <is>
          <t>Restaurante / Cantina</t>
        </is>
      </c>
      <c r="E637" t="n">
        <v>615.4299999999999</v>
      </c>
      <c r="F637" t="n">
        <v>17.34</v>
      </c>
      <c r="G637" t="n">
        <v>17</v>
      </c>
      <c r="J637" t="inlineStr">
        <is>
          <t>A</t>
        </is>
      </c>
      <c r="K637" t="n">
        <v>2024</v>
      </c>
      <c r="L637" t="n">
        <v>11</v>
      </c>
      <c r="M637" t="inlineStr">
        <is>
          <t>Muçarela Mozzana 2 kg</t>
        </is>
      </c>
      <c r="N637" t="inlineStr">
        <is>
          <t>Todos</t>
        </is>
      </c>
      <c r="O637" t="n">
        <v>325</v>
      </c>
      <c r="P637" t="n">
        <v>3854</v>
      </c>
      <c r="Q637" t="n">
        <v>325</v>
      </c>
    </row>
    <row r="638">
      <c r="A638" t="n">
        <v>2024</v>
      </c>
      <c r="B638" t="n">
        <v>12</v>
      </c>
      <c r="C638" t="inlineStr">
        <is>
          <t>Chocolate em pó 50% 1 kg</t>
        </is>
      </c>
      <c r="D638" t="inlineStr">
        <is>
          <t>Supermercado</t>
        </is>
      </c>
      <c r="E638" t="n">
        <v>179.95</v>
      </c>
      <c r="F638" t="n">
        <v>5.1</v>
      </c>
      <c r="G638" t="n">
        <v>5</v>
      </c>
      <c r="J638" t="inlineStr">
        <is>
          <t>M</t>
        </is>
      </c>
      <c r="K638" t="n">
        <v>2024</v>
      </c>
      <c r="L638" t="n">
        <v>11</v>
      </c>
      <c r="M638" t="inlineStr">
        <is>
          <t>Muçarela Mozzana 2 kg</t>
        </is>
      </c>
      <c r="N638" t="inlineStr">
        <is>
          <t>Todos</t>
        </is>
      </c>
      <c r="O638" t="n">
        <v>136</v>
      </c>
      <c r="P638" t="n">
        <v>343</v>
      </c>
      <c r="Q638" t="n">
        <v>0</v>
      </c>
    </row>
    <row r="639">
      <c r="A639" t="n">
        <v>2024</v>
      </c>
      <c r="B639" t="n">
        <v>12</v>
      </c>
      <c r="C639" t="inlineStr">
        <is>
          <t>Composto lácteo Alibralac 1 kg</t>
        </is>
      </c>
      <c r="D639" t="inlineStr">
        <is>
          <t>Hotel / Motel / Pousada</t>
        </is>
      </c>
      <c r="E639" t="n">
        <v>815.6</v>
      </c>
      <c r="F639" t="n">
        <v>40.8</v>
      </c>
      <c r="G639" t="n">
        <v>40</v>
      </c>
      <c r="J639" t="inlineStr">
        <is>
          <t>A</t>
        </is>
      </c>
      <c r="K639" t="n">
        <v>2024</v>
      </c>
      <c r="L639" t="n">
        <v>12</v>
      </c>
      <c r="M639" t="inlineStr">
        <is>
          <t>Muçarela Mozzana 2 kg</t>
        </is>
      </c>
      <c r="N639" t="inlineStr">
        <is>
          <t>Todos</t>
        </is>
      </c>
      <c r="O639" t="n">
        <v>333</v>
      </c>
      <c r="P639" t="n">
        <v>4224</v>
      </c>
      <c r="Q639" t="n">
        <v>333</v>
      </c>
    </row>
    <row r="640">
      <c r="A640" t="n">
        <v>2024</v>
      </c>
      <c r="B640" t="n">
        <v>12</v>
      </c>
      <c r="C640" t="inlineStr">
        <is>
          <t>Composto lácteo Alibralac 1 kg</t>
        </is>
      </c>
      <c r="D640" t="inlineStr">
        <is>
          <t>Outros</t>
        </is>
      </c>
      <c r="E640" t="n">
        <v>355.5</v>
      </c>
      <c r="F640" t="n">
        <v>18.36</v>
      </c>
      <c r="G640" t="n">
        <v>18</v>
      </c>
      <c r="J640" t="inlineStr">
        <is>
          <t>M</t>
        </is>
      </c>
      <c r="K640" t="n">
        <v>2024</v>
      </c>
      <c r="L640" t="n">
        <v>12</v>
      </c>
      <c r="M640" t="inlineStr">
        <is>
          <t>Muçarela Mozzana 2 kg</t>
        </is>
      </c>
      <c r="N640" t="inlineStr">
        <is>
          <t>Todos</t>
        </is>
      </c>
      <c r="O640" t="n">
        <v>129</v>
      </c>
      <c r="P640" t="n">
        <v>370</v>
      </c>
      <c r="Q640" t="n">
        <v>0</v>
      </c>
    </row>
    <row r="641">
      <c r="A641" t="n">
        <v>2024</v>
      </c>
      <c r="B641" t="n">
        <v>12</v>
      </c>
      <c r="C641" t="inlineStr">
        <is>
          <t>Composto lácteo Alibralac 1 kg</t>
        </is>
      </c>
      <c r="D641" t="inlineStr">
        <is>
          <t>Padaria</t>
        </is>
      </c>
      <c r="E641" t="n">
        <v>400.9</v>
      </c>
      <c r="F641" t="n">
        <v>20.4</v>
      </c>
      <c r="G641" t="n">
        <v>20</v>
      </c>
      <c r="J641" t="inlineStr">
        <is>
          <t>A</t>
        </is>
      </c>
      <c r="K641" t="n">
        <v>2024</v>
      </c>
      <c r="L641" t="n">
        <v>1</v>
      </c>
      <c r="M641" t="inlineStr">
        <is>
          <t>Muçarela Mozzana 2 kg</t>
        </is>
      </c>
      <c r="N641" t="inlineStr">
        <is>
          <t>Pizzaria</t>
        </is>
      </c>
      <c r="O641" t="n">
        <v>48</v>
      </c>
      <c r="P641" t="n">
        <v>165</v>
      </c>
      <c r="Q641" t="n">
        <v>48</v>
      </c>
    </row>
    <row r="642">
      <c r="A642" t="n">
        <v>2024</v>
      </c>
      <c r="B642" t="n">
        <v>12</v>
      </c>
      <c r="C642" t="inlineStr">
        <is>
          <t>Composto lácteo Alibralac 1 kg</t>
        </is>
      </c>
      <c r="D642" t="inlineStr">
        <is>
          <t>Pizzaria</t>
        </is>
      </c>
      <c r="E642" t="n">
        <v>1193.5</v>
      </c>
      <c r="F642" t="n">
        <v>61.2</v>
      </c>
      <c r="G642" t="n">
        <v>60</v>
      </c>
      <c r="J642" t="inlineStr">
        <is>
          <t>M</t>
        </is>
      </c>
      <c r="K642" t="n">
        <v>2024</v>
      </c>
      <c r="L642" t="n">
        <v>1</v>
      </c>
      <c r="M642" t="inlineStr">
        <is>
          <t>Muçarela Mozzana 2 kg</t>
        </is>
      </c>
      <c r="N642" t="inlineStr">
        <is>
          <t>Pizzaria</t>
        </is>
      </c>
      <c r="O642" t="n">
        <v>48</v>
      </c>
      <c r="P642" t="n">
        <v>165</v>
      </c>
      <c r="Q642" t="n">
        <v>0</v>
      </c>
    </row>
    <row r="643">
      <c r="A643" t="n">
        <v>2024</v>
      </c>
      <c r="B643" t="n">
        <v>12</v>
      </c>
      <c r="C643" t="inlineStr">
        <is>
          <t>Composto lácteo Merilú 400 g</t>
        </is>
      </c>
      <c r="D643" t="inlineStr">
        <is>
          <t>Adega</t>
        </is>
      </c>
      <c r="E643" t="n">
        <v>47.94</v>
      </c>
      <c r="F643" t="n">
        <v>2.52</v>
      </c>
      <c r="G643" t="n">
        <v>6</v>
      </c>
      <c r="J643" t="inlineStr">
        <is>
          <t>A</t>
        </is>
      </c>
      <c r="K643" t="n">
        <v>2024</v>
      </c>
      <c r="L643" t="n">
        <v>2</v>
      </c>
      <c r="M643" t="inlineStr">
        <is>
          <t>Muçarela Mozzana 2 kg</t>
        </is>
      </c>
      <c r="N643" t="inlineStr">
        <is>
          <t>Pizzaria</t>
        </is>
      </c>
      <c r="O643" t="n">
        <v>58</v>
      </c>
      <c r="P643" t="n">
        <v>318</v>
      </c>
      <c r="Q643" t="n">
        <v>58</v>
      </c>
    </row>
    <row r="644">
      <c r="A644" t="n">
        <v>2024</v>
      </c>
      <c r="B644" t="n">
        <v>12</v>
      </c>
      <c r="C644" t="inlineStr">
        <is>
          <t>Composto lácteo Merilú 400 g</t>
        </is>
      </c>
      <c r="D644" t="inlineStr">
        <is>
          <t>Churrascaria</t>
        </is>
      </c>
      <c r="E644" t="n">
        <v>47.34</v>
      </c>
      <c r="F644" t="n">
        <v>2.52</v>
      </c>
      <c r="G644" t="n">
        <v>6</v>
      </c>
      <c r="J644" t="inlineStr">
        <is>
          <t>M</t>
        </is>
      </c>
      <c r="K644" t="n">
        <v>2024</v>
      </c>
      <c r="L644" t="n">
        <v>2</v>
      </c>
      <c r="M644" t="inlineStr">
        <is>
          <t>Muçarela Mozzana 2 kg</t>
        </is>
      </c>
      <c r="N644" t="inlineStr">
        <is>
          <t>Pizzaria</t>
        </is>
      </c>
      <c r="O644" t="n">
        <v>54</v>
      </c>
      <c r="P644" t="n">
        <v>153</v>
      </c>
      <c r="Q644" t="n">
        <v>0</v>
      </c>
    </row>
    <row r="645">
      <c r="A645" t="n">
        <v>2024</v>
      </c>
      <c r="B645" t="n">
        <v>12</v>
      </c>
      <c r="C645" t="inlineStr">
        <is>
          <t>Composto lácteo Merilú 400 g</t>
        </is>
      </c>
      <c r="D645" t="inlineStr">
        <is>
          <t>Hamburgueria</t>
        </is>
      </c>
      <c r="E645" t="n">
        <v>286.02</v>
      </c>
      <c r="F645" t="n">
        <v>17.64</v>
      </c>
      <c r="G645" t="n">
        <v>42</v>
      </c>
      <c r="J645" t="inlineStr">
        <is>
          <t>A</t>
        </is>
      </c>
      <c r="K645" t="n">
        <v>2024</v>
      </c>
      <c r="L645" t="n">
        <v>3</v>
      </c>
      <c r="M645" t="inlineStr">
        <is>
          <t>Muçarela Mozzana 2 kg</t>
        </is>
      </c>
      <c r="N645" t="inlineStr">
        <is>
          <t>Pizzaria</t>
        </is>
      </c>
      <c r="O645" t="n">
        <v>62</v>
      </c>
      <c r="P645" t="n">
        <v>469</v>
      </c>
      <c r="Q645" t="n">
        <v>62</v>
      </c>
    </row>
    <row r="646">
      <c r="A646" t="n">
        <v>2024</v>
      </c>
      <c r="B646" t="n">
        <v>12</v>
      </c>
      <c r="C646" t="inlineStr">
        <is>
          <t>Composto lácteo Merilú 400 g</t>
        </is>
      </c>
      <c r="D646" t="inlineStr">
        <is>
          <t>Outros</t>
        </is>
      </c>
      <c r="E646" t="n">
        <v>212.4</v>
      </c>
      <c r="F646" t="n">
        <v>12.6</v>
      </c>
      <c r="G646" t="n">
        <v>30</v>
      </c>
      <c r="J646" t="inlineStr">
        <is>
          <t>M</t>
        </is>
      </c>
      <c r="K646" t="n">
        <v>2024</v>
      </c>
      <c r="L646" t="n">
        <v>3</v>
      </c>
      <c r="M646" t="inlineStr">
        <is>
          <t>Muçarela Mozzana 2 kg</t>
        </is>
      </c>
      <c r="N646" t="inlineStr">
        <is>
          <t>Pizzaria</t>
        </is>
      </c>
      <c r="O646" t="n">
        <v>47</v>
      </c>
      <c r="P646" t="n">
        <v>151</v>
      </c>
      <c r="Q646" t="n">
        <v>0</v>
      </c>
    </row>
    <row r="647">
      <c r="A647" t="n">
        <v>2024</v>
      </c>
      <c r="B647" t="n">
        <v>12</v>
      </c>
      <c r="C647" t="inlineStr">
        <is>
          <t>Composto lácteo Merilú 400 g</t>
        </is>
      </c>
      <c r="D647" t="inlineStr">
        <is>
          <t>Padaria</t>
        </is>
      </c>
      <c r="E647" t="n">
        <v>1791.4</v>
      </c>
      <c r="F647" t="n">
        <v>111.3</v>
      </c>
      <c r="G647" t="n">
        <v>265</v>
      </c>
      <c r="J647" t="inlineStr">
        <is>
          <t>A</t>
        </is>
      </c>
      <c r="K647" t="n">
        <v>2024</v>
      </c>
      <c r="L647" t="n">
        <v>4</v>
      </c>
      <c r="M647" t="inlineStr">
        <is>
          <t>Muçarela Mozzana 2 kg</t>
        </is>
      </c>
      <c r="N647" t="inlineStr">
        <is>
          <t>Pizzaria</t>
        </is>
      </c>
      <c r="O647" t="n">
        <v>66</v>
      </c>
      <c r="P647" t="n">
        <v>662</v>
      </c>
      <c r="Q647" t="n">
        <v>66</v>
      </c>
    </row>
    <row r="648">
      <c r="A648" t="n">
        <v>2024</v>
      </c>
      <c r="B648" t="n">
        <v>12</v>
      </c>
      <c r="C648" t="inlineStr">
        <is>
          <t>Composto lácteo Merilú 400 g</t>
        </is>
      </c>
      <c r="D648" t="inlineStr">
        <is>
          <t>Pessoa Física</t>
        </is>
      </c>
      <c r="E648" t="n">
        <v>442.65</v>
      </c>
      <c r="F648" t="n">
        <v>27.3</v>
      </c>
      <c r="G648" t="n">
        <v>65</v>
      </c>
      <c r="J648" t="inlineStr">
        <is>
          <t>M</t>
        </is>
      </c>
      <c r="K648" t="n">
        <v>2024</v>
      </c>
      <c r="L648" t="n">
        <v>4</v>
      </c>
      <c r="M648" t="inlineStr">
        <is>
          <t>Muçarela Mozzana 2 kg</t>
        </is>
      </c>
      <c r="N648" t="inlineStr">
        <is>
          <t>Pizzaria</t>
        </is>
      </c>
      <c r="O648" t="n">
        <v>49</v>
      </c>
      <c r="P648" t="n">
        <v>193</v>
      </c>
      <c r="Q648" t="n">
        <v>0</v>
      </c>
    </row>
    <row r="649">
      <c r="A649" t="n">
        <v>2024</v>
      </c>
      <c r="B649" t="n">
        <v>12</v>
      </c>
      <c r="C649" t="inlineStr">
        <is>
          <t>Composto lácteo Merilú 400 g</t>
        </is>
      </c>
      <c r="D649" t="inlineStr">
        <is>
          <t>Supermercado</t>
        </is>
      </c>
      <c r="E649" t="n">
        <v>236.35</v>
      </c>
      <c r="F649" t="n">
        <v>14.7</v>
      </c>
      <c r="G649" t="n">
        <v>35</v>
      </c>
      <c r="J649" t="inlineStr">
        <is>
          <t>A</t>
        </is>
      </c>
      <c r="K649" t="n">
        <v>2024</v>
      </c>
      <c r="L649" t="n">
        <v>5</v>
      </c>
      <c r="M649" t="inlineStr">
        <is>
          <t>Muçarela Mozzana 2 kg</t>
        </is>
      </c>
      <c r="N649" t="inlineStr">
        <is>
          <t>Pizzaria</t>
        </is>
      </c>
      <c r="O649" t="n">
        <v>84</v>
      </c>
      <c r="P649" t="n">
        <v>839</v>
      </c>
      <c r="Q649" t="n">
        <v>84</v>
      </c>
    </row>
    <row r="650">
      <c r="A650" t="n">
        <v>2024</v>
      </c>
      <c r="B650" t="n">
        <v>12</v>
      </c>
      <c r="C650" t="inlineStr">
        <is>
          <t>Muçarela Mozzalet 2 kg</t>
        </is>
      </c>
      <c r="D650" t="inlineStr">
        <is>
          <t>Cozinha Industrial</t>
        </is>
      </c>
      <c r="E650" t="n">
        <v>1517.4</v>
      </c>
      <c r="F650" t="n">
        <v>72</v>
      </c>
      <c r="G650" t="n">
        <v>36</v>
      </c>
      <c r="J650" t="inlineStr">
        <is>
          <t>M</t>
        </is>
      </c>
      <c r="K650" t="n">
        <v>2024</v>
      </c>
      <c r="L650" t="n">
        <v>5</v>
      </c>
      <c r="M650" t="inlineStr">
        <is>
          <t>Muçarela Mozzana 2 kg</t>
        </is>
      </c>
      <c r="N650" t="inlineStr">
        <is>
          <t>Pizzaria</t>
        </is>
      </c>
      <c r="O650" t="n">
        <v>62</v>
      </c>
      <c r="P650" t="n">
        <v>177</v>
      </c>
      <c r="Q650" t="n">
        <v>0</v>
      </c>
    </row>
    <row r="651">
      <c r="A651" t="n">
        <v>2024</v>
      </c>
      <c r="B651" t="n">
        <v>12</v>
      </c>
      <c r="C651" t="inlineStr">
        <is>
          <t>Muçarela Mozzalet 2 kg</t>
        </is>
      </c>
      <c r="D651" t="inlineStr">
        <is>
          <t>Fábrica de Massas</t>
        </is>
      </c>
      <c r="E651" t="n">
        <v>1529.64</v>
      </c>
      <c r="F651" t="n">
        <v>72</v>
      </c>
      <c r="G651" t="n">
        <v>36</v>
      </c>
      <c r="J651" t="inlineStr">
        <is>
          <t>A</t>
        </is>
      </c>
      <c r="K651" t="n">
        <v>2024</v>
      </c>
      <c r="L651" t="n">
        <v>6</v>
      </c>
      <c r="M651" t="inlineStr">
        <is>
          <t>Muçarela Mozzana 2 kg</t>
        </is>
      </c>
      <c r="N651" t="inlineStr">
        <is>
          <t>Pizzaria</t>
        </is>
      </c>
      <c r="O651" t="n">
        <v>101</v>
      </c>
      <c r="P651" t="n">
        <v>1048</v>
      </c>
      <c r="Q651" t="n">
        <v>101</v>
      </c>
    </row>
    <row r="652">
      <c r="A652" t="n">
        <v>2024</v>
      </c>
      <c r="B652" t="n">
        <v>12</v>
      </c>
      <c r="C652" t="inlineStr">
        <is>
          <t>Muçarela Mozzalet 2 kg</t>
        </is>
      </c>
      <c r="D652" t="inlineStr">
        <is>
          <t>Lanchonete / Cafeteria</t>
        </is>
      </c>
      <c r="E652" t="n">
        <v>696.28</v>
      </c>
      <c r="F652" t="n">
        <v>32</v>
      </c>
      <c r="G652" t="n">
        <v>16</v>
      </c>
      <c r="J652" t="inlineStr">
        <is>
          <t>M</t>
        </is>
      </c>
      <c r="K652" t="n">
        <v>2024</v>
      </c>
      <c r="L652" t="n">
        <v>6</v>
      </c>
      <c r="M652" t="inlineStr">
        <is>
          <t>Muçarela Mozzana 2 kg</t>
        </is>
      </c>
      <c r="N652" t="inlineStr">
        <is>
          <t>Pizzaria</t>
        </is>
      </c>
      <c r="O652" t="n">
        <v>73</v>
      </c>
      <c r="P652" t="n">
        <v>209</v>
      </c>
      <c r="Q652" t="n">
        <v>0</v>
      </c>
    </row>
    <row r="653">
      <c r="A653" t="n">
        <v>2024</v>
      </c>
      <c r="B653" t="n">
        <v>12</v>
      </c>
      <c r="C653" t="inlineStr">
        <is>
          <t>Muçarela Mozzalet 2 kg</t>
        </is>
      </c>
      <c r="D653" t="inlineStr">
        <is>
          <t>Pessoa Física</t>
        </is>
      </c>
      <c r="E653" t="n">
        <v>1573.2</v>
      </c>
      <c r="F653" t="n">
        <v>72</v>
      </c>
      <c r="G653" t="n">
        <v>36</v>
      </c>
      <c r="J653" t="inlineStr">
        <is>
          <t>A</t>
        </is>
      </c>
      <c r="K653" t="n">
        <v>2024</v>
      </c>
      <c r="L653" t="n">
        <v>7</v>
      </c>
      <c r="M653" t="inlineStr">
        <is>
          <t>Muçarela Mozzana 2 kg</t>
        </is>
      </c>
      <c r="N653" t="inlineStr">
        <is>
          <t>Pizzaria</t>
        </is>
      </c>
      <c r="O653" t="n">
        <v>110</v>
      </c>
      <c r="P653" t="n">
        <v>1281</v>
      </c>
      <c r="Q653" t="n">
        <v>110</v>
      </c>
    </row>
    <row r="654">
      <c r="A654" t="n">
        <v>2024</v>
      </c>
      <c r="B654" t="n">
        <v>12</v>
      </c>
      <c r="C654" t="inlineStr">
        <is>
          <t>Muçarela Mozzalet 2 kg</t>
        </is>
      </c>
      <c r="D654" t="inlineStr">
        <is>
          <t>Pizzaria</t>
        </is>
      </c>
      <c r="E654" t="n">
        <v>4733.38</v>
      </c>
      <c r="F654" t="n">
        <v>220</v>
      </c>
      <c r="G654" t="n">
        <v>110</v>
      </c>
      <c r="J654" t="inlineStr">
        <is>
          <t>M</t>
        </is>
      </c>
      <c r="K654" t="n">
        <v>2024</v>
      </c>
      <c r="L654" t="n">
        <v>7</v>
      </c>
      <c r="M654" t="inlineStr">
        <is>
          <t>Muçarela Mozzana 2 kg</t>
        </is>
      </c>
      <c r="N654" t="inlineStr">
        <is>
          <t>Pizzaria</t>
        </is>
      </c>
      <c r="O654" t="n">
        <v>73</v>
      </c>
      <c r="P654" t="n">
        <v>233</v>
      </c>
      <c r="Q654" t="n">
        <v>0</v>
      </c>
    </row>
    <row r="655">
      <c r="A655" t="n">
        <v>2024</v>
      </c>
      <c r="B655" t="n">
        <v>12</v>
      </c>
      <c r="C655" t="inlineStr">
        <is>
          <t>Muçarela Mozzalet 2 kg</t>
        </is>
      </c>
      <c r="D655" t="inlineStr">
        <is>
          <t>Restaurante / Cantina</t>
        </is>
      </c>
      <c r="E655" t="n">
        <v>35331.25</v>
      </c>
      <c r="F655" t="n">
        <v>1650</v>
      </c>
      <c r="G655" t="n">
        <v>825</v>
      </c>
      <c r="J655" t="inlineStr">
        <is>
          <t>A</t>
        </is>
      </c>
      <c r="K655" t="n">
        <v>2024</v>
      </c>
      <c r="L655" t="n">
        <v>8</v>
      </c>
      <c r="M655" t="inlineStr">
        <is>
          <t>Muçarela Mozzana 2 kg</t>
        </is>
      </c>
      <c r="N655" t="inlineStr">
        <is>
          <t>Pizzaria</t>
        </is>
      </c>
      <c r="O655" t="n">
        <v>115</v>
      </c>
      <c r="P655" t="n">
        <v>1464</v>
      </c>
      <c r="Q655" t="n">
        <v>115</v>
      </c>
    </row>
    <row r="656">
      <c r="A656" t="n">
        <v>2024</v>
      </c>
      <c r="B656" t="n">
        <v>12</v>
      </c>
      <c r="C656" t="inlineStr">
        <is>
          <t>Muçarela Mozzana 2 kg</t>
        </is>
      </c>
      <c r="D656" t="inlineStr">
        <is>
          <t>Bar / Chopperia</t>
        </is>
      </c>
      <c r="E656" t="n">
        <v>394.2</v>
      </c>
      <c r="F656" t="n">
        <v>18.18</v>
      </c>
      <c r="G656" t="n">
        <v>9</v>
      </c>
      <c r="J656" t="inlineStr">
        <is>
          <t>M</t>
        </is>
      </c>
      <c r="K656" t="n">
        <v>2024</v>
      </c>
      <c r="L656" t="n">
        <v>8</v>
      </c>
      <c r="M656" t="inlineStr">
        <is>
          <t>Muçarela Mozzana 2 kg</t>
        </is>
      </c>
      <c r="N656" t="inlineStr">
        <is>
          <t>Pizzaria</t>
        </is>
      </c>
      <c r="O656" t="n">
        <v>65</v>
      </c>
      <c r="P656" t="n">
        <v>183</v>
      </c>
      <c r="Q656" t="n">
        <v>0</v>
      </c>
    </row>
    <row r="657">
      <c r="A657" t="n">
        <v>2024</v>
      </c>
      <c r="B657" t="n">
        <v>12</v>
      </c>
      <c r="C657" t="inlineStr">
        <is>
          <t>Muçarela Mozzana 2 kg</t>
        </is>
      </c>
      <c r="D657" t="inlineStr">
        <is>
          <t>Buffet</t>
        </is>
      </c>
      <c r="E657" t="n">
        <v>1210.29</v>
      </c>
      <c r="F657" t="n">
        <v>54.54</v>
      </c>
      <c r="G657" t="n">
        <v>27</v>
      </c>
      <c r="J657" t="inlineStr">
        <is>
          <t>A</t>
        </is>
      </c>
      <c r="K657" t="n">
        <v>2024</v>
      </c>
      <c r="L657" t="n">
        <v>9</v>
      </c>
      <c r="M657" t="inlineStr">
        <is>
          <t>Muçarela Mozzana 2 kg</t>
        </is>
      </c>
      <c r="N657" t="inlineStr">
        <is>
          <t>Pizzaria</t>
        </is>
      </c>
      <c r="O657" t="n">
        <v>123</v>
      </c>
      <c r="P657" t="n">
        <v>1653</v>
      </c>
      <c r="Q657" t="n">
        <v>123</v>
      </c>
    </row>
    <row r="658">
      <c r="A658" t="n">
        <v>2024</v>
      </c>
      <c r="B658" t="n">
        <v>12</v>
      </c>
      <c r="C658" t="inlineStr">
        <is>
          <t>Muçarela Mozzana 2 kg</t>
        </is>
      </c>
      <c r="D658" t="inlineStr">
        <is>
          <t>Cozinha Industrial</t>
        </is>
      </c>
      <c r="E658" t="n">
        <v>1993.16</v>
      </c>
      <c r="F658" t="n">
        <v>92.92</v>
      </c>
      <c r="G658" t="n">
        <v>46</v>
      </c>
      <c r="J658" t="inlineStr">
        <is>
          <t>M</t>
        </is>
      </c>
      <c r="K658" t="n">
        <v>2024</v>
      </c>
      <c r="L658" t="n">
        <v>9</v>
      </c>
      <c r="M658" t="inlineStr">
        <is>
          <t>Muçarela Mozzana 2 kg</t>
        </is>
      </c>
      <c r="N658" t="inlineStr">
        <is>
          <t>Pizzaria</t>
        </is>
      </c>
      <c r="O658" t="n">
        <v>64</v>
      </c>
      <c r="P658" t="n">
        <v>189</v>
      </c>
      <c r="Q658" t="n">
        <v>0</v>
      </c>
    </row>
    <row r="659">
      <c r="A659" t="n">
        <v>2024</v>
      </c>
      <c r="B659" t="n">
        <v>12</v>
      </c>
      <c r="C659" t="inlineStr">
        <is>
          <t>Muçarela Mozzana 2 kg</t>
        </is>
      </c>
      <c r="D659" t="inlineStr">
        <is>
          <t>Cozinha Oriental</t>
        </is>
      </c>
      <c r="E659" t="n">
        <v>394.95</v>
      </c>
      <c r="F659" t="n">
        <v>18.18</v>
      </c>
      <c r="G659" t="n">
        <v>9</v>
      </c>
      <c r="J659" t="inlineStr">
        <is>
          <t>A</t>
        </is>
      </c>
      <c r="K659" t="n">
        <v>2024</v>
      </c>
      <c r="L659" t="n">
        <v>10</v>
      </c>
      <c r="M659" t="inlineStr">
        <is>
          <t>Muçarela Mozzana 2 kg</t>
        </is>
      </c>
      <c r="N659" t="inlineStr">
        <is>
          <t>Pizzaria</t>
        </is>
      </c>
      <c r="O659" t="n">
        <v>129</v>
      </c>
      <c r="P659" t="n">
        <v>1862</v>
      </c>
      <c r="Q659" t="n">
        <v>129</v>
      </c>
    </row>
    <row r="660">
      <c r="A660" t="n">
        <v>2024</v>
      </c>
      <c r="B660" t="n">
        <v>12</v>
      </c>
      <c r="C660" t="inlineStr">
        <is>
          <t>Muçarela Mozzana 2 kg</t>
        </is>
      </c>
      <c r="D660" t="inlineStr">
        <is>
          <t>Esfiharia</t>
        </is>
      </c>
      <c r="E660" t="n">
        <v>4325.05</v>
      </c>
      <c r="F660" t="n">
        <v>199.98</v>
      </c>
      <c r="G660" t="n">
        <v>99</v>
      </c>
      <c r="J660" t="inlineStr">
        <is>
          <t>M</t>
        </is>
      </c>
      <c r="K660" t="n">
        <v>2024</v>
      </c>
      <c r="L660" t="n">
        <v>10</v>
      </c>
      <c r="M660" t="inlineStr">
        <is>
          <t>Muçarela Mozzana 2 kg</t>
        </is>
      </c>
      <c r="N660" t="inlineStr">
        <is>
          <t>Pizzaria</t>
        </is>
      </c>
      <c r="O660" t="n">
        <v>65</v>
      </c>
      <c r="P660" t="n">
        <v>209</v>
      </c>
      <c r="Q660" t="n">
        <v>0</v>
      </c>
    </row>
    <row r="661">
      <c r="A661" t="n">
        <v>2024</v>
      </c>
      <c r="B661" t="n">
        <v>12</v>
      </c>
      <c r="C661" t="inlineStr">
        <is>
          <t>Muçarela Mozzana 2 kg</t>
        </is>
      </c>
      <c r="D661" t="inlineStr">
        <is>
          <t>Fábrica de Massas</t>
        </is>
      </c>
      <c r="E661" t="n">
        <v>15444.3</v>
      </c>
      <c r="F661" t="n">
        <v>727.2</v>
      </c>
      <c r="G661" t="n">
        <v>360</v>
      </c>
      <c r="J661" t="inlineStr">
        <is>
          <t>A</t>
        </is>
      </c>
      <c r="K661" t="n">
        <v>2024</v>
      </c>
      <c r="L661" t="n">
        <v>11</v>
      </c>
      <c r="M661" t="inlineStr">
        <is>
          <t>Muçarela Mozzana 2 kg</t>
        </is>
      </c>
      <c r="N661" t="inlineStr">
        <is>
          <t>Pizzaria</t>
        </is>
      </c>
      <c r="O661" t="n">
        <v>138</v>
      </c>
      <c r="P661" t="n">
        <v>2050</v>
      </c>
      <c r="Q661" t="n">
        <v>138</v>
      </c>
    </row>
    <row r="662">
      <c r="A662" t="n">
        <v>2024</v>
      </c>
      <c r="B662" t="n">
        <v>12</v>
      </c>
      <c r="C662" t="inlineStr">
        <is>
          <t>Muçarela Mozzana 2 kg</t>
        </is>
      </c>
      <c r="D662" t="inlineStr">
        <is>
          <t>Hamburgueria</t>
        </is>
      </c>
      <c r="E662" t="n">
        <v>1061.98</v>
      </c>
      <c r="F662" t="n">
        <v>48.48</v>
      </c>
      <c r="G662" t="n">
        <v>24</v>
      </c>
      <c r="J662" t="inlineStr">
        <is>
          <t>M</t>
        </is>
      </c>
      <c r="K662" t="n">
        <v>2024</v>
      </c>
      <c r="L662" t="n">
        <v>11</v>
      </c>
      <c r="M662" t="inlineStr">
        <is>
          <t>Muçarela Mozzana 2 kg</t>
        </is>
      </c>
      <c r="N662" t="inlineStr">
        <is>
          <t>Pizzaria</t>
        </is>
      </c>
      <c r="O662" t="n">
        <v>69</v>
      </c>
      <c r="P662" t="n">
        <v>188</v>
      </c>
      <c r="Q662" t="n">
        <v>0</v>
      </c>
    </row>
    <row r="663">
      <c r="A663" t="n">
        <v>2024</v>
      </c>
      <c r="B663" t="n">
        <v>12</v>
      </c>
      <c r="C663" t="inlineStr">
        <is>
          <t>Muçarela Mozzana 2 kg</t>
        </is>
      </c>
      <c r="D663" t="inlineStr">
        <is>
          <t>Lanchonete / Cafeteria</t>
        </is>
      </c>
      <c r="E663" t="n">
        <v>1213.43</v>
      </c>
      <c r="F663" t="n">
        <v>56.56</v>
      </c>
      <c r="G663" t="n">
        <v>28</v>
      </c>
      <c r="J663" t="inlineStr">
        <is>
          <t>A</t>
        </is>
      </c>
      <c r="K663" t="n">
        <v>2024</v>
      </c>
      <c r="L663" t="n">
        <v>12</v>
      </c>
      <c r="M663" t="inlineStr">
        <is>
          <t>Muçarela Mozzana 2 kg</t>
        </is>
      </c>
      <c r="N663" t="inlineStr">
        <is>
          <t>Pizzaria</t>
        </is>
      </c>
      <c r="O663" t="n">
        <v>143</v>
      </c>
      <c r="P663" t="n">
        <v>2246</v>
      </c>
      <c r="Q663" t="n">
        <v>143</v>
      </c>
    </row>
    <row r="664">
      <c r="A664" t="n">
        <v>2024</v>
      </c>
      <c r="B664" t="n">
        <v>12</v>
      </c>
      <c r="C664" t="inlineStr">
        <is>
          <t>Muçarela Mozzana 2 kg</t>
        </is>
      </c>
      <c r="D664" t="inlineStr">
        <is>
          <t>Mercearia / Sacolão</t>
        </is>
      </c>
      <c r="E664" t="n">
        <v>2509.4</v>
      </c>
      <c r="F664" t="n">
        <v>113.12</v>
      </c>
      <c r="G664" t="n">
        <v>56</v>
      </c>
      <c r="J664" t="inlineStr">
        <is>
          <t>M</t>
        </is>
      </c>
      <c r="K664" t="n">
        <v>2024</v>
      </c>
      <c r="L664" t="n">
        <v>12</v>
      </c>
      <c r="M664" t="inlineStr">
        <is>
          <t>Muçarela Mozzana 2 kg</t>
        </is>
      </c>
      <c r="N664" t="inlineStr">
        <is>
          <t>Pizzaria</t>
        </is>
      </c>
      <c r="O664" t="n">
        <v>59</v>
      </c>
      <c r="P664" t="n">
        <v>196</v>
      </c>
      <c r="Q664" t="n">
        <v>0</v>
      </c>
    </row>
    <row r="665">
      <c r="A665" t="n">
        <v>2024</v>
      </c>
      <c r="B665" t="n">
        <v>12</v>
      </c>
      <c r="C665" t="inlineStr">
        <is>
          <t>Muçarela Mozzana 2 kg</t>
        </is>
      </c>
      <c r="D665" t="inlineStr">
        <is>
          <t>Outros</t>
        </is>
      </c>
      <c r="E665" t="n">
        <v>24096.1</v>
      </c>
      <c r="F665" t="n">
        <v>1115.04</v>
      </c>
      <c r="G665" t="n">
        <v>552</v>
      </c>
      <c r="J665" t="inlineStr">
        <is>
          <t>A</t>
        </is>
      </c>
      <c r="K665" t="n">
        <v>2024</v>
      </c>
      <c r="L665" t="n">
        <v>1</v>
      </c>
      <c r="M665" t="inlineStr">
        <is>
          <t>Muçarela Mozzana 2 kg</t>
        </is>
      </c>
      <c r="N665" t="inlineStr">
        <is>
          <t>Restaurante / Cantina</t>
        </is>
      </c>
      <c r="O665" t="n">
        <v>10</v>
      </c>
      <c r="P665" t="n">
        <v>31</v>
      </c>
      <c r="Q665" t="n">
        <v>10</v>
      </c>
    </row>
    <row r="666">
      <c r="A666" t="n">
        <v>2024</v>
      </c>
      <c r="B666" t="n">
        <v>12</v>
      </c>
      <c r="C666" t="inlineStr">
        <is>
          <t>Muçarela Mozzana 2 kg</t>
        </is>
      </c>
      <c r="D666" t="inlineStr">
        <is>
          <t>Padaria</t>
        </is>
      </c>
      <c r="E666" t="n">
        <v>3779.28</v>
      </c>
      <c r="F666" t="n">
        <v>173.72</v>
      </c>
      <c r="G666" t="n">
        <v>86</v>
      </c>
      <c r="J666" t="inlineStr">
        <is>
          <t>M</t>
        </is>
      </c>
      <c r="K666" t="n">
        <v>2024</v>
      </c>
      <c r="L666" t="n">
        <v>1</v>
      </c>
      <c r="M666" t="inlineStr">
        <is>
          <t>Muçarela Mozzana 2 kg</t>
        </is>
      </c>
      <c r="N666" t="inlineStr">
        <is>
          <t>Restaurante / Cantina</t>
        </is>
      </c>
      <c r="O666" t="n">
        <v>10</v>
      </c>
      <c r="P666" t="n">
        <v>31</v>
      </c>
      <c r="Q666" t="n">
        <v>0</v>
      </c>
    </row>
    <row r="667">
      <c r="A667" t="n">
        <v>2024</v>
      </c>
      <c r="B667" t="n">
        <v>12</v>
      </c>
      <c r="C667" t="inlineStr">
        <is>
          <t>Muçarela Mozzana 2 kg</t>
        </is>
      </c>
      <c r="D667" t="inlineStr">
        <is>
          <t>Pastelaria</t>
        </is>
      </c>
      <c r="E667" t="n">
        <v>10656.43</v>
      </c>
      <c r="F667" t="n">
        <v>482.78</v>
      </c>
      <c r="G667" t="n">
        <v>239</v>
      </c>
      <c r="J667" t="inlineStr">
        <is>
          <t>A</t>
        </is>
      </c>
      <c r="K667" t="n">
        <v>2024</v>
      </c>
      <c r="L667" t="n">
        <v>2</v>
      </c>
      <c r="M667" t="inlineStr">
        <is>
          <t>Muçarela Mozzana 2 kg</t>
        </is>
      </c>
      <c r="N667" t="inlineStr">
        <is>
          <t>Restaurante / Cantina</t>
        </is>
      </c>
      <c r="O667" t="n">
        <v>10</v>
      </c>
      <c r="P667" t="n">
        <v>49</v>
      </c>
      <c r="Q667" t="n">
        <v>10</v>
      </c>
    </row>
    <row r="668">
      <c r="A668" t="n">
        <v>2024</v>
      </c>
      <c r="B668" t="n">
        <v>12</v>
      </c>
      <c r="C668" t="inlineStr">
        <is>
          <t>Muçarela Mozzana 2 kg</t>
        </is>
      </c>
      <c r="D668" t="inlineStr">
        <is>
          <t>Pessoa Física</t>
        </is>
      </c>
      <c r="E668" t="n">
        <v>4190.11</v>
      </c>
      <c r="F668" t="n">
        <v>189.88</v>
      </c>
      <c r="G668" t="n">
        <v>94</v>
      </c>
      <c r="J668" t="inlineStr">
        <is>
          <t>M</t>
        </is>
      </c>
      <c r="K668" t="n">
        <v>2024</v>
      </c>
      <c r="L668" t="n">
        <v>2</v>
      </c>
      <c r="M668" t="inlineStr">
        <is>
          <t>Muçarela Mozzana 2 kg</t>
        </is>
      </c>
      <c r="N668" t="inlineStr">
        <is>
          <t>Restaurante / Cantina</t>
        </is>
      </c>
      <c r="O668" t="n">
        <v>8</v>
      </c>
      <c r="P668" t="n">
        <v>18</v>
      </c>
      <c r="Q668" t="n">
        <v>0</v>
      </c>
    </row>
    <row r="669">
      <c r="A669" t="n">
        <v>2024</v>
      </c>
      <c r="B669" t="n">
        <v>12</v>
      </c>
      <c r="C669" t="inlineStr">
        <is>
          <t>Muçarela Mozzana 2 kg</t>
        </is>
      </c>
      <c r="D669" t="inlineStr">
        <is>
          <t>Pizzaria</t>
        </is>
      </c>
      <c r="E669" t="n">
        <v>117048.09</v>
      </c>
      <c r="F669" t="n">
        <v>5421.68</v>
      </c>
      <c r="G669" t="n">
        <v>2684</v>
      </c>
      <c r="J669" t="inlineStr">
        <is>
          <t>A</t>
        </is>
      </c>
      <c r="K669" t="n">
        <v>2024</v>
      </c>
      <c r="L669" t="n">
        <v>3</v>
      </c>
      <c r="M669" t="inlineStr">
        <is>
          <t>Muçarela Mozzana 2 kg</t>
        </is>
      </c>
      <c r="N669" t="inlineStr">
        <is>
          <t>Restaurante / Cantina</t>
        </is>
      </c>
      <c r="O669" t="n">
        <v>11</v>
      </c>
      <c r="P669" t="n">
        <v>78</v>
      </c>
      <c r="Q669" t="n">
        <v>11</v>
      </c>
    </row>
    <row r="670">
      <c r="A670" t="n">
        <v>2024</v>
      </c>
      <c r="B670" t="n">
        <v>12</v>
      </c>
      <c r="C670" t="inlineStr">
        <is>
          <t>Muçarela Mozzana 2 kg</t>
        </is>
      </c>
      <c r="D670" t="inlineStr">
        <is>
          <t>Restaurante / Cantina</t>
        </is>
      </c>
      <c r="E670" t="n">
        <v>26372.4</v>
      </c>
      <c r="F670" t="n">
        <v>1238.26</v>
      </c>
      <c r="G670" t="n">
        <v>613</v>
      </c>
      <c r="J670" t="inlineStr">
        <is>
          <t>M</t>
        </is>
      </c>
      <c r="K670" t="n">
        <v>2024</v>
      </c>
      <c r="L670" t="n">
        <v>3</v>
      </c>
      <c r="M670" t="inlineStr">
        <is>
          <t>Muçarela Mozzana 2 kg</t>
        </is>
      </c>
      <c r="N670" t="inlineStr">
        <is>
          <t>Restaurante / Cantina</t>
        </is>
      </c>
      <c r="O670" t="n">
        <v>11</v>
      </c>
      <c r="P670" t="n">
        <v>29</v>
      </c>
      <c r="Q670" t="n">
        <v>0</v>
      </c>
    </row>
    <row r="671">
      <c r="A671" t="n">
        <v>2024</v>
      </c>
      <c r="B671" t="n">
        <v>12</v>
      </c>
      <c r="C671" t="inlineStr">
        <is>
          <t>Muçarela Mozzana 2 kg</t>
        </is>
      </c>
      <c r="D671" t="inlineStr">
        <is>
          <t>Supermercado</t>
        </is>
      </c>
      <c r="E671" t="n">
        <v>6011.47</v>
      </c>
      <c r="F671" t="n">
        <v>270.68</v>
      </c>
      <c r="G671" t="n">
        <v>134</v>
      </c>
      <c r="J671" t="inlineStr">
        <is>
          <t>A</t>
        </is>
      </c>
      <c r="K671" t="n">
        <v>2024</v>
      </c>
      <c r="L671" t="n">
        <v>4</v>
      </c>
      <c r="M671" t="inlineStr">
        <is>
          <t>Muçarela Mozzana 2 kg</t>
        </is>
      </c>
      <c r="N671" t="inlineStr">
        <is>
          <t>Restaurante / Cantina</t>
        </is>
      </c>
      <c r="O671" t="n">
        <v>12</v>
      </c>
      <c r="P671" t="n">
        <v>109</v>
      </c>
      <c r="Q671" t="n">
        <v>12</v>
      </c>
    </row>
    <row r="672">
      <c r="A672" t="n">
        <v>2024</v>
      </c>
      <c r="B672" t="n">
        <v>12</v>
      </c>
      <c r="C672" t="inlineStr">
        <is>
          <t>Parmesão ralado Parmozzana 1 kg</t>
        </is>
      </c>
      <c r="D672" t="inlineStr">
        <is>
          <t>Bar / Chopperia</t>
        </is>
      </c>
      <c r="E672" t="n">
        <v>95.40000000000001</v>
      </c>
      <c r="F672" t="n">
        <v>3.06</v>
      </c>
      <c r="G672" t="n">
        <v>3</v>
      </c>
      <c r="J672" t="inlineStr">
        <is>
          <t>M</t>
        </is>
      </c>
      <c r="K672" t="n">
        <v>2024</v>
      </c>
      <c r="L672" t="n">
        <v>4</v>
      </c>
      <c r="M672" t="inlineStr">
        <is>
          <t>Muçarela Mozzana 2 kg</t>
        </is>
      </c>
      <c r="N672" t="inlineStr">
        <is>
          <t>Restaurante / Cantina</t>
        </is>
      </c>
      <c r="O672" t="n">
        <v>11</v>
      </c>
      <c r="P672" t="n">
        <v>31</v>
      </c>
      <c r="Q672" t="n">
        <v>0</v>
      </c>
    </row>
    <row r="673">
      <c r="A673" t="n">
        <v>2024</v>
      </c>
      <c r="B673" t="n">
        <v>12</v>
      </c>
      <c r="C673" t="inlineStr">
        <is>
          <t>Parmesão ralado Parmozzana 1 kg</t>
        </is>
      </c>
      <c r="D673" t="inlineStr">
        <is>
          <t>Hamburgueria</t>
        </is>
      </c>
      <c r="E673" t="n">
        <v>32.9</v>
      </c>
      <c r="F673" t="n">
        <v>1.02</v>
      </c>
      <c r="G673" t="n">
        <v>1</v>
      </c>
      <c r="J673" t="inlineStr">
        <is>
          <t>A</t>
        </is>
      </c>
      <c r="K673" t="n">
        <v>2024</v>
      </c>
      <c r="L673" t="n">
        <v>5</v>
      </c>
      <c r="M673" t="inlineStr">
        <is>
          <t>Muçarela Mozzana 2 kg</t>
        </is>
      </c>
      <c r="N673" t="inlineStr">
        <is>
          <t>Restaurante / Cantina</t>
        </is>
      </c>
      <c r="O673" t="n">
        <v>13</v>
      </c>
      <c r="P673" t="n">
        <v>134</v>
      </c>
      <c r="Q673" t="n">
        <v>13</v>
      </c>
    </row>
    <row r="674">
      <c r="A674" t="n">
        <v>2024</v>
      </c>
      <c r="B674" t="n">
        <v>12</v>
      </c>
      <c r="C674" t="inlineStr">
        <is>
          <t>Parmesão ralado Parmozzana 1 kg</t>
        </is>
      </c>
      <c r="D674" t="inlineStr">
        <is>
          <t>Lanchonete / Cafeteria</t>
        </is>
      </c>
      <c r="E674" t="n">
        <v>31.48</v>
      </c>
      <c r="F674" t="n">
        <v>1.02</v>
      </c>
      <c r="G674" t="n">
        <v>1</v>
      </c>
      <c r="J674" t="inlineStr">
        <is>
          <t>M</t>
        </is>
      </c>
      <c r="K674" t="n">
        <v>2024</v>
      </c>
      <c r="L674" t="n">
        <v>5</v>
      </c>
      <c r="M674" t="inlineStr">
        <is>
          <t>Muçarela Mozzana 2 kg</t>
        </is>
      </c>
      <c r="N674" t="inlineStr">
        <is>
          <t>Restaurante / Cantina</t>
        </is>
      </c>
      <c r="O674" t="n">
        <v>9</v>
      </c>
      <c r="P674" t="n">
        <v>25</v>
      </c>
      <c r="Q674" t="n">
        <v>0</v>
      </c>
    </row>
    <row r="675">
      <c r="A675" t="n">
        <v>2024</v>
      </c>
      <c r="B675" t="n">
        <v>12</v>
      </c>
      <c r="C675" t="inlineStr">
        <is>
          <t>Parmesão ralado Parmozzana 1 kg</t>
        </is>
      </c>
      <c r="D675" t="inlineStr">
        <is>
          <t>Pessoa Física</t>
        </is>
      </c>
      <c r="E675" t="n">
        <v>31.72</v>
      </c>
      <c r="F675" t="n">
        <v>1.02</v>
      </c>
      <c r="G675" t="n">
        <v>1</v>
      </c>
      <c r="J675" t="inlineStr">
        <is>
          <t>A</t>
        </is>
      </c>
      <c r="K675" t="n">
        <v>2024</v>
      </c>
      <c r="L675" t="n">
        <v>6</v>
      </c>
      <c r="M675" t="inlineStr">
        <is>
          <t>Muçarela Mozzana 2 kg</t>
        </is>
      </c>
      <c r="N675" t="inlineStr">
        <is>
          <t>Restaurante / Cantina</t>
        </is>
      </c>
      <c r="O675" t="n">
        <v>19</v>
      </c>
      <c r="P675" t="n">
        <v>167</v>
      </c>
      <c r="Q675" t="n">
        <v>19</v>
      </c>
    </row>
    <row r="676">
      <c r="A676" t="n">
        <v>2024</v>
      </c>
      <c r="B676" t="n">
        <v>12</v>
      </c>
      <c r="C676" t="inlineStr">
        <is>
          <t>Parmesão ralado Parmozzana 1 kg</t>
        </is>
      </c>
      <c r="D676" t="inlineStr">
        <is>
          <t>Pizzaria</t>
        </is>
      </c>
      <c r="E676" t="n">
        <v>968.48</v>
      </c>
      <c r="F676" t="n">
        <v>31.62</v>
      </c>
      <c r="G676" t="n">
        <v>31</v>
      </c>
      <c r="J676" t="inlineStr">
        <is>
          <t>M</t>
        </is>
      </c>
      <c r="K676" t="n">
        <v>2024</v>
      </c>
      <c r="L676" t="n">
        <v>6</v>
      </c>
      <c r="M676" t="inlineStr">
        <is>
          <t>Muçarela Mozzana 2 kg</t>
        </is>
      </c>
      <c r="N676" t="inlineStr">
        <is>
          <t>Restaurante / Cantina</t>
        </is>
      </c>
      <c r="O676" t="n">
        <v>15</v>
      </c>
      <c r="P676" t="n">
        <v>33</v>
      </c>
      <c r="Q676" t="n">
        <v>0</v>
      </c>
    </row>
    <row r="677">
      <c r="A677" t="n">
        <v>2024</v>
      </c>
      <c r="B677" t="n">
        <v>12</v>
      </c>
      <c r="C677" t="inlineStr">
        <is>
          <t>Parmesão ralado Parmozzana 1 kg</t>
        </is>
      </c>
      <c r="D677" t="inlineStr">
        <is>
          <t>Restaurante / Cantina</t>
        </is>
      </c>
      <c r="E677" t="n">
        <v>165.24</v>
      </c>
      <c r="F677" t="n">
        <v>5.1</v>
      </c>
      <c r="G677" t="n">
        <v>5</v>
      </c>
      <c r="J677" t="inlineStr">
        <is>
          <t>A</t>
        </is>
      </c>
      <c r="K677" t="n">
        <v>2024</v>
      </c>
      <c r="L677" t="n">
        <v>7</v>
      </c>
      <c r="M677" t="inlineStr">
        <is>
          <t>Muçarela Mozzana 2 kg</t>
        </is>
      </c>
      <c r="N677" t="inlineStr">
        <is>
          <t>Restaurante / Cantina</t>
        </is>
      </c>
      <c r="O677" t="n">
        <v>20</v>
      </c>
      <c r="P677" t="n">
        <v>204</v>
      </c>
      <c r="Q677" t="n">
        <v>20</v>
      </c>
    </row>
    <row r="678">
      <c r="A678" t="n">
        <v>2024</v>
      </c>
      <c r="B678" t="n">
        <v>12</v>
      </c>
      <c r="C678" t="inlineStr">
        <is>
          <t>Requeijão Pizzalet 1,8 kg</t>
        </is>
      </c>
      <c r="D678" t="inlineStr">
        <is>
          <t>Bar / Chopperia</t>
        </is>
      </c>
      <c r="E678" t="n">
        <v>638.25</v>
      </c>
      <c r="F678" t="n">
        <v>82.8</v>
      </c>
      <c r="G678" t="n">
        <v>45</v>
      </c>
      <c r="J678" t="inlineStr">
        <is>
          <t>M</t>
        </is>
      </c>
      <c r="K678" t="n">
        <v>2024</v>
      </c>
      <c r="L678" t="n">
        <v>7</v>
      </c>
      <c r="M678" t="inlineStr">
        <is>
          <t>Muçarela Mozzana 2 kg</t>
        </is>
      </c>
      <c r="N678" t="inlineStr">
        <is>
          <t>Restaurante / Cantina</t>
        </is>
      </c>
      <c r="O678" t="n">
        <v>14</v>
      </c>
      <c r="P678" t="n">
        <v>37</v>
      </c>
      <c r="Q678" t="n">
        <v>0</v>
      </c>
    </row>
    <row r="679">
      <c r="A679" t="n">
        <v>2024</v>
      </c>
      <c r="B679" t="n">
        <v>12</v>
      </c>
      <c r="C679" t="inlineStr">
        <is>
          <t>Requeijão Pizzalet 1,8 kg</t>
        </is>
      </c>
      <c r="D679" t="inlineStr">
        <is>
          <t>Cozinha Industrial</t>
        </is>
      </c>
      <c r="E679" t="n">
        <v>787.92</v>
      </c>
      <c r="F679" t="n">
        <v>103.04</v>
      </c>
      <c r="G679" t="n">
        <v>56</v>
      </c>
      <c r="J679" t="inlineStr">
        <is>
          <t>A</t>
        </is>
      </c>
      <c r="K679" t="n">
        <v>2024</v>
      </c>
      <c r="L679" t="n">
        <v>8</v>
      </c>
      <c r="M679" t="inlineStr">
        <is>
          <t>Muçarela Mozzana 2 kg</t>
        </is>
      </c>
      <c r="N679" t="inlineStr">
        <is>
          <t>Restaurante / Cantina</t>
        </is>
      </c>
      <c r="O679" t="n">
        <v>22</v>
      </c>
      <c r="P679" t="n">
        <v>228</v>
      </c>
      <c r="Q679" t="n">
        <v>22</v>
      </c>
    </row>
    <row r="680">
      <c r="A680" t="n">
        <v>2024</v>
      </c>
      <c r="B680" t="n">
        <v>12</v>
      </c>
      <c r="C680" t="inlineStr">
        <is>
          <t>Requeijão Pizzalet 1,8 kg</t>
        </is>
      </c>
      <c r="D680" t="inlineStr">
        <is>
          <t>Lanchonete / Cafeteria</t>
        </is>
      </c>
      <c r="E680" t="n">
        <v>1133.99</v>
      </c>
      <c r="F680" t="n">
        <v>147.2</v>
      </c>
      <c r="G680" t="n">
        <v>80</v>
      </c>
      <c r="J680" t="inlineStr">
        <is>
          <t>M</t>
        </is>
      </c>
      <c r="K680" t="n">
        <v>2024</v>
      </c>
      <c r="L680" t="n">
        <v>8</v>
      </c>
      <c r="M680" t="inlineStr">
        <is>
          <t>Muçarela Mozzana 2 kg</t>
        </is>
      </c>
      <c r="N680" t="inlineStr">
        <is>
          <t>Restaurante / Cantina</t>
        </is>
      </c>
      <c r="O680" t="n">
        <v>11</v>
      </c>
      <c r="P680" t="n">
        <v>24</v>
      </c>
      <c r="Q680" t="n">
        <v>0</v>
      </c>
    </row>
    <row r="681">
      <c r="A681" t="n">
        <v>2024</v>
      </c>
      <c r="B681" t="n">
        <v>12</v>
      </c>
      <c r="C681" t="inlineStr">
        <is>
          <t>Requeijão Pizzalet 1,8 kg</t>
        </is>
      </c>
      <c r="D681" t="inlineStr">
        <is>
          <t>Pastelaria</t>
        </is>
      </c>
      <c r="E681" t="n">
        <v>3034.36</v>
      </c>
      <c r="F681" t="n">
        <v>390.08</v>
      </c>
      <c r="G681" t="n">
        <v>212</v>
      </c>
      <c r="J681" t="inlineStr">
        <is>
          <t>A</t>
        </is>
      </c>
      <c r="K681" t="n">
        <v>2024</v>
      </c>
      <c r="L681" t="n">
        <v>9</v>
      </c>
      <c r="M681" t="inlineStr">
        <is>
          <t>Muçarela Mozzana 2 kg</t>
        </is>
      </c>
      <c r="N681" t="inlineStr">
        <is>
          <t>Restaurante / Cantina</t>
        </is>
      </c>
      <c r="O681" t="n">
        <v>26</v>
      </c>
      <c r="P681" t="n">
        <v>265</v>
      </c>
      <c r="Q681" t="n">
        <v>26</v>
      </c>
    </row>
    <row r="682">
      <c r="A682" t="n">
        <v>2024</v>
      </c>
      <c r="B682" t="n">
        <v>12</v>
      </c>
      <c r="C682" t="inlineStr">
        <is>
          <t>Requeijão Pizzalet 1,8 kg</t>
        </is>
      </c>
      <c r="D682" t="inlineStr">
        <is>
          <t>Pessoa Física</t>
        </is>
      </c>
      <c r="E682" t="n">
        <v>114.24</v>
      </c>
      <c r="F682" t="n">
        <v>14.72</v>
      </c>
      <c r="G682" t="n">
        <v>8</v>
      </c>
      <c r="J682" t="inlineStr">
        <is>
          <t>M</t>
        </is>
      </c>
      <c r="K682" t="n">
        <v>2024</v>
      </c>
      <c r="L682" t="n">
        <v>9</v>
      </c>
      <c r="M682" t="inlineStr">
        <is>
          <t>Muçarela Mozzana 2 kg</t>
        </is>
      </c>
      <c r="N682" t="inlineStr">
        <is>
          <t>Restaurante / Cantina</t>
        </is>
      </c>
      <c r="O682" t="n">
        <v>12</v>
      </c>
      <c r="P682" t="n">
        <v>37</v>
      </c>
      <c r="Q682" t="n">
        <v>0</v>
      </c>
    </row>
    <row r="683">
      <c r="A683" t="n">
        <v>2024</v>
      </c>
      <c r="B683" t="n">
        <v>12</v>
      </c>
      <c r="C683" t="inlineStr">
        <is>
          <t>Requeijão Pizzalet 1,8 kg</t>
        </is>
      </c>
      <c r="D683" t="inlineStr">
        <is>
          <t>Pizzaria</t>
        </is>
      </c>
      <c r="E683" t="n">
        <v>5510.41</v>
      </c>
      <c r="F683" t="n">
        <v>715.76</v>
      </c>
      <c r="G683" t="n">
        <v>389</v>
      </c>
      <c r="J683" t="inlineStr">
        <is>
          <t>A</t>
        </is>
      </c>
      <c r="K683" t="n">
        <v>2024</v>
      </c>
      <c r="L683" t="n">
        <v>10</v>
      </c>
      <c r="M683" t="inlineStr">
        <is>
          <t>Muçarela Mozzana 2 kg</t>
        </is>
      </c>
      <c r="N683" t="inlineStr">
        <is>
          <t>Restaurante / Cantina</t>
        </is>
      </c>
      <c r="O683" t="n">
        <v>26</v>
      </c>
      <c r="P683" t="n">
        <v>299</v>
      </c>
      <c r="Q683" t="n">
        <v>26</v>
      </c>
    </row>
    <row r="684">
      <c r="A684" t="n">
        <v>2024</v>
      </c>
      <c r="B684" t="n">
        <v>12</v>
      </c>
      <c r="C684" t="inlineStr">
        <is>
          <t>Requeijão Pizzalet 1,8 kg</t>
        </is>
      </c>
      <c r="D684" t="inlineStr">
        <is>
          <t>Restaurante / Cantina</t>
        </is>
      </c>
      <c r="E684" t="n">
        <v>184.19</v>
      </c>
      <c r="F684" t="n">
        <v>23.92</v>
      </c>
      <c r="G684" t="n">
        <v>13</v>
      </c>
      <c r="J684" t="inlineStr">
        <is>
          <t>M</t>
        </is>
      </c>
      <c r="K684" t="n">
        <v>2024</v>
      </c>
      <c r="L684" t="n">
        <v>10</v>
      </c>
      <c r="M684" t="inlineStr">
        <is>
          <t>Muçarela Mozzana 2 kg</t>
        </is>
      </c>
      <c r="N684" t="inlineStr">
        <is>
          <t>Restaurante / Cantina</t>
        </is>
      </c>
      <c r="O684" t="n">
        <v>13</v>
      </c>
      <c r="P684" t="n">
        <v>34</v>
      </c>
      <c r="Q684" t="n">
        <v>0</v>
      </c>
    </row>
    <row r="685">
      <c r="A685" t="n">
        <v>2025</v>
      </c>
      <c r="B685" t="n">
        <v>1</v>
      </c>
      <c r="C685" t="inlineStr">
        <is>
          <t>Chocolate em pó 50% 1 kg</t>
        </is>
      </c>
      <c r="D685" t="inlineStr">
        <is>
          <t>Buffet</t>
        </is>
      </c>
      <c r="E685" t="n">
        <v>73.22</v>
      </c>
      <c r="F685" t="n">
        <v>2.04</v>
      </c>
      <c r="G685" t="n">
        <v>2</v>
      </c>
      <c r="J685" t="inlineStr">
        <is>
          <t>A</t>
        </is>
      </c>
      <c r="K685" t="n">
        <v>2024</v>
      </c>
      <c r="L685" t="n">
        <v>11</v>
      </c>
      <c r="M685" t="inlineStr">
        <is>
          <t>Muçarela Mozzana 2 kg</t>
        </is>
      </c>
      <c r="N685" t="inlineStr">
        <is>
          <t>Restaurante / Cantina</t>
        </is>
      </c>
      <c r="O685" t="n">
        <v>29</v>
      </c>
      <c r="P685" t="n">
        <v>332</v>
      </c>
      <c r="Q685" t="n">
        <v>29</v>
      </c>
    </row>
    <row r="686">
      <c r="A686" t="n">
        <v>2025</v>
      </c>
      <c r="B686" t="n">
        <v>1</v>
      </c>
      <c r="C686" t="inlineStr">
        <is>
          <t>Chocolate em pó 50% 1 kg</t>
        </is>
      </c>
      <c r="D686" t="inlineStr">
        <is>
          <t>Churrascaria</t>
        </is>
      </c>
      <c r="E686" t="n">
        <v>36.61</v>
      </c>
      <c r="F686" t="n">
        <v>1.02</v>
      </c>
      <c r="G686" t="n">
        <v>1</v>
      </c>
      <c r="J686" t="inlineStr">
        <is>
          <t>M</t>
        </is>
      </c>
      <c r="K686" t="n">
        <v>2024</v>
      </c>
      <c r="L686" t="n">
        <v>11</v>
      </c>
      <c r="M686" t="inlineStr">
        <is>
          <t>Muçarela Mozzana 2 kg</t>
        </is>
      </c>
      <c r="N686" t="inlineStr">
        <is>
          <t>Restaurante / Cantina</t>
        </is>
      </c>
      <c r="O686" t="n">
        <v>14</v>
      </c>
      <c r="P686" t="n">
        <v>33</v>
      </c>
      <c r="Q686" t="n">
        <v>0</v>
      </c>
    </row>
    <row r="687">
      <c r="A687" t="n">
        <v>2025</v>
      </c>
      <c r="B687" t="n">
        <v>1</v>
      </c>
      <c r="C687" t="inlineStr">
        <is>
          <t>Chocolate em pó 50% 1 kg</t>
        </is>
      </c>
      <c r="D687" t="inlineStr">
        <is>
          <t>Cozinha Industrial</t>
        </is>
      </c>
      <c r="E687" t="n">
        <v>37</v>
      </c>
      <c r="F687" t="n">
        <v>1.02</v>
      </c>
      <c r="G687" t="n">
        <v>1</v>
      </c>
      <c r="J687" t="inlineStr">
        <is>
          <t>A</t>
        </is>
      </c>
      <c r="K687" t="n">
        <v>2024</v>
      </c>
      <c r="L687" t="n">
        <v>12</v>
      </c>
      <c r="M687" t="inlineStr">
        <is>
          <t>Muçarela Mozzana 2 kg</t>
        </is>
      </c>
      <c r="N687" t="inlineStr">
        <is>
          <t>Restaurante / Cantina</t>
        </is>
      </c>
      <c r="O687" t="n">
        <v>29</v>
      </c>
      <c r="P687" t="n">
        <v>373</v>
      </c>
      <c r="Q687" t="n">
        <v>29</v>
      </c>
    </row>
    <row r="688">
      <c r="A688" t="n">
        <v>2025</v>
      </c>
      <c r="B688" t="n">
        <v>1</v>
      </c>
      <c r="C688" t="inlineStr">
        <is>
          <t>Chocolate em pó 50% 1 kg</t>
        </is>
      </c>
      <c r="D688" t="inlineStr">
        <is>
          <t>Hotel / Motel / Pousada</t>
        </is>
      </c>
      <c r="E688" t="n">
        <v>1602.16</v>
      </c>
      <c r="F688" t="n">
        <v>45.9</v>
      </c>
      <c r="G688" t="n">
        <v>45</v>
      </c>
      <c r="J688" t="inlineStr">
        <is>
          <t>M</t>
        </is>
      </c>
      <c r="K688" t="n">
        <v>2024</v>
      </c>
      <c r="L688" t="n">
        <v>12</v>
      </c>
      <c r="M688" t="inlineStr">
        <is>
          <t>Muçarela Mozzana 2 kg</t>
        </is>
      </c>
      <c r="N688" t="inlineStr">
        <is>
          <t>Restaurante / Cantina</t>
        </is>
      </c>
      <c r="O688" t="n">
        <v>13</v>
      </c>
      <c r="P688" t="n">
        <v>41</v>
      </c>
      <c r="Q688" t="n">
        <v>0</v>
      </c>
    </row>
    <row r="689">
      <c r="A689" t="n">
        <v>2025</v>
      </c>
      <c r="B689" t="n">
        <v>1</v>
      </c>
      <c r="C689" t="inlineStr">
        <is>
          <t>Chocolate em pó 50% 1 kg</t>
        </is>
      </c>
      <c r="D689" t="inlineStr">
        <is>
          <t>Instituição Religiosa</t>
        </is>
      </c>
      <c r="E689" t="n">
        <v>218.52</v>
      </c>
      <c r="F689" t="n">
        <v>6.12</v>
      </c>
      <c r="G689" t="n">
        <v>6</v>
      </c>
      <c r="J689" t="inlineStr">
        <is>
          <t>A</t>
        </is>
      </c>
      <c r="K689" t="n">
        <v>2024</v>
      </c>
      <c r="L689" t="n">
        <v>1</v>
      </c>
      <c r="M689" t="inlineStr">
        <is>
          <t>Muçarela Mozzana 2 kg</t>
        </is>
      </c>
      <c r="N689" t="inlineStr">
        <is>
          <t>Cozinha Industrial</t>
        </is>
      </c>
      <c r="O689" t="n">
        <v>5</v>
      </c>
      <c r="P689" t="n">
        <v>7</v>
      </c>
      <c r="Q689" t="n">
        <v>5</v>
      </c>
    </row>
    <row r="690">
      <c r="A690" t="n">
        <v>2025</v>
      </c>
      <c r="B690" t="n">
        <v>1</v>
      </c>
      <c r="C690" t="inlineStr">
        <is>
          <t>Chocolate em pó 50% 1 kg</t>
        </is>
      </c>
      <c r="D690" t="inlineStr">
        <is>
          <t>Lanchonete / Cafeteria</t>
        </is>
      </c>
      <c r="E690" t="n">
        <v>108.75</v>
      </c>
      <c r="F690" t="n">
        <v>3.06</v>
      </c>
      <c r="G690" t="n">
        <v>3</v>
      </c>
      <c r="J690" t="inlineStr">
        <is>
          <t>M</t>
        </is>
      </c>
      <c r="K690" t="n">
        <v>2024</v>
      </c>
      <c r="L690" t="n">
        <v>1</v>
      </c>
      <c r="M690" t="inlineStr">
        <is>
          <t>Muçarela Mozzana 2 kg</t>
        </is>
      </c>
      <c r="N690" t="inlineStr">
        <is>
          <t>Cozinha Industrial</t>
        </is>
      </c>
      <c r="O690" t="n">
        <v>5</v>
      </c>
      <c r="P690" t="n">
        <v>7</v>
      </c>
      <c r="Q690" t="n">
        <v>0</v>
      </c>
    </row>
    <row r="691">
      <c r="A691" t="n">
        <v>2025</v>
      </c>
      <c r="B691" t="n">
        <v>1</v>
      </c>
      <c r="C691" t="inlineStr">
        <is>
          <t>Chocolate em pó 50% 1 kg</t>
        </is>
      </c>
      <c r="D691" t="inlineStr">
        <is>
          <t>Laticínios / Distribuidor</t>
        </is>
      </c>
      <c r="E691" t="n">
        <v>36.25</v>
      </c>
      <c r="F691" t="n">
        <v>1.02</v>
      </c>
      <c r="G691" t="n">
        <v>1</v>
      </c>
      <c r="J691" t="inlineStr">
        <is>
          <t>A</t>
        </is>
      </c>
      <c r="K691" t="n">
        <v>2024</v>
      </c>
      <c r="L691" t="n">
        <v>2</v>
      </c>
      <c r="M691" t="inlineStr">
        <is>
          <t>Muçarela Mozzana 2 kg</t>
        </is>
      </c>
      <c r="N691" t="inlineStr">
        <is>
          <t>Cozinha Industrial</t>
        </is>
      </c>
      <c r="O691" t="n">
        <v>6</v>
      </c>
      <c r="P691" t="n">
        <v>18</v>
      </c>
      <c r="Q691" t="n">
        <v>6</v>
      </c>
    </row>
    <row r="692">
      <c r="A692" t="n">
        <v>2025</v>
      </c>
      <c r="B692" t="n">
        <v>1</v>
      </c>
      <c r="C692" t="inlineStr">
        <is>
          <t>Chocolate em pó 50% 1 kg</t>
        </is>
      </c>
      <c r="D692" t="inlineStr">
        <is>
          <t>Outros</t>
        </is>
      </c>
      <c r="E692" t="n">
        <v>434.5</v>
      </c>
      <c r="F692" t="n">
        <v>12.24</v>
      </c>
      <c r="G692" t="n">
        <v>12</v>
      </c>
      <c r="J692" t="inlineStr">
        <is>
          <t>M</t>
        </is>
      </c>
      <c r="K692" t="n">
        <v>2024</v>
      </c>
      <c r="L692" t="n">
        <v>2</v>
      </c>
      <c r="M692" t="inlineStr">
        <is>
          <t>Muçarela Mozzana 2 kg</t>
        </is>
      </c>
      <c r="N692" t="inlineStr">
        <is>
          <t>Cozinha Industrial</t>
        </is>
      </c>
      <c r="O692" t="n">
        <v>5</v>
      </c>
      <c r="P692" t="n">
        <v>11</v>
      </c>
      <c r="Q692" t="n">
        <v>0</v>
      </c>
    </row>
    <row r="693">
      <c r="A693" t="n">
        <v>2025</v>
      </c>
      <c r="B693" t="n">
        <v>1</v>
      </c>
      <c r="C693" t="inlineStr">
        <is>
          <t>Chocolate em pó 50% 1 kg</t>
        </is>
      </c>
      <c r="D693" t="inlineStr">
        <is>
          <t>Padaria</t>
        </is>
      </c>
      <c r="E693" t="n">
        <v>144.75</v>
      </c>
      <c r="F693" t="n">
        <v>4.08</v>
      </c>
      <c r="G693" t="n">
        <v>4</v>
      </c>
      <c r="J693" t="inlineStr">
        <is>
          <t>A</t>
        </is>
      </c>
      <c r="K693" t="n">
        <v>2024</v>
      </c>
      <c r="L693" t="n">
        <v>3</v>
      </c>
      <c r="M693" t="inlineStr">
        <is>
          <t>Muçarela Mozzana 2 kg</t>
        </is>
      </c>
      <c r="N693" t="inlineStr">
        <is>
          <t>Cozinha Industrial</t>
        </is>
      </c>
      <c r="O693" t="n">
        <v>9</v>
      </c>
      <c r="P693" t="n">
        <v>34</v>
      </c>
      <c r="Q693" t="n">
        <v>9</v>
      </c>
    </row>
    <row r="694">
      <c r="A694" t="n">
        <v>2025</v>
      </c>
      <c r="B694" t="n">
        <v>1</v>
      </c>
      <c r="C694" t="inlineStr">
        <is>
          <t>Chocolate em pó 50% 1 kg</t>
        </is>
      </c>
      <c r="D694" t="inlineStr">
        <is>
          <t>Pizzaria</t>
        </is>
      </c>
      <c r="E694" t="n">
        <v>215.2</v>
      </c>
      <c r="F694" t="n">
        <v>6.12</v>
      </c>
      <c r="G694" t="n">
        <v>6</v>
      </c>
      <c r="J694" t="inlineStr">
        <is>
          <t>M</t>
        </is>
      </c>
      <c r="K694" t="n">
        <v>2024</v>
      </c>
      <c r="L694" t="n">
        <v>3</v>
      </c>
      <c r="M694" t="inlineStr">
        <is>
          <t>Muçarela Mozzana 2 kg</t>
        </is>
      </c>
      <c r="N694" t="inlineStr">
        <is>
          <t>Cozinha Industrial</t>
        </is>
      </c>
      <c r="O694" t="n">
        <v>6</v>
      </c>
      <c r="P694" t="n">
        <v>16</v>
      </c>
      <c r="Q694" t="n">
        <v>0</v>
      </c>
    </row>
    <row r="695">
      <c r="A695" t="n">
        <v>2025</v>
      </c>
      <c r="B695" t="n">
        <v>1</v>
      </c>
      <c r="C695" t="inlineStr">
        <is>
          <t>Chocolate em pó 50% 1 kg</t>
        </is>
      </c>
      <c r="D695" t="inlineStr">
        <is>
          <t>Restaurante / Cantina</t>
        </is>
      </c>
      <c r="E695" t="n">
        <v>726.08</v>
      </c>
      <c r="F695" t="n">
        <v>20.4</v>
      </c>
      <c r="G695" t="n">
        <v>20</v>
      </c>
      <c r="J695" t="inlineStr">
        <is>
          <t>A</t>
        </is>
      </c>
      <c r="K695" t="n">
        <v>2024</v>
      </c>
      <c r="L695" t="n">
        <v>4</v>
      </c>
      <c r="M695" t="inlineStr">
        <is>
          <t>Muçarela Mozzana 2 kg</t>
        </is>
      </c>
      <c r="N695" t="inlineStr">
        <is>
          <t>Cozinha Industrial</t>
        </is>
      </c>
      <c r="O695" t="n">
        <v>9</v>
      </c>
      <c r="P695" t="n">
        <v>53</v>
      </c>
      <c r="Q695" t="n">
        <v>9</v>
      </c>
    </row>
    <row r="696">
      <c r="A696" t="n">
        <v>2025</v>
      </c>
      <c r="B696" t="n">
        <v>1</v>
      </c>
      <c r="C696" t="inlineStr">
        <is>
          <t>Composto lácteo Alibralac 1 kg</t>
        </is>
      </c>
      <c r="D696" t="inlineStr">
        <is>
          <t>Cozinha Industrial</t>
        </is>
      </c>
      <c r="E696" t="n">
        <v>696.5</v>
      </c>
      <c r="F696" t="n">
        <v>35.7</v>
      </c>
      <c r="G696" t="n">
        <v>35</v>
      </c>
      <c r="J696" t="inlineStr">
        <is>
          <t>M</t>
        </is>
      </c>
      <c r="K696" t="n">
        <v>2024</v>
      </c>
      <c r="L696" t="n">
        <v>4</v>
      </c>
      <c r="M696" t="inlineStr">
        <is>
          <t>Muçarela Mozzana 2 kg</t>
        </is>
      </c>
      <c r="N696" t="inlineStr">
        <is>
          <t>Cozinha Industrial</t>
        </is>
      </c>
      <c r="O696" t="n">
        <v>7</v>
      </c>
      <c r="P696" t="n">
        <v>19</v>
      </c>
      <c r="Q696" t="n">
        <v>0</v>
      </c>
    </row>
    <row r="697">
      <c r="A697" t="n">
        <v>2025</v>
      </c>
      <c r="B697" t="n">
        <v>1</v>
      </c>
      <c r="C697" t="inlineStr">
        <is>
          <t>Composto lácteo Alibralac 1 kg</t>
        </is>
      </c>
      <c r="D697" t="inlineStr">
        <is>
          <t>Hotel / Motel / Pousada</t>
        </is>
      </c>
      <c r="E697" t="n">
        <v>1019.5</v>
      </c>
      <c r="F697" t="n">
        <v>51</v>
      </c>
      <c r="G697" t="n">
        <v>50</v>
      </c>
      <c r="J697" t="inlineStr">
        <is>
          <t>A</t>
        </is>
      </c>
      <c r="K697" t="n">
        <v>2024</v>
      </c>
      <c r="L697" t="n">
        <v>5</v>
      </c>
      <c r="M697" t="inlineStr">
        <is>
          <t>Muçarela Mozzana 2 kg</t>
        </is>
      </c>
      <c r="N697" t="inlineStr">
        <is>
          <t>Cozinha Industrial</t>
        </is>
      </c>
      <c r="O697" t="n">
        <v>10</v>
      </c>
      <c r="P697" t="n">
        <v>64</v>
      </c>
      <c r="Q697" t="n">
        <v>10</v>
      </c>
    </row>
    <row r="698">
      <c r="A698" t="n">
        <v>2025</v>
      </c>
      <c r="B698" t="n">
        <v>1</v>
      </c>
      <c r="C698" t="inlineStr">
        <is>
          <t>Composto lácteo Alibralac 1 kg</t>
        </is>
      </c>
      <c r="D698" t="inlineStr">
        <is>
          <t>Padaria</t>
        </is>
      </c>
      <c r="E698" t="n">
        <v>201.9</v>
      </c>
      <c r="F698" t="n">
        <v>10.2</v>
      </c>
      <c r="G698" t="n">
        <v>10</v>
      </c>
      <c r="J698" t="inlineStr">
        <is>
          <t>M</t>
        </is>
      </c>
      <c r="K698" t="n">
        <v>2024</v>
      </c>
      <c r="L698" t="n">
        <v>5</v>
      </c>
      <c r="M698" t="inlineStr">
        <is>
          <t>Muçarela Mozzana 2 kg</t>
        </is>
      </c>
      <c r="N698" t="inlineStr">
        <is>
          <t>Cozinha Industrial</t>
        </is>
      </c>
      <c r="O698" t="n">
        <v>6</v>
      </c>
      <c r="P698" t="n">
        <v>11</v>
      </c>
      <c r="Q698" t="n">
        <v>0</v>
      </c>
    </row>
    <row r="699">
      <c r="A699" t="n">
        <v>2025</v>
      </c>
      <c r="B699" t="n">
        <v>1</v>
      </c>
      <c r="C699" t="inlineStr">
        <is>
          <t>Composto lácteo Alibralac 1 kg</t>
        </is>
      </c>
      <c r="D699" t="inlineStr">
        <is>
          <t>Pizzaria</t>
        </is>
      </c>
      <c r="E699" t="n">
        <v>1939.41</v>
      </c>
      <c r="F699" t="n">
        <v>100.98</v>
      </c>
      <c r="G699" t="n">
        <v>99</v>
      </c>
      <c r="J699" t="inlineStr">
        <is>
          <t>A</t>
        </is>
      </c>
      <c r="K699" t="n">
        <v>2024</v>
      </c>
      <c r="L699" t="n">
        <v>6</v>
      </c>
      <c r="M699" t="inlineStr">
        <is>
          <t>Muçarela Mozzana 2 kg</t>
        </is>
      </c>
      <c r="N699" t="inlineStr">
        <is>
          <t>Cozinha Industrial</t>
        </is>
      </c>
      <c r="O699" t="n">
        <v>10</v>
      </c>
      <c r="P699" t="n">
        <v>81</v>
      </c>
      <c r="Q699" t="n">
        <v>10</v>
      </c>
    </row>
    <row r="700">
      <c r="A700" t="n">
        <v>2025</v>
      </c>
      <c r="B700" t="n">
        <v>1</v>
      </c>
      <c r="C700" t="inlineStr">
        <is>
          <t>Composto lácteo Alibralac 1 kg</t>
        </is>
      </c>
      <c r="D700" t="inlineStr">
        <is>
          <t>Restaurante / Cantina</t>
        </is>
      </c>
      <c r="E700" t="n">
        <v>399.8</v>
      </c>
      <c r="F700" t="n">
        <v>20.4</v>
      </c>
      <c r="G700" t="n">
        <v>20</v>
      </c>
      <c r="J700" t="inlineStr">
        <is>
          <t>M</t>
        </is>
      </c>
      <c r="K700" t="n">
        <v>2024</v>
      </c>
      <c r="L700" t="n">
        <v>6</v>
      </c>
      <c r="M700" t="inlineStr">
        <is>
          <t>Muçarela Mozzana 2 kg</t>
        </is>
      </c>
      <c r="N700" t="inlineStr">
        <is>
          <t>Cozinha Industrial</t>
        </is>
      </c>
      <c r="O700" t="n">
        <v>6</v>
      </c>
      <c r="P700" t="n">
        <v>17</v>
      </c>
      <c r="Q700" t="n">
        <v>0</v>
      </c>
    </row>
    <row r="701">
      <c r="A701" t="n">
        <v>2025</v>
      </c>
      <c r="B701" t="n">
        <v>1</v>
      </c>
      <c r="C701" t="inlineStr">
        <is>
          <t>Composto lácteo Merilú 400 g</t>
        </is>
      </c>
      <c r="D701" t="inlineStr">
        <is>
          <t>Churrascaria</t>
        </is>
      </c>
      <c r="E701" t="n">
        <v>47.34</v>
      </c>
      <c r="F701" t="n">
        <v>2.52</v>
      </c>
      <c r="G701" t="n">
        <v>6</v>
      </c>
      <c r="J701" t="inlineStr">
        <is>
          <t>A</t>
        </is>
      </c>
      <c r="K701" t="n">
        <v>2024</v>
      </c>
      <c r="L701" t="n">
        <v>7</v>
      </c>
      <c r="M701" t="inlineStr">
        <is>
          <t>Muçarela Mozzana 2 kg</t>
        </is>
      </c>
      <c r="N701" t="inlineStr">
        <is>
          <t>Cozinha Industrial</t>
        </is>
      </c>
      <c r="O701" t="n">
        <v>10</v>
      </c>
      <c r="P701" t="n">
        <v>93</v>
      </c>
      <c r="Q701" t="n">
        <v>10</v>
      </c>
    </row>
    <row r="702">
      <c r="A702" t="n">
        <v>2025</v>
      </c>
      <c r="B702" t="n">
        <v>1</v>
      </c>
      <c r="C702" t="inlineStr">
        <is>
          <t>Composto lácteo Merilú 400 g</t>
        </is>
      </c>
      <c r="D702" t="inlineStr">
        <is>
          <t>Hamburgueria</t>
        </is>
      </c>
      <c r="E702" t="n">
        <v>340.5</v>
      </c>
      <c r="F702" t="n">
        <v>21</v>
      </c>
      <c r="G702" t="n">
        <v>50</v>
      </c>
      <c r="J702" t="inlineStr">
        <is>
          <t>M</t>
        </is>
      </c>
      <c r="K702" t="n">
        <v>2024</v>
      </c>
      <c r="L702" t="n">
        <v>7</v>
      </c>
      <c r="M702" t="inlineStr">
        <is>
          <t>Muçarela Mozzana 2 kg</t>
        </is>
      </c>
      <c r="N702" t="inlineStr">
        <is>
          <t>Cozinha Industrial</t>
        </is>
      </c>
      <c r="O702" t="n">
        <v>4</v>
      </c>
      <c r="P702" t="n">
        <v>12</v>
      </c>
      <c r="Q702" t="n">
        <v>0</v>
      </c>
    </row>
    <row r="703">
      <c r="A703" t="n">
        <v>2025</v>
      </c>
      <c r="B703" t="n">
        <v>1</v>
      </c>
      <c r="C703" t="inlineStr">
        <is>
          <t>Composto lácteo Merilú 400 g</t>
        </is>
      </c>
      <c r="D703" t="inlineStr">
        <is>
          <t>Outros</t>
        </is>
      </c>
      <c r="E703" t="n">
        <v>378.56</v>
      </c>
      <c r="F703" t="n">
        <v>23.52</v>
      </c>
      <c r="G703" t="n">
        <v>56</v>
      </c>
      <c r="J703" t="inlineStr">
        <is>
          <t>A</t>
        </is>
      </c>
      <c r="K703" t="n">
        <v>2024</v>
      </c>
      <c r="L703" t="n">
        <v>8</v>
      </c>
      <c r="M703" t="inlineStr">
        <is>
          <t>Muçarela Mozzana 2 kg</t>
        </is>
      </c>
      <c r="N703" t="inlineStr">
        <is>
          <t>Cozinha Industrial</t>
        </is>
      </c>
      <c r="O703" t="n">
        <v>11</v>
      </c>
      <c r="P703" t="n">
        <v>105</v>
      </c>
      <c r="Q703" t="n">
        <v>11</v>
      </c>
    </row>
    <row r="704">
      <c r="A704" t="n">
        <v>2025</v>
      </c>
      <c r="B704" t="n">
        <v>1</v>
      </c>
      <c r="C704" t="inlineStr">
        <is>
          <t>Composto lácteo Merilú 400 g</t>
        </is>
      </c>
      <c r="D704" t="inlineStr">
        <is>
          <t>Padaria</t>
        </is>
      </c>
      <c r="E704" t="n">
        <v>1081.6</v>
      </c>
      <c r="F704" t="n">
        <v>67.2</v>
      </c>
      <c r="G704" t="n">
        <v>160</v>
      </c>
      <c r="J704" t="inlineStr">
        <is>
          <t>M</t>
        </is>
      </c>
      <c r="K704" t="n">
        <v>2024</v>
      </c>
      <c r="L704" t="n">
        <v>8</v>
      </c>
      <c r="M704" t="inlineStr">
        <is>
          <t>Muçarela Mozzana 2 kg</t>
        </is>
      </c>
      <c r="N704" t="inlineStr">
        <is>
          <t>Cozinha Industrial</t>
        </is>
      </c>
      <c r="O704" t="n">
        <v>5</v>
      </c>
      <c r="P704" t="n">
        <v>12</v>
      </c>
      <c r="Q704" t="n">
        <v>0</v>
      </c>
    </row>
    <row r="705">
      <c r="A705" t="n">
        <v>2025</v>
      </c>
      <c r="B705" t="n">
        <v>1</v>
      </c>
      <c r="C705" t="inlineStr">
        <is>
          <t>Composto lácteo Merilú 400 g</t>
        </is>
      </c>
      <c r="D705" t="inlineStr">
        <is>
          <t>Pessoa Física</t>
        </is>
      </c>
      <c r="E705" t="n">
        <v>545.6</v>
      </c>
      <c r="F705" t="n">
        <v>33.6</v>
      </c>
      <c r="G705" t="n">
        <v>80</v>
      </c>
      <c r="J705" t="inlineStr">
        <is>
          <t>A</t>
        </is>
      </c>
      <c r="K705" t="n">
        <v>2024</v>
      </c>
      <c r="L705" t="n">
        <v>9</v>
      </c>
      <c r="M705" t="inlineStr">
        <is>
          <t>Muçarela Mozzana 2 kg</t>
        </is>
      </c>
      <c r="N705" t="inlineStr">
        <is>
          <t>Cozinha Industrial</t>
        </is>
      </c>
      <c r="O705" t="n">
        <v>13</v>
      </c>
      <c r="P705" t="n">
        <v>113</v>
      </c>
      <c r="Q705" t="n">
        <v>13</v>
      </c>
    </row>
    <row r="706">
      <c r="A706" t="n">
        <v>2025</v>
      </c>
      <c r="B706" t="n">
        <v>1</v>
      </c>
      <c r="C706" t="inlineStr">
        <is>
          <t>Composto lácteo Merilú 400 g</t>
        </is>
      </c>
      <c r="D706" t="inlineStr">
        <is>
          <t>Pizzaria</t>
        </is>
      </c>
      <c r="E706" t="n">
        <v>33.38</v>
      </c>
      <c r="F706" t="n">
        <v>2.1</v>
      </c>
      <c r="G706" t="n">
        <v>5</v>
      </c>
      <c r="J706" t="inlineStr">
        <is>
          <t>M</t>
        </is>
      </c>
      <c r="K706" t="n">
        <v>2024</v>
      </c>
      <c r="L706" t="n">
        <v>9</v>
      </c>
      <c r="M706" t="inlineStr">
        <is>
          <t>Muçarela Mozzana 2 kg</t>
        </is>
      </c>
      <c r="N706" t="inlineStr">
        <is>
          <t>Cozinha Industrial</t>
        </is>
      </c>
      <c r="O706" t="n">
        <v>7</v>
      </c>
      <c r="P706" t="n">
        <v>8</v>
      </c>
      <c r="Q706" t="n">
        <v>0</v>
      </c>
    </row>
    <row r="707">
      <c r="A707" t="n">
        <v>2025</v>
      </c>
      <c r="B707" t="n">
        <v>1</v>
      </c>
      <c r="C707" t="inlineStr">
        <is>
          <t>Composto lácteo Merilú 400 g</t>
        </is>
      </c>
      <c r="D707" t="inlineStr">
        <is>
          <t>Restaurante / Cantina</t>
        </is>
      </c>
      <c r="E707" t="n">
        <v>338</v>
      </c>
      <c r="F707" t="n">
        <v>21</v>
      </c>
      <c r="G707" t="n">
        <v>50</v>
      </c>
      <c r="J707" t="inlineStr">
        <is>
          <t>A</t>
        </is>
      </c>
      <c r="K707" t="n">
        <v>2024</v>
      </c>
      <c r="L707" t="n">
        <v>10</v>
      </c>
      <c r="M707" t="inlineStr">
        <is>
          <t>Muçarela Mozzana 2 kg</t>
        </is>
      </c>
      <c r="N707" t="inlineStr">
        <is>
          <t>Cozinha Industrial</t>
        </is>
      </c>
      <c r="O707" t="n">
        <v>13</v>
      </c>
      <c r="P707" t="n">
        <v>122</v>
      </c>
      <c r="Q707" t="n">
        <v>13</v>
      </c>
    </row>
    <row r="708">
      <c r="A708" t="n">
        <v>2025</v>
      </c>
      <c r="B708" t="n">
        <v>1</v>
      </c>
      <c r="C708" t="inlineStr">
        <is>
          <t>Composto lácteo Merilú 400 g</t>
        </is>
      </c>
      <c r="D708" t="inlineStr">
        <is>
          <t>Supermercado</t>
        </is>
      </c>
      <c r="E708" t="n">
        <v>67.59999999999999</v>
      </c>
      <c r="F708" t="n">
        <v>4.2</v>
      </c>
      <c r="G708" t="n">
        <v>10</v>
      </c>
      <c r="J708" t="inlineStr">
        <is>
          <t>M</t>
        </is>
      </c>
      <c r="K708" t="n">
        <v>2024</v>
      </c>
      <c r="L708" t="n">
        <v>10</v>
      </c>
      <c r="M708" t="inlineStr">
        <is>
          <t>Muçarela Mozzana 2 kg</t>
        </is>
      </c>
      <c r="N708" t="inlineStr">
        <is>
          <t>Cozinha Industrial</t>
        </is>
      </c>
      <c r="O708" t="n">
        <v>4</v>
      </c>
      <c r="P708" t="n">
        <v>9</v>
      </c>
      <c r="Q708" t="n">
        <v>0</v>
      </c>
    </row>
    <row r="709">
      <c r="A709" t="n">
        <v>2025</v>
      </c>
      <c r="B709" t="n">
        <v>1</v>
      </c>
      <c r="C709" t="inlineStr">
        <is>
          <t>Muçarela Mozzalet 2 kg</t>
        </is>
      </c>
      <c r="D709" t="inlineStr">
        <is>
          <t>Cozinha Industrial</t>
        </is>
      </c>
      <c r="E709" t="n">
        <v>4253.4</v>
      </c>
      <c r="F709" t="n">
        <v>204</v>
      </c>
      <c r="G709" t="n">
        <v>102</v>
      </c>
      <c r="J709" t="inlineStr">
        <is>
          <t>A</t>
        </is>
      </c>
      <c r="K709" t="n">
        <v>2024</v>
      </c>
      <c r="L709" t="n">
        <v>11</v>
      </c>
      <c r="M709" t="inlineStr">
        <is>
          <t>Muçarela Mozzana 2 kg</t>
        </is>
      </c>
      <c r="N709" t="inlineStr">
        <is>
          <t>Cozinha Industrial</t>
        </is>
      </c>
      <c r="O709" t="n">
        <v>13</v>
      </c>
      <c r="P709" t="n">
        <v>128</v>
      </c>
      <c r="Q709" t="n">
        <v>13</v>
      </c>
    </row>
    <row r="710">
      <c r="A710" t="n">
        <v>2025</v>
      </c>
      <c r="B710" t="n">
        <v>1</v>
      </c>
      <c r="C710" t="inlineStr">
        <is>
          <t>Muçarela Mozzalet 2 kg</t>
        </is>
      </c>
      <c r="D710" t="inlineStr">
        <is>
          <t>Cozinha Oriental</t>
        </is>
      </c>
      <c r="E710" t="n">
        <v>1890</v>
      </c>
      <c r="F710" t="n">
        <v>90</v>
      </c>
      <c r="G710" t="n">
        <v>45</v>
      </c>
      <c r="J710" t="inlineStr">
        <is>
          <t>M</t>
        </is>
      </c>
      <c r="K710" t="n">
        <v>2024</v>
      </c>
      <c r="L710" t="n">
        <v>11</v>
      </c>
      <c r="M710" t="inlineStr">
        <is>
          <t>Muçarela Mozzana 2 kg</t>
        </is>
      </c>
      <c r="N710" t="inlineStr">
        <is>
          <t>Cozinha Industrial</t>
        </is>
      </c>
      <c r="O710" t="n">
        <v>3</v>
      </c>
      <c r="P710" t="n">
        <v>6</v>
      </c>
      <c r="Q710" t="n">
        <v>0</v>
      </c>
    </row>
    <row r="711">
      <c r="A711" t="n">
        <v>2025</v>
      </c>
      <c r="B711" t="n">
        <v>1</v>
      </c>
      <c r="C711" t="inlineStr">
        <is>
          <t>Muçarela Mozzalet 2 kg</t>
        </is>
      </c>
      <c r="D711" t="inlineStr">
        <is>
          <t>Fábrica de Massas</t>
        </is>
      </c>
      <c r="E711" t="n">
        <v>15095.79</v>
      </c>
      <c r="F711" t="n">
        <v>702</v>
      </c>
      <c r="G711" t="n">
        <v>351</v>
      </c>
      <c r="J711" t="inlineStr">
        <is>
          <t>A</t>
        </is>
      </c>
      <c r="K711" t="n">
        <v>2024</v>
      </c>
      <c r="L711" t="n">
        <v>12</v>
      </c>
      <c r="M711" t="inlineStr">
        <is>
          <t>Muçarela Mozzana 2 kg</t>
        </is>
      </c>
      <c r="N711" t="inlineStr">
        <is>
          <t>Cozinha Industrial</t>
        </is>
      </c>
      <c r="O711" t="n">
        <v>13</v>
      </c>
      <c r="P711" t="n">
        <v>132</v>
      </c>
      <c r="Q711" t="n">
        <v>13</v>
      </c>
    </row>
    <row r="712">
      <c r="A712" t="n">
        <v>2025</v>
      </c>
      <c r="B712" t="n">
        <v>1</v>
      </c>
      <c r="C712" t="inlineStr">
        <is>
          <t>Muçarela Mozzalet 2 kg</t>
        </is>
      </c>
      <c r="D712" t="inlineStr">
        <is>
          <t>Lanchonete / Cafeteria</t>
        </is>
      </c>
      <c r="E712" t="n">
        <v>1675.8</v>
      </c>
      <c r="F712" t="n">
        <v>78</v>
      </c>
      <c r="G712" t="n">
        <v>39</v>
      </c>
      <c r="J712" t="inlineStr">
        <is>
          <t>M</t>
        </is>
      </c>
      <c r="K712" t="n">
        <v>2024</v>
      </c>
      <c r="L712" t="n">
        <v>12</v>
      </c>
      <c r="M712" t="inlineStr">
        <is>
          <t>Muçarela Mozzana 2 kg</t>
        </is>
      </c>
      <c r="N712" t="inlineStr">
        <is>
          <t>Cozinha Industrial</t>
        </is>
      </c>
      <c r="O712" t="n">
        <v>2</v>
      </c>
      <c r="P712" t="n">
        <v>4</v>
      </c>
      <c r="Q712" t="n">
        <v>0</v>
      </c>
    </row>
    <row r="713">
      <c r="A713" t="n">
        <v>2025</v>
      </c>
      <c r="B713" t="n">
        <v>1</v>
      </c>
      <c r="C713" t="inlineStr">
        <is>
          <t>Muçarela Mozzalet 2 kg</t>
        </is>
      </c>
      <c r="D713" t="inlineStr">
        <is>
          <t>Outros</t>
        </is>
      </c>
      <c r="E713" t="n">
        <v>391.5</v>
      </c>
      <c r="F713" t="n">
        <v>18</v>
      </c>
      <c r="G713" t="n">
        <v>9</v>
      </c>
      <c r="J713" t="inlineStr">
        <is>
          <t>A</t>
        </is>
      </c>
      <c r="K713" t="n">
        <v>2024</v>
      </c>
      <c r="L713" t="n">
        <v>1</v>
      </c>
      <c r="M713" t="inlineStr">
        <is>
          <t>Muçarela Mozzana 2 kg</t>
        </is>
      </c>
      <c r="N713" t="inlineStr">
        <is>
          <t>Fábrica de Massas</t>
        </is>
      </c>
      <c r="O713" t="n">
        <v>3</v>
      </c>
      <c r="P713" t="n">
        <v>10</v>
      </c>
      <c r="Q713" t="n">
        <v>3</v>
      </c>
    </row>
    <row r="714">
      <c r="A714" t="n">
        <v>2025</v>
      </c>
      <c r="B714" t="n">
        <v>1</v>
      </c>
      <c r="C714" t="inlineStr">
        <is>
          <t>Muçarela Mozzalet 2 kg</t>
        </is>
      </c>
      <c r="D714" t="inlineStr">
        <is>
          <t>Padaria</t>
        </is>
      </c>
      <c r="E714" t="n">
        <v>783</v>
      </c>
      <c r="F714" t="n">
        <v>36</v>
      </c>
      <c r="G714" t="n">
        <v>18</v>
      </c>
      <c r="J714" t="inlineStr">
        <is>
          <t>M</t>
        </is>
      </c>
      <c r="K714" t="n">
        <v>2024</v>
      </c>
      <c r="L714" t="n">
        <v>1</v>
      </c>
      <c r="M714" t="inlineStr">
        <is>
          <t>Muçarela Mozzana 2 kg</t>
        </is>
      </c>
      <c r="N714" t="inlineStr">
        <is>
          <t>Fábrica de Massas</t>
        </is>
      </c>
      <c r="O714" t="n">
        <v>3</v>
      </c>
      <c r="P714" t="n">
        <v>10</v>
      </c>
      <c r="Q714" t="n">
        <v>0</v>
      </c>
    </row>
    <row r="715">
      <c r="A715" t="n">
        <v>2025</v>
      </c>
      <c r="B715" t="n">
        <v>1</v>
      </c>
      <c r="C715" t="inlineStr">
        <is>
          <t>Muçarela Mozzalet 2 kg</t>
        </is>
      </c>
      <c r="D715" t="inlineStr">
        <is>
          <t>Pastelaria</t>
        </is>
      </c>
      <c r="E715" t="n">
        <v>1554.48</v>
      </c>
      <c r="F715" t="n">
        <v>72</v>
      </c>
      <c r="G715" t="n">
        <v>36</v>
      </c>
      <c r="J715" t="inlineStr">
        <is>
          <t>A</t>
        </is>
      </c>
      <c r="K715" t="n">
        <v>2024</v>
      </c>
      <c r="L715" t="n">
        <v>2</v>
      </c>
      <c r="M715" t="inlineStr">
        <is>
          <t>Muçarela Mozzana 2 kg</t>
        </is>
      </c>
      <c r="N715" t="inlineStr">
        <is>
          <t>Fábrica de Massas</t>
        </is>
      </c>
      <c r="O715" t="n">
        <v>4</v>
      </c>
      <c r="P715" t="n">
        <v>19</v>
      </c>
      <c r="Q715" t="n">
        <v>4</v>
      </c>
    </row>
    <row r="716">
      <c r="A716" t="n">
        <v>2025</v>
      </c>
      <c r="B716" t="n">
        <v>1</v>
      </c>
      <c r="C716" t="inlineStr">
        <is>
          <t>Muçarela Mozzalet 2 kg</t>
        </is>
      </c>
      <c r="D716" t="inlineStr">
        <is>
          <t>Pessoa Física</t>
        </is>
      </c>
      <c r="E716" t="n">
        <v>6323.9</v>
      </c>
      <c r="F716" t="n">
        <v>296</v>
      </c>
      <c r="G716" t="n">
        <v>148</v>
      </c>
      <c r="J716" t="inlineStr">
        <is>
          <t>M</t>
        </is>
      </c>
      <c r="K716" t="n">
        <v>2024</v>
      </c>
      <c r="L716" t="n">
        <v>2</v>
      </c>
      <c r="M716" t="inlineStr">
        <is>
          <t>Muçarela Mozzana 2 kg</t>
        </is>
      </c>
      <c r="N716" t="inlineStr">
        <is>
          <t>Fábrica de Massas</t>
        </is>
      </c>
      <c r="O716" t="n">
        <v>4</v>
      </c>
      <c r="P716" t="n">
        <v>9</v>
      </c>
      <c r="Q716" t="n">
        <v>0</v>
      </c>
    </row>
    <row r="717">
      <c r="A717" t="n">
        <v>2025</v>
      </c>
      <c r="B717" t="n">
        <v>1</v>
      </c>
      <c r="C717" t="inlineStr">
        <is>
          <t>Muçarela Mozzalet 2 kg</t>
        </is>
      </c>
      <c r="D717" t="inlineStr">
        <is>
          <t>Pizzaria</t>
        </is>
      </c>
      <c r="E717" t="n">
        <v>3132.28</v>
      </c>
      <c r="F717" t="n">
        <v>146</v>
      </c>
      <c r="G717" t="n">
        <v>73</v>
      </c>
      <c r="J717" t="inlineStr">
        <is>
          <t>A</t>
        </is>
      </c>
      <c r="K717" t="n">
        <v>2024</v>
      </c>
      <c r="L717" t="n">
        <v>3</v>
      </c>
      <c r="M717" t="inlineStr">
        <is>
          <t>Muçarela Mozzana 2 kg</t>
        </is>
      </c>
      <c r="N717" t="inlineStr">
        <is>
          <t>Fábrica de Massas</t>
        </is>
      </c>
      <c r="O717" t="n">
        <v>4</v>
      </c>
      <c r="P717" t="n">
        <v>26</v>
      </c>
      <c r="Q717" t="n">
        <v>4</v>
      </c>
    </row>
    <row r="718">
      <c r="A718" t="n">
        <v>2025</v>
      </c>
      <c r="B718" t="n">
        <v>1</v>
      </c>
      <c r="C718" t="inlineStr">
        <is>
          <t>Muçarela Mozzalet 2 kg</t>
        </is>
      </c>
      <c r="D718" t="inlineStr">
        <is>
          <t>Restaurante / Cantina</t>
        </is>
      </c>
      <c r="E718" t="n">
        <v>50571.08</v>
      </c>
      <c r="F718" t="n">
        <v>2344</v>
      </c>
      <c r="G718" t="n">
        <v>1172</v>
      </c>
      <c r="J718" t="inlineStr">
        <is>
          <t>M</t>
        </is>
      </c>
      <c r="K718" t="n">
        <v>2024</v>
      </c>
      <c r="L718" t="n">
        <v>3</v>
      </c>
      <c r="M718" t="inlineStr">
        <is>
          <t>Muçarela Mozzana 2 kg</t>
        </is>
      </c>
      <c r="N718" t="inlineStr">
        <is>
          <t>Fábrica de Massas</t>
        </is>
      </c>
      <c r="O718" t="n">
        <v>3</v>
      </c>
      <c r="P718" t="n">
        <v>7</v>
      </c>
      <c r="Q718" t="n">
        <v>0</v>
      </c>
    </row>
    <row r="719">
      <c r="A719" t="n">
        <v>2025</v>
      </c>
      <c r="B719" t="n">
        <v>1</v>
      </c>
      <c r="C719" t="inlineStr">
        <is>
          <t>Muçarela Mozzana 2 kg</t>
        </is>
      </c>
      <c r="D719" t="inlineStr">
        <is>
          <t>Buffet</t>
        </is>
      </c>
      <c r="E719" t="n">
        <v>2966.51</v>
      </c>
      <c r="F719" t="n">
        <v>137.36</v>
      </c>
      <c r="G719" t="n">
        <v>68</v>
      </c>
      <c r="J719" t="inlineStr">
        <is>
          <t>A</t>
        </is>
      </c>
      <c r="K719" t="n">
        <v>2024</v>
      </c>
      <c r="L719" t="n">
        <v>4</v>
      </c>
      <c r="M719" t="inlineStr">
        <is>
          <t>Muçarela Mozzana 2 kg</t>
        </is>
      </c>
      <c r="N719" t="inlineStr">
        <is>
          <t>Fábrica de Massas</t>
        </is>
      </c>
      <c r="O719" t="n">
        <v>6</v>
      </c>
      <c r="P719" t="n">
        <v>35</v>
      </c>
      <c r="Q719" t="n">
        <v>6</v>
      </c>
    </row>
    <row r="720">
      <c r="A720" t="n">
        <v>2025</v>
      </c>
      <c r="B720" t="n">
        <v>1</v>
      </c>
      <c r="C720" t="inlineStr">
        <is>
          <t>Muçarela Mozzana 2 kg</t>
        </is>
      </c>
      <c r="D720" t="inlineStr">
        <is>
          <t>Confeitaria</t>
        </is>
      </c>
      <c r="E720" t="n">
        <v>433.98</v>
      </c>
      <c r="F720" t="n">
        <v>18.18</v>
      </c>
      <c r="G720" t="n">
        <v>9</v>
      </c>
      <c r="J720" t="inlineStr">
        <is>
          <t>M</t>
        </is>
      </c>
      <c r="K720" t="n">
        <v>2024</v>
      </c>
      <c r="L720" t="n">
        <v>4</v>
      </c>
      <c r="M720" t="inlineStr">
        <is>
          <t>Muçarela Mozzana 2 kg</t>
        </is>
      </c>
      <c r="N720" t="inlineStr">
        <is>
          <t>Fábrica de Massas</t>
        </is>
      </c>
      <c r="O720" t="n">
        <v>5</v>
      </c>
      <c r="P720" t="n">
        <v>9</v>
      </c>
      <c r="Q720" t="n">
        <v>0</v>
      </c>
    </row>
    <row r="721">
      <c r="A721" t="n">
        <v>2025</v>
      </c>
      <c r="B721" t="n">
        <v>1</v>
      </c>
      <c r="C721" t="inlineStr">
        <is>
          <t>Muçarela Mozzana 2 kg</t>
        </is>
      </c>
      <c r="D721" t="inlineStr">
        <is>
          <t>Cozinha Industrial</t>
        </is>
      </c>
      <c r="E721" t="n">
        <v>2004.91</v>
      </c>
      <c r="F721" t="n">
        <v>86.86</v>
      </c>
      <c r="G721" t="n">
        <v>43</v>
      </c>
      <c r="J721" t="inlineStr">
        <is>
          <t>A</t>
        </is>
      </c>
      <c r="K721" t="n">
        <v>2024</v>
      </c>
      <c r="L721" t="n">
        <v>5</v>
      </c>
      <c r="M721" t="inlineStr">
        <is>
          <t>Muçarela Mozzana 2 kg</t>
        </is>
      </c>
      <c r="N721" t="inlineStr">
        <is>
          <t>Fábrica de Massas</t>
        </is>
      </c>
      <c r="O721" t="n">
        <v>8</v>
      </c>
      <c r="P721" t="n">
        <v>47</v>
      </c>
      <c r="Q721" t="n">
        <v>8</v>
      </c>
    </row>
    <row r="722">
      <c r="A722" t="n">
        <v>2025</v>
      </c>
      <c r="B722" t="n">
        <v>1</v>
      </c>
      <c r="C722" t="inlineStr">
        <is>
          <t>Muçarela Mozzana 2 kg</t>
        </is>
      </c>
      <c r="D722" t="inlineStr">
        <is>
          <t>Cozinha Oriental</t>
        </is>
      </c>
      <c r="E722" t="n">
        <v>660.21</v>
      </c>
      <c r="F722" t="n">
        <v>30.3</v>
      </c>
      <c r="G722" t="n">
        <v>15</v>
      </c>
      <c r="J722" t="inlineStr">
        <is>
          <t>M</t>
        </is>
      </c>
      <c r="K722" t="n">
        <v>2024</v>
      </c>
      <c r="L722" t="n">
        <v>5</v>
      </c>
      <c r="M722" t="inlineStr">
        <is>
          <t>Muçarela Mozzana 2 kg</t>
        </is>
      </c>
      <c r="N722" t="inlineStr">
        <is>
          <t>Fábrica de Massas</t>
        </is>
      </c>
      <c r="O722" t="n">
        <v>7</v>
      </c>
      <c r="P722" t="n">
        <v>12</v>
      </c>
      <c r="Q722" t="n">
        <v>0</v>
      </c>
    </row>
    <row r="723">
      <c r="A723" t="n">
        <v>2025</v>
      </c>
      <c r="B723" t="n">
        <v>1</v>
      </c>
      <c r="C723" t="inlineStr">
        <is>
          <t>Muçarela Mozzana 2 kg</t>
        </is>
      </c>
      <c r="D723" t="inlineStr">
        <is>
          <t>Esfiharia</t>
        </is>
      </c>
      <c r="E723" t="n">
        <v>3450.69</v>
      </c>
      <c r="F723" t="n">
        <v>155.54</v>
      </c>
      <c r="G723" t="n">
        <v>77</v>
      </c>
      <c r="J723" t="inlineStr">
        <is>
          <t>A</t>
        </is>
      </c>
      <c r="K723" t="n">
        <v>2024</v>
      </c>
      <c r="L723" t="n">
        <v>6</v>
      </c>
      <c r="M723" t="inlineStr">
        <is>
          <t>Muçarela Mozzana 2 kg</t>
        </is>
      </c>
      <c r="N723" t="inlineStr">
        <is>
          <t>Fábrica de Massas</t>
        </is>
      </c>
      <c r="O723" t="n">
        <v>12</v>
      </c>
      <c r="P723" t="n">
        <v>65</v>
      </c>
      <c r="Q723" t="n">
        <v>12</v>
      </c>
    </row>
    <row r="724">
      <c r="A724" t="n">
        <v>2025</v>
      </c>
      <c r="B724" t="n">
        <v>1</v>
      </c>
      <c r="C724" t="inlineStr">
        <is>
          <t>Muçarela Mozzana 2 kg</t>
        </is>
      </c>
      <c r="D724" t="inlineStr">
        <is>
          <t>Fábrica de Massas</t>
        </is>
      </c>
      <c r="E724" t="n">
        <v>12071.43</v>
      </c>
      <c r="F724" t="n">
        <v>555.5</v>
      </c>
      <c r="G724" t="n">
        <v>275</v>
      </c>
      <c r="J724" t="inlineStr">
        <is>
          <t>M</t>
        </is>
      </c>
      <c r="K724" t="n">
        <v>2024</v>
      </c>
      <c r="L724" t="n">
        <v>6</v>
      </c>
      <c r="M724" t="inlineStr">
        <is>
          <t>Muçarela Mozzana 2 kg</t>
        </is>
      </c>
      <c r="N724" t="inlineStr">
        <is>
          <t>Fábrica de Massas</t>
        </is>
      </c>
      <c r="O724" t="n">
        <v>11</v>
      </c>
      <c r="P724" t="n">
        <v>18</v>
      </c>
      <c r="Q724" t="n">
        <v>0</v>
      </c>
    </row>
    <row r="725">
      <c r="A725" t="n">
        <v>2025</v>
      </c>
      <c r="B725" t="n">
        <v>1</v>
      </c>
      <c r="C725" t="inlineStr">
        <is>
          <t>Muçarela Mozzana 2 kg</t>
        </is>
      </c>
      <c r="D725" t="inlineStr">
        <is>
          <t>Hamburgueria</t>
        </is>
      </c>
      <c r="E725" t="n">
        <v>980.8</v>
      </c>
      <c r="F725" t="n">
        <v>44.44</v>
      </c>
      <c r="G725" t="n">
        <v>22</v>
      </c>
      <c r="J725" t="inlineStr">
        <is>
          <t>A</t>
        </is>
      </c>
      <c r="K725" t="n">
        <v>2024</v>
      </c>
      <c r="L725" t="n">
        <v>7</v>
      </c>
      <c r="M725" t="inlineStr">
        <is>
          <t>Muçarela Mozzana 2 kg</t>
        </is>
      </c>
      <c r="N725" t="inlineStr">
        <is>
          <t>Fábrica de Massas</t>
        </is>
      </c>
      <c r="O725" t="n">
        <v>12</v>
      </c>
      <c r="P725" t="n">
        <v>73</v>
      </c>
      <c r="Q725" t="n">
        <v>12</v>
      </c>
    </row>
    <row r="726">
      <c r="A726" t="n">
        <v>2025</v>
      </c>
      <c r="B726" t="n">
        <v>1</v>
      </c>
      <c r="C726" t="inlineStr">
        <is>
          <t>Muçarela Mozzana 2 kg</t>
        </is>
      </c>
      <c r="D726" t="inlineStr">
        <is>
          <t>Lanchonete / Cafeteria</t>
        </is>
      </c>
      <c r="E726" t="n">
        <v>1192.39</v>
      </c>
      <c r="F726" t="n">
        <v>54.54</v>
      </c>
      <c r="G726" t="n">
        <v>27</v>
      </c>
      <c r="J726" t="inlineStr">
        <is>
          <t>M</t>
        </is>
      </c>
      <c r="K726" t="n">
        <v>2024</v>
      </c>
      <c r="L726" t="n">
        <v>7</v>
      </c>
      <c r="M726" t="inlineStr">
        <is>
          <t>Muçarela Mozzana 2 kg</t>
        </is>
      </c>
      <c r="N726" t="inlineStr">
        <is>
          <t>Fábrica de Massas</t>
        </is>
      </c>
      <c r="O726" t="n">
        <v>5</v>
      </c>
      <c r="P726" t="n">
        <v>8</v>
      </c>
      <c r="Q726" t="n">
        <v>0</v>
      </c>
    </row>
    <row r="727">
      <c r="A727" t="n">
        <v>2025</v>
      </c>
      <c r="B727" t="n">
        <v>1</v>
      </c>
      <c r="C727" t="inlineStr">
        <is>
          <t>Muçarela Mozzana 2 kg</t>
        </is>
      </c>
      <c r="D727" t="inlineStr">
        <is>
          <t>Laticínios / Distribuidor</t>
        </is>
      </c>
      <c r="E727" t="n">
        <v>377.01</v>
      </c>
      <c r="F727" t="n">
        <v>18.18</v>
      </c>
      <c r="G727" t="n">
        <v>9</v>
      </c>
      <c r="J727" t="inlineStr">
        <is>
          <t>A</t>
        </is>
      </c>
      <c r="K727" t="n">
        <v>2024</v>
      </c>
      <c r="L727" t="n">
        <v>8</v>
      </c>
      <c r="M727" t="inlineStr">
        <is>
          <t>Muçarela Mozzana 2 kg</t>
        </is>
      </c>
      <c r="N727" t="inlineStr">
        <is>
          <t>Fábrica de Massas</t>
        </is>
      </c>
      <c r="O727" t="n">
        <v>13</v>
      </c>
      <c r="P727" t="n">
        <v>86</v>
      </c>
      <c r="Q727" t="n">
        <v>13</v>
      </c>
    </row>
    <row r="728">
      <c r="A728" t="n">
        <v>2025</v>
      </c>
      <c r="B728" t="n">
        <v>1</v>
      </c>
      <c r="C728" t="inlineStr">
        <is>
          <t>Muçarela Mozzana 2 kg</t>
        </is>
      </c>
      <c r="D728" t="inlineStr">
        <is>
          <t>Mercearia / Sacolão</t>
        </is>
      </c>
      <c r="E728" t="n">
        <v>1621.98</v>
      </c>
      <c r="F728" t="n">
        <v>72.72</v>
      </c>
      <c r="G728" t="n">
        <v>36</v>
      </c>
      <c r="J728" t="inlineStr">
        <is>
          <t>M</t>
        </is>
      </c>
      <c r="K728" t="n">
        <v>2024</v>
      </c>
      <c r="L728" t="n">
        <v>8</v>
      </c>
      <c r="M728" t="inlineStr">
        <is>
          <t>Muçarela Mozzana 2 kg</t>
        </is>
      </c>
      <c r="N728" t="inlineStr">
        <is>
          <t>Fábrica de Massas</t>
        </is>
      </c>
      <c r="O728" t="n">
        <v>7</v>
      </c>
      <c r="P728" t="n">
        <v>13</v>
      </c>
      <c r="Q728" t="n">
        <v>0</v>
      </c>
    </row>
    <row r="729">
      <c r="A729" t="n">
        <v>2025</v>
      </c>
      <c r="B729" t="n">
        <v>1</v>
      </c>
      <c r="C729" t="inlineStr">
        <is>
          <t>Muçarela Mozzana 2 kg</t>
        </is>
      </c>
      <c r="D729" t="inlineStr">
        <is>
          <t>Outros</t>
        </is>
      </c>
      <c r="E729" t="n">
        <v>23527.51</v>
      </c>
      <c r="F729" t="n">
        <v>1060.5</v>
      </c>
      <c r="G729" t="n">
        <v>525</v>
      </c>
      <c r="J729" t="inlineStr">
        <is>
          <t>A</t>
        </is>
      </c>
      <c r="K729" t="n">
        <v>2024</v>
      </c>
      <c r="L729" t="n">
        <v>9</v>
      </c>
      <c r="M729" t="inlineStr">
        <is>
          <t>Muçarela Mozzana 2 kg</t>
        </is>
      </c>
      <c r="N729" t="inlineStr">
        <is>
          <t>Fábrica de Massas</t>
        </is>
      </c>
      <c r="O729" t="n">
        <v>13</v>
      </c>
      <c r="P729" t="n">
        <v>98</v>
      </c>
      <c r="Q729" t="n">
        <v>13</v>
      </c>
    </row>
    <row r="730">
      <c r="A730" t="n">
        <v>2025</v>
      </c>
      <c r="B730" t="n">
        <v>1</v>
      </c>
      <c r="C730" t="inlineStr">
        <is>
          <t>Muçarela Mozzana 2 kg</t>
        </is>
      </c>
      <c r="D730" t="inlineStr">
        <is>
          <t>Padaria</t>
        </is>
      </c>
      <c r="E730" t="n">
        <v>1836.18</v>
      </c>
      <c r="F730" t="n">
        <v>82.81999999999999</v>
      </c>
      <c r="G730" t="n">
        <v>41</v>
      </c>
      <c r="J730" t="inlineStr">
        <is>
          <t>M</t>
        </is>
      </c>
      <c r="K730" t="n">
        <v>2024</v>
      </c>
      <c r="L730" t="n">
        <v>9</v>
      </c>
      <c r="M730" t="inlineStr">
        <is>
          <t>Muçarela Mozzana 2 kg</t>
        </is>
      </c>
      <c r="N730" t="inlineStr">
        <is>
          <t>Fábrica de Massas</t>
        </is>
      </c>
      <c r="O730" t="n">
        <v>5</v>
      </c>
      <c r="P730" t="n">
        <v>12</v>
      </c>
      <c r="Q730" t="n">
        <v>0</v>
      </c>
    </row>
    <row r="731">
      <c r="A731" t="n">
        <v>2025</v>
      </c>
      <c r="B731" t="n">
        <v>1</v>
      </c>
      <c r="C731" t="inlineStr">
        <is>
          <t>Muçarela Mozzana 2 kg</t>
        </is>
      </c>
      <c r="D731" t="inlineStr">
        <is>
          <t>Pastelaria</t>
        </is>
      </c>
      <c r="E731" t="n">
        <v>4063.47</v>
      </c>
      <c r="F731" t="n">
        <v>179.78</v>
      </c>
      <c r="G731" t="n">
        <v>89</v>
      </c>
      <c r="J731" t="inlineStr">
        <is>
          <t>A</t>
        </is>
      </c>
      <c r="K731" t="n">
        <v>2024</v>
      </c>
      <c r="L731" t="n">
        <v>10</v>
      </c>
      <c r="M731" t="inlineStr">
        <is>
          <t>Muçarela Mozzana 2 kg</t>
        </is>
      </c>
      <c r="N731" t="inlineStr">
        <is>
          <t>Fábrica de Massas</t>
        </is>
      </c>
      <c r="O731" t="n">
        <v>13</v>
      </c>
      <c r="P731" t="n">
        <v>110</v>
      </c>
      <c r="Q731" t="n">
        <v>13</v>
      </c>
    </row>
    <row r="732">
      <c r="A732" t="n">
        <v>2025</v>
      </c>
      <c r="B732" t="n">
        <v>1</v>
      </c>
      <c r="C732" t="inlineStr">
        <is>
          <t>Muçarela Mozzana 2 kg</t>
        </is>
      </c>
      <c r="D732" t="inlineStr">
        <is>
          <t>Pessoa Física</t>
        </is>
      </c>
      <c r="E732" t="n">
        <v>2524</v>
      </c>
      <c r="F732" t="n">
        <v>111.1</v>
      </c>
      <c r="G732" t="n">
        <v>55</v>
      </c>
      <c r="J732" t="inlineStr">
        <is>
          <t>M</t>
        </is>
      </c>
      <c r="K732" t="n">
        <v>2024</v>
      </c>
      <c r="L732" t="n">
        <v>10</v>
      </c>
      <c r="M732" t="inlineStr">
        <is>
          <t>Muçarela Mozzana 2 kg</t>
        </is>
      </c>
      <c r="N732" t="inlineStr">
        <is>
          <t>Fábrica de Massas</t>
        </is>
      </c>
      <c r="O732" t="n">
        <v>6</v>
      </c>
      <c r="P732" t="n">
        <v>12</v>
      </c>
      <c r="Q732" t="n">
        <v>0</v>
      </c>
    </row>
    <row r="733">
      <c r="A733" t="n">
        <v>2025</v>
      </c>
      <c r="B733" t="n">
        <v>1</v>
      </c>
      <c r="C733" t="inlineStr">
        <is>
          <t>Muçarela Mozzana 2 kg</t>
        </is>
      </c>
      <c r="D733" t="inlineStr">
        <is>
          <t>Pizzaria</t>
        </is>
      </c>
      <c r="E733" t="n">
        <v>100661.85</v>
      </c>
      <c r="F733" t="n">
        <v>4528.84</v>
      </c>
      <c r="G733" t="n">
        <v>2242</v>
      </c>
      <c r="J733" t="inlineStr">
        <is>
          <t>A</t>
        </is>
      </c>
      <c r="K733" t="n">
        <v>2024</v>
      </c>
      <c r="L733" t="n">
        <v>11</v>
      </c>
      <c r="M733" t="inlineStr">
        <is>
          <t>Muçarela Mozzana 2 kg</t>
        </is>
      </c>
      <c r="N733" t="inlineStr">
        <is>
          <t>Fábrica de Massas</t>
        </is>
      </c>
      <c r="O733" t="n">
        <v>13</v>
      </c>
      <c r="P733" t="n">
        <v>118</v>
      </c>
      <c r="Q733" t="n">
        <v>13</v>
      </c>
    </row>
    <row r="734">
      <c r="A734" t="n">
        <v>2025</v>
      </c>
      <c r="B734" t="n">
        <v>1</v>
      </c>
      <c r="C734" t="inlineStr">
        <is>
          <t>Muçarela Mozzana 2 kg</t>
        </is>
      </c>
      <c r="D734" t="inlineStr">
        <is>
          <t>Restaurante / Cantina</t>
        </is>
      </c>
      <c r="E734" t="n">
        <v>13277.37</v>
      </c>
      <c r="F734" t="n">
        <v>589.84</v>
      </c>
      <c r="G734" t="n">
        <v>292</v>
      </c>
      <c r="J734" t="inlineStr">
        <is>
          <t>M</t>
        </is>
      </c>
      <c r="K734" t="n">
        <v>2024</v>
      </c>
      <c r="L734" t="n">
        <v>11</v>
      </c>
      <c r="M734" t="inlineStr">
        <is>
          <t>Muçarela Mozzana 2 kg</t>
        </is>
      </c>
      <c r="N734" t="inlineStr">
        <is>
          <t>Fábrica de Massas</t>
        </is>
      </c>
      <c r="O734" t="n">
        <v>4</v>
      </c>
      <c r="P734" t="n">
        <v>8</v>
      </c>
      <c r="Q734" t="n">
        <v>0</v>
      </c>
    </row>
    <row r="735">
      <c r="A735" t="n">
        <v>2025</v>
      </c>
      <c r="B735" t="n">
        <v>1</v>
      </c>
      <c r="C735" t="inlineStr">
        <is>
          <t>Muçarela Mozzana 2 kg</t>
        </is>
      </c>
      <c r="D735" t="inlineStr">
        <is>
          <t>Supermercado</t>
        </is>
      </c>
      <c r="E735" t="n">
        <v>5140.33</v>
      </c>
      <c r="F735" t="n">
        <v>216.14</v>
      </c>
      <c r="G735" t="n">
        <v>107</v>
      </c>
      <c r="J735" t="inlineStr">
        <is>
          <t>A</t>
        </is>
      </c>
      <c r="K735" t="n">
        <v>2024</v>
      </c>
      <c r="L735" t="n">
        <v>12</v>
      </c>
      <c r="M735" t="inlineStr">
        <is>
          <t>Muçarela Mozzana 2 kg</t>
        </is>
      </c>
      <c r="N735" t="inlineStr">
        <is>
          <t>Fábrica de Massas</t>
        </is>
      </c>
      <c r="O735" t="n">
        <v>13</v>
      </c>
      <c r="P735" t="n">
        <v>128</v>
      </c>
      <c r="Q735" t="n">
        <v>13</v>
      </c>
    </row>
    <row r="736">
      <c r="A736" t="n">
        <v>2025</v>
      </c>
      <c r="B736" t="n">
        <v>1</v>
      </c>
      <c r="C736" t="inlineStr">
        <is>
          <t>Parmesão ralado Parmozzana 1 kg</t>
        </is>
      </c>
      <c r="D736" t="inlineStr">
        <is>
          <t>Cozinha Industrial</t>
        </is>
      </c>
      <c r="E736" t="n">
        <v>125</v>
      </c>
      <c r="F736" t="n">
        <v>4.08</v>
      </c>
      <c r="G736" t="n">
        <v>4</v>
      </c>
      <c r="J736" t="inlineStr">
        <is>
          <t>M</t>
        </is>
      </c>
      <c r="K736" t="n">
        <v>2024</v>
      </c>
      <c r="L736" t="n">
        <v>12</v>
      </c>
      <c r="M736" t="inlineStr">
        <is>
          <t>Muçarela Mozzana 2 kg</t>
        </is>
      </c>
      <c r="N736" t="inlineStr">
        <is>
          <t>Fábrica de Massas</t>
        </is>
      </c>
      <c r="O736" t="n">
        <v>6</v>
      </c>
      <c r="P736" t="n">
        <v>10</v>
      </c>
      <c r="Q736" t="n">
        <v>0</v>
      </c>
    </row>
    <row r="737">
      <c r="A737" t="n">
        <v>2025</v>
      </c>
      <c r="B737" t="n">
        <v>1</v>
      </c>
      <c r="C737" t="inlineStr">
        <is>
          <t>Parmesão ralado Parmozzana 1 kg</t>
        </is>
      </c>
      <c r="D737" t="inlineStr">
        <is>
          <t>Padaria</t>
        </is>
      </c>
      <c r="E737" t="n">
        <v>155</v>
      </c>
      <c r="F737" t="n">
        <v>5.1</v>
      </c>
      <c r="G737" t="n">
        <v>5</v>
      </c>
      <c r="J737" t="inlineStr">
        <is>
          <t>A</t>
        </is>
      </c>
      <c r="K737" t="n">
        <v>2024</v>
      </c>
      <c r="L737" t="n">
        <v>1</v>
      </c>
      <c r="M737" t="inlineStr">
        <is>
          <t>Muçarela Mozzana 2 kg</t>
        </is>
      </c>
      <c r="N737" t="inlineStr">
        <is>
          <t>Outros</t>
        </is>
      </c>
      <c r="O737" t="n">
        <v>12</v>
      </c>
      <c r="P737" t="n">
        <v>32</v>
      </c>
      <c r="Q737" t="n">
        <v>12</v>
      </c>
    </row>
    <row r="738">
      <c r="A738" t="n">
        <v>2025</v>
      </c>
      <c r="B738" t="n">
        <v>1</v>
      </c>
      <c r="C738" t="inlineStr">
        <is>
          <t>Parmesão ralado Parmozzana 1 kg</t>
        </is>
      </c>
      <c r="D738" t="inlineStr">
        <is>
          <t>Pizzaria</t>
        </is>
      </c>
      <c r="E738" t="n">
        <v>30</v>
      </c>
      <c r="F738" t="n">
        <v>1.02</v>
      </c>
      <c r="G738" t="n">
        <v>1</v>
      </c>
      <c r="J738" t="inlineStr">
        <is>
          <t>M</t>
        </is>
      </c>
      <c r="K738" t="n">
        <v>2024</v>
      </c>
      <c r="L738" t="n">
        <v>1</v>
      </c>
      <c r="M738" t="inlineStr">
        <is>
          <t>Muçarela Mozzana 2 kg</t>
        </is>
      </c>
      <c r="N738" t="inlineStr">
        <is>
          <t>Outros</t>
        </is>
      </c>
      <c r="O738" t="n">
        <v>12</v>
      </c>
      <c r="P738" t="n">
        <v>32</v>
      </c>
      <c r="Q738" t="n">
        <v>0</v>
      </c>
    </row>
    <row r="739">
      <c r="A739" t="n">
        <v>2025</v>
      </c>
      <c r="B739" t="n">
        <v>1</v>
      </c>
      <c r="C739" t="inlineStr">
        <is>
          <t>Requeijão Pizzalet 1,8 kg</t>
        </is>
      </c>
      <c r="D739" t="inlineStr">
        <is>
          <t>Bar / Chopperia</t>
        </is>
      </c>
      <c r="E739" t="n">
        <v>228.84</v>
      </c>
      <c r="F739" t="n">
        <v>29.44</v>
      </c>
      <c r="G739" t="n">
        <v>16</v>
      </c>
      <c r="J739" t="inlineStr">
        <is>
          <t>A</t>
        </is>
      </c>
      <c r="K739" t="n">
        <v>2024</v>
      </c>
      <c r="L739" t="n">
        <v>2</v>
      </c>
      <c r="M739" t="inlineStr">
        <is>
          <t>Muçarela Mozzana 2 kg</t>
        </is>
      </c>
      <c r="N739" t="inlineStr">
        <is>
          <t>Outros</t>
        </is>
      </c>
      <c r="O739" t="n">
        <v>12</v>
      </c>
      <c r="P739" t="n">
        <v>59</v>
      </c>
      <c r="Q739" t="n">
        <v>12</v>
      </c>
    </row>
    <row r="740">
      <c r="A740" t="n">
        <v>2025</v>
      </c>
      <c r="B740" t="n">
        <v>1</v>
      </c>
      <c r="C740" t="inlineStr">
        <is>
          <t>Requeijão Pizzalet 1,8 kg</t>
        </is>
      </c>
      <c r="D740" t="inlineStr">
        <is>
          <t>Cozinha Industrial</t>
        </is>
      </c>
      <c r="E740" t="n">
        <v>2921.6</v>
      </c>
      <c r="F740" t="n">
        <v>371.68</v>
      </c>
      <c r="G740" t="n">
        <v>202</v>
      </c>
      <c r="J740" t="inlineStr">
        <is>
          <t>M</t>
        </is>
      </c>
      <c r="K740" t="n">
        <v>2024</v>
      </c>
      <c r="L740" t="n">
        <v>2</v>
      </c>
      <c r="M740" t="inlineStr">
        <is>
          <t>Muçarela Mozzana 2 kg</t>
        </is>
      </c>
      <c r="N740" t="inlineStr">
        <is>
          <t>Outros</t>
        </is>
      </c>
      <c r="O740" t="n">
        <v>10</v>
      </c>
      <c r="P740" t="n">
        <v>27</v>
      </c>
      <c r="Q740" t="n">
        <v>0</v>
      </c>
    </row>
    <row r="741">
      <c r="A741" t="n">
        <v>2025</v>
      </c>
      <c r="B741" t="n">
        <v>1</v>
      </c>
      <c r="C741" t="inlineStr">
        <is>
          <t>Requeijão Pizzalet 1,8 kg</t>
        </is>
      </c>
      <c r="D741" t="inlineStr">
        <is>
          <t>Cozinha Oriental</t>
        </is>
      </c>
      <c r="E741" t="n">
        <v>113.76</v>
      </c>
      <c r="F741" t="n">
        <v>14.72</v>
      </c>
      <c r="G741" t="n">
        <v>8</v>
      </c>
      <c r="J741" t="inlineStr">
        <is>
          <t>A</t>
        </is>
      </c>
      <c r="K741" t="n">
        <v>2024</v>
      </c>
      <c r="L741" t="n">
        <v>3</v>
      </c>
      <c r="M741" t="inlineStr">
        <is>
          <t>Muçarela Mozzana 2 kg</t>
        </is>
      </c>
      <c r="N741" t="inlineStr">
        <is>
          <t>Outros</t>
        </is>
      </c>
      <c r="O741" t="n">
        <v>13</v>
      </c>
      <c r="P741" t="n">
        <v>80</v>
      </c>
      <c r="Q741" t="n">
        <v>13</v>
      </c>
    </row>
    <row r="742">
      <c r="A742" t="n">
        <v>2025</v>
      </c>
      <c r="B742" t="n">
        <v>1</v>
      </c>
      <c r="C742" t="inlineStr">
        <is>
          <t>Requeijão Pizzalet 1,8 kg</t>
        </is>
      </c>
      <c r="D742" t="inlineStr">
        <is>
          <t>Lanchonete / Cafeteria</t>
        </is>
      </c>
      <c r="E742" t="n">
        <v>838.77</v>
      </c>
      <c r="F742" t="n">
        <v>104.88</v>
      </c>
      <c r="G742" t="n">
        <v>57</v>
      </c>
      <c r="J742" t="inlineStr">
        <is>
          <t>M</t>
        </is>
      </c>
      <c r="K742" t="n">
        <v>2024</v>
      </c>
      <c r="L742" t="n">
        <v>3</v>
      </c>
      <c r="M742" t="inlineStr">
        <is>
          <t>Muçarela Mozzana 2 kg</t>
        </is>
      </c>
      <c r="N742" t="inlineStr">
        <is>
          <t>Outros</t>
        </is>
      </c>
      <c r="O742" t="n">
        <v>9</v>
      </c>
      <c r="P742" t="n">
        <v>21</v>
      </c>
      <c r="Q742" t="n">
        <v>0</v>
      </c>
    </row>
    <row r="743">
      <c r="A743" t="n">
        <v>2025</v>
      </c>
      <c r="B743" t="n">
        <v>1</v>
      </c>
      <c r="C743" t="inlineStr">
        <is>
          <t>Requeijão Pizzalet 1,8 kg</t>
        </is>
      </c>
      <c r="D743" t="inlineStr">
        <is>
          <t>Outros</t>
        </is>
      </c>
      <c r="E743" t="n">
        <v>529</v>
      </c>
      <c r="F743" t="n">
        <v>66.23999999999999</v>
      </c>
      <c r="G743" t="n">
        <v>36</v>
      </c>
      <c r="J743" t="inlineStr">
        <is>
          <t>A</t>
        </is>
      </c>
      <c r="K743" t="n">
        <v>2024</v>
      </c>
      <c r="L743" t="n">
        <v>4</v>
      </c>
      <c r="M743" t="inlineStr">
        <is>
          <t>Muçarela Mozzana 2 kg</t>
        </is>
      </c>
      <c r="N743" t="inlineStr">
        <is>
          <t>Outros</t>
        </is>
      </c>
      <c r="O743" t="n">
        <v>17</v>
      </c>
      <c r="P743" t="n">
        <v>116</v>
      </c>
      <c r="Q743" t="n">
        <v>17</v>
      </c>
    </row>
    <row r="744">
      <c r="A744" t="n">
        <v>2025</v>
      </c>
      <c r="B744" t="n">
        <v>1</v>
      </c>
      <c r="C744" t="inlineStr">
        <is>
          <t>Requeijão Pizzalet 1,8 kg</t>
        </is>
      </c>
      <c r="D744" t="inlineStr">
        <is>
          <t>Pastelaria</t>
        </is>
      </c>
      <c r="E744" t="n">
        <v>2148.01</v>
      </c>
      <c r="F744" t="n">
        <v>266.8</v>
      </c>
      <c r="G744" t="n">
        <v>145</v>
      </c>
      <c r="J744" t="inlineStr">
        <is>
          <t>M</t>
        </is>
      </c>
      <c r="K744" t="n">
        <v>2024</v>
      </c>
      <c r="L744" t="n">
        <v>4</v>
      </c>
      <c r="M744" t="inlineStr">
        <is>
          <t>Muçarela Mozzana 2 kg</t>
        </is>
      </c>
      <c r="N744" t="inlineStr">
        <is>
          <t>Outros</t>
        </is>
      </c>
      <c r="O744" t="n">
        <v>14</v>
      </c>
      <c r="P744" t="n">
        <v>36</v>
      </c>
      <c r="Q744" t="n">
        <v>0</v>
      </c>
    </row>
    <row r="745">
      <c r="A745" t="n">
        <v>2025</v>
      </c>
      <c r="B745" t="n">
        <v>1</v>
      </c>
      <c r="C745" t="inlineStr">
        <is>
          <t>Requeijão Pizzalet 1,8 kg</t>
        </is>
      </c>
      <c r="D745" t="inlineStr">
        <is>
          <t>Pessoa Física</t>
        </is>
      </c>
      <c r="E745" t="n">
        <v>15.62</v>
      </c>
      <c r="F745" t="n">
        <v>1.84</v>
      </c>
      <c r="G745" t="n">
        <v>1</v>
      </c>
      <c r="J745" t="inlineStr">
        <is>
          <t>A</t>
        </is>
      </c>
      <c r="K745" t="n">
        <v>2024</v>
      </c>
      <c r="L745" t="n">
        <v>5</v>
      </c>
      <c r="M745" t="inlineStr">
        <is>
          <t>Muçarela Mozzana 2 kg</t>
        </is>
      </c>
      <c r="N745" t="inlineStr">
        <is>
          <t>Outros</t>
        </is>
      </c>
      <c r="O745" t="n">
        <v>18</v>
      </c>
      <c r="P745" t="n">
        <v>149</v>
      </c>
      <c r="Q745" t="n">
        <v>18</v>
      </c>
    </row>
    <row r="746">
      <c r="A746" t="n">
        <v>2025</v>
      </c>
      <c r="B746" t="n">
        <v>1</v>
      </c>
      <c r="C746" t="inlineStr">
        <is>
          <t>Requeijão Pizzalet 1,8 kg</t>
        </is>
      </c>
      <c r="D746" t="inlineStr">
        <is>
          <t>Pizzaria</t>
        </is>
      </c>
      <c r="E746" t="n">
        <v>4000.96</v>
      </c>
      <c r="F746" t="n">
        <v>496.8</v>
      </c>
      <c r="G746" t="n">
        <v>270</v>
      </c>
      <c r="J746" t="inlineStr">
        <is>
          <t>M</t>
        </is>
      </c>
      <c r="K746" t="n">
        <v>2024</v>
      </c>
      <c r="L746" t="n">
        <v>5</v>
      </c>
      <c r="M746" t="inlineStr">
        <is>
          <t>Muçarela Mozzana 2 kg</t>
        </is>
      </c>
      <c r="N746" t="inlineStr">
        <is>
          <t>Outros</t>
        </is>
      </c>
      <c r="O746" t="n">
        <v>14</v>
      </c>
      <c r="P746" t="n">
        <v>33</v>
      </c>
      <c r="Q746" t="n">
        <v>0</v>
      </c>
    </row>
    <row r="747">
      <c r="A747" t="n">
        <v>2025</v>
      </c>
      <c r="B747" t="n">
        <v>1</v>
      </c>
      <c r="C747" t="inlineStr">
        <is>
          <t>Requeijão Pizzalet 1,8 kg</t>
        </is>
      </c>
      <c r="D747" t="inlineStr">
        <is>
          <t>Restaurante / Cantina</t>
        </is>
      </c>
      <c r="E747" t="n">
        <v>320.54</v>
      </c>
      <c r="F747" t="n">
        <v>40.48</v>
      </c>
      <c r="G747" t="n">
        <v>22</v>
      </c>
      <c r="J747" t="inlineStr">
        <is>
          <t>A</t>
        </is>
      </c>
      <c r="K747" t="n">
        <v>2024</v>
      </c>
      <c r="L747" t="n">
        <v>6</v>
      </c>
      <c r="M747" t="inlineStr">
        <is>
          <t>Muçarela Mozzana 2 kg</t>
        </is>
      </c>
      <c r="N747" t="inlineStr">
        <is>
          <t>Outros</t>
        </is>
      </c>
      <c r="O747" t="n">
        <v>22</v>
      </c>
      <c r="P747" t="n">
        <v>179</v>
      </c>
      <c r="Q747" t="n">
        <v>22</v>
      </c>
    </row>
    <row r="748">
      <c r="A748" t="n">
        <v>2025</v>
      </c>
      <c r="B748" t="n">
        <v>2</v>
      </c>
      <c r="C748" t="inlineStr">
        <is>
          <t>Chocolate em pó 50% 1 kg</t>
        </is>
      </c>
      <c r="D748" t="inlineStr">
        <is>
          <t>Casa Noturna</t>
        </is>
      </c>
      <c r="E748" t="n">
        <v>145</v>
      </c>
      <c r="F748" t="n">
        <v>4.08</v>
      </c>
      <c r="G748" t="n">
        <v>4</v>
      </c>
      <c r="J748" t="inlineStr">
        <is>
          <t>M</t>
        </is>
      </c>
      <c r="K748" t="n">
        <v>2024</v>
      </c>
      <c r="L748" t="n">
        <v>6</v>
      </c>
      <c r="M748" t="inlineStr">
        <is>
          <t>Muçarela Mozzana 2 kg</t>
        </is>
      </c>
      <c r="N748" t="inlineStr">
        <is>
          <t>Outros</t>
        </is>
      </c>
      <c r="O748" t="n">
        <v>14</v>
      </c>
      <c r="P748" t="n">
        <v>30</v>
      </c>
      <c r="Q748" t="n">
        <v>0</v>
      </c>
    </row>
    <row r="749">
      <c r="A749" t="n">
        <v>2025</v>
      </c>
      <c r="B749" t="n">
        <v>2</v>
      </c>
      <c r="C749" t="inlineStr">
        <is>
          <t>Chocolate em pó 50% 1 kg</t>
        </is>
      </c>
      <c r="D749" t="inlineStr">
        <is>
          <t>Hotel / Motel / Pousada</t>
        </is>
      </c>
      <c r="E749" t="n">
        <v>463.92</v>
      </c>
      <c r="F749" t="n">
        <v>13.26</v>
      </c>
      <c r="G749" t="n">
        <v>13</v>
      </c>
      <c r="J749" t="inlineStr">
        <is>
          <t>A</t>
        </is>
      </c>
      <c r="K749" t="n">
        <v>2024</v>
      </c>
      <c r="L749" t="n">
        <v>7</v>
      </c>
      <c r="M749" t="inlineStr">
        <is>
          <t>Muçarela Mozzana 2 kg</t>
        </is>
      </c>
      <c r="N749" t="inlineStr">
        <is>
          <t>Outros</t>
        </is>
      </c>
      <c r="O749" t="n">
        <v>25</v>
      </c>
      <c r="P749" t="n">
        <v>222</v>
      </c>
      <c r="Q749" t="n">
        <v>25</v>
      </c>
    </row>
    <row r="750">
      <c r="A750" t="n">
        <v>2025</v>
      </c>
      <c r="B750" t="n">
        <v>2</v>
      </c>
      <c r="C750" t="inlineStr">
        <is>
          <t>Chocolate em pó 50% 1 kg</t>
        </is>
      </c>
      <c r="D750" t="inlineStr">
        <is>
          <t>Lanchonete / Cafeteria</t>
        </is>
      </c>
      <c r="E750" t="n">
        <v>72.5</v>
      </c>
      <c r="F750" t="n">
        <v>2.04</v>
      </c>
      <c r="G750" t="n">
        <v>2</v>
      </c>
      <c r="J750" t="inlineStr">
        <is>
          <t>M</t>
        </is>
      </c>
      <c r="K750" t="n">
        <v>2024</v>
      </c>
      <c r="L750" t="n">
        <v>7</v>
      </c>
      <c r="M750" t="inlineStr">
        <is>
          <t>Muçarela Mozzana 2 kg</t>
        </is>
      </c>
      <c r="N750" t="inlineStr">
        <is>
          <t>Outros</t>
        </is>
      </c>
      <c r="O750" t="n">
        <v>16</v>
      </c>
      <c r="P750" t="n">
        <v>43</v>
      </c>
      <c r="Q750" t="n">
        <v>0</v>
      </c>
    </row>
    <row r="751">
      <c r="A751" t="n">
        <v>2025</v>
      </c>
      <c r="B751" t="n">
        <v>2</v>
      </c>
      <c r="C751" t="inlineStr">
        <is>
          <t>Chocolate em pó 50% 1 kg</t>
        </is>
      </c>
      <c r="D751" t="inlineStr">
        <is>
          <t>Outros</t>
        </is>
      </c>
      <c r="E751" t="n">
        <v>106.25</v>
      </c>
      <c r="F751" t="n">
        <v>3.06</v>
      </c>
      <c r="G751" t="n">
        <v>3</v>
      </c>
      <c r="J751" t="inlineStr">
        <is>
          <t>A</t>
        </is>
      </c>
      <c r="K751" t="n">
        <v>2024</v>
      </c>
      <c r="L751" t="n">
        <v>8</v>
      </c>
      <c r="M751" t="inlineStr">
        <is>
          <t>Muçarela Mozzana 2 kg</t>
        </is>
      </c>
      <c r="N751" t="inlineStr">
        <is>
          <t>Outros</t>
        </is>
      </c>
      <c r="O751" t="n">
        <v>26</v>
      </c>
      <c r="P751" t="n">
        <v>258</v>
      </c>
      <c r="Q751" t="n">
        <v>26</v>
      </c>
    </row>
    <row r="752">
      <c r="A752" t="n">
        <v>2025</v>
      </c>
      <c r="B752" t="n">
        <v>2</v>
      </c>
      <c r="C752" t="inlineStr">
        <is>
          <t>Chocolate em pó 50% 1 kg</t>
        </is>
      </c>
      <c r="D752" t="inlineStr">
        <is>
          <t>Padaria</t>
        </is>
      </c>
      <c r="E752" t="n">
        <v>181</v>
      </c>
      <c r="F752" t="n">
        <v>5.1</v>
      </c>
      <c r="G752" t="n">
        <v>5</v>
      </c>
      <c r="J752" t="inlineStr">
        <is>
          <t>M</t>
        </is>
      </c>
      <c r="K752" t="n">
        <v>2024</v>
      </c>
      <c r="L752" t="n">
        <v>8</v>
      </c>
      <c r="M752" t="inlineStr">
        <is>
          <t>Muçarela Mozzana 2 kg</t>
        </is>
      </c>
      <c r="N752" t="inlineStr">
        <is>
          <t>Outros</t>
        </is>
      </c>
      <c r="O752" t="n">
        <v>17</v>
      </c>
      <c r="P752" t="n">
        <v>36</v>
      </c>
      <c r="Q752" t="n">
        <v>0</v>
      </c>
    </row>
    <row r="753">
      <c r="A753" t="n">
        <v>2025</v>
      </c>
      <c r="B753" t="n">
        <v>2</v>
      </c>
      <c r="C753" t="inlineStr">
        <is>
          <t>Chocolate em pó 50% 1 kg</t>
        </is>
      </c>
      <c r="D753" t="inlineStr">
        <is>
          <t>Pessoa Física</t>
        </is>
      </c>
      <c r="E753" t="n">
        <v>36.25</v>
      </c>
      <c r="F753" t="n">
        <v>1.02</v>
      </c>
      <c r="G753" t="n">
        <v>1</v>
      </c>
      <c r="J753" t="inlineStr">
        <is>
          <t>A</t>
        </is>
      </c>
      <c r="K753" t="n">
        <v>2024</v>
      </c>
      <c r="L753" t="n">
        <v>9</v>
      </c>
      <c r="M753" t="inlineStr">
        <is>
          <t>Muçarela Mozzana 2 kg</t>
        </is>
      </c>
      <c r="N753" t="inlineStr">
        <is>
          <t>Outros</t>
        </is>
      </c>
      <c r="O753" t="n">
        <v>27</v>
      </c>
      <c r="P753" t="n">
        <v>292</v>
      </c>
      <c r="Q753" t="n">
        <v>27</v>
      </c>
    </row>
    <row r="754">
      <c r="A754" t="n">
        <v>2025</v>
      </c>
      <c r="B754" t="n">
        <v>2</v>
      </c>
      <c r="C754" t="inlineStr">
        <is>
          <t>Chocolate em pó 50% 1 kg</t>
        </is>
      </c>
      <c r="D754" t="inlineStr">
        <is>
          <t>Pizzaria</t>
        </is>
      </c>
      <c r="E754" t="n">
        <v>429.87</v>
      </c>
      <c r="F754" t="n">
        <v>12.24</v>
      </c>
      <c r="G754" t="n">
        <v>12</v>
      </c>
      <c r="J754" t="inlineStr">
        <is>
          <t>M</t>
        </is>
      </c>
      <c r="K754" t="n">
        <v>2024</v>
      </c>
      <c r="L754" t="n">
        <v>9</v>
      </c>
      <c r="M754" t="inlineStr">
        <is>
          <t>Muçarela Mozzana 2 kg</t>
        </is>
      </c>
      <c r="N754" t="inlineStr">
        <is>
          <t>Outros</t>
        </is>
      </c>
      <c r="O754" t="n">
        <v>14</v>
      </c>
      <c r="P754" t="n">
        <v>34</v>
      </c>
      <c r="Q754" t="n">
        <v>0</v>
      </c>
    </row>
    <row r="755">
      <c r="A755" t="n">
        <v>2025</v>
      </c>
      <c r="B755" t="n">
        <v>2</v>
      </c>
      <c r="C755" t="inlineStr">
        <is>
          <t>Chocolate em pó 50% 1 kg</t>
        </is>
      </c>
      <c r="D755" t="inlineStr">
        <is>
          <t>Restaurante / Cantina</t>
        </is>
      </c>
      <c r="E755" t="n">
        <v>363.44</v>
      </c>
      <c r="F755" t="n">
        <v>10.2</v>
      </c>
      <c r="G755" t="n">
        <v>10</v>
      </c>
      <c r="J755" t="inlineStr">
        <is>
          <t>A</t>
        </is>
      </c>
      <c r="K755" t="n">
        <v>2024</v>
      </c>
      <c r="L755" t="n">
        <v>10</v>
      </c>
      <c r="M755" t="inlineStr">
        <is>
          <t>Muçarela Mozzana 2 kg</t>
        </is>
      </c>
      <c r="N755" t="inlineStr">
        <is>
          <t>Outros</t>
        </is>
      </c>
      <c r="O755" t="n">
        <v>27</v>
      </c>
      <c r="P755" t="n">
        <v>327</v>
      </c>
      <c r="Q755" t="n">
        <v>27</v>
      </c>
    </row>
    <row r="756">
      <c r="A756" t="n">
        <v>2025</v>
      </c>
      <c r="B756" t="n">
        <v>2</v>
      </c>
      <c r="C756" t="inlineStr">
        <is>
          <t>Composto lácteo Alibralac 1 kg</t>
        </is>
      </c>
      <c r="D756" t="inlineStr">
        <is>
          <t>Cozinha Industrial</t>
        </is>
      </c>
      <c r="E756" t="n">
        <v>1671.6</v>
      </c>
      <c r="F756" t="n">
        <v>85.68000000000001</v>
      </c>
      <c r="G756" t="n">
        <v>84</v>
      </c>
      <c r="J756" t="inlineStr">
        <is>
          <t>M</t>
        </is>
      </c>
      <c r="K756" t="n">
        <v>2024</v>
      </c>
      <c r="L756" t="n">
        <v>10</v>
      </c>
      <c r="M756" t="inlineStr">
        <is>
          <t>Muçarela Mozzana 2 kg</t>
        </is>
      </c>
      <c r="N756" t="inlineStr">
        <is>
          <t>Outros</t>
        </is>
      </c>
      <c r="O756" t="n">
        <v>13</v>
      </c>
      <c r="P756" t="n">
        <v>35</v>
      </c>
      <c r="Q756" t="n">
        <v>0</v>
      </c>
    </row>
    <row r="757">
      <c r="A757" t="n">
        <v>2025</v>
      </c>
      <c r="B757" t="n">
        <v>2</v>
      </c>
      <c r="C757" t="inlineStr">
        <is>
          <t>Composto lácteo Alibralac 1 kg</t>
        </is>
      </c>
      <c r="D757" t="inlineStr">
        <is>
          <t>Hospital / Casa de Repouso</t>
        </is>
      </c>
      <c r="E757" t="n">
        <v>1990</v>
      </c>
      <c r="F757" t="n">
        <v>102</v>
      </c>
      <c r="G757" t="n">
        <v>100</v>
      </c>
      <c r="J757" t="inlineStr">
        <is>
          <t>A</t>
        </is>
      </c>
      <c r="K757" t="n">
        <v>2024</v>
      </c>
      <c r="L757" t="n">
        <v>11</v>
      </c>
      <c r="M757" t="inlineStr">
        <is>
          <t>Muçarela Mozzana 2 kg</t>
        </is>
      </c>
      <c r="N757" t="inlineStr">
        <is>
          <t>Outros</t>
        </is>
      </c>
      <c r="O757" t="n">
        <v>27</v>
      </c>
      <c r="P757" t="n">
        <v>358</v>
      </c>
      <c r="Q757" t="n">
        <v>27</v>
      </c>
    </row>
    <row r="758">
      <c r="A758" t="n">
        <v>2025</v>
      </c>
      <c r="B758" t="n">
        <v>2</v>
      </c>
      <c r="C758" t="inlineStr">
        <is>
          <t>Composto lácteo Alibralac 1 kg</t>
        </is>
      </c>
      <c r="D758" t="inlineStr">
        <is>
          <t>Hotel / Motel / Pousada</t>
        </is>
      </c>
      <c r="E758" t="n">
        <v>297.92</v>
      </c>
      <c r="F758" t="n">
        <v>14.28</v>
      </c>
      <c r="G758" t="n">
        <v>14</v>
      </c>
      <c r="J758" t="inlineStr">
        <is>
          <t>M</t>
        </is>
      </c>
      <c r="K758" t="n">
        <v>2024</v>
      </c>
      <c r="L758" t="n">
        <v>11</v>
      </c>
      <c r="M758" t="inlineStr">
        <is>
          <t>Muçarela Mozzana 2 kg</t>
        </is>
      </c>
      <c r="N758" t="inlineStr">
        <is>
          <t>Outros</t>
        </is>
      </c>
      <c r="O758" t="n">
        <v>11</v>
      </c>
      <c r="P758" t="n">
        <v>31</v>
      </c>
      <c r="Q758" t="n">
        <v>0</v>
      </c>
    </row>
    <row r="759">
      <c r="A759" t="n">
        <v>2025</v>
      </c>
      <c r="B759" t="n">
        <v>2</v>
      </c>
      <c r="C759" t="inlineStr">
        <is>
          <t>Composto lácteo Alibralac 1 kg</t>
        </is>
      </c>
      <c r="D759" t="inlineStr">
        <is>
          <t>Padaria</t>
        </is>
      </c>
      <c r="E759" t="n">
        <v>316.95</v>
      </c>
      <c r="F759" t="n">
        <v>15.3</v>
      </c>
      <c r="G759" t="n">
        <v>15</v>
      </c>
      <c r="J759" t="inlineStr">
        <is>
          <t>A</t>
        </is>
      </c>
      <c r="K759" t="n">
        <v>2024</v>
      </c>
      <c r="L759" t="n">
        <v>12</v>
      </c>
      <c r="M759" t="inlineStr">
        <is>
          <t>Muçarela Mozzana 2 kg</t>
        </is>
      </c>
      <c r="N759" t="inlineStr">
        <is>
          <t>Outros</t>
        </is>
      </c>
      <c r="O759" t="n">
        <v>27</v>
      </c>
      <c r="P759" t="n">
        <v>397</v>
      </c>
      <c r="Q759" t="n">
        <v>27</v>
      </c>
    </row>
    <row r="760">
      <c r="A760" t="n">
        <v>2025</v>
      </c>
      <c r="B760" t="n">
        <v>2</v>
      </c>
      <c r="C760" t="inlineStr">
        <is>
          <t>Composto lácteo Alibralac 1 kg</t>
        </is>
      </c>
      <c r="D760" t="inlineStr">
        <is>
          <t>Pizzaria</t>
        </is>
      </c>
      <c r="E760" t="n">
        <v>965.6799999999999</v>
      </c>
      <c r="F760" t="n">
        <v>46.92</v>
      </c>
      <c r="G760" t="n">
        <v>46</v>
      </c>
      <c r="J760" t="inlineStr">
        <is>
          <t>M</t>
        </is>
      </c>
      <c r="K760" t="n">
        <v>2024</v>
      </c>
      <c r="L760" t="n">
        <v>12</v>
      </c>
      <c r="M760" t="inlineStr">
        <is>
          <t>Muçarela Mozzana 2 kg</t>
        </is>
      </c>
      <c r="N760" t="inlineStr">
        <is>
          <t>Outros</t>
        </is>
      </c>
      <c r="O760" t="n">
        <v>12</v>
      </c>
      <c r="P760" t="n">
        <v>39</v>
      </c>
      <c r="Q760" t="n">
        <v>0</v>
      </c>
    </row>
    <row r="761">
      <c r="A761" t="n">
        <v>2025</v>
      </c>
      <c r="B761" t="n">
        <v>2</v>
      </c>
      <c r="C761" t="inlineStr">
        <is>
          <t>Composto lácteo Merilú 400 g</t>
        </is>
      </c>
      <c r="D761" t="inlineStr">
        <is>
          <t>Churrascaria</t>
        </is>
      </c>
      <c r="E761" t="n">
        <v>47.34</v>
      </c>
      <c r="F761" t="n">
        <v>2.52</v>
      </c>
      <c r="G761" t="n">
        <v>6</v>
      </c>
      <c r="J761" t="inlineStr">
        <is>
          <t>A</t>
        </is>
      </c>
      <c r="K761" t="n">
        <v>2024</v>
      </c>
      <c r="L761" t="n">
        <v>1</v>
      </c>
      <c r="M761" t="inlineStr">
        <is>
          <t>Muçarela Mozzana 2 kg</t>
        </is>
      </c>
      <c r="N761" t="inlineStr">
        <is>
          <t>Pessoa Física</t>
        </is>
      </c>
      <c r="O761" t="n">
        <v>5</v>
      </c>
      <c r="P761" t="n">
        <v>12</v>
      </c>
      <c r="Q761" t="n">
        <v>5</v>
      </c>
    </row>
    <row r="762">
      <c r="A762" t="n">
        <v>2025</v>
      </c>
      <c r="B762" t="n">
        <v>2</v>
      </c>
      <c r="C762" t="inlineStr">
        <is>
          <t>Composto lácteo Merilú 400 g</t>
        </is>
      </c>
      <c r="D762" t="inlineStr">
        <is>
          <t>Cozinha Industrial</t>
        </is>
      </c>
      <c r="E762" t="n">
        <v>68.59999999999999</v>
      </c>
      <c r="F762" t="n">
        <v>4.2</v>
      </c>
      <c r="G762" t="n">
        <v>10</v>
      </c>
      <c r="J762" t="inlineStr">
        <is>
          <t>M</t>
        </is>
      </c>
      <c r="K762" t="n">
        <v>2024</v>
      </c>
      <c r="L762" t="n">
        <v>1</v>
      </c>
      <c r="M762" t="inlineStr">
        <is>
          <t>Muçarela Mozzana 2 kg</t>
        </is>
      </c>
      <c r="N762" t="inlineStr">
        <is>
          <t>Pessoa Física</t>
        </is>
      </c>
      <c r="O762" t="n">
        <v>5</v>
      </c>
      <c r="P762" t="n">
        <v>12</v>
      </c>
      <c r="Q762" t="n">
        <v>0</v>
      </c>
    </row>
    <row r="763">
      <c r="A763" t="n">
        <v>2025</v>
      </c>
      <c r="B763" t="n">
        <v>2</v>
      </c>
      <c r="C763" t="inlineStr">
        <is>
          <t>Composto lácteo Merilú 400 g</t>
        </is>
      </c>
      <c r="D763" t="inlineStr">
        <is>
          <t>Hamburgueria</t>
        </is>
      </c>
      <c r="E763" t="n">
        <v>544.8</v>
      </c>
      <c r="F763" t="n">
        <v>33.6</v>
      </c>
      <c r="G763" t="n">
        <v>80</v>
      </c>
      <c r="J763" t="inlineStr">
        <is>
          <t>A</t>
        </is>
      </c>
      <c r="K763" t="n">
        <v>2024</v>
      </c>
      <c r="L763" t="n">
        <v>2</v>
      </c>
      <c r="M763" t="inlineStr">
        <is>
          <t>Muçarela Mozzana 2 kg</t>
        </is>
      </c>
      <c r="N763" t="inlineStr">
        <is>
          <t>Pessoa Física</t>
        </is>
      </c>
      <c r="O763" t="n">
        <v>7</v>
      </c>
      <c r="P763" t="n">
        <v>21</v>
      </c>
      <c r="Q763" t="n">
        <v>7</v>
      </c>
    </row>
    <row r="764">
      <c r="A764" t="n">
        <v>2025</v>
      </c>
      <c r="B764" t="n">
        <v>2</v>
      </c>
      <c r="C764" t="inlineStr">
        <is>
          <t>Composto lácteo Merilú 400 g</t>
        </is>
      </c>
      <c r="D764" t="inlineStr">
        <is>
          <t>Outros</t>
        </is>
      </c>
      <c r="E764" t="n">
        <v>391.44</v>
      </c>
      <c r="F764" t="n">
        <v>23.52</v>
      </c>
      <c r="G764" t="n">
        <v>56</v>
      </c>
      <c r="J764" t="inlineStr">
        <is>
          <t>M</t>
        </is>
      </c>
      <c r="K764" t="n">
        <v>2024</v>
      </c>
      <c r="L764" t="n">
        <v>2</v>
      </c>
      <c r="M764" t="inlineStr">
        <is>
          <t>Muçarela Mozzana 2 kg</t>
        </is>
      </c>
      <c r="N764" t="inlineStr">
        <is>
          <t>Pessoa Física</t>
        </is>
      </c>
      <c r="O764" t="n">
        <v>6</v>
      </c>
      <c r="P764" t="n">
        <v>9</v>
      </c>
      <c r="Q764" t="n">
        <v>0</v>
      </c>
    </row>
    <row r="765">
      <c r="A765" t="n">
        <v>2025</v>
      </c>
      <c r="B765" t="n">
        <v>2</v>
      </c>
      <c r="C765" t="inlineStr">
        <is>
          <t>Composto lácteo Merilú 400 g</t>
        </is>
      </c>
      <c r="D765" t="inlineStr">
        <is>
          <t>Padaria</t>
        </is>
      </c>
      <c r="E765" t="n">
        <v>574.6</v>
      </c>
      <c r="F765" t="n">
        <v>35.7</v>
      </c>
      <c r="G765" t="n">
        <v>85</v>
      </c>
      <c r="J765" t="inlineStr">
        <is>
          <t>A</t>
        </is>
      </c>
      <c r="K765" t="n">
        <v>2024</v>
      </c>
      <c r="L765" t="n">
        <v>3</v>
      </c>
      <c r="M765" t="inlineStr">
        <is>
          <t>Muçarela Mozzana 2 kg</t>
        </is>
      </c>
      <c r="N765" t="inlineStr">
        <is>
          <t>Pessoa Física</t>
        </is>
      </c>
      <c r="O765" t="n">
        <v>7</v>
      </c>
      <c r="P765" t="n">
        <v>31</v>
      </c>
      <c r="Q765" t="n">
        <v>7</v>
      </c>
    </row>
    <row r="766">
      <c r="A766" t="n">
        <v>2025</v>
      </c>
      <c r="B766" t="n">
        <v>2</v>
      </c>
      <c r="C766" t="inlineStr">
        <is>
          <t>Composto lácteo Merilú 400 g</t>
        </is>
      </c>
      <c r="D766" t="inlineStr">
        <is>
          <t>Pessoa Física</t>
        </is>
      </c>
      <c r="E766" t="n">
        <v>102.15</v>
      </c>
      <c r="F766" t="n">
        <v>6.3</v>
      </c>
      <c r="G766" t="n">
        <v>15</v>
      </c>
      <c r="J766" t="inlineStr">
        <is>
          <t>M</t>
        </is>
      </c>
      <c r="K766" t="n">
        <v>2024</v>
      </c>
      <c r="L766" t="n">
        <v>3</v>
      </c>
      <c r="M766" t="inlineStr">
        <is>
          <t>Muçarela Mozzana 2 kg</t>
        </is>
      </c>
      <c r="N766" t="inlineStr">
        <is>
          <t>Pessoa Física</t>
        </is>
      </c>
      <c r="O766" t="n">
        <v>5</v>
      </c>
      <c r="P766" t="n">
        <v>10</v>
      </c>
      <c r="Q766" t="n">
        <v>0</v>
      </c>
    </row>
    <row r="767">
      <c r="A767" t="n">
        <v>2025</v>
      </c>
      <c r="B767" t="n">
        <v>2</v>
      </c>
      <c r="C767" t="inlineStr">
        <is>
          <t>Composto lácteo Merilú 400 g</t>
        </is>
      </c>
      <c r="D767" t="inlineStr">
        <is>
          <t>Restaurante / Cantina</t>
        </is>
      </c>
      <c r="E767" t="n">
        <v>508.25</v>
      </c>
      <c r="F767" t="n">
        <v>31.5</v>
      </c>
      <c r="G767" t="n">
        <v>75</v>
      </c>
      <c r="J767" t="inlineStr">
        <is>
          <t>A</t>
        </is>
      </c>
      <c r="K767" t="n">
        <v>2024</v>
      </c>
      <c r="L767" t="n">
        <v>4</v>
      </c>
      <c r="M767" t="inlineStr">
        <is>
          <t>Muçarela Mozzana 2 kg</t>
        </is>
      </c>
      <c r="N767" t="inlineStr">
        <is>
          <t>Pessoa Física</t>
        </is>
      </c>
      <c r="O767" t="n">
        <v>8</v>
      </c>
      <c r="P767" t="n">
        <v>43</v>
      </c>
      <c r="Q767" t="n">
        <v>8</v>
      </c>
    </row>
    <row r="768">
      <c r="A768" t="n">
        <v>2025</v>
      </c>
      <c r="B768" t="n">
        <v>2</v>
      </c>
      <c r="C768" t="inlineStr">
        <is>
          <t>Muçarela Mozzalet 2 kg</t>
        </is>
      </c>
      <c r="D768" t="inlineStr">
        <is>
          <t>Cozinha Industrial</t>
        </is>
      </c>
      <c r="E768" t="n">
        <v>5504.4</v>
      </c>
      <c r="F768" t="n">
        <v>264</v>
      </c>
      <c r="G768" t="n">
        <v>132</v>
      </c>
      <c r="J768" t="inlineStr">
        <is>
          <t>M</t>
        </is>
      </c>
      <c r="K768" t="n">
        <v>2024</v>
      </c>
      <c r="L768" t="n">
        <v>4</v>
      </c>
      <c r="M768" t="inlineStr">
        <is>
          <t>Muçarela Mozzana 2 kg</t>
        </is>
      </c>
      <c r="N768" t="inlineStr">
        <is>
          <t>Pessoa Física</t>
        </is>
      </c>
      <c r="O768" t="n">
        <v>7</v>
      </c>
      <c r="P768" t="n">
        <v>12</v>
      </c>
      <c r="Q768" t="n">
        <v>0</v>
      </c>
    </row>
    <row r="769">
      <c r="A769" t="n">
        <v>2025</v>
      </c>
      <c r="B769" t="n">
        <v>2</v>
      </c>
      <c r="C769" t="inlineStr">
        <is>
          <t>Muçarela Mozzalet 2 kg</t>
        </is>
      </c>
      <c r="D769" t="inlineStr">
        <is>
          <t>Cozinha Oriental</t>
        </is>
      </c>
      <c r="E769" t="n">
        <v>373.5</v>
      </c>
      <c r="F769" t="n">
        <v>18</v>
      </c>
      <c r="G769" t="n">
        <v>9</v>
      </c>
      <c r="J769" t="inlineStr">
        <is>
          <t>A</t>
        </is>
      </c>
      <c r="K769" t="n">
        <v>2024</v>
      </c>
      <c r="L769" t="n">
        <v>5</v>
      </c>
      <c r="M769" t="inlineStr">
        <is>
          <t>Muçarela Mozzana 2 kg</t>
        </is>
      </c>
      <c r="N769" t="inlineStr">
        <is>
          <t>Pessoa Física</t>
        </is>
      </c>
      <c r="O769" t="n">
        <v>9</v>
      </c>
      <c r="P769" t="n">
        <v>58</v>
      </c>
      <c r="Q769" t="n">
        <v>9</v>
      </c>
    </row>
    <row r="770">
      <c r="A770" t="n">
        <v>2025</v>
      </c>
      <c r="B770" t="n">
        <v>2</v>
      </c>
      <c r="C770" t="inlineStr">
        <is>
          <t>Muçarela Mozzalet 2 kg</t>
        </is>
      </c>
      <c r="D770" t="inlineStr">
        <is>
          <t>Fábrica de Massas</t>
        </is>
      </c>
      <c r="E770" t="n">
        <v>30639.53</v>
      </c>
      <c r="F770" t="n">
        <v>1432</v>
      </c>
      <c r="G770" t="n">
        <v>716</v>
      </c>
      <c r="J770" t="inlineStr">
        <is>
          <t>M</t>
        </is>
      </c>
      <c r="K770" t="n">
        <v>2024</v>
      </c>
      <c r="L770" t="n">
        <v>5</v>
      </c>
      <c r="M770" t="inlineStr">
        <is>
          <t>Muçarela Mozzana 2 kg</t>
        </is>
      </c>
      <c r="N770" t="inlineStr">
        <is>
          <t>Pessoa Física</t>
        </is>
      </c>
      <c r="O770" t="n">
        <v>6</v>
      </c>
      <c r="P770" t="n">
        <v>15</v>
      </c>
      <c r="Q770" t="n">
        <v>0</v>
      </c>
    </row>
    <row r="771">
      <c r="A771" t="n">
        <v>2025</v>
      </c>
      <c r="B771" t="n">
        <v>2</v>
      </c>
      <c r="C771" t="inlineStr">
        <is>
          <t>Muçarela Mozzalet 2 kg</t>
        </is>
      </c>
      <c r="D771" t="inlineStr">
        <is>
          <t>Lanchonete / Cafeteria</t>
        </is>
      </c>
      <c r="E771" t="n">
        <v>386.64</v>
      </c>
      <c r="F771" t="n">
        <v>18</v>
      </c>
      <c r="G771" t="n">
        <v>9</v>
      </c>
      <c r="J771" t="inlineStr">
        <is>
          <t>A</t>
        </is>
      </c>
      <c r="K771" t="n">
        <v>2024</v>
      </c>
      <c r="L771" t="n">
        <v>6</v>
      </c>
      <c r="M771" t="inlineStr">
        <is>
          <t>Muçarela Mozzana 2 kg</t>
        </is>
      </c>
      <c r="N771" t="inlineStr">
        <is>
          <t>Pessoa Física</t>
        </is>
      </c>
      <c r="O771" t="n">
        <v>11</v>
      </c>
      <c r="P771" t="n">
        <v>69</v>
      </c>
      <c r="Q771" t="n">
        <v>11</v>
      </c>
    </row>
    <row r="772">
      <c r="A772" t="n">
        <v>2025</v>
      </c>
      <c r="B772" t="n">
        <v>2</v>
      </c>
      <c r="C772" t="inlineStr">
        <is>
          <t>Muçarela Mozzalet 2 kg</t>
        </is>
      </c>
      <c r="D772" t="inlineStr">
        <is>
          <t>Padaria</t>
        </is>
      </c>
      <c r="E772" t="n">
        <v>1260.29</v>
      </c>
      <c r="F772" t="n">
        <v>58</v>
      </c>
      <c r="G772" t="n">
        <v>29</v>
      </c>
      <c r="J772" t="inlineStr">
        <is>
          <t>M</t>
        </is>
      </c>
      <c r="K772" t="n">
        <v>2024</v>
      </c>
      <c r="L772" t="n">
        <v>6</v>
      </c>
      <c r="M772" t="inlineStr">
        <is>
          <t>Muçarela Mozzana 2 kg</t>
        </is>
      </c>
      <c r="N772" t="inlineStr">
        <is>
          <t>Pessoa Física</t>
        </is>
      </c>
      <c r="O772" t="n">
        <v>7</v>
      </c>
      <c r="P772" t="n">
        <v>11</v>
      </c>
      <c r="Q772" t="n">
        <v>0</v>
      </c>
    </row>
    <row r="773">
      <c r="A773" t="n">
        <v>2025</v>
      </c>
      <c r="B773" t="n">
        <v>2</v>
      </c>
      <c r="C773" t="inlineStr">
        <is>
          <t>Muçarela Mozzalet 2 kg</t>
        </is>
      </c>
      <c r="D773" t="inlineStr">
        <is>
          <t>Pastelaria</t>
        </is>
      </c>
      <c r="E773" t="n">
        <v>3872.88</v>
      </c>
      <c r="F773" t="n">
        <v>180</v>
      </c>
      <c r="G773" t="n">
        <v>90</v>
      </c>
      <c r="J773" t="inlineStr">
        <is>
          <t>A</t>
        </is>
      </c>
      <c r="K773" t="n">
        <v>2024</v>
      </c>
      <c r="L773" t="n">
        <v>7</v>
      </c>
      <c r="M773" t="inlineStr">
        <is>
          <t>Muçarela Mozzana 2 kg</t>
        </is>
      </c>
      <c r="N773" t="inlineStr">
        <is>
          <t>Pessoa Física</t>
        </is>
      </c>
      <c r="O773" t="n">
        <v>16</v>
      </c>
      <c r="P773" t="n">
        <v>87</v>
      </c>
      <c r="Q773" t="n">
        <v>16</v>
      </c>
    </row>
    <row r="774">
      <c r="A774" t="n">
        <v>2025</v>
      </c>
      <c r="B774" t="n">
        <v>2</v>
      </c>
      <c r="C774" t="inlineStr">
        <is>
          <t>Muçarela Mozzalet 2 kg</t>
        </is>
      </c>
      <c r="D774" t="inlineStr">
        <is>
          <t>Pessoa Física</t>
        </is>
      </c>
      <c r="E774" t="n">
        <v>4500.18</v>
      </c>
      <c r="F774" t="n">
        <v>210</v>
      </c>
      <c r="G774" t="n">
        <v>105</v>
      </c>
      <c r="J774" t="inlineStr">
        <is>
          <t>M</t>
        </is>
      </c>
      <c r="K774" t="n">
        <v>2024</v>
      </c>
      <c r="L774" t="n">
        <v>7</v>
      </c>
      <c r="M774" t="inlineStr">
        <is>
          <t>Muçarela Mozzana 2 kg</t>
        </is>
      </c>
      <c r="N774" t="inlineStr">
        <is>
          <t>Pessoa Física</t>
        </is>
      </c>
      <c r="O774" t="n">
        <v>10</v>
      </c>
      <c r="P774" t="n">
        <v>18</v>
      </c>
      <c r="Q774" t="n">
        <v>0</v>
      </c>
    </row>
    <row r="775">
      <c r="A775" t="n">
        <v>2025</v>
      </c>
      <c r="B775" t="n">
        <v>2</v>
      </c>
      <c r="C775" t="inlineStr">
        <is>
          <t>Muçarela Mozzalet 2 kg</t>
        </is>
      </c>
      <c r="D775" t="inlineStr">
        <is>
          <t>Pizzaria</t>
        </is>
      </c>
      <c r="E775" t="n">
        <v>7254.32</v>
      </c>
      <c r="F775" t="n">
        <v>336</v>
      </c>
      <c r="G775" t="n">
        <v>168</v>
      </c>
      <c r="J775" t="inlineStr">
        <is>
          <t>A</t>
        </is>
      </c>
      <c r="K775" t="n">
        <v>2024</v>
      </c>
      <c r="L775" t="n">
        <v>8</v>
      </c>
      <c r="M775" t="inlineStr">
        <is>
          <t>Muçarela Mozzana 2 kg</t>
        </is>
      </c>
      <c r="N775" t="inlineStr">
        <is>
          <t>Pessoa Física</t>
        </is>
      </c>
      <c r="O775" t="n">
        <v>17</v>
      </c>
      <c r="P775" t="n">
        <v>105</v>
      </c>
      <c r="Q775" t="n">
        <v>17</v>
      </c>
    </row>
    <row r="776">
      <c r="A776" t="n">
        <v>2025</v>
      </c>
      <c r="B776" t="n">
        <v>2</v>
      </c>
      <c r="C776" t="inlineStr">
        <is>
          <t>Muçarela Mozzalet 2 kg</t>
        </is>
      </c>
      <c r="D776" t="inlineStr">
        <is>
          <t>Restaurante / Cantina</t>
        </is>
      </c>
      <c r="E776" t="n">
        <v>44540.2</v>
      </c>
      <c r="F776" t="n">
        <v>2064</v>
      </c>
      <c r="G776" t="n">
        <v>1032</v>
      </c>
      <c r="J776" t="inlineStr">
        <is>
          <t>M</t>
        </is>
      </c>
      <c r="K776" t="n">
        <v>2024</v>
      </c>
      <c r="L776" t="n">
        <v>8</v>
      </c>
      <c r="M776" t="inlineStr">
        <is>
          <t>Muçarela Mozzana 2 kg</t>
        </is>
      </c>
      <c r="N776" t="inlineStr">
        <is>
          <t>Pessoa Física</t>
        </is>
      </c>
      <c r="O776" t="n">
        <v>6</v>
      </c>
      <c r="P776" t="n">
        <v>18</v>
      </c>
      <c r="Q776" t="n">
        <v>0</v>
      </c>
    </row>
    <row r="777">
      <c r="A777" t="n">
        <v>2025</v>
      </c>
      <c r="B777" t="n">
        <v>2</v>
      </c>
      <c r="C777" t="inlineStr">
        <is>
          <t>Muçarela Mozzana 2 kg</t>
        </is>
      </c>
      <c r="D777" t="inlineStr">
        <is>
          <t>Buffet</t>
        </is>
      </c>
      <c r="E777" t="n">
        <v>636.14</v>
      </c>
      <c r="F777" t="n">
        <v>28.28</v>
      </c>
      <c r="G777" t="n">
        <v>14</v>
      </c>
      <c r="J777" t="inlineStr">
        <is>
          <t>A</t>
        </is>
      </c>
      <c r="K777" t="n">
        <v>2024</v>
      </c>
      <c r="L777" t="n">
        <v>9</v>
      </c>
      <c r="M777" t="inlineStr">
        <is>
          <t>Muçarela Mozzana 2 kg</t>
        </is>
      </c>
      <c r="N777" t="inlineStr">
        <is>
          <t>Pessoa Física</t>
        </is>
      </c>
      <c r="O777" t="n">
        <v>19</v>
      </c>
      <c r="P777" t="n">
        <v>123</v>
      </c>
      <c r="Q777" t="n">
        <v>19</v>
      </c>
    </row>
    <row r="778">
      <c r="A778" t="n">
        <v>2025</v>
      </c>
      <c r="B778" t="n">
        <v>2</v>
      </c>
      <c r="C778" t="inlineStr">
        <is>
          <t>Muçarela Mozzana 2 kg</t>
        </is>
      </c>
      <c r="D778" t="inlineStr">
        <is>
          <t>Confeitaria</t>
        </is>
      </c>
      <c r="E778" t="n">
        <v>475.88</v>
      </c>
      <c r="F778" t="n">
        <v>20.2</v>
      </c>
      <c r="G778" t="n">
        <v>10</v>
      </c>
      <c r="J778" t="inlineStr">
        <is>
          <t>M</t>
        </is>
      </c>
      <c r="K778" t="n">
        <v>2024</v>
      </c>
      <c r="L778" t="n">
        <v>9</v>
      </c>
      <c r="M778" t="inlineStr">
        <is>
          <t>Muçarela Mozzana 2 kg</t>
        </is>
      </c>
      <c r="N778" t="inlineStr">
        <is>
          <t>Pessoa Física</t>
        </is>
      </c>
      <c r="O778" t="n">
        <v>8</v>
      </c>
      <c r="P778" t="n">
        <v>18</v>
      </c>
      <c r="Q778" t="n">
        <v>0</v>
      </c>
    </row>
    <row r="779">
      <c r="A779" t="n">
        <v>2025</v>
      </c>
      <c r="B779" t="n">
        <v>2</v>
      </c>
      <c r="C779" t="inlineStr">
        <is>
          <t>Muçarela Mozzana 2 kg</t>
        </is>
      </c>
      <c r="D779" t="inlineStr">
        <is>
          <t>Cozinha Industrial</t>
        </is>
      </c>
      <c r="E779" t="n">
        <v>2503.72</v>
      </c>
      <c r="F779" t="n">
        <v>109.08</v>
      </c>
      <c r="G779" t="n">
        <v>54</v>
      </c>
      <c r="J779" t="inlineStr">
        <is>
          <t>A</t>
        </is>
      </c>
      <c r="K779" t="n">
        <v>2024</v>
      </c>
      <c r="L779" t="n">
        <v>10</v>
      </c>
      <c r="M779" t="inlineStr">
        <is>
          <t>Muçarela Mozzana 2 kg</t>
        </is>
      </c>
      <c r="N779" t="inlineStr">
        <is>
          <t>Pessoa Física</t>
        </is>
      </c>
      <c r="O779" t="n">
        <v>20</v>
      </c>
      <c r="P779" t="n">
        <v>135</v>
      </c>
      <c r="Q779" t="n">
        <v>20</v>
      </c>
    </row>
    <row r="780">
      <c r="A780" t="n">
        <v>2025</v>
      </c>
      <c r="B780" t="n">
        <v>2</v>
      </c>
      <c r="C780" t="inlineStr">
        <is>
          <t>Muçarela Mozzana 2 kg</t>
        </is>
      </c>
      <c r="D780" t="inlineStr">
        <is>
          <t>Cozinha Oriental</t>
        </is>
      </c>
      <c r="E780" t="n">
        <v>689.4</v>
      </c>
      <c r="F780" t="n">
        <v>30.3</v>
      </c>
      <c r="G780" t="n">
        <v>15</v>
      </c>
      <c r="J780" t="inlineStr">
        <is>
          <t>M</t>
        </is>
      </c>
      <c r="K780" t="n">
        <v>2024</v>
      </c>
      <c r="L780" t="n">
        <v>10</v>
      </c>
      <c r="M780" t="inlineStr">
        <is>
          <t>Muçarela Mozzana 2 kg</t>
        </is>
      </c>
      <c r="N780" t="inlineStr">
        <is>
          <t>Pessoa Física</t>
        </is>
      </c>
      <c r="O780" t="n">
        <v>6</v>
      </c>
      <c r="P780" t="n">
        <v>12</v>
      </c>
      <c r="Q780" t="n">
        <v>0</v>
      </c>
    </row>
    <row r="781">
      <c r="A781" t="n">
        <v>2025</v>
      </c>
      <c r="B781" t="n">
        <v>2</v>
      </c>
      <c r="C781" t="inlineStr">
        <is>
          <t>Muçarela Mozzana 2 kg</t>
        </is>
      </c>
      <c r="D781" t="inlineStr">
        <is>
          <t>Esfiharia</t>
        </is>
      </c>
      <c r="E781" t="n">
        <v>5056.66</v>
      </c>
      <c r="F781" t="n">
        <v>226.24</v>
      </c>
      <c r="G781" t="n">
        <v>112</v>
      </c>
      <c r="J781" t="inlineStr">
        <is>
          <t>A</t>
        </is>
      </c>
      <c r="K781" t="n">
        <v>2024</v>
      </c>
      <c r="L781" t="n">
        <v>11</v>
      </c>
      <c r="M781" t="inlineStr">
        <is>
          <t>Muçarela Mozzana 2 kg</t>
        </is>
      </c>
      <c r="N781" t="inlineStr">
        <is>
          <t>Pessoa Física</t>
        </is>
      </c>
      <c r="O781" t="n">
        <v>21</v>
      </c>
      <c r="P781" t="n">
        <v>144</v>
      </c>
      <c r="Q781" t="n">
        <v>21</v>
      </c>
    </row>
    <row r="782">
      <c r="A782" t="n">
        <v>2025</v>
      </c>
      <c r="B782" t="n">
        <v>2</v>
      </c>
      <c r="C782" t="inlineStr">
        <is>
          <t>Muçarela Mozzana 2 kg</t>
        </is>
      </c>
      <c r="D782" t="inlineStr">
        <is>
          <t>Fábrica de Massas</t>
        </is>
      </c>
      <c r="E782" t="n">
        <v>12176.53</v>
      </c>
      <c r="F782" t="n">
        <v>535.3</v>
      </c>
      <c r="G782" t="n">
        <v>265</v>
      </c>
      <c r="J782" t="inlineStr">
        <is>
          <t>M</t>
        </is>
      </c>
      <c r="K782" t="n">
        <v>2024</v>
      </c>
      <c r="L782" t="n">
        <v>11</v>
      </c>
      <c r="M782" t="inlineStr">
        <is>
          <t>Muçarela Mozzana 2 kg</t>
        </is>
      </c>
      <c r="N782" t="inlineStr">
        <is>
          <t>Pessoa Física</t>
        </is>
      </c>
      <c r="O782" t="n">
        <v>4</v>
      </c>
      <c r="P782" t="n">
        <v>9</v>
      </c>
      <c r="Q782" t="n">
        <v>0</v>
      </c>
    </row>
    <row r="783">
      <c r="A783" t="n">
        <v>2025</v>
      </c>
      <c r="B783" t="n">
        <v>2</v>
      </c>
      <c r="C783" t="inlineStr">
        <is>
          <t>Muçarela Mozzana 2 kg</t>
        </is>
      </c>
      <c r="D783" t="inlineStr">
        <is>
          <t>Hamburgueria</t>
        </is>
      </c>
      <c r="E783" t="n">
        <v>896.5</v>
      </c>
      <c r="F783" t="n">
        <v>40.4</v>
      </c>
      <c r="G783" t="n">
        <v>20</v>
      </c>
      <c r="J783" t="inlineStr">
        <is>
          <t>A</t>
        </is>
      </c>
      <c r="K783" t="n">
        <v>2024</v>
      </c>
      <c r="L783" t="n">
        <v>12</v>
      </c>
      <c r="M783" t="inlineStr">
        <is>
          <t>Muçarela Mozzana 2 kg</t>
        </is>
      </c>
      <c r="N783" t="inlineStr">
        <is>
          <t>Pessoa Física</t>
        </is>
      </c>
      <c r="O783" t="n">
        <v>22</v>
      </c>
      <c r="P783" t="n">
        <v>154</v>
      </c>
      <c r="Q783" t="n">
        <v>22</v>
      </c>
    </row>
    <row r="784">
      <c r="A784" t="n">
        <v>2025</v>
      </c>
      <c r="B784" t="n">
        <v>2</v>
      </c>
      <c r="C784" t="inlineStr">
        <is>
          <t>Muçarela Mozzana 2 kg</t>
        </is>
      </c>
      <c r="D784" t="inlineStr">
        <is>
          <t>Lanchonete / Cafeteria</t>
        </is>
      </c>
      <c r="E784" t="n">
        <v>794.8</v>
      </c>
      <c r="F784" t="n">
        <v>34.34</v>
      </c>
      <c r="G784" t="n">
        <v>17</v>
      </c>
      <c r="J784" t="inlineStr">
        <is>
          <t>M</t>
        </is>
      </c>
      <c r="K784" t="n">
        <v>2024</v>
      </c>
      <c r="L784" t="n">
        <v>12</v>
      </c>
      <c r="M784" t="inlineStr">
        <is>
          <t>Muçarela Mozzana 2 kg</t>
        </is>
      </c>
      <c r="N784" t="inlineStr">
        <is>
          <t>Pessoa Física</t>
        </is>
      </c>
      <c r="O784" t="n">
        <v>5</v>
      </c>
      <c r="P784" t="n">
        <v>10</v>
      </c>
      <c r="Q784" t="n">
        <v>0</v>
      </c>
    </row>
    <row r="785">
      <c r="A785" t="n">
        <v>2025</v>
      </c>
      <c r="B785" t="n">
        <v>2</v>
      </c>
      <c r="C785" t="inlineStr">
        <is>
          <t>Muçarela Mozzana 2 kg</t>
        </is>
      </c>
      <c r="D785" t="inlineStr">
        <is>
          <t>Mercearia / Sacolão</t>
        </is>
      </c>
      <c r="E785" t="n">
        <v>1268.73</v>
      </c>
      <c r="F785" t="n">
        <v>54.54</v>
      </c>
      <c r="G785" t="n">
        <v>27</v>
      </c>
      <c r="J785" t="inlineStr">
        <is>
          <t>A</t>
        </is>
      </c>
      <c r="K785" t="n">
        <v>2024</v>
      </c>
      <c r="L785" t="n">
        <v>1</v>
      </c>
      <c r="M785" t="inlineStr">
        <is>
          <t>Muçarela Mozzana 2 kg</t>
        </is>
      </c>
      <c r="N785" t="inlineStr">
        <is>
          <t>Pastelaria</t>
        </is>
      </c>
      <c r="O785" t="n">
        <v>3</v>
      </c>
      <c r="P785" t="n">
        <v>4</v>
      </c>
      <c r="Q785" t="n">
        <v>3</v>
      </c>
    </row>
    <row r="786">
      <c r="A786" t="n">
        <v>2025</v>
      </c>
      <c r="B786" t="n">
        <v>2</v>
      </c>
      <c r="C786" t="inlineStr">
        <is>
          <t>Muçarela Mozzana 2 kg</t>
        </is>
      </c>
      <c r="D786" t="inlineStr">
        <is>
          <t>Outros</t>
        </is>
      </c>
      <c r="E786" t="n">
        <v>31000.16</v>
      </c>
      <c r="F786" t="n">
        <v>1369.56</v>
      </c>
      <c r="G786" t="n">
        <v>678</v>
      </c>
      <c r="J786" t="inlineStr">
        <is>
          <t>M</t>
        </is>
      </c>
      <c r="K786" t="n">
        <v>2024</v>
      </c>
      <c r="L786" t="n">
        <v>1</v>
      </c>
      <c r="M786" t="inlineStr">
        <is>
          <t>Muçarela Mozzana 2 kg</t>
        </is>
      </c>
      <c r="N786" t="inlineStr">
        <is>
          <t>Pastelaria</t>
        </is>
      </c>
      <c r="O786" t="n">
        <v>3</v>
      </c>
      <c r="P786" t="n">
        <v>4</v>
      </c>
      <c r="Q786" t="n">
        <v>0</v>
      </c>
    </row>
    <row r="787">
      <c r="A787" t="n">
        <v>2025</v>
      </c>
      <c r="B787" t="n">
        <v>2</v>
      </c>
      <c r="C787" t="inlineStr">
        <is>
          <t>Muçarela Mozzana 2 kg</t>
        </is>
      </c>
      <c r="D787" t="inlineStr">
        <is>
          <t>Padaria</t>
        </is>
      </c>
      <c r="E787" t="n">
        <v>2134.95</v>
      </c>
      <c r="F787" t="n">
        <v>94.94</v>
      </c>
      <c r="G787" t="n">
        <v>47</v>
      </c>
      <c r="J787" t="inlineStr">
        <is>
          <t>A</t>
        </is>
      </c>
      <c r="K787" t="n">
        <v>2024</v>
      </c>
      <c r="L787" t="n">
        <v>2</v>
      </c>
      <c r="M787" t="inlineStr">
        <is>
          <t>Muçarela Mozzana 2 kg</t>
        </is>
      </c>
      <c r="N787" t="inlineStr">
        <is>
          <t>Pastelaria</t>
        </is>
      </c>
      <c r="O787" t="n">
        <v>3</v>
      </c>
      <c r="P787" t="n">
        <v>9</v>
      </c>
      <c r="Q787" t="n">
        <v>3</v>
      </c>
    </row>
    <row r="788">
      <c r="A788" t="n">
        <v>2025</v>
      </c>
      <c r="B788" t="n">
        <v>2</v>
      </c>
      <c r="C788" t="inlineStr">
        <is>
          <t>Muçarela Mozzana 2 kg</t>
        </is>
      </c>
      <c r="D788" t="inlineStr">
        <is>
          <t>Pastelaria</t>
        </is>
      </c>
      <c r="E788" t="n">
        <v>3412.8</v>
      </c>
      <c r="F788" t="n">
        <v>145.44</v>
      </c>
      <c r="G788" t="n">
        <v>72</v>
      </c>
      <c r="J788" t="inlineStr">
        <is>
          <t>M</t>
        </is>
      </c>
      <c r="K788" t="n">
        <v>2024</v>
      </c>
      <c r="L788" t="n">
        <v>2</v>
      </c>
      <c r="M788" t="inlineStr">
        <is>
          <t>Muçarela Mozzana 2 kg</t>
        </is>
      </c>
      <c r="N788" t="inlineStr">
        <is>
          <t>Pastelaria</t>
        </is>
      </c>
      <c r="O788" t="n">
        <v>3</v>
      </c>
      <c r="P788" t="n">
        <v>5</v>
      </c>
      <c r="Q788" t="n">
        <v>0</v>
      </c>
    </row>
    <row r="789">
      <c r="A789" t="n">
        <v>2025</v>
      </c>
      <c r="B789" t="n">
        <v>2</v>
      </c>
      <c r="C789" t="inlineStr">
        <is>
          <t>Muçarela Mozzana 2 kg</t>
        </is>
      </c>
      <c r="D789" t="inlineStr">
        <is>
          <t>Pessoa Física</t>
        </is>
      </c>
      <c r="E789" t="n">
        <v>3866.99</v>
      </c>
      <c r="F789" t="n">
        <v>169.68</v>
      </c>
      <c r="G789" t="n">
        <v>84</v>
      </c>
      <c r="J789" t="inlineStr">
        <is>
          <t>A</t>
        </is>
      </c>
      <c r="K789" t="n">
        <v>2024</v>
      </c>
      <c r="L789" t="n">
        <v>3</v>
      </c>
      <c r="M789" t="inlineStr">
        <is>
          <t>Muçarela Mozzana 2 kg</t>
        </is>
      </c>
      <c r="N789" t="inlineStr">
        <is>
          <t>Pastelaria</t>
        </is>
      </c>
      <c r="O789" t="n">
        <v>3</v>
      </c>
      <c r="P789" t="n">
        <v>13</v>
      </c>
      <c r="Q789" t="n">
        <v>3</v>
      </c>
    </row>
    <row r="790">
      <c r="A790" t="n">
        <v>2025</v>
      </c>
      <c r="B790" t="n">
        <v>2</v>
      </c>
      <c r="C790" t="inlineStr">
        <is>
          <t>Muçarela Mozzana 2 kg</t>
        </is>
      </c>
      <c r="D790" t="inlineStr">
        <is>
          <t>Pizzaria</t>
        </is>
      </c>
      <c r="E790" t="n">
        <v>64906.99</v>
      </c>
      <c r="F790" t="n">
        <v>2846.18</v>
      </c>
      <c r="G790" t="n">
        <v>1409</v>
      </c>
      <c r="J790" t="inlineStr">
        <is>
          <t>M</t>
        </is>
      </c>
      <c r="K790" t="n">
        <v>2024</v>
      </c>
      <c r="L790" t="n">
        <v>3</v>
      </c>
      <c r="M790" t="inlineStr">
        <is>
          <t>Muçarela Mozzana 2 kg</t>
        </is>
      </c>
      <c r="N790" t="inlineStr">
        <is>
          <t>Pastelaria</t>
        </is>
      </c>
      <c r="O790" t="n">
        <v>2</v>
      </c>
      <c r="P790" t="n">
        <v>4</v>
      </c>
      <c r="Q790" t="n">
        <v>0</v>
      </c>
    </row>
    <row r="791">
      <c r="A791" t="n">
        <v>2025</v>
      </c>
      <c r="B791" t="n">
        <v>2</v>
      </c>
      <c r="C791" t="inlineStr">
        <is>
          <t>Muçarela Mozzana 2 kg</t>
        </is>
      </c>
      <c r="D791" t="inlineStr">
        <is>
          <t>Restaurante / Cantina</t>
        </is>
      </c>
      <c r="E791" t="n">
        <v>12721.59</v>
      </c>
      <c r="F791" t="n">
        <v>555.5</v>
      </c>
      <c r="G791" t="n">
        <v>275</v>
      </c>
      <c r="J791" t="inlineStr">
        <is>
          <t>A</t>
        </is>
      </c>
      <c r="K791" t="n">
        <v>2024</v>
      </c>
      <c r="L791" t="n">
        <v>4</v>
      </c>
      <c r="M791" t="inlineStr">
        <is>
          <t>Muçarela Mozzana 2 kg</t>
        </is>
      </c>
      <c r="N791" t="inlineStr">
        <is>
          <t>Pastelaria</t>
        </is>
      </c>
      <c r="O791" t="n">
        <v>3</v>
      </c>
      <c r="P791" t="n">
        <v>19</v>
      </c>
      <c r="Q791" t="n">
        <v>3</v>
      </c>
    </row>
    <row r="792">
      <c r="A792" t="n">
        <v>2025</v>
      </c>
      <c r="B792" t="n">
        <v>2</v>
      </c>
      <c r="C792" t="inlineStr">
        <is>
          <t>Muçarela Mozzana 2 kg</t>
        </is>
      </c>
      <c r="D792" t="inlineStr">
        <is>
          <t>Supermercado</t>
        </is>
      </c>
      <c r="E792" t="n">
        <v>4747.36</v>
      </c>
      <c r="F792" t="n">
        <v>197.96</v>
      </c>
      <c r="G792" t="n">
        <v>98</v>
      </c>
      <c r="J792" t="inlineStr">
        <is>
          <t>M</t>
        </is>
      </c>
      <c r="K792" t="n">
        <v>2024</v>
      </c>
      <c r="L792" t="n">
        <v>4</v>
      </c>
      <c r="M792" t="inlineStr">
        <is>
          <t>Muçarela Mozzana 2 kg</t>
        </is>
      </c>
      <c r="N792" t="inlineStr">
        <is>
          <t>Pastelaria</t>
        </is>
      </c>
      <c r="O792" t="n">
        <v>2</v>
      </c>
      <c r="P792" t="n">
        <v>6</v>
      </c>
      <c r="Q792" t="n">
        <v>0</v>
      </c>
    </row>
    <row r="793">
      <c r="A793" t="n">
        <v>2025</v>
      </c>
      <c r="B793" t="n">
        <v>2</v>
      </c>
      <c r="C793" t="inlineStr">
        <is>
          <t>Parmesão ralado Parmozzana 1 kg</t>
        </is>
      </c>
      <c r="D793" t="inlineStr">
        <is>
          <t>Bar / Chopperia</t>
        </is>
      </c>
      <c r="E793" t="n">
        <v>151.01</v>
      </c>
      <c r="F793" t="n">
        <v>5.1</v>
      </c>
      <c r="G793" t="n">
        <v>5</v>
      </c>
      <c r="J793" t="inlineStr">
        <is>
          <t>A</t>
        </is>
      </c>
      <c r="K793" t="n">
        <v>2024</v>
      </c>
      <c r="L793" t="n">
        <v>5</v>
      </c>
      <c r="M793" t="inlineStr">
        <is>
          <t>Muçarela Mozzana 2 kg</t>
        </is>
      </c>
      <c r="N793" t="inlineStr">
        <is>
          <t>Pastelaria</t>
        </is>
      </c>
      <c r="O793" t="n">
        <v>6</v>
      </c>
      <c r="P793" t="n">
        <v>25</v>
      </c>
      <c r="Q793" t="n">
        <v>6</v>
      </c>
    </row>
    <row r="794">
      <c r="A794" t="n">
        <v>2025</v>
      </c>
      <c r="B794" t="n">
        <v>2</v>
      </c>
      <c r="C794" t="inlineStr">
        <is>
          <t>Parmesão ralado Parmozzana 1 kg</t>
        </is>
      </c>
      <c r="D794" t="inlineStr">
        <is>
          <t>Churrascaria</t>
        </is>
      </c>
      <c r="E794" t="n">
        <v>507.4</v>
      </c>
      <c r="F794" t="n">
        <v>16.32</v>
      </c>
      <c r="G794" t="n">
        <v>16</v>
      </c>
      <c r="J794" t="inlineStr">
        <is>
          <t>M</t>
        </is>
      </c>
      <c r="K794" t="n">
        <v>2024</v>
      </c>
      <c r="L794" t="n">
        <v>5</v>
      </c>
      <c r="M794" t="inlineStr">
        <is>
          <t>Muçarela Mozzana 2 kg</t>
        </is>
      </c>
      <c r="N794" t="inlineStr">
        <is>
          <t>Pastelaria</t>
        </is>
      </c>
      <c r="O794" t="n">
        <v>5</v>
      </c>
      <c r="P794" t="n">
        <v>6</v>
      </c>
      <c r="Q794" t="n">
        <v>0</v>
      </c>
    </row>
    <row r="795">
      <c r="A795" t="n">
        <v>2025</v>
      </c>
      <c r="B795" t="n">
        <v>2</v>
      </c>
      <c r="C795" t="inlineStr">
        <is>
          <t>Parmesão ralado Parmozzana 1 kg</t>
        </is>
      </c>
      <c r="D795" t="inlineStr">
        <is>
          <t>Clube / Associação Desportiva</t>
        </is>
      </c>
      <c r="E795" t="n">
        <v>25.09</v>
      </c>
      <c r="F795" t="n">
        <v>1.02</v>
      </c>
      <c r="G795" t="n">
        <v>1</v>
      </c>
      <c r="J795" t="inlineStr">
        <is>
          <t>A</t>
        </is>
      </c>
      <c r="K795" t="n">
        <v>2024</v>
      </c>
      <c r="L795" t="n">
        <v>6</v>
      </c>
      <c r="M795" t="inlineStr">
        <is>
          <t>Muçarela Mozzana 2 kg</t>
        </is>
      </c>
      <c r="N795" t="inlineStr">
        <is>
          <t>Pastelaria</t>
        </is>
      </c>
      <c r="O795" t="n">
        <v>11</v>
      </c>
      <c r="P795" t="n">
        <v>37</v>
      </c>
      <c r="Q795" t="n">
        <v>11</v>
      </c>
    </row>
    <row r="796">
      <c r="A796" t="n">
        <v>2025</v>
      </c>
      <c r="B796" t="n">
        <v>2</v>
      </c>
      <c r="C796" t="inlineStr">
        <is>
          <t>Parmesão ralado Parmozzana 1 kg</t>
        </is>
      </c>
      <c r="D796" t="inlineStr">
        <is>
          <t>Colaborador</t>
        </is>
      </c>
      <c r="E796" t="n">
        <v>150.54</v>
      </c>
      <c r="F796" t="n">
        <v>6.12</v>
      </c>
      <c r="G796" t="n">
        <v>6</v>
      </c>
      <c r="J796" t="inlineStr">
        <is>
          <t>M</t>
        </is>
      </c>
      <c r="K796" t="n">
        <v>2024</v>
      </c>
      <c r="L796" t="n">
        <v>6</v>
      </c>
      <c r="M796" t="inlineStr">
        <is>
          <t>Muçarela Mozzana 2 kg</t>
        </is>
      </c>
      <c r="N796" t="inlineStr">
        <is>
          <t>Pastelaria</t>
        </is>
      </c>
      <c r="O796" t="n">
        <v>9</v>
      </c>
      <c r="P796" t="n">
        <v>12</v>
      </c>
      <c r="Q796" t="n">
        <v>0</v>
      </c>
    </row>
    <row r="797">
      <c r="A797" t="n">
        <v>2025</v>
      </c>
      <c r="B797" t="n">
        <v>2</v>
      </c>
      <c r="C797" t="inlineStr">
        <is>
          <t>Parmesão ralado Parmozzana 1 kg</t>
        </is>
      </c>
      <c r="D797" t="inlineStr">
        <is>
          <t>Fábrica de Massas</t>
        </is>
      </c>
      <c r="E797" t="n">
        <v>25.09</v>
      </c>
      <c r="F797" t="n">
        <v>1.02</v>
      </c>
      <c r="G797" t="n">
        <v>1</v>
      </c>
      <c r="J797" t="inlineStr">
        <is>
          <t>A</t>
        </is>
      </c>
      <c r="K797" t="n">
        <v>2024</v>
      </c>
      <c r="L797" t="n">
        <v>7</v>
      </c>
      <c r="M797" t="inlineStr">
        <is>
          <t>Muçarela Mozzana 2 kg</t>
        </is>
      </c>
      <c r="N797" t="inlineStr">
        <is>
          <t>Pastelaria</t>
        </is>
      </c>
      <c r="O797" t="n">
        <v>12</v>
      </c>
      <c r="P797" t="n">
        <v>48</v>
      </c>
      <c r="Q797" t="n">
        <v>12</v>
      </c>
    </row>
    <row r="798">
      <c r="A798" t="n">
        <v>2025</v>
      </c>
      <c r="B798" t="n">
        <v>2</v>
      </c>
      <c r="C798" t="inlineStr">
        <is>
          <t>Parmesão ralado Parmozzana 1 kg</t>
        </is>
      </c>
      <c r="D798" t="inlineStr">
        <is>
          <t>Hamburgueria</t>
        </is>
      </c>
      <c r="E798" t="n">
        <v>75.27</v>
      </c>
      <c r="F798" t="n">
        <v>3.06</v>
      </c>
      <c r="G798" t="n">
        <v>3</v>
      </c>
      <c r="J798" t="inlineStr">
        <is>
          <t>M</t>
        </is>
      </c>
      <c r="K798" t="n">
        <v>2024</v>
      </c>
      <c r="L798" t="n">
        <v>7</v>
      </c>
      <c r="M798" t="inlineStr">
        <is>
          <t>Muçarela Mozzana 2 kg</t>
        </is>
      </c>
      <c r="N798" t="inlineStr">
        <is>
          <t>Pastelaria</t>
        </is>
      </c>
      <c r="O798" t="n">
        <v>7</v>
      </c>
      <c r="P798" t="n">
        <v>11</v>
      </c>
      <c r="Q798" t="n">
        <v>0</v>
      </c>
    </row>
    <row r="799">
      <c r="A799" t="n">
        <v>2025</v>
      </c>
      <c r="B799" t="n">
        <v>2</v>
      </c>
      <c r="C799" t="inlineStr">
        <is>
          <t>Parmesão ralado Parmozzana 1 kg</t>
        </is>
      </c>
      <c r="D799" t="inlineStr">
        <is>
          <t>Hospital / Casa de Repouso</t>
        </is>
      </c>
      <c r="E799" t="n">
        <v>301.08</v>
      </c>
      <c r="F799" t="n">
        <v>12.24</v>
      </c>
      <c r="G799" t="n">
        <v>12</v>
      </c>
      <c r="J799" t="inlineStr">
        <is>
          <t>A</t>
        </is>
      </c>
      <c r="K799" t="n">
        <v>2024</v>
      </c>
      <c r="L799" t="n">
        <v>8</v>
      </c>
      <c r="M799" t="inlineStr">
        <is>
          <t>Muçarela Mozzana 2 kg</t>
        </is>
      </c>
      <c r="N799" t="inlineStr">
        <is>
          <t>Pastelaria</t>
        </is>
      </c>
      <c r="O799" t="n">
        <v>12</v>
      </c>
      <c r="P799" t="n">
        <v>54</v>
      </c>
      <c r="Q799" t="n">
        <v>12</v>
      </c>
    </row>
    <row r="800">
      <c r="A800" t="n">
        <v>2025</v>
      </c>
      <c r="B800" t="n">
        <v>2</v>
      </c>
      <c r="C800" t="inlineStr">
        <is>
          <t>Parmesão ralado Parmozzana 1 kg</t>
        </is>
      </c>
      <c r="D800" t="inlineStr">
        <is>
          <t>Lanchonete / Cafeteria</t>
        </is>
      </c>
      <c r="E800" t="n">
        <v>100.36</v>
      </c>
      <c r="F800" t="n">
        <v>4.08</v>
      </c>
      <c r="G800" t="n">
        <v>4</v>
      </c>
      <c r="J800" t="inlineStr">
        <is>
          <t>M</t>
        </is>
      </c>
      <c r="K800" t="n">
        <v>2024</v>
      </c>
      <c r="L800" t="n">
        <v>8</v>
      </c>
      <c r="M800" t="inlineStr">
        <is>
          <t>Muçarela Mozzana 2 kg</t>
        </is>
      </c>
      <c r="N800" t="inlineStr">
        <is>
          <t>Pastelaria</t>
        </is>
      </c>
      <c r="O800" t="n">
        <v>6</v>
      </c>
      <c r="P800" t="n">
        <v>6</v>
      </c>
      <c r="Q800" t="n">
        <v>0</v>
      </c>
    </row>
    <row r="801">
      <c r="A801" t="n">
        <v>2025</v>
      </c>
      <c r="B801" t="n">
        <v>2</v>
      </c>
      <c r="C801" t="inlineStr">
        <is>
          <t>Parmesão ralado Parmozzana 1 kg</t>
        </is>
      </c>
      <c r="D801" t="inlineStr">
        <is>
          <t>Mercearia / Sacolão</t>
        </is>
      </c>
      <c r="E801" t="n">
        <v>35.99</v>
      </c>
      <c r="F801" t="n">
        <v>1.02</v>
      </c>
      <c r="G801" t="n">
        <v>1</v>
      </c>
      <c r="J801" t="inlineStr">
        <is>
          <t>A</t>
        </is>
      </c>
      <c r="K801" t="n">
        <v>2024</v>
      </c>
      <c r="L801" t="n">
        <v>9</v>
      </c>
      <c r="M801" t="inlineStr">
        <is>
          <t>Muçarela Mozzana 2 kg</t>
        </is>
      </c>
      <c r="N801" t="inlineStr">
        <is>
          <t>Pastelaria</t>
        </is>
      </c>
      <c r="O801" t="n">
        <v>12</v>
      </c>
      <c r="P801" t="n">
        <v>65</v>
      </c>
      <c r="Q801" t="n">
        <v>12</v>
      </c>
    </row>
    <row r="802">
      <c r="A802" t="n">
        <v>2025</v>
      </c>
      <c r="B802" t="n">
        <v>2</v>
      </c>
      <c r="C802" t="inlineStr">
        <is>
          <t>Parmesão ralado Parmozzana 1 kg</t>
        </is>
      </c>
      <c r="D802" t="inlineStr">
        <is>
          <t>Outros</t>
        </is>
      </c>
      <c r="E802" t="n">
        <v>351.26</v>
      </c>
      <c r="F802" t="n">
        <v>14.28</v>
      </c>
      <c r="G802" t="n">
        <v>14</v>
      </c>
      <c r="J802" t="inlineStr">
        <is>
          <t>M</t>
        </is>
      </c>
      <c r="K802" t="n">
        <v>2024</v>
      </c>
      <c r="L802" t="n">
        <v>9</v>
      </c>
      <c r="M802" t="inlineStr">
        <is>
          <t>Muçarela Mozzana 2 kg</t>
        </is>
      </c>
      <c r="N802" t="inlineStr">
        <is>
          <t>Pastelaria</t>
        </is>
      </c>
      <c r="O802" t="n">
        <v>6</v>
      </c>
      <c r="P802" t="n">
        <v>11</v>
      </c>
      <c r="Q802" t="n">
        <v>0</v>
      </c>
    </row>
    <row r="803">
      <c r="A803" t="n">
        <v>2025</v>
      </c>
      <c r="B803" t="n">
        <v>2</v>
      </c>
      <c r="C803" t="inlineStr">
        <is>
          <t>Parmesão ralado Parmozzana 1 kg</t>
        </is>
      </c>
      <c r="D803" t="inlineStr">
        <is>
          <t>Padaria</t>
        </is>
      </c>
      <c r="E803" t="n">
        <v>75.27</v>
      </c>
      <c r="F803" t="n">
        <v>3.06</v>
      </c>
      <c r="G803" t="n">
        <v>3</v>
      </c>
      <c r="J803" t="inlineStr">
        <is>
          <t>A</t>
        </is>
      </c>
      <c r="K803" t="n">
        <v>2024</v>
      </c>
      <c r="L803" t="n">
        <v>10</v>
      </c>
      <c r="M803" t="inlineStr">
        <is>
          <t>Muçarela Mozzana 2 kg</t>
        </is>
      </c>
      <c r="N803" t="inlineStr">
        <is>
          <t>Pastelaria</t>
        </is>
      </c>
      <c r="O803" t="n">
        <v>12</v>
      </c>
      <c r="P803" t="n">
        <v>80</v>
      </c>
      <c r="Q803" t="n">
        <v>12</v>
      </c>
    </row>
    <row r="804">
      <c r="A804" t="n">
        <v>2025</v>
      </c>
      <c r="B804" t="n">
        <v>2</v>
      </c>
      <c r="C804" t="inlineStr">
        <is>
          <t>Parmesão ralado Parmozzana 1 kg</t>
        </is>
      </c>
      <c r="D804" t="inlineStr">
        <is>
          <t>Pessoa Física</t>
        </is>
      </c>
      <c r="E804" t="n">
        <v>50.18</v>
      </c>
      <c r="F804" t="n">
        <v>2.04</v>
      </c>
      <c r="G804" t="n">
        <v>2</v>
      </c>
      <c r="J804" t="inlineStr">
        <is>
          <t>M</t>
        </is>
      </c>
      <c r="K804" t="n">
        <v>2024</v>
      </c>
      <c r="L804" t="n">
        <v>10</v>
      </c>
      <c r="M804" t="inlineStr">
        <is>
          <t>Muçarela Mozzana 2 kg</t>
        </is>
      </c>
      <c r="N804" t="inlineStr">
        <is>
          <t>Pastelaria</t>
        </is>
      </c>
      <c r="O804" t="n">
        <v>8</v>
      </c>
      <c r="P804" t="n">
        <v>15</v>
      </c>
      <c r="Q804" t="n">
        <v>0</v>
      </c>
    </row>
    <row r="805">
      <c r="A805" t="n">
        <v>2025</v>
      </c>
      <c r="B805" t="n">
        <v>2</v>
      </c>
      <c r="C805" t="inlineStr">
        <is>
          <t>Parmesão ralado Parmozzana 1 kg</t>
        </is>
      </c>
      <c r="D805" t="inlineStr">
        <is>
          <t>Pizzaria</t>
        </is>
      </c>
      <c r="E805" t="n">
        <v>1207.88</v>
      </c>
      <c r="F805" t="n">
        <v>47.94</v>
      </c>
      <c r="G805" t="n">
        <v>47</v>
      </c>
      <c r="J805" t="inlineStr">
        <is>
          <t>A</t>
        </is>
      </c>
      <c r="K805" t="n">
        <v>2024</v>
      </c>
      <c r="L805" t="n">
        <v>11</v>
      </c>
      <c r="M805" t="inlineStr">
        <is>
          <t>Muçarela Mozzana 2 kg</t>
        </is>
      </c>
      <c r="N805" t="inlineStr">
        <is>
          <t>Pastelaria</t>
        </is>
      </c>
      <c r="O805" t="n">
        <v>13</v>
      </c>
      <c r="P805" t="n">
        <v>93</v>
      </c>
      <c r="Q805" t="n">
        <v>13</v>
      </c>
    </row>
    <row r="806">
      <c r="A806" t="n">
        <v>2025</v>
      </c>
      <c r="B806" t="n">
        <v>2</v>
      </c>
      <c r="C806" t="inlineStr">
        <is>
          <t>Parmesão ralado Parmozzana 1 kg</t>
        </is>
      </c>
      <c r="D806" t="inlineStr">
        <is>
          <t>Restaurante / Cantina</t>
        </is>
      </c>
      <c r="E806" t="n">
        <v>1809.14</v>
      </c>
      <c r="F806" t="n">
        <v>69.36</v>
      </c>
      <c r="G806" t="n">
        <v>68</v>
      </c>
      <c r="J806" t="inlineStr">
        <is>
          <t>M</t>
        </is>
      </c>
      <c r="K806" t="n">
        <v>2024</v>
      </c>
      <c r="L806" t="n">
        <v>11</v>
      </c>
      <c r="M806" t="inlineStr">
        <is>
          <t>Muçarela Mozzana 2 kg</t>
        </is>
      </c>
      <c r="N806" t="inlineStr">
        <is>
          <t>Pastelaria</t>
        </is>
      </c>
      <c r="O806" t="n">
        <v>8</v>
      </c>
      <c r="P806" t="n">
        <v>13</v>
      </c>
      <c r="Q806" t="n">
        <v>0</v>
      </c>
    </row>
    <row r="807">
      <c r="A807" t="n">
        <v>2025</v>
      </c>
      <c r="B807" t="n">
        <v>2</v>
      </c>
      <c r="C807" t="inlineStr">
        <is>
          <t>Parmesão ralado Parmozzana 1 kg</t>
        </is>
      </c>
      <c r="D807" t="inlineStr">
        <is>
          <t>Supermercado</t>
        </is>
      </c>
      <c r="E807" t="n">
        <v>602.4</v>
      </c>
      <c r="F807" t="n">
        <v>24.48</v>
      </c>
      <c r="G807" t="n">
        <v>24</v>
      </c>
      <c r="J807" t="inlineStr">
        <is>
          <t>A</t>
        </is>
      </c>
      <c r="K807" t="n">
        <v>2024</v>
      </c>
      <c r="L807" t="n">
        <v>12</v>
      </c>
      <c r="M807" t="inlineStr">
        <is>
          <t>Muçarela Mozzana 2 kg</t>
        </is>
      </c>
      <c r="N807" t="inlineStr">
        <is>
          <t>Pastelaria</t>
        </is>
      </c>
      <c r="O807" t="n">
        <v>13</v>
      </c>
      <c r="P807" t="n">
        <v>104</v>
      </c>
      <c r="Q807" t="n">
        <v>13</v>
      </c>
    </row>
    <row r="808">
      <c r="A808" t="n">
        <v>2025</v>
      </c>
      <c r="B808" t="n">
        <v>2</v>
      </c>
      <c r="C808" t="inlineStr">
        <is>
          <t>Requeijão Pizzalet 1,8 kg</t>
        </is>
      </c>
      <c r="D808" t="inlineStr">
        <is>
          <t>Bar / Chopperia</t>
        </is>
      </c>
      <c r="E808" t="n">
        <v>239.84</v>
      </c>
      <c r="F808" t="n">
        <v>29.44</v>
      </c>
      <c r="G808" t="n">
        <v>16</v>
      </c>
      <c r="J808" t="inlineStr">
        <is>
          <t>M</t>
        </is>
      </c>
      <c r="K808" t="n">
        <v>2024</v>
      </c>
      <c r="L808" t="n">
        <v>12</v>
      </c>
      <c r="M808" t="inlineStr">
        <is>
          <t>Muçarela Mozzana 2 kg</t>
        </is>
      </c>
      <c r="N808" t="inlineStr">
        <is>
          <t>Pastelaria</t>
        </is>
      </c>
      <c r="O808" t="n">
        <v>6</v>
      </c>
      <c r="P808" t="n">
        <v>11</v>
      </c>
      <c r="Q808" t="n">
        <v>0</v>
      </c>
    </row>
    <row r="809">
      <c r="A809" t="n">
        <v>2025</v>
      </c>
      <c r="B809" t="n">
        <v>2</v>
      </c>
      <c r="C809" t="inlineStr">
        <is>
          <t>Requeijão Pizzalet 1,8 kg</t>
        </is>
      </c>
      <c r="D809" t="inlineStr">
        <is>
          <t>Lanchonete / Cafeteria</t>
        </is>
      </c>
      <c r="E809" t="n">
        <v>876.62</v>
      </c>
      <c r="F809" t="n">
        <v>106.72</v>
      </c>
      <c r="G809" t="n">
        <v>58</v>
      </c>
      <c r="J809" t="inlineStr">
        <is>
          <t>A</t>
        </is>
      </c>
      <c r="K809" t="n">
        <v>2024</v>
      </c>
      <c r="L809" t="n">
        <v>1</v>
      </c>
      <c r="M809" t="inlineStr">
        <is>
          <t>Muçarela Mozzana 2 kg</t>
        </is>
      </c>
      <c r="N809" t="inlineStr">
        <is>
          <t>Esfiharia</t>
        </is>
      </c>
      <c r="O809" t="n">
        <v>5</v>
      </c>
      <c r="P809" t="n">
        <v>13</v>
      </c>
      <c r="Q809" t="n">
        <v>5</v>
      </c>
    </row>
    <row r="810">
      <c r="A810" t="n">
        <v>2025</v>
      </c>
      <c r="B810" t="n">
        <v>2</v>
      </c>
      <c r="C810" t="inlineStr">
        <is>
          <t>Requeijão Pizzalet 1,8 kg</t>
        </is>
      </c>
      <c r="D810" t="inlineStr">
        <is>
          <t>Mercearia / Sacolão</t>
        </is>
      </c>
      <c r="E810" t="n">
        <v>30.94</v>
      </c>
      <c r="F810" t="n">
        <v>3.68</v>
      </c>
      <c r="G810" t="n">
        <v>2</v>
      </c>
      <c r="J810" t="inlineStr">
        <is>
          <t>M</t>
        </is>
      </c>
      <c r="K810" t="n">
        <v>2024</v>
      </c>
      <c r="L810" t="n">
        <v>1</v>
      </c>
      <c r="M810" t="inlineStr">
        <is>
          <t>Muçarela Mozzana 2 kg</t>
        </is>
      </c>
      <c r="N810" t="inlineStr">
        <is>
          <t>Esfiharia</t>
        </is>
      </c>
      <c r="O810" t="n">
        <v>5</v>
      </c>
      <c r="P810" t="n">
        <v>13</v>
      </c>
      <c r="Q810" t="n">
        <v>0</v>
      </c>
    </row>
    <row r="811">
      <c r="A811" t="n">
        <v>2025</v>
      </c>
      <c r="B811" t="n">
        <v>2</v>
      </c>
      <c r="C811" t="inlineStr">
        <is>
          <t>Requeijão Pizzalet 1,8 kg</t>
        </is>
      </c>
      <c r="D811" t="inlineStr">
        <is>
          <t>Outros</t>
        </is>
      </c>
      <c r="E811" t="n">
        <v>244.32</v>
      </c>
      <c r="F811" t="n">
        <v>29.44</v>
      </c>
      <c r="G811" t="n">
        <v>16</v>
      </c>
      <c r="J811" t="inlineStr">
        <is>
          <t>A</t>
        </is>
      </c>
      <c r="K811" t="n">
        <v>2024</v>
      </c>
      <c r="L811" t="n">
        <v>2</v>
      </c>
      <c r="M811" t="inlineStr">
        <is>
          <t>Muçarela Mozzana 2 kg</t>
        </is>
      </c>
      <c r="N811" t="inlineStr">
        <is>
          <t>Esfiharia</t>
        </is>
      </c>
      <c r="O811" t="n">
        <v>5</v>
      </c>
      <c r="P811" t="n">
        <v>19</v>
      </c>
      <c r="Q811" t="n">
        <v>5</v>
      </c>
    </row>
    <row r="812">
      <c r="A812" t="n">
        <v>2025</v>
      </c>
      <c r="B812" t="n">
        <v>2</v>
      </c>
      <c r="C812" t="inlineStr">
        <is>
          <t>Requeijão Pizzalet 1,8 kg</t>
        </is>
      </c>
      <c r="D812" t="inlineStr">
        <is>
          <t>Pastelaria</t>
        </is>
      </c>
      <c r="E812" t="n">
        <v>1984.11</v>
      </c>
      <c r="F812" t="n">
        <v>237.36</v>
      </c>
      <c r="G812" t="n">
        <v>129</v>
      </c>
      <c r="J812" t="inlineStr">
        <is>
          <t>M</t>
        </is>
      </c>
      <c r="K812" t="n">
        <v>2024</v>
      </c>
      <c r="L812" t="n">
        <v>2</v>
      </c>
      <c r="M812" t="inlineStr">
        <is>
          <t>Muçarela Mozzana 2 kg</t>
        </is>
      </c>
      <c r="N812" t="inlineStr">
        <is>
          <t>Esfiharia</t>
        </is>
      </c>
      <c r="O812" t="n">
        <v>2</v>
      </c>
      <c r="P812" t="n">
        <v>6</v>
      </c>
      <c r="Q812" t="n">
        <v>0</v>
      </c>
    </row>
    <row r="813">
      <c r="A813" t="n">
        <v>2025</v>
      </c>
      <c r="B813" t="n">
        <v>2</v>
      </c>
      <c r="C813" t="inlineStr">
        <is>
          <t>Requeijão Pizzalet 1,8 kg</t>
        </is>
      </c>
      <c r="D813" t="inlineStr">
        <is>
          <t>Pessoa Física</t>
        </is>
      </c>
      <c r="E813" t="n">
        <v>285</v>
      </c>
      <c r="F813" t="n">
        <v>34.96</v>
      </c>
      <c r="G813" t="n">
        <v>19</v>
      </c>
      <c r="J813" t="inlineStr">
        <is>
          <t>A</t>
        </is>
      </c>
      <c r="K813" t="n">
        <v>2024</v>
      </c>
      <c r="L813" t="n">
        <v>3</v>
      </c>
      <c r="M813" t="inlineStr">
        <is>
          <t>Muçarela Mozzana 2 kg</t>
        </is>
      </c>
      <c r="N813" t="inlineStr">
        <is>
          <t>Esfiharia</t>
        </is>
      </c>
      <c r="O813" t="n">
        <v>6</v>
      </c>
      <c r="P813" t="n">
        <v>24</v>
      </c>
      <c r="Q813" t="n">
        <v>6</v>
      </c>
    </row>
    <row r="814">
      <c r="A814" t="n">
        <v>2025</v>
      </c>
      <c r="B814" t="n">
        <v>2</v>
      </c>
      <c r="C814" t="inlineStr">
        <is>
          <t>Requeijão Pizzalet 1,8 kg</t>
        </is>
      </c>
      <c r="D814" t="inlineStr">
        <is>
          <t>Pizzaria</t>
        </is>
      </c>
      <c r="E814" t="n">
        <v>4035.3</v>
      </c>
      <c r="F814" t="n">
        <v>478.4</v>
      </c>
      <c r="G814" t="n">
        <v>260</v>
      </c>
      <c r="J814" t="inlineStr">
        <is>
          <t>M</t>
        </is>
      </c>
      <c r="K814" t="n">
        <v>2024</v>
      </c>
      <c r="L814" t="n">
        <v>3</v>
      </c>
      <c r="M814" t="inlineStr">
        <is>
          <t>Muçarela Mozzana 2 kg</t>
        </is>
      </c>
      <c r="N814" t="inlineStr">
        <is>
          <t>Esfiharia</t>
        </is>
      </c>
      <c r="O814" t="n">
        <v>3</v>
      </c>
      <c r="P814" t="n">
        <v>5</v>
      </c>
      <c r="Q814" t="n">
        <v>0</v>
      </c>
    </row>
    <row r="815">
      <c r="A815" t="n">
        <v>2025</v>
      </c>
      <c r="B815" t="n">
        <v>2</v>
      </c>
      <c r="C815" t="inlineStr">
        <is>
          <t>Requeijão Pizzalet 1,8 kg</t>
        </is>
      </c>
      <c r="D815" t="inlineStr">
        <is>
          <t>Restaurante / Cantina</t>
        </is>
      </c>
      <c r="E815" t="n">
        <v>164.89</v>
      </c>
      <c r="F815" t="n">
        <v>20.24</v>
      </c>
      <c r="G815" t="n">
        <v>11</v>
      </c>
      <c r="J815" t="inlineStr">
        <is>
          <t>A</t>
        </is>
      </c>
      <c r="K815" t="n">
        <v>2024</v>
      </c>
      <c r="L815" t="n">
        <v>4</v>
      </c>
      <c r="M815" t="inlineStr">
        <is>
          <t>Muçarela Mozzana 2 kg</t>
        </is>
      </c>
      <c r="N815" t="inlineStr">
        <is>
          <t>Esfiharia</t>
        </is>
      </c>
      <c r="O815" t="n">
        <v>7</v>
      </c>
      <c r="P815" t="n">
        <v>34</v>
      </c>
      <c r="Q815" t="n">
        <v>7</v>
      </c>
    </row>
    <row r="816">
      <c r="A816" t="n">
        <v>2025</v>
      </c>
      <c r="B816" t="n">
        <v>3</v>
      </c>
      <c r="C816" t="inlineStr">
        <is>
          <t>Chocolate em pó 50% 1 kg</t>
        </is>
      </c>
      <c r="D816" t="inlineStr">
        <is>
          <t>Confeitaria</t>
        </is>
      </c>
      <c r="E816" t="n">
        <v>118.68</v>
      </c>
      <c r="F816" t="n">
        <v>3.06</v>
      </c>
      <c r="G816" t="n">
        <v>3</v>
      </c>
      <c r="J816" t="inlineStr">
        <is>
          <t>M</t>
        </is>
      </c>
      <c r="K816" t="n">
        <v>2024</v>
      </c>
      <c r="L816" t="n">
        <v>4</v>
      </c>
      <c r="M816" t="inlineStr">
        <is>
          <t>Muçarela Mozzana 2 kg</t>
        </is>
      </c>
      <c r="N816" t="inlineStr">
        <is>
          <t>Esfiharia</t>
        </is>
      </c>
      <c r="O816" t="n">
        <v>4</v>
      </c>
      <c r="P816" t="n">
        <v>10</v>
      </c>
      <c r="Q816" t="n">
        <v>0</v>
      </c>
    </row>
    <row r="817">
      <c r="A817" t="n">
        <v>2025</v>
      </c>
      <c r="B817" t="n">
        <v>3</v>
      </c>
      <c r="C817" t="inlineStr">
        <is>
          <t>Chocolate em pó 50% 1 kg</t>
        </is>
      </c>
      <c r="D817" t="inlineStr">
        <is>
          <t>Cozinha Industrial</t>
        </is>
      </c>
      <c r="E817" t="n">
        <v>79.72</v>
      </c>
      <c r="F817" t="n">
        <v>2.04</v>
      </c>
      <c r="G817" t="n">
        <v>2</v>
      </c>
      <c r="J817" t="inlineStr">
        <is>
          <t>A</t>
        </is>
      </c>
      <c r="K817" t="n">
        <v>2024</v>
      </c>
      <c r="L817" t="n">
        <v>5</v>
      </c>
      <c r="M817" t="inlineStr">
        <is>
          <t>Muçarela Mozzana 2 kg</t>
        </is>
      </c>
      <c r="N817" t="inlineStr">
        <is>
          <t>Esfiharia</t>
        </is>
      </c>
      <c r="O817" t="n">
        <v>8</v>
      </c>
      <c r="P817" t="n">
        <v>43</v>
      </c>
      <c r="Q817" t="n">
        <v>8</v>
      </c>
    </row>
    <row r="818">
      <c r="A818" t="n">
        <v>2025</v>
      </c>
      <c r="B818" t="n">
        <v>3</v>
      </c>
      <c r="C818" t="inlineStr">
        <is>
          <t>Chocolate em pó 50% 1 kg</t>
        </is>
      </c>
      <c r="D818" t="inlineStr">
        <is>
          <t>Hotel / Motel / Pousada</t>
        </is>
      </c>
      <c r="E818" t="n">
        <v>1101.41</v>
      </c>
      <c r="F818" t="n">
        <v>28.56</v>
      </c>
      <c r="G818" t="n">
        <v>28</v>
      </c>
      <c r="J818" t="inlineStr">
        <is>
          <t>M</t>
        </is>
      </c>
      <c r="K818" t="n">
        <v>2024</v>
      </c>
      <c r="L818" t="n">
        <v>5</v>
      </c>
      <c r="M818" t="inlineStr">
        <is>
          <t>Muçarela Mozzana 2 kg</t>
        </is>
      </c>
      <c r="N818" t="inlineStr">
        <is>
          <t>Esfiharia</t>
        </is>
      </c>
      <c r="O818" t="n">
        <v>5</v>
      </c>
      <c r="P818" t="n">
        <v>9</v>
      </c>
      <c r="Q818" t="n">
        <v>0</v>
      </c>
    </row>
    <row r="819">
      <c r="A819" t="n">
        <v>2025</v>
      </c>
      <c r="B819" t="n">
        <v>3</v>
      </c>
      <c r="C819" t="inlineStr">
        <is>
          <t>Chocolate em pó 50% 1 kg</t>
        </is>
      </c>
      <c r="D819" t="inlineStr">
        <is>
          <t>Lanchonete / Cafeteria</t>
        </is>
      </c>
      <c r="E819" t="n">
        <v>596.4</v>
      </c>
      <c r="F819" t="n">
        <v>15.3</v>
      </c>
      <c r="G819" t="n">
        <v>15</v>
      </c>
      <c r="J819" t="inlineStr">
        <is>
          <t>A</t>
        </is>
      </c>
      <c r="K819" t="n">
        <v>2024</v>
      </c>
      <c r="L819" t="n">
        <v>6</v>
      </c>
      <c r="M819" t="inlineStr">
        <is>
          <t>Muçarela Mozzana 2 kg</t>
        </is>
      </c>
      <c r="N819" t="inlineStr">
        <is>
          <t>Esfiharia</t>
        </is>
      </c>
      <c r="O819" t="n">
        <v>9</v>
      </c>
      <c r="P819" t="n">
        <v>55</v>
      </c>
      <c r="Q819" t="n">
        <v>9</v>
      </c>
    </row>
    <row r="820">
      <c r="A820" t="n">
        <v>2025</v>
      </c>
      <c r="B820" t="n">
        <v>3</v>
      </c>
      <c r="C820" t="inlineStr">
        <is>
          <t>Chocolate em pó 50% 1 kg</t>
        </is>
      </c>
      <c r="D820" t="inlineStr">
        <is>
          <t>Outros</t>
        </is>
      </c>
      <c r="E820" t="n">
        <v>351.36</v>
      </c>
      <c r="F820" t="n">
        <v>9.18</v>
      </c>
      <c r="G820" t="n">
        <v>9</v>
      </c>
      <c r="J820" t="inlineStr">
        <is>
          <t>M</t>
        </is>
      </c>
      <c r="K820" t="n">
        <v>2024</v>
      </c>
      <c r="L820" t="n">
        <v>6</v>
      </c>
      <c r="M820" t="inlineStr">
        <is>
          <t>Muçarela Mozzana 2 kg</t>
        </is>
      </c>
      <c r="N820" t="inlineStr">
        <is>
          <t>Esfiharia</t>
        </is>
      </c>
      <c r="O820" t="n">
        <v>4</v>
      </c>
      <c r="P820" t="n">
        <v>12</v>
      </c>
      <c r="Q820" t="n">
        <v>0</v>
      </c>
    </row>
    <row r="821">
      <c r="A821" t="n">
        <v>2025</v>
      </c>
      <c r="B821" t="n">
        <v>3</v>
      </c>
      <c r="C821" t="inlineStr">
        <is>
          <t>Chocolate em pó 50% 1 kg</t>
        </is>
      </c>
      <c r="D821" t="inlineStr">
        <is>
          <t>Padaria</t>
        </is>
      </c>
      <c r="E821" t="n">
        <v>38</v>
      </c>
      <c r="F821" t="n">
        <v>1.02</v>
      </c>
      <c r="G821" t="n">
        <v>1</v>
      </c>
      <c r="J821" t="inlineStr">
        <is>
          <t>A</t>
        </is>
      </c>
      <c r="K821" t="n">
        <v>2024</v>
      </c>
      <c r="L821" t="n">
        <v>7</v>
      </c>
      <c r="M821" t="inlineStr">
        <is>
          <t>Muçarela Mozzana 2 kg</t>
        </is>
      </c>
      <c r="N821" t="inlineStr">
        <is>
          <t>Esfiharia</t>
        </is>
      </c>
      <c r="O821" t="n">
        <v>9</v>
      </c>
      <c r="P821" t="n">
        <v>70</v>
      </c>
      <c r="Q821" t="n">
        <v>9</v>
      </c>
    </row>
    <row r="822">
      <c r="A822" t="n">
        <v>2025</v>
      </c>
      <c r="B822" t="n">
        <v>3</v>
      </c>
      <c r="C822" t="inlineStr">
        <is>
          <t>Chocolate em pó 50% 1 kg</t>
        </is>
      </c>
      <c r="D822" t="inlineStr">
        <is>
          <t>Restaurante / Cantina</t>
        </is>
      </c>
      <c r="E822" t="n">
        <v>585.73</v>
      </c>
      <c r="F822" t="n">
        <v>15.3</v>
      </c>
      <c r="G822" t="n">
        <v>15</v>
      </c>
      <c r="J822" t="inlineStr">
        <is>
          <t>M</t>
        </is>
      </c>
      <c r="K822" t="n">
        <v>2024</v>
      </c>
      <c r="L822" t="n">
        <v>7</v>
      </c>
      <c r="M822" t="inlineStr">
        <is>
          <t>Muçarela Mozzana 2 kg</t>
        </is>
      </c>
      <c r="N822" t="inlineStr">
        <is>
          <t>Esfiharia</t>
        </is>
      </c>
      <c r="O822" t="n">
        <v>5</v>
      </c>
      <c r="P822" t="n">
        <v>15</v>
      </c>
      <c r="Q822" t="n">
        <v>0</v>
      </c>
    </row>
    <row r="823">
      <c r="A823" t="n">
        <v>2025</v>
      </c>
      <c r="B823" t="n">
        <v>3</v>
      </c>
      <c r="C823" t="inlineStr">
        <is>
          <t>Composto lácteo Alibralac 1 kg</t>
        </is>
      </c>
      <c r="D823" t="inlineStr">
        <is>
          <t>Cozinha Industrial</t>
        </is>
      </c>
      <c r="E823" t="n">
        <v>135</v>
      </c>
      <c r="F823" t="n">
        <v>6.12</v>
      </c>
      <c r="G823" t="n">
        <v>6</v>
      </c>
      <c r="J823" t="inlineStr">
        <is>
          <t>A</t>
        </is>
      </c>
      <c r="K823" t="n">
        <v>2024</v>
      </c>
      <c r="L823" t="n">
        <v>8</v>
      </c>
      <c r="M823" t="inlineStr">
        <is>
          <t>Muçarela Mozzana 2 kg</t>
        </is>
      </c>
      <c r="N823" t="inlineStr">
        <is>
          <t>Esfiharia</t>
        </is>
      </c>
      <c r="O823" t="n">
        <v>9</v>
      </c>
      <c r="P823" t="n">
        <v>79</v>
      </c>
      <c r="Q823" t="n">
        <v>9</v>
      </c>
    </row>
    <row r="824">
      <c r="A824" t="n">
        <v>2025</v>
      </c>
      <c r="B824" t="n">
        <v>3</v>
      </c>
      <c r="C824" t="inlineStr">
        <is>
          <t>Composto lácteo Alibralac 1 kg</t>
        </is>
      </c>
      <c r="D824" t="inlineStr">
        <is>
          <t>Lanchonete / Cafeteria</t>
        </is>
      </c>
      <c r="E824" t="n">
        <v>21.13</v>
      </c>
      <c r="F824" t="n">
        <v>1.02</v>
      </c>
      <c r="G824" t="n">
        <v>1</v>
      </c>
      <c r="J824" t="inlineStr">
        <is>
          <t>M</t>
        </is>
      </c>
      <c r="K824" t="n">
        <v>2024</v>
      </c>
      <c r="L824" t="n">
        <v>8</v>
      </c>
      <c r="M824" t="inlineStr">
        <is>
          <t>Muçarela Mozzana 2 kg</t>
        </is>
      </c>
      <c r="N824" t="inlineStr">
        <is>
          <t>Esfiharia</t>
        </is>
      </c>
      <c r="O824" t="n">
        <v>4</v>
      </c>
      <c r="P824" t="n">
        <v>9</v>
      </c>
      <c r="Q824" t="n">
        <v>0</v>
      </c>
    </row>
    <row r="825">
      <c r="A825" t="n">
        <v>2025</v>
      </c>
      <c r="B825" t="n">
        <v>3</v>
      </c>
      <c r="C825" t="inlineStr">
        <is>
          <t>Composto lácteo Alibralac 1 kg</t>
        </is>
      </c>
      <c r="D825" t="inlineStr">
        <is>
          <t>Outros</t>
        </is>
      </c>
      <c r="E825" t="n">
        <v>210</v>
      </c>
      <c r="F825" t="n">
        <v>10.2</v>
      </c>
      <c r="G825" t="n">
        <v>10</v>
      </c>
      <c r="J825" t="inlineStr">
        <is>
          <t>A</t>
        </is>
      </c>
      <c r="K825" t="n">
        <v>2024</v>
      </c>
      <c r="L825" t="n">
        <v>9</v>
      </c>
      <c r="M825" t="inlineStr">
        <is>
          <t>Muçarela Mozzana 2 kg</t>
        </is>
      </c>
      <c r="N825" t="inlineStr">
        <is>
          <t>Esfiharia</t>
        </is>
      </c>
      <c r="O825" t="n">
        <v>10</v>
      </c>
      <c r="P825" t="n">
        <v>89</v>
      </c>
      <c r="Q825" t="n">
        <v>10</v>
      </c>
    </row>
    <row r="826">
      <c r="A826" t="n">
        <v>2025</v>
      </c>
      <c r="B826" t="n">
        <v>3</v>
      </c>
      <c r="C826" t="inlineStr">
        <is>
          <t>Composto lácteo Alibralac 1 kg</t>
        </is>
      </c>
      <c r="D826" t="inlineStr">
        <is>
          <t>Pizzaria</t>
        </is>
      </c>
      <c r="E826" t="n">
        <v>1462.1</v>
      </c>
      <c r="F826" t="n">
        <v>71.40000000000001</v>
      </c>
      <c r="G826" t="n">
        <v>70</v>
      </c>
      <c r="J826" t="inlineStr">
        <is>
          <t>M</t>
        </is>
      </c>
      <c r="K826" t="n">
        <v>2024</v>
      </c>
      <c r="L826" t="n">
        <v>9</v>
      </c>
      <c r="M826" t="inlineStr">
        <is>
          <t>Muçarela Mozzana 2 kg</t>
        </is>
      </c>
      <c r="N826" t="inlineStr">
        <is>
          <t>Esfiharia</t>
        </is>
      </c>
      <c r="O826" t="n">
        <v>3</v>
      </c>
      <c r="P826" t="n">
        <v>10</v>
      </c>
      <c r="Q826" t="n">
        <v>0</v>
      </c>
    </row>
    <row r="827">
      <c r="A827" t="n">
        <v>2025</v>
      </c>
      <c r="B827" t="n">
        <v>3</v>
      </c>
      <c r="C827" t="inlineStr">
        <is>
          <t>Composto lácteo Alibralac 1 kg</t>
        </is>
      </c>
      <c r="D827" t="inlineStr">
        <is>
          <t>Restaurante / Cantina</t>
        </is>
      </c>
      <c r="E827" t="n">
        <v>408.8</v>
      </c>
      <c r="F827" t="n">
        <v>20.4</v>
      </c>
      <c r="G827" t="n">
        <v>20</v>
      </c>
      <c r="J827" t="inlineStr">
        <is>
          <t>A</t>
        </is>
      </c>
      <c r="K827" t="n">
        <v>2024</v>
      </c>
      <c r="L827" t="n">
        <v>10</v>
      </c>
      <c r="M827" t="inlineStr">
        <is>
          <t>Muçarela Mozzana 2 kg</t>
        </is>
      </c>
      <c r="N827" t="inlineStr">
        <is>
          <t>Esfiharia</t>
        </is>
      </c>
      <c r="O827" t="n">
        <v>10</v>
      </c>
      <c r="P827" t="n">
        <v>96</v>
      </c>
      <c r="Q827" t="n">
        <v>10</v>
      </c>
    </row>
    <row r="828">
      <c r="A828" t="n">
        <v>2025</v>
      </c>
      <c r="B828" t="n">
        <v>3</v>
      </c>
      <c r="C828" t="inlineStr">
        <is>
          <t>Composto lácteo Merilú 400 g</t>
        </is>
      </c>
      <c r="D828" t="inlineStr">
        <is>
          <t>Clube / Associação Desportiva</t>
        </is>
      </c>
      <c r="E828" t="n">
        <v>68.3</v>
      </c>
      <c r="F828" t="n">
        <v>4.2</v>
      </c>
      <c r="G828" t="n">
        <v>10</v>
      </c>
      <c r="J828" t="inlineStr">
        <is>
          <t>M</t>
        </is>
      </c>
      <c r="K828" t="n">
        <v>2024</v>
      </c>
      <c r="L828" t="n">
        <v>10</v>
      </c>
      <c r="M828" t="inlineStr">
        <is>
          <t>Muçarela Mozzana 2 kg</t>
        </is>
      </c>
      <c r="N828" t="inlineStr">
        <is>
          <t>Esfiharia</t>
        </is>
      </c>
      <c r="O828" t="n">
        <v>2</v>
      </c>
      <c r="P828" t="n">
        <v>7</v>
      </c>
      <c r="Q828" t="n">
        <v>0</v>
      </c>
    </row>
    <row r="829">
      <c r="A829" t="n">
        <v>2025</v>
      </c>
      <c r="B829" t="n">
        <v>3</v>
      </c>
      <c r="C829" t="inlineStr">
        <is>
          <t>Composto lácteo Merilú 400 g</t>
        </is>
      </c>
      <c r="D829" t="inlineStr">
        <is>
          <t>Hamburgueria</t>
        </is>
      </c>
      <c r="E829" t="n">
        <v>544.8</v>
      </c>
      <c r="F829" t="n">
        <v>33.6</v>
      </c>
      <c r="G829" t="n">
        <v>80</v>
      </c>
      <c r="J829" t="inlineStr">
        <is>
          <t>A</t>
        </is>
      </c>
      <c r="K829" t="n">
        <v>2024</v>
      </c>
      <c r="L829" t="n">
        <v>11</v>
      </c>
      <c r="M829" t="inlineStr">
        <is>
          <t>Muçarela Mozzana 2 kg</t>
        </is>
      </c>
      <c r="N829" t="inlineStr">
        <is>
          <t>Esfiharia</t>
        </is>
      </c>
      <c r="O829" t="n">
        <v>10</v>
      </c>
      <c r="P829" t="n">
        <v>103</v>
      </c>
      <c r="Q829" t="n">
        <v>10</v>
      </c>
    </row>
    <row r="830">
      <c r="A830" t="n">
        <v>2025</v>
      </c>
      <c r="B830" t="n">
        <v>3</v>
      </c>
      <c r="C830" t="inlineStr">
        <is>
          <t>Composto lácteo Merilú 400 g</t>
        </is>
      </c>
      <c r="D830" t="inlineStr">
        <is>
          <t>Outros</t>
        </is>
      </c>
      <c r="E830" t="n">
        <v>419.4</v>
      </c>
      <c r="F830" t="n">
        <v>25.2</v>
      </c>
      <c r="G830" t="n">
        <v>60</v>
      </c>
      <c r="J830" t="inlineStr">
        <is>
          <t>M</t>
        </is>
      </c>
      <c r="K830" t="n">
        <v>2024</v>
      </c>
      <c r="L830" t="n">
        <v>11</v>
      </c>
      <c r="M830" t="inlineStr">
        <is>
          <t>Muçarela Mozzana 2 kg</t>
        </is>
      </c>
      <c r="N830" t="inlineStr">
        <is>
          <t>Esfiharia</t>
        </is>
      </c>
      <c r="O830" t="n">
        <v>2</v>
      </c>
      <c r="P830" t="n">
        <v>7</v>
      </c>
      <c r="Q830" t="n">
        <v>0</v>
      </c>
    </row>
    <row r="831">
      <c r="A831" t="n">
        <v>2025</v>
      </c>
      <c r="B831" t="n">
        <v>3</v>
      </c>
      <c r="C831" t="inlineStr">
        <is>
          <t>Composto lácteo Merilú 400 g</t>
        </is>
      </c>
      <c r="D831" t="inlineStr">
        <is>
          <t>Padaria</t>
        </is>
      </c>
      <c r="E831" t="n">
        <v>67.59999999999999</v>
      </c>
      <c r="F831" t="n">
        <v>4.2</v>
      </c>
      <c r="G831" t="n">
        <v>10</v>
      </c>
      <c r="J831" t="inlineStr">
        <is>
          <t>A</t>
        </is>
      </c>
      <c r="K831" t="n">
        <v>2024</v>
      </c>
      <c r="L831" t="n">
        <v>12</v>
      </c>
      <c r="M831" t="inlineStr">
        <is>
          <t>Muçarela Mozzana 2 kg</t>
        </is>
      </c>
      <c r="N831" t="inlineStr">
        <is>
          <t>Esfiharia</t>
        </is>
      </c>
      <c r="O831" t="n">
        <v>10</v>
      </c>
      <c r="P831" t="n">
        <v>112</v>
      </c>
      <c r="Q831" t="n">
        <v>10</v>
      </c>
    </row>
    <row r="832">
      <c r="A832" t="n">
        <v>2025</v>
      </c>
      <c r="B832" t="n">
        <v>3</v>
      </c>
      <c r="C832" t="inlineStr">
        <is>
          <t>Composto lácteo Merilú 400 g</t>
        </is>
      </c>
      <c r="D832" t="inlineStr">
        <is>
          <t>Restaurante / Cantina</t>
        </is>
      </c>
      <c r="E832" t="n">
        <v>553.54</v>
      </c>
      <c r="F832" t="n">
        <v>34.02</v>
      </c>
      <c r="G832" t="n">
        <v>81</v>
      </c>
      <c r="J832" t="inlineStr">
        <is>
          <t>M</t>
        </is>
      </c>
      <c r="K832" t="n">
        <v>2024</v>
      </c>
      <c r="L832" t="n">
        <v>12</v>
      </c>
      <c r="M832" t="inlineStr">
        <is>
          <t>Muçarela Mozzana 2 kg</t>
        </is>
      </c>
      <c r="N832" t="inlineStr">
        <is>
          <t>Esfiharia</t>
        </is>
      </c>
      <c r="O832" t="n">
        <v>3</v>
      </c>
      <c r="P832" t="n">
        <v>9</v>
      </c>
      <c r="Q832" t="n">
        <v>0</v>
      </c>
    </row>
    <row r="833">
      <c r="A833" t="n">
        <v>2025</v>
      </c>
      <c r="B833" t="n">
        <v>3</v>
      </c>
      <c r="C833" t="inlineStr">
        <is>
          <t>Composto lácteo Merilú 400 g</t>
        </is>
      </c>
      <c r="D833" t="inlineStr">
        <is>
          <t>Supermercado</t>
        </is>
      </c>
      <c r="E833" t="n">
        <v>203.8</v>
      </c>
      <c r="F833" t="n">
        <v>12.6</v>
      </c>
      <c r="G833" t="n">
        <v>30</v>
      </c>
      <c r="J833" t="inlineStr">
        <is>
          <t>A</t>
        </is>
      </c>
      <c r="K833" t="n">
        <v>2024</v>
      </c>
      <c r="L833" t="n">
        <v>1</v>
      </c>
      <c r="M833" t="inlineStr">
        <is>
          <t>Muçarela Mozzana 2 kg</t>
        </is>
      </c>
      <c r="N833" t="inlineStr">
        <is>
          <t>Lanchonete / Cafeteria</t>
        </is>
      </c>
      <c r="O833" t="n">
        <v>1</v>
      </c>
      <c r="P833" t="n">
        <v>4</v>
      </c>
      <c r="Q833" t="n">
        <v>1</v>
      </c>
    </row>
    <row r="834">
      <c r="A834" t="n">
        <v>2025</v>
      </c>
      <c r="B834" t="n">
        <v>3</v>
      </c>
      <c r="C834" t="inlineStr">
        <is>
          <t>Muçarela Mozzalet 2 kg</t>
        </is>
      </c>
      <c r="D834" t="inlineStr">
        <is>
          <t>Cozinha Industrial</t>
        </is>
      </c>
      <c r="E834" t="n">
        <v>2761.68</v>
      </c>
      <c r="F834" t="n">
        <v>132</v>
      </c>
      <c r="G834" t="n">
        <v>66</v>
      </c>
      <c r="J834" t="inlineStr">
        <is>
          <t>M</t>
        </is>
      </c>
      <c r="K834" t="n">
        <v>2024</v>
      </c>
      <c r="L834" t="n">
        <v>1</v>
      </c>
      <c r="M834" t="inlineStr">
        <is>
          <t>Muçarela Mozzana 2 kg</t>
        </is>
      </c>
      <c r="N834" t="inlineStr">
        <is>
          <t>Lanchonete / Cafeteria</t>
        </is>
      </c>
      <c r="O834" t="n">
        <v>1</v>
      </c>
      <c r="P834" t="n">
        <v>4</v>
      </c>
      <c r="Q834" t="n">
        <v>0</v>
      </c>
    </row>
    <row r="835">
      <c r="A835" t="n">
        <v>2025</v>
      </c>
      <c r="B835" t="n">
        <v>3</v>
      </c>
      <c r="C835" t="inlineStr">
        <is>
          <t>Muçarela Mozzalet 2 kg</t>
        </is>
      </c>
      <c r="D835" t="inlineStr">
        <is>
          <t>Esfiharia</t>
        </is>
      </c>
      <c r="E835" t="n">
        <v>2013</v>
      </c>
      <c r="F835" t="n">
        <v>94</v>
      </c>
      <c r="G835" t="n">
        <v>47</v>
      </c>
      <c r="J835" t="inlineStr">
        <is>
          <t>A</t>
        </is>
      </c>
      <c r="K835" t="n">
        <v>2024</v>
      </c>
      <c r="L835" t="n">
        <v>2</v>
      </c>
      <c r="M835" t="inlineStr">
        <is>
          <t>Muçarela Mozzana 2 kg</t>
        </is>
      </c>
      <c r="N835" t="inlineStr">
        <is>
          <t>Lanchonete / Cafeteria</t>
        </is>
      </c>
      <c r="O835" t="n">
        <v>2</v>
      </c>
      <c r="P835" t="n">
        <v>7</v>
      </c>
      <c r="Q835" t="n">
        <v>2</v>
      </c>
    </row>
    <row r="836">
      <c r="A836" t="n">
        <v>2025</v>
      </c>
      <c r="B836" t="n">
        <v>3</v>
      </c>
      <c r="C836" t="inlineStr">
        <is>
          <t>Muçarela Mozzalet 2 kg</t>
        </is>
      </c>
      <c r="D836" t="inlineStr">
        <is>
          <t>Fábrica de Massas</t>
        </is>
      </c>
      <c r="E836" t="n">
        <v>18685.6</v>
      </c>
      <c r="F836" t="n">
        <v>872</v>
      </c>
      <c r="G836" t="n">
        <v>436</v>
      </c>
      <c r="J836" t="inlineStr">
        <is>
          <t>M</t>
        </is>
      </c>
      <c r="K836" t="n">
        <v>2024</v>
      </c>
      <c r="L836" t="n">
        <v>2</v>
      </c>
      <c r="M836" t="inlineStr">
        <is>
          <t>Muçarela Mozzana 2 kg</t>
        </is>
      </c>
      <c r="N836" t="inlineStr">
        <is>
          <t>Lanchonete / Cafeteria</t>
        </is>
      </c>
      <c r="O836" t="n">
        <v>2</v>
      </c>
      <c r="P836" t="n">
        <v>3</v>
      </c>
      <c r="Q836" t="n">
        <v>0</v>
      </c>
    </row>
    <row r="837">
      <c r="A837" t="n">
        <v>2025</v>
      </c>
      <c r="B837" t="n">
        <v>3</v>
      </c>
      <c r="C837" t="inlineStr">
        <is>
          <t>Muçarela Mozzalet 2 kg</t>
        </is>
      </c>
      <c r="D837" t="inlineStr">
        <is>
          <t>Hamburgueria</t>
        </is>
      </c>
      <c r="E837" t="n">
        <v>1117.96</v>
      </c>
      <c r="F837" t="n">
        <v>52</v>
      </c>
      <c r="G837" t="n">
        <v>26</v>
      </c>
      <c r="J837" t="inlineStr">
        <is>
          <t>A</t>
        </is>
      </c>
      <c r="K837" t="n">
        <v>2024</v>
      </c>
      <c r="L837" t="n">
        <v>3</v>
      </c>
      <c r="M837" t="inlineStr">
        <is>
          <t>Muçarela Mozzana 2 kg</t>
        </is>
      </c>
      <c r="N837" t="inlineStr">
        <is>
          <t>Lanchonete / Cafeteria</t>
        </is>
      </c>
      <c r="O837" t="n">
        <v>2</v>
      </c>
      <c r="P837" t="n">
        <v>9</v>
      </c>
      <c r="Q837" t="n">
        <v>2</v>
      </c>
    </row>
    <row r="838">
      <c r="A838" t="n">
        <v>2025</v>
      </c>
      <c r="B838" t="n">
        <v>3</v>
      </c>
      <c r="C838" t="inlineStr">
        <is>
          <t>Muçarela Mozzalet 2 kg</t>
        </is>
      </c>
      <c r="D838" t="inlineStr">
        <is>
          <t>Lanchonete / Cafeteria</t>
        </is>
      </c>
      <c r="E838" t="n">
        <v>1506.74</v>
      </c>
      <c r="F838" t="n">
        <v>70</v>
      </c>
      <c r="G838" t="n">
        <v>35</v>
      </c>
      <c r="J838" t="inlineStr">
        <is>
          <t>M</t>
        </is>
      </c>
      <c r="K838" t="n">
        <v>2024</v>
      </c>
      <c r="L838" t="n">
        <v>3</v>
      </c>
      <c r="M838" t="inlineStr">
        <is>
          <t>Muçarela Mozzana 2 kg</t>
        </is>
      </c>
      <c r="N838" t="inlineStr">
        <is>
          <t>Lanchonete / Cafeteria</t>
        </is>
      </c>
      <c r="O838" t="n">
        <v>1</v>
      </c>
      <c r="P838" t="n">
        <v>2</v>
      </c>
      <c r="Q838" t="n">
        <v>0</v>
      </c>
    </row>
    <row r="839">
      <c r="A839" t="n">
        <v>2025</v>
      </c>
      <c r="B839" t="n">
        <v>3</v>
      </c>
      <c r="C839" t="inlineStr">
        <is>
          <t>Muçarela Mozzalet 2 kg</t>
        </is>
      </c>
      <c r="D839" t="inlineStr">
        <is>
          <t>Outros</t>
        </is>
      </c>
      <c r="E839" t="n">
        <v>783</v>
      </c>
      <c r="F839" t="n">
        <v>36</v>
      </c>
      <c r="G839" t="n">
        <v>18</v>
      </c>
      <c r="J839" t="inlineStr">
        <is>
          <t>A</t>
        </is>
      </c>
      <c r="K839" t="n">
        <v>2024</v>
      </c>
      <c r="L839" t="n">
        <v>4</v>
      </c>
      <c r="M839" t="inlineStr">
        <is>
          <t>Muçarela Mozzana 2 kg</t>
        </is>
      </c>
      <c r="N839" t="inlineStr">
        <is>
          <t>Lanchonete / Cafeteria</t>
        </is>
      </c>
      <c r="O839" t="n">
        <v>2</v>
      </c>
      <c r="P839" t="n">
        <v>10</v>
      </c>
      <c r="Q839" t="n">
        <v>2</v>
      </c>
    </row>
    <row r="840">
      <c r="A840" t="n">
        <v>2025</v>
      </c>
      <c r="B840" t="n">
        <v>3</v>
      </c>
      <c r="C840" t="inlineStr">
        <is>
          <t>Muçarela Mozzalet 2 kg</t>
        </is>
      </c>
      <c r="D840" t="inlineStr">
        <is>
          <t>Padaria</t>
        </is>
      </c>
      <c r="E840" t="n">
        <v>401.4</v>
      </c>
      <c r="F840" t="n">
        <v>18</v>
      </c>
      <c r="G840" t="n">
        <v>9</v>
      </c>
      <c r="J840" t="inlineStr">
        <is>
          <t>M</t>
        </is>
      </c>
      <c r="K840" t="n">
        <v>2024</v>
      </c>
      <c r="L840" t="n">
        <v>4</v>
      </c>
      <c r="M840" t="inlineStr">
        <is>
          <t>Muçarela Mozzana 2 kg</t>
        </is>
      </c>
      <c r="N840" t="inlineStr">
        <is>
          <t>Lanchonete / Cafeteria</t>
        </is>
      </c>
      <c r="O840" t="n">
        <v>1</v>
      </c>
      <c r="P840" t="n">
        <v>1</v>
      </c>
      <c r="Q840" t="n">
        <v>0</v>
      </c>
    </row>
    <row r="841">
      <c r="A841" t="n">
        <v>2025</v>
      </c>
      <c r="B841" t="n">
        <v>3</v>
      </c>
      <c r="C841" t="inlineStr">
        <is>
          <t>Muçarela Mozzalet 2 kg</t>
        </is>
      </c>
      <c r="D841" t="inlineStr">
        <is>
          <t>Pastelaria</t>
        </is>
      </c>
      <c r="E841" t="n">
        <v>2944.64</v>
      </c>
      <c r="F841" t="n">
        <v>136</v>
      </c>
      <c r="G841" t="n">
        <v>68</v>
      </c>
      <c r="J841" t="inlineStr">
        <is>
          <t>A</t>
        </is>
      </c>
      <c r="K841" t="n">
        <v>2024</v>
      </c>
      <c r="L841" t="n">
        <v>5</v>
      </c>
      <c r="M841" t="inlineStr">
        <is>
          <t>Muçarela Mozzana 2 kg</t>
        </is>
      </c>
      <c r="N841" t="inlineStr">
        <is>
          <t>Lanchonete / Cafeteria</t>
        </is>
      </c>
      <c r="O841" t="n">
        <v>5</v>
      </c>
      <c r="P841" t="n">
        <v>18</v>
      </c>
      <c r="Q841" t="n">
        <v>5</v>
      </c>
    </row>
    <row r="842">
      <c r="A842" t="n">
        <v>2025</v>
      </c>
      <c r="B842" t="n">
        <v>3</v>
      </c>
      <c r="C842" t="inlineStr">
        <is>
          <t>Muçarela Mozzalet 2 kg</t>
        </is>
      </c>
      <c r="D842" t="inlineStr">
        <is>
          <t>Pessoa Física</t>
        </is>
      </c>
      <c r="E842" t="n">
        <v>4750.56</v>
      </c>
      <c r="F842" t="n">
        <v>222</v>
      </c>
      <c r="G842" t="n">
        <v>111</v>
      </c>
      <c r="J842" t="inlineStr">
        <is>
          <t>M</t>
        </is>
      </c>
      <c r="K842" t="n">
        <v>2024</v>
      </c>
      <c r="L842" t="n">
        <v>5</v>
      </c>
      <c r="M842" t="inlineStr">
        <is>
          <t>Muçarela Mozzana 2 kg</t>
        </is>
      </c>
      <c r="N842" t="inlineStr">
        <is>
          <t>Lanchonete / Cafeteria</t>
        </is>
      </c>
      <c r="O842" t="n">
        <v>5</v>
      </c>
      <c r="P842" t="n">
        <v>8</v>
      </c>
      <c r="Q842" t="n">
        <v>0</v>
      </c>
    </row>
    <row r="843">
      <c r="A843" t="n">
        <v>2025</v>
      </c>
      <c r="B843" t="n">
        <v>3</v>
      </c>
      <c r="C843" t="inlineStr">
        <is>
          <t>Muçarela Mozzalet 2 kg</t>
        </is>
      </c>
      <c r="D843" t="inlineStr">
        <is>
          <t>Pizzaria</t>
        </is>
      </c>
      <c r="E843" t="n">
        <v>6553.49</v>
      </c>
      <c r="F843" t="n">
        <v>304</v>
      </c>
      <c r="G843" t="n">
        <v>152</v>
      </c>
      <c r="J843" t="inlineStr">
        <is>
          <t>A</t>
        </is>
      </c>
      <c r="K843" t="n">
        <v>2024</v>
      </c>
      <c r="L843" t="n">
        <v>6</v>
      </c>
      <c r="M843" t="inlineStr">
        <is>
          <t>Muçarela Mozzana 2 kg</t>
        </is>
      </c>
      <c r="N843" t="inlineStr">
        <is>
          <t>Lanchonete / Cafeteria</t>
        </is>
      </c>
      <c r="O843" t="n">
        <v>7</v>
      </c>
      <c r="P843" t="n">
        <v>22</v>
      </c>
      <c r="Q843" t="n">
        <v>7</v>
      </c>
    </row>
    <row r="844">
      <c r="A844" t="n">
        <v>2025</v>
      </c>
      <c r="B844" t="n">
        <v>3</v>
      </c>
      <c r="C844" t="inlineStr">
        <is>
          <t>Muçarela Mozzalet 2 kg</t>
        </is>
      </c>
      <c r="D844" t="inlineStr">
        <is>
          <t>Restaurante / Cantina</t>
        </is>
      </c>
      <c r="E844" t="n">
        <v>22179.52</v>
      </c>
      <c r="F844" t="n">
        <v>1028</v>
      </c>
      <c r="G844" t="n">
        <v>514</v>
      </c>
      <c r="J844" t="inlineStr">
        <is>
          <t>M</t>
        </is>
      </c>
      <c r="K844" t="n">
        <v>2024</v>
      </c>
      <c r="L844" t="n">
        <v>6</v>
      </c>
      <c r="M844" t="inlineStr">
        <is>
          <t>Muçarela Mozzana 2 kg</t>
        </is>
      </c>
      <c r="N844" t="inlineStr">
        <is>
          <t>Lanchonete / Cafeteria</t>
        </is>
      </c>
      <c r="O844" t="n">
        <v>3</v>
      </c>
      <c r="P844" t="n">
        <v>4</v>
      </c>
      <c r="Q844" t="n">
        <v>0</v>
      </c>
    </row>
    <row r="845">
      <c r="A845" t="n">
        <v>2025</v>
      </c>
      <c r="B845" t="n">
        <v>3</v>
      </c>
      <c r="C845" t="inlineStr">
        <is>
          <t>Muçarela Mozzana 2 kg</t>
        </is>
      </c>
      <c r="D845" t="inlineStr">
        <is>
          <t>Adega</t>
        </is>
      </c>
      <c r="E845" t="n">
        <v>849.24</v>
      </c>
      <c r="F845" t="n">
        <v>36.36</v>
      </c>
      <c r="G845" t="n">
        <v>18</v>
      </c>
      <c r="J845" t="inlineStr">
        <is>
          <t>A</t>
        </is>
      </c>
      <c r="K845" t="n">
        <v>2024</v>
      </c>
      <c r="L845" t="n">
        <v>7</v>
      </c>
      <c r="M845" t="inlineStr">
        <is>
          <t>Muçarela Mozzana 2 kg</t>
        </is>
      </c>
      <c r="N845" t="inlineStr">
        <is>
          <t>Lanchonete / Cafeteria</t>
        </is>
      </c>
      <c r="O845" t="n">
        <v>10</v>
      </c>
      <c r="P845" t="n">
        <v>27</v>
      </c>
      <c r="Q845" t="n">
        <v>10</v>
      </c>
    </row>
    <row r="846">
      <c r="A846" t="n">
        <v>2025</v>
      </c>
      <c r="B846" t="n">
        <v>3</v>
      </c>
      <c r="C846" t="inlineStr">
        <is>
          <t>Muçarela Mozzana 2 kg</t>
        </is>
      </c>
      <c r="D846" t="inlineStr">
        <is>
          <t>Bar / Chopperia</t>
        </is>
      </c>
      <c r="E846" t="n">
        <v>478</v>
      </c>
      <c r="F846" t="n">
        <v>20.2</v>
      </c>
      <c r="G846" t="n">
        <v>10</v>
      </c>
      <c r="J846" t="inlineStr">
        <is>
          <t>M</t>
        </is>
      </c>
      <c r="K846" t="n">
        <v>2024</v>
      </c>
      <c r="L846" t="n">
        <v>7</v>
      </c>
      <c r="M846" t="inlineStr">
        <is>
          <t>Muçarela Mozzana 2 kg</t>
        </is>
      </c>
      <c r="N846" t="inlineStr">
        <is>
          <t>Lanchonete / Cafeteria</t>
        </is>
      </c>
      <c r="O846" t="n">
        <v>4</v>
      </c>
      <c r="P846" t="n">
        <v>5</v>
      </c>
      <c r="Q846" t="n">
        <v>0</v>
      </c>
    </row>
    <row r="847">
      <c r="A847" t="n">
        <v>2025</v>
      </c>
      <c r="B847" t="n">
        <v>3</v>
      </c>
      <c r="C847" t="inlineStr">
        <is>
          <t>Muçarela Mozzana 2 kg</t>
        </is>
      </c>
      <c r="D847" t="inlineStr">
        <is>
          <t>Buffet</t>
        </is>
      </c>
      <c r="E847" t="n">
        <v>1875.9</v>
      </c>
      <c r="F847" t="n">
        <v>78.78</v>
      </c>
      <c r="G847" t="n">
        <v>39</v>
      </c>
      <c r="J847" t="inlineStr">
        <is>
          <t>A</t>
        </is>
      </c>
      <c r="K847" t="n">
        <v>2024</v>
      </c>
      <c r="L847" t="n">
        <v>8</v>
      </c>
      <c r="M847" t="inlineStr">
        <is>
          <t>Muçarela Mozzana 2 kg</t>
        </is>
      </c>
      <c r="N847" t="inlineStr">
        <is>
          <t>Lanchonete / Cafeteria</t>
        </is>
      </c>
      <c r="O847" t="n">
        <v>13</v>
      </c>
      <c r="P847" t="n">
        <v>33</v>
      </c>
      <c r="Q847" t="n">
        <v>13</v>
      </c>
    </row>
    <row r="848">
      <c r="A848" t="n">
        <v>2025</v>
      </c>
      <c r="B848" t="n">
        <v>3</v>
      </c>
      <c r="C848" t="inlineStr">
        <is>
          <t>Muçarela Mozzana 2 kg</t>
        </is>
      </c>
      <c r="D848" t="inlineStr">
        <is>
          <t>Churrascaria</t>
        </is>
      </c>
      <c r="E848" t="n">
        <v>241.46</v>
      </c>
      <c r="F848" t="n">
        <v>10.1</v>
      </c>
      <c r="G848" t="n">
        <v>5</v>
      </c>
      <c r="J848" t="inlineStr">
        <is>
          <t>M</t>
        </is>
      </c>
      <c r="K848" t="n">
        <v>2024</v>
      </c>
      <c r="L848" t="n">
        <v>8</v>
      </c>
      <c r="M848" t="inlineStr">
        <is>
          <t>Muçarela Mozzana 2 kg</t>
        </is>
      </c>
      <c r="N848" t="inlineStr">
        <is>
          <t>Lanchonete / Cafeteria</t>
        </is>
      </c>
      <c r="O848" t="n">
        <v>5</v>
      </c>
      <c r="P848" t="n">
        <v>6</v>
      </c>
      <c r="Q848" t="n">
        <v>0</v>
      </c>
    </row>
    <row r="849">
      <c r="A849" t="n">
        <v>2025</v>
      </c>
      <c r="B849" t="n">
        <v>3</v>
      </c>
      <c r="C849" t="inlineStr">
        <is>
          <t>Muçarela Mozzana 2 kg</t>
        </is>
      </c>
      <c r="D849" t="inlineStr">
        <is>
          <t>Confeitaria</t>
        </is>
      </c>
      <c r="E849" t="n">
        <v>433.98</v>
      </c>
      <c r="F849" t="n">
        <v>18.18</v>
      </c>
      <c r="G849" t="n">
        <v>9</v>
      </c>
      <c r="J849" t="inlineStr">
        <is>
          <t>A</t>
        </is>
      </c>
      <c r="K849" t="n">
        <v>2024</v>
      </c>
      <c r="L849" t="n">
        <v>9</v>
      </c>
      <c r="M849" t="inlineStr">
        <is>
          <t>Muçarela Mozzana 2 kg</t>
        </is>
      </c>
      <c r="N849" t="inlineStr">
        <is>
          <t>Lanchonete / Cafeteria</t>
        </is>
      </c>
      <c r="O849" t="n">
        <v>15</v>
      </c>
      <c r="P849" t="n">
        <v>38</v>
      </c>
      <c r="Q849" t="n">
        <v>15</v>
      </c>
    </row>
    <row r="850">
      <c r="A850" t="n">
        <v>2025</v>
      </c>
      <c r="B850" t="n">
        <v>3</v>
      </c>
      <c r="C850" t="inlineStr">
        <is>
          <t>Muçarela Mozzana 2 kg</t>
        </is>
      </c>
      <c r="D850" t="inlineStr">
        <is>
          <t>Cozinha Industrial</t>
        </is>
      </c>
      <c r="E850" t="n">
        <v>2845.13</v>
      </c>
      <c r="F850" t="n">
        <v>121.2</v>
      </c>
      <c r="G850" t="n">
        <v>60</v>
      </c>
      <c r="J850" t="inlineStr">
        <is>
          <t>M</t>
        </is>
      </c>
      <c r="K850" t="n">
        <v>2024</v>
      </c>
      <c r="L850" t="n">
        <v>9</v>
      </c>
      <c r="M850" t="inlineStr">
        <is>
          <t>Muçarela Mozzana 2 kg</t>
        </is>
      </c>
      <c r="N850" t="inlineStr">
        <is>
          <t>Lanchonete / Cafeteria</t>
        </is>
      </c>
      <c r="O850" t="n">
        <v>4</v>
      </c>
      <c r="P850" t="n">
        <v>5</v>
      </c>
      <c r="Q850" t="n">
        <v>0</v>
      </c>
    </row>
    <row r="851">
      <c r="A851" t="n">
        <v>2025</v>
      </c>
      <c r="B851" t="n">
        <v>3</v>
      </c>
      <c r="C851" t="inlineStr">
        <is>
          <t>Muçarela Mozzana 2 kg</t>
        </is>
      </c>
      <c r="D851" t="inlineStr">
        <is>
          <t>Cozinha Oriental</t>
        </is>
      </c>
      <c r="E851" t="n">
        <v>802.4</v>
      </c>
      <c r="F851" t="n">
        <v>34.34</v>
      </c>
      <c r="G851" t="n">
        <v>17</v>
      </c>
      <c r="J851" t="inlineStr">
        <is>
          <t>A</t>
        </is>
      </c>
      <c r="K851" t="n">
        <v>2024</v>
      </c>
      <c r="L851" t="n">
        <v>10</v>
      </c>
      <c r="M851" t="inlineStr">
        <is>
          <t>Muçarela Mozzana 2 kg</t>
        </is>
      </c>
      <c r="N851" t="inlineStr">
        <is>
          <t>Lanchonete / Cafeteria</t>
        </is>
      </c>
      <c r="O851" t="n">
        <v>16</v>
      </c>
      <c r="P851" t="n">
        <v>48</v>
      </c>
      <c r="Q851" t="n">
        <v>16</v>
      </c>
    </row>
    <row r="852">
      <c r="A852" t="n">
        <v>2025</v>
      </c>
      <c r="B852" t="n">
        <v>3</v>
      </c>
      <c r="C852" t="inlineStr">
        <is>
          <t>Muçarela Mozzana 2 kg</t>
        </is>
      </c>
      <c r="D852" t="inlineStr">
        <is>
          <t>Esfiharia</t>
        </is>
      </c>
      <c r="E852" t="n">
        <v>4887.87</v>
      </c>
      <c r="F852" t="n">
        <v>206.04</v>
      </c>
      <c r="G852" t="n">
        <v>102</v>
      </c>
      <c r="J852" t="inlineStr">
        <is>
          <t>M</t>
        </is>
      </c>
      <c r="K852" t="n">
        <v>2024</v>
      </c>
      <c r="L852" t="n">
        <v>10</v>
      </c>
      <c r="M852" t="inlineStr">
        <is>
          <t>Muçarela Mozzana 2 kg</t>
        </is>
      </c>
      <c r="N852" t="inlineStr">
        <is>
          <t>Lanchonete / Cafeteria</t>
        </is>
      </c>
      <c r="O852" t="n">
        <v>6</v>
      </c>
      <c r="P852" t="n">
        <v>10</v>
      </c>
      <c r="Q852" t="n">
        <v>0</v>
      </c>
    </row>
    <row r="853">
      <c r="A853" t="n">
        <v>2025</v>
      </c>
      <c r="B853" t="n">
        <v>3</v>
      </c>
      <c r="C853" t="inlineStr">
        <is>
          <t>Muçarela Mozzana 2 kg</t>
        </is>
      </c>
      <c r="D853" t="inlineStr">
        <is>
          <t>Fábrica de Massas</t>
        </is>
      </c>
      <c r="E853" t="n">
        <v>14538.5</v>
      </c>
      <c r="F853" t="n">
        <v>612.0599999999999</v>
      </c>
      <c r="G853" t="n">
        <v>303</v>
      </c>
      <c r="J853" t="inlineStr">
        <is>
          <t>A</t>
        </is>
      </c>
      <c r="K853" t="n">
        <v>2024</v>
      </c>
      <c r="L853" t="n">
        <v>11</v>
      </c>
      <c r="M853" t="inlineStr">
        <is>
          <t>Muçarela Mozzana 2 kg</t>
        </is>
      </c>
      <c r="N853" t="inlineStr">
        <is>
          <t>Lanchonete / Cafeteria</t>
        </is>
      </c>
      <c r="O853" t="n">
        <v>16</v>
      </c>
      <c r="P853" t="n">
        <v>55</v>
      </c>
      <c r="Q853" t="n">
        <v>16</v>
      </c>
    </row>
    <row r="854">
      <c r="A854" t="n">
        <v>2025</v>
      </c>
      <c r="B854" t="n">
        <v>3</v>
      </c>
      <c r="C854" t="inlineStr">
        <is>
          <t>Muçarela Mozzana 2 kg</t>
        </is>
      </c>
      <c r="D854" t="inlineStr">
        <is>
          <t>Lanchonete / Cafeteria</t>
        </is>
      </c>
      <c r="E854" t="n">
        <v>1372.03</v>
      </c>
      <c r="F854" t="n">
        <v>58.58</v>
      </c>
      <c r="G854" t="n">
        <v>29</v>
      </c>
      <c r="J854" t="inlineStr">
        <is>
          <t>M</t>
        </is>
      </c>
      <c r="K854" t="n">
        <v>2024</v>
      </c>
      <c r="L854" t="n">
        <v>11</v>
      </c>
      <c r="M854" t="inlineStr">
        <is>
          <t>Muçarela Mozzana 2 kg</t>
        </is>
      </c>
      <c r="N854" t="inlineStr">
        <is>
          <t>Lanchonete / Cafeteria</t>
        </is>
      </c>
      <c r="O854" t="n">
        <v>4</v>
      </c>
      <c r="P854" t="n">
        <v>7</v>
      </c>
      <c r="Q854" t="n">
        <v>0</v>
      </c>
    </row>
    <row r="855">
      <c r="A855" t="n">
        <v>2025</v>
      </c>
      <c r="B855" t="n">
        <v>3</v>
      </c>
      <c r="C855" t="inlineStr">
        <is>
          <t>Muçarela Mozzana 2 kg</t>
        </is>
      </c>
      <c r="D855" t="inlineStr">
        <is>
          <t>Mercearia / Sacolão</t>
        </is>
      </c>
      <c r="E855" t="n">
        <v>1713.78</v>
      </c>
      <c r="F855" t="n">
        <v>72.72</v>
      </c>
      <c r="G855" t="n">
        <v>36</v>
      </c>
      <c r="J855" t="inlineStr">
        <is>
          <t>A</t>
        </is>
      </c>
      <c r="K855" t="n">
        <v>2024</v>
      </c>
      <c r="L855" t="n">
        <v>12</v>
      </c>
      <c r="M855" t="inlineStr">
        <is>
          <t>Muçarela Mozzana 2 kg</t>
        </is>
      </c>
      <c r="N855" t="inlineStr">
        <is>
          <t>Lanchonete / Cafeteria</t>
        </is>
      </c>
      <c r="O855" t="n">
        <v>17</v>
      </c>
      <c r="P855" t="n">
        <v>62</v>
      </c>
      <c r="Q855" t="n">
        <v>17</v>
      </c>
    </row>
    <row r="856">
      <c r="A856" t="n">
        <v>2025</v>
      </c>
      <c r="B856" t="n">
        <v>3</v>
      </c>
      <c r="C856" t="inlineStr">
        <is>
          <t>Muçarela Mozzana 2 kg</t>
        </is>
      </c>
      <c r="D856" t="inlineStr">
        <is>
          <t>Não Selecionado</t>
        </is>
      </c>
      <c r="E856" t="n">
        <v>422.1</v>
      </c>
      <c r="F856" t="n">
        <v>18.18</v>
      </c>
      <c r="G856" t="n">
        <v>9</v>
      </c>
      <c r="J856" t="inlineStr">
        <is>
          <t>M</t>
        </is>
      </c>
      <c r="K856" t="n">
        <v>2024</v>
      </c>
      <c r="L856" t="n">
        <v>12</v>
      </c>
      <c r="M856" t="inlineStr">
        <is>
          <t>Muçarela Mozzana 2 kg</t>
        </is>
      </c>
      <c r="N856" t="inlineStr">
        <is>
          <t>Lanchonete / Cafeteria</t>
        </is>
      </c>
      <c r="O856" t="n">
        <v>5</v>
      </c>
      <c r="P856" t="n">
        <v>7</v>
      </c>
      <c r="Q856" t="n">
        <v>0</v>
      </c>
    </row>
    <row r="857">
      <c r="A857" t="n">
        <v>2025</v>
      </c>
      <c r="B857" t="n">
        <v>3</v>
      </c>
      <c r="C857" t="inlineStr">
        <is>
          <t>Muçarela Mozzana 2 kg</t>
        </is>
      </c>
      <c r="D857" t="inlineStr">
        <is>
          <t>Outros</t>
        </is>
      </c>
      <c r="E857" t="n">
        <v>19542.26</v>
      </c>
      <c r="F857" t="n">
        <v>828.2</v>
      </c>
      <c r="G857" t="n">
        <v>410</v>
      </c>
      <c r="J857" t="inlineStr">
        <is>
          <t>A</t>
        </is>
      </c>
      <c r="K857" t="n">
        <v>2024</v>
      </c>
      <c r="L857" t="n">
        <v>1</v>
      </c>
      <c r="M857" t="inlineStr">
        <is>
          <t>Muçarela Mozzana 2 kg</t>
        </is>
      </c>
      <c r="N857" t="inlineStr">
        <is>
          <t>Padaria</t>
        </is>
      </c>
      <c r="O857" t="n">
        <v>5</v>
      </c>
      <c r="P857" t="n">
        <v>8</v>
      </c>
      <c r="Q857" t="n">
        <v>5</v>
      </c>
    </row>
    <row r="858">
      <c r="A858" t="n">
        <v>2025</v>
      </c>
      <c r="B858" t="n">
        <v>3</v>
      </c>
      <c r="C858" t="inlineStr">
        <is>
          <t>Muçarela Mozzana 2 kg</t>
        </is>
      </c>
      <c r="D858" t="inlineStr">
        <is>
          <t>Padaria</t>
        </is>
      </c>
      <c r="E858" t="n">
        <v>5342.98</v>
      </c>
      <c r="F858" t="n">
        <v>224.22</v>
      </c>
      <c r="G858" t="n">
        <v>111</v>
      </c>
      <c r="J858" t="inlineStr">
        <is>
          <t>M</t>
        </is>
      </c>
      <c r="K858" t="n">
        <v>2024</v>
      </c>
      <c r="L858" t="n">
        <v>1</v>
      </c>
      <c r="M858" t="inlineStr">
        <is>
          <t>Muçarela Mozzana 2 kg</t>
        </is>
      </c>
      <c r="N858" t="inlineStr">
        <is>
          <t>Padaria</t>
        </is>
      </c>
      <c r="O858" t="n">
        <v>5</v>
      </c>
      <c r="P858" t="n">
        <v>8</v>
      </c>
      <c r="Q858" t="n">
        <v>0</v>
      </c>
    </row>
    <row r="859">
      <c r="A859" t="n">
        <v>2025</v>
      </c>
      <c r="B859" t="n">
        <v>3</v>
      </c>
      <c r="C859" t="inlineStr">
        <is>
          <t>Muçarela Mozzana 2 kg</t>
        </is>
      </c>
      <c r="D859" t="inlineStr">
        <is>
          <t>Pastelaria</t>
        </is>
      </c>
      <c r="E859" t="n">
        <v>6074.04</v>
      </c>
      <c r="F859" t="n">
        <v>256.54</v>
      </c>
      <c r="G859" t="n">
        <v>127</v>
      </c>
      <c r="J859" t="inlineStr">
        <is>
          <t>A</t>
        </is>
      </c>
      <c r="K859" t="n">
        <v>2024</v>
      </c>
      <c r="L859" t="n">
        <v>2</v>
      </c>
      <c r="M859" t="inlineStr">
        <is>
          <t>Muçarela Mozzana 2 kg</t>
        </is>
      </c>
      <c r="N859" t="inlineStr">
        <is>
          <t>Padaria</t>
        </is>
      </c>
      <c r="O859" t="n">
        <v>8</v>
      </c>
      <c r="P859" t="n">
        <v>19</v>
      </c>
      <c r="Q859" t="n">
        <v>8</v>
      </c>
    </row>
    <row r="860">
      <c r="A860" t="n">
        <v>2025</v>
      </c>
      <c r="B860" t="n">
        <v>3</v>
      </c>
      <c r="C860" t="inlineStr">
        <is>
          <t>Muçarela Mozzana 2 kg</t>
        </is>
      </c>
      <c r="D860" t="inlineStr">
        <is>
          <t>Pessoa Física</t>
        </is>
      </c>
      <c r="E860" t="n">
        <v>3493.48</v>
      </c>
      <c r="F860" t="n">
        <v>147.46</v>
      </c>
      <c r="G860" t="n">
        <v>73</v>
      </c>
      <c r="J860" t="inlineStr">
        <is>
          <t>M</t>
        </is>
      </c>
      <c r="K860" t="n">
        <v>2024</v>
      </c>
      <c r="L860" t="n">
        <v>2</v>
      </c>
      <c r="M860" t="inlineStr">
        <is>
          <t>Muçarela Mozzana 2 kg</t>
        </is>
      </c>
      <c r="N860" t="inlineStr">
        <is>
          <t>Padaria</t>
        </is>
      </c>
      <c r="O860" t="n">
        <v>8</v>
      </c>
      <c r="P860" t="n">
        <v>11</v>
      </c>
      <c r="Q860" t="n">
        <v>0</v>
      </c>
    </row>
    <row r="861">
      <c r="A861" t="n">
        <v>2025</v>
      </c>
      <c r="B861" t="n">
        <v>3</v>
      </c>
      <c r="C861" t="inlineStr">
        <is>
          <t>Muçarela Mozzana 2 kg</t>
        </is>
      </c>
      <c r="D861" t="inlineStr">
        <is>
          <t>Pizzaria</t>
        </is>
      </c>
      <c r="E861" t="n">
        <v>73800.05</v>
      </c>
      <c r="F861" t="n">
        <v>3106.76</v>
      </c>
      <c r="G861" t="n">
        <v>1538</v>
      </c>
      <c r="J861" t="inlineStr">
        <is>
          <t>A</t>
        </is>
      </c>
      <c r="K861" t="n">
        <v>2024</v>
      </c>
      <c r="L861" t="n">
        <v>3</v>
      </c>
      <c r="M861" t="inlineStr">
        <is>
          <t>Muçarela Mozzana 2 kg</t>
        </is>
      </c>
      <c r="N861" t="inlineStr">
        <is>
          <t>Padaria</t>
        </is>
      </c>
      <c r="O861" t="n">
        <v>10</v>
      </c>
      <c r="P861" t="n">
        <v>33</v>
      </c>
      <c r="Q861" t="n">
        <v>10</v>
      </c>
    </row>
    <row r="862">
      <c r="A862" t="n">
        <v>2025</v>
      </c>
      <c r="B862" t="n">
        <v>3</v>
      </c>
      <c r="C862" t="inlineStr">
        <is>
          <t>Muçarela Mozzana 2 kg</t>
        </is>
      </c>
      <c r="D862" t="inlineStr">
        <is>
          <t>Restaurante / Cantina</t>
        </is>
      </c>
      <c r="E862" t="n">
        <v>14170.33</v>
      </c>
      <c r="F862" t="n">
        <v>608.02</v>
      </c>
      <c r="G862" t="n">
        <v>301</v>
      </c>
      <c r="J862" t="inlineStr">
        <is>
          <t>M</t>
        </is>
      </c>
      <c r="K862" t="n">
        <v>2024</v>
      </c>
      <c r="L862" t="n">
        <v>3</v>
      </c>
      <c r="M862" t="inlineStr">
        <is>
          <t>Muçarela Mozzana 2 kg</t>
        </is>
      </c>
      <c r="N862" t="inlineStr">
        <is>
          <t>Padaria</t>
        </is>
      </c>
      <c r="O862" t="n">
        <v>8</v>
      </c>
      <c r="P862" t="n">
        <v>14</v>
      </c>
      <c r="Q862" t="n">
        <v>0</v>
      </c>
    </row>
    <row r="863">
      <c r="A863" t="n">
        <v>2025</v>
      </c>
      <c r="B863" t="n">
        <v>3</v>
      </c>
      <c r="C863" t="inlineStr">
        <is>
          <t>Muçarela Mozzana 2 kg</t>
        </is>
      </c>
      <c r="D863" t="inlineStr">
        <is>
          <t>Rotisserie</t>
        </is>
      </c>
      <c r="E863" t="n">
        <v>48.1</v>
      </c>
      <c r="F863" t="n">
        <v>2.02</v>
      </c>
      <c r="G863" t="n">
        <v>1</v>
      </c>
      <c r="J863" t="inlineStr">
        <is>
          <t>A</t>
        </is>
      </c>
      <c r="K863" t="n">
        <v>2024</v>
      </c>
      <c r="L863" t="n">
        <v>4</v>
      </c>
      <c r="M863" t="inlineStr">
        <is>
          <t>Muçarela Mozzana 2 kg</t>
        </is>
      </c>
      <c r="N863" t="inlineStr">
        <is>
          <t>Padaria</t>
        </is>
      </c>
      <c r="O863" t="n">
        <v>11</v>
      </c>
      <c r="P863" t="n">
        <v>50</v>
      </c>
      <c r="Q863" t="n">
        <v>11</v>
      </c>
    </row>
    <row r="864">
      <c r="A864" t="n">
        <v>2025</v>
      </c>
      <c r="B864" t="n">
        <v>3</v>
      </c>
      <c r="C864" t="inlineStr">
        <is>
          <t>Muçarela Mozzana 2 kg</t>
        </is>
      </c>
      <c r="D864" t="inlineStr">
        <is>
          <t>Supermercado</t>
        </is>
      </c>
      <c r="E864" t="n">
        <v>4924.36</v>
      </c>
      <c r="F864" t="n">
        <v>199.98</v>
      </c>
      <c r="G864" t="n">
        <v>99</v>
      </c>
      <c r="J864" t="inlineStr">
        <is>
          <t>M</t>
        </is>
      </c>
      <c r="K864" t="n">
        <v>2024</v>
      </c>
      <c r="L864" t="n">
        <v>4</v>
      </c>
      <c r="M864" t="inlineStr">
        <is>
          <t>Muçarela Mozzana 2 kg</t>
        </is>
      </c>
      <c r="N864" t="inlineStr">
        <is>
          <t>Padaria</t>
        </is>
      </c>
      <c r="O864" t="n">
        <v>10</v>
      </c>
      <c r="P864" t="n">
        <v>17</v>
      </c>
      <c r="Q864" t="n">
        <v>0</v>
      </c>
    </row>
    <row r="865">
      <c r="A865" t="n">
        <v>2025</v>
      </c>
      <c r="B865" t="n">
        <v>3</v>
      </c>
      <c r="C865" t="inlineStr">
        <is>
          <t>Requeijão Pizzalet 1,8 kg</t>
        </is>
      </c>
      <c r="D865" t="inlineStr">
        <is>
          <t>Bar / Chopperia</t>
        </is>
      </c>
      <c r="E865" t="n">
        <v>419.72</v>
      </c>
      <c r="F865" t="n">
        <v>51.52</v>
      </c>
      <c r="G865" t="n">
        <v>28</v>
      </c>
      <c r="J865" t="inlineStr">
        <is>
          <t>A</t>
        </is>
      </c>
      <c r="K865" t="n">
        <v>2024</v>
      </c>
      <c r="L865" t="n">
        <v>5</v>
      </c>
      <c r="M865" t="inlineStr">
        <is>
          <t>Muçarela Mozzana 2 kg</t>
        </is>
      </c>
      <c r="N865" t="inlineStr">
        <is>
          <t>Padaria</t>
        </is>
      </c>
      <c r="O865" t="n">
        <v>11</v>
      </c>
      <c r="P865" t="n">
        <v>61</v>
      </c>
      <c r="Q865" t="n">
        <v>11</v>
      </c>
    </row>
    <row r="866">
      <c r="A866" t="n">
        <v>2025</v>
      </c>
      <c r="B866" t="n">
        <v>3</v>
      </c>
      <c r="C866" t="inlineStr">
        <is>
          <t>Requeijão Pizzalet 1,8 kg</t>
        </is>
      </c>
      <c r="D866" t="inlineStr">
        <is>
          <t>Lanchonete / Cafeteria</t>
        </is>
      </c>
      <c r="E866" t="n">
        <v>1358.46</v>
      </c>
      <c r="F866" t="n">
        <v>165.6</v>
      </c>
      <c r="G866" t="n">
        <v>90</v>
      </c>
      <c r="J866" t="inlineStr">
        <is>
          <t>M</t>
        </is>
      </c>
      <c r="K866" t="n">
        <v>2024</v>
      </c>
      <c r="L866" t="n">
        <v>5</v>
      </c>
      <c r="M866" t="inlineStr">
        <is>
          <t>Muçarela Mozzana 2 kg</t>
        </is>
      </c>
      <c r="N866" t="inlineStr">
        <is>
          <t>Padaria</t>
        </is>
      </c>
      <c r="O866" t="n">
        <v>7</v>
      </c>
      <c r="P866" t="n">
        <v>11</v>
      </c>
      <c r="Q866" t="n">
        <v>0</v>
      </c>
    </row>
    <row r="867">
      <c r="A867" t="n">
        <v>2025</v>
      </c>
      <c r="B867" t="n">
        <v>3</v>
      </c>
      <c r="C867" t="inlineStr">
        <is>
          <t>Requeijão Pizzalet 1,8 kg</t>
        </is>
      </c>
      <c r="D867" t="inlineStr">
        <is>
          <t>Outros</t>
        </is>
      </c>
      <c r="E867" t="n">
        <v>503.91</v>
      </c>
      <c r="F867" t="n">
        <v>60.72</v>
      </c>
      <c r="G867" t="n">
        <v>33</v>
      </c>
      <c r="J867" t="inlineStr">
        <is>
          <t>A</t>
        </is>
      </c>
      <c r="K867" t="n">
        <v>2024</v>
      </c>
      <c r="L867" t="n">
        <v>6</v>
      </c>
      <c r="M867" t="inlineStr">
        <is>
          <t>Muçarela Mozzana 2 kg</t>
        </is>
      </c>
      <c r="N867" t="inlineStr">
        <is>
          <t>Padaria</t>
        </is>
      </c>
      <c r="O867" t="n">
        <v>12</v>
      </c>
      <c r="P867" t="n">
        <v>75</v>
      </c>
      <c r="Q867" t="n">
        <v>12</v>
      </c>
    </row>
    <row r="868">
      <c r="A868" t="n">
        <v>2025</v>
      </c>
      <c r="B868" t="n">
        <v>3</v>
      </c>
      <c r="C868" t="inlineStr">
        <is>
          <t>Requeijão Pizzalet 1,8 kg</t>
        </is>
      </c>
      <c r="D868" t="inlineStr">
        <is>
          <t>Pastelaria</t>
        </is>
      </c>
      <c r="E868" t="n">
        <v>2291.59</v>
      </c>
      <c r="F868" t="n">
        <v>274.16</v>
      </c>
      <c r="G868" t="n">
        <v>149</v>
      </c>
      <c r="J868" t="inlineStr">
        <is>
          <t>M</t>
        </is>
      </c>
      <c r="K868" t="n">
        <v>2024</v>
      </c>
      <c r="L868" t="n">
        <v>6</v>
      </c>
      <c r="M868" t="inlineStr">
        <is>
          <t>Muçarela Mozzana 2 kg</t>
        </is>
      </c>
      <c r="N868" t="inlineStr">
        <is>
          <t>Padaria</t>
        </is>
      </c>
      <c r="O868" t="n">
        <v>9</v>
      </c>
      <c r="P868" t="n">
        <v>14</v>
      </c>
      <c r="Q868" t="n">
        <v>0</v>
      </c>
    </row>
    <row r="869">
      <c r="A869" t="n">
        <v>2025</v>
      </c>
      <c r="B869" t="n">
        <v>3</v>
      </c>
      <c r="C869" t="inlineStr">
        <is>
          <t>Requeijão Pizzalet 1,8 kg</t>
        </is>
      </c>
      <c r="D869" t="inlineStr">
        <is>
          <t>Pizzaria</t>
        </is>
      </c>
      <c r="E869" t="n">
        <v>4008.01</v>
      </c>
      <c r="F869" t="n">
        <v>469.2</v>
      </c>
      <c r="G869" t="n">
        <v>255</v>
      </c>
      <c r="J869" t="inlineStr">
        <is>
          <t>A</t>
        </is>
      </c>
      <c r="K869" t="n">
        <v>2024</v>
      </c>
      <c r="L869" t="n">
        <v>7</v>
      </c>
      <c r="M869" t="inlineStr">
        <is>
          <t>Muçarela Mozzana 2 kg</t>
        </is>
      </c>
      <c r="N869" t="inlineStr">
        <is>
          <t>Padaria</t>
        </is>
      </c>
      <c r="O869" t="n">
        <v>13</v>
      </c>
      <c r="P869" t="n">
        <v>87</v>
      </c>
      <c r="Q869" t="n">
        <v>13</v>
      </c>
    </row>
    <row r="870">
      <c r="A870" t="n">
        <v>2025</v>
      </c>
      <c r="B870" t="n">
        <v>3</v>
      </c>
      <c r="C870" t="inlineStr">
        <is>
          <t>Requeijão Pizzalet 1,8 kg</t>
        </is>
      </c>
      <c r="D870" t="inlineStr">
        <is>
          <t>Restaurante / Cantina</t>
        </is>
      </c>
      <c r="E870" t="n">
        <v>76.75</v>
      </c>
      <c r="F870" t="n">
        <v>9.199999999999999</v>
      </c>
      <c r="G870" t="n">
        <v>5</v>
      </c>
      <c r="J870" t="inlineStr">
        <is>
          <t>M</t>
        </is>
      </c>
      <c r="K870" t="n">
        <v>2024</v>
      </c>
      <c r="L870" t="n">
        <v>7</v>
      </c>
      <c r="M870" t="inlineStr">
        <is>
          <t>Muçarela Mozzana 2 kg</t>
        </is>
      </c>
      <c r="N870" t="inlineStr">
        <is>
          <t>Padaria</t>
        </is>
      </c>
      <c r="O870" t="n">
        <v>7</v>
      </c>
      <c r="P870" t="n">
        <v>12</v>
      </c>
      <c r="Q870" t="n">
        <v>0</v>
      </c>
    </row>
    <row r="871">
      <c r="A871" t="n">
        <v>2025</v>
      </c>
      <c r="B871" t="n">
        <v>4</v>
      </c>
      <c r="C871" t="inlineStr">
        <is>
          <t>Chocolate em pó 50% 1 kg</t>
        </is>
      </c>
      <c r="D871" t="inlineStr">
        <is>
          <t>Colaborador</t>
        </is>
      </c>
      <c r="E871" t="n">
        <v>39.86</v>
      </c>
      <c r="F871" t="n">
        <v>1.02</v>
      </c>
      <c r="G871" t="n">
        <v>1</v>
      </c>
      <c r="J871" t="inlineStr">
        <is>
          <t>A</t>
        </is>
      </c>
      <c r="K871" t="n">
        <v>2024</v>
      </c>
      <c r="L871" t="n">
        <v>8</v>
      </c>
      <c r="M871" t="inlineStr">
        <is>
          <t>Muçarela Mozzana 2 kg</t>
        </is>
      </c>
      <c r="N871" t="inlineStr">
        <is>
          <t>Padaria</t>
        </is>
      </c>
      <c r="O871" t="n">
        <v>13</v>
      </c>
      <c r="P871" t="n">
        <v>96</v>
      </c>
      <c r="Q871" t="n">
        <v>13</v>
      </c>
    </row>
    <row r="872">
      <c r="A872" t="n">
        <v>2025</v>
      </c>
      <c r="B872" t="n">
        <v>4</v>
      </c>
      <c r="C872" t="inlineStr">
        <is>
          <t>Chocolate em pó 50% 1 kg</t>
        </is>
      </c>
      <c r="D872" t="inlineStr">
        <is>
          <t>Hamburgueria</t>
        </is>
      </c>
      <c r="E872" t="n">
        <v>116.37</v>
      </c>
      <c r="F872" t="n">
        <v>3.06</v>
      </c>
      <c r="G872" t="n">
        <v>3</v>
      </c>
      <c r="J872" t="inlineStr">
        <is>
          <t>M</t>
        </is>
      </c>
      <c r="K872" t="n">
        <v>2024</v>
      </c>
      <c r="L872" t="n">
        <v>8</v>
      </c>
      <c r="M872" t="inlineStr">
        <is>
          <t>Muçarela Mozzana 2 kg</t>
        </is>
      </c>
      <c r="N872" t="inlineStr">
        <is>
          <t>Padaria</t>
        </is>
      </c>
      <c r="O872" t="n">
        <v>8</v>
      </c>
      <c r="P872" t="n">
        <v>9</v>
      </c>
      <c r="Q872" t="n">
        <v>0</v>
      </c>
    </row>
    <row r="873">
      <c r="A873" t="n">
        <v>2025</v>
      </c>
      <c r="B873" t="n">
        <v>4</v>
      </c>
      <c r="C873" t="inlineStr">
        <is>
          <t>Chocolate em pó 50% 1 kg</t>
        </is>
      </c>
      <c r="D873" t="inlineStr">
        <is>
          <t>Hotel / Motel / Pousada</t>
        </is>
      </c>
      <c r="E873" t="n">
        <v>587.78</v>
      </c>
      <c r="F873" t="n">
        <v>15.3</v>
      </c>
      <c r="G873" t="n">
        <v>15</v>
      </c>
      <c r="J873" t="inlineStr">
        <is>
          <t>A</t>
        </is>
      </c>
      <c r="K873" t="n">
        <v>2024</v>
      </c>
      <c r="L873" t="n">
        <v>9</v>
      </c>
      <c r="M873" t="inlineStr">
        <is>
          <t>Muçarela Mozzana 2 kg</t>
        </is>
      </c>
      <c r="N873" t="inlineStr">
        <is>
          <t>Padaria</t>
        </is>
      </c>
      <c r="O873" t="n">
        <v>14</v>
      </c>
      <c r="P873" t="n">
        <v>107</v>
      </c>
      <c r="Q873" t="n">
        <v>14</v>
      </c>
    </row>
    <row r="874">
      <c r="A874" t="n">
        <v>2025</v>
      </c>
      <c r="B874" t="n">
        <v>4</v>
      </c>
      <c r="C874" t="inlineStr">
        <is>
          <t>Chocolate em pó 50% 1 kg</t>
        </is>
      </c>
      <c r="D874" t="inlineStr">
        <is>
          <t>Padaria</t>
        </is>
      </c>
      <c r="E874" t="n">
        <v>77.86</v>
      </c>
      <c r="F874" t="n">
        <v>2.04</v>
      </c>
      <c r="G874" t="n">
        <v>2</v>
      </c>
      <c r="J874" t="inlineStr">
        <is>
          <t>M</t>
        </is>
      </c>
      <c r="K874" t="n">
        <v>2024</v>
      </c>
      <c r="L874" t="n">
        <v>9</v>
      </c>
      <c r="M874" t="inlineStr">
        <is>
          <t>Muçarela Mozzana 2 kg</t>
        </is>
      </c>
      <c r="N874" t="inlineStr">
        <is>
          <t>Padaria</t>
        </is>
      </c>
      <c r="O874" t="n">
        <v>6</v>
      </c>
      <c r="P874" t="n">
        <v>11</v>
      </c>
      <c r="Q874" t="n">
        <v>0</v>
      </c>
    </row>
    <row r="875">
      <c r="A875" t="n">
        <v>2025</v>
      </c>
      <c r="B875" t="n">
        <v>4</v>
      </c>
      <c r="C875" t="inlineStr">
        <is>
          <t>Chocolate em pó 50% 1 kg</t>
        </is>
      </c>
      <c r="D875" t="inlineStr">
        <is>
          <t>Pizzaria</t>
        </is>
      </c>
      <c r="E875" t="n">
        <v>39.56</v>
      </c>
      <c r="F875" t="n">
        <v>1.02</v>
      </c>
      <c r="G875" t="n">
        <v>1</v>
      </c>
      <c r="J875" t="inlineStr">
        <is>
          <t>A</t>
        </is>
      </c>
      <c r="K875" t="n">
        <v>2024</v>
      </c>
      <c r="L875" t="n">
        <v>10</v>
      </c>
      <c r="M875" t="inlineStr">
        <is>
          <t>Muçarela Mozzana 2 kg</t>
        </is>
      </c>
      <c r="N875" t="inlineStr">
        <is>
          <t>Padaria</t>
        </is>
      </c>
      <c r="O875" t="n">
        <v>14</v>
      </c>
      <c r="P875" t="n">
        <v>121</v>
      </c>
      <c r="Q875" t="n">
        <v>14</v>
      </c>
    </row>
    <row r="876">
      <c r="A876" t="n">
        <v>2025</v>
      </c>
      <c r="B876" t="n">
        <v>4</v>
      </c>
      <c r="C876" t="inlineStr">
        <is>
          <t>Chocolate em pó 50% 1 kg</t>
        </is>
      </c>
      <c r="D876" t="inlineStr">
        <is>
          <t>Restaurante / Cantina</t>
        </is>
      </c>
      <c r="E876" t="n">
        <v>118.68</v>
      </c>
      <c r="F876" t="n">
        <v>3.06</v>
      </c>
      <c r="G876" t="n">
        <v>3</v>
      </c>
      <c r="J876" t="inlineStr">
        <is>
          <t>M</t>
        </is>
      </c>
      <c r="K876" t="n">
        <v>2024</v>
      </c>
      <c r="L876" t="n">
        <v>10</v>
      </c>
      <c r="M876" t="inlineStr">
        <is>
          <t>Muçarela Mozzana 2 kg</t>
        </is>
      </c>
      <c r="N876" t="inlineStr">
        <is>
          <t>Padaria</t>
        </is>
      </c>
      <c r="O876" t="n">
        <v>7</v>
      </c>
      <c r="P876" t="n">
        <v>14</v>
      </c>
      <c r="Q876" t="n">
        <v>0</v>
      </c>
    </row>
    <row r="877">
      <c r="A877" t="n">
        <v>2025</v>
      </c>
      <c r="B877" t="n">
        <v>4</v>
      </c>
      <c r="C877" t="inlineStr">
        <is>
          <t>Composto lácteo Alibralac 1 kg</t>
        </is>
      </c>
      <c r="D877" t="inlineStr">
        <is>
          <t>Churrascaria</t>
        </is>
      </c>
      <c r="E877" t="n">
        <v>43.98</v>
      </c>
      <c r="F877" t="n">
        <v>2.04</v>
      </c>
      <c r="G877" t="n">
        <v>2</v>
      </c>
      <c r="J877" t="inlineStr">
        <is>
          <t>A</t>
        </is>
      </c>
      <c r="K877" t="n">
        <v>2024</v>
      </c>
      <c r="L877" t="n">
        <v>11</v>
      </c>
      <c r="M877" t="inlineStr">
        <is>
          <t>Muçarela Mozzana 2 kg</t>
        </is>
      </c>
      <c r="N877" t="inlineStr">
        <is>
          <t>Padaria</t>
        </is>
      </c>
      <c r="O877" t="n">
        <v>14</v>
      </c>
      <c r="P877" t="n">
        <v>131</v>
      </c>
      <c r="Q877" t="n">
        <v>14</v>
      </c>
    </row>
    <row r="878">
      <c r="A878" t="n">
        <v>2025</v>
      </c>
      <c r="B878" t="n">
        <v>4</v>
      </c>
      <c r="C878" t="inlineStr">
        <is>
          <t>Composto lácteo Alibralac 1 kg</t>
        </is>
      </c>
      <c r="D878" t="inlineStr">
        <is>
          <t>Cozinha Industrial</t>
        </is>
      </c>
      <c r="E878" t="n">
        <v>220</v>
      </c>
      <c r="F878" t="n">
        <v>10.2</v>
      </c>
      <c r="G878" t="n">
        <v>10</v>
      </c>
      <c r="J878" t="inlineStr">
        <is>
          <t>M</t>
        </is>
      </c>
      <c r="K878" t="n">
        <v>2024</v>
      </c>
      <c r="L878" t="n">
        <v>11</v>
      </c>
      <c r="M878" t="inlineStr">
        <is>
          <t>Muçarela Mozzana 2 kg</t>
        </is>
      </c>
      <c r="N878" t="inlineStr">
        <is>
          <t>Padaria</t>
        </is>
      </c>
      <c r="O878" t="n">
        <v>8</v>
      </c>
      <c r="P878" t="n">
        <v>10</v>
      </c>
      <c r="Q878" t="n">
        <v>0</v>
      </c>
    </row>
    <row r="879">
      <c r="A879" t="n">
        <v>2025</v>
      </c>
      <c r="B879" t="n">
        <v>4</v>
      </c>
      <c r="C879" t="inlineStr">
        <is>
          <t>Composto lácteo Alibralac 1 kg</t>
        </is>
      </c>
      <c r="D879" t="inlineStr">
        <is>
          <t>Pastelaria</t>
        </is>
      </c>
      <c r="E879" t="n">
        <v>210</v>
      </c>
      <c r="F879" t="n">
        <v>10.2</v>
      </c>
      <c r="G879" t="n">
        <v>10</v>
      </c>
      <c r="J879" t="inlineStr">
        <is>
          <t>A</t>
        </is>
      </c>
      <c r="K879" t="n">
        <v>2024</v>
      </c>
      <c r="L879" t="n">
        <v>12</v>
      </c>
      <c r="M879" t="inlineStr">
        <is>
          <t>Muçarela Mozzana 2 kg</t>
        </is>
      </c>
      <c r="N879" t="inlineStr">
        <is>
          <t>Padaria</t>
        </is>
      </c>
      <c r="O879" t="n">
        <v>14</v>
      </c>
      <c r="P879" t="n">
        <v>141</v>
      </c>
      <c r="Q879" t="n">
        <v>14</v>
      </c>
    </row>
    <row r="880">
      <c r="A880" t="n">
        <v>2025</v>
      </c>
      <c r="B880" t="n">
        <v>4</v>
      </c>
      <c r="C880" t="inlineStr">
        <is>
          <t>Composto lácteo Alibralac 1 kg</t>
        </is>
      </c>
      <c r="D880" t="inlineStr">
        <is>
          <t>Pizzaria</t>
        </is>
      </c>
      <c r="E880" t="n">
        <v>1351.35</v>
      </c>
      <c r="F880" t="n">
        <v>66.3</v>
      </c>
      <c r="G880" t="n">
        <v>65</v>
      </c>
      <c r="J880" t="inlineStr">
        <is>
          <t>M</t>
        </is>
      </c>
      <c r="K880" t="n">
        <v>2024</v>
      </c>
      <c r="L880" t="n">
        <v>12</v>
      </c>
      <c r="M880" t="inlineStr">
        <is>
          <t>Muçarela Mozzana 2 kg</t>
        </is>
      </c>
      <c r="N880" t="inlineStr">
        <is>
          <t>Padaria</t>
        </is>
      </c>
      <c r="O880" t="n">
        <v>6</v>
      </c>
      <c r="P880" t="n">
        <v>10</v>
      </c>
      <c r="Q880" t="n">
        <v>0</v>
      </c>
    </row>
    <row r="881">
      <c r="A881" t="n">
        <v>2025</v>
      </c>
      <c r="B881" t="n">
        <v>4</v>
      </c>
      <c r="C881" t="inlineStr">
        <is>
          <t>Composto lácteo Alibralac 1 kg</t>
        </is>
      </c>
      <c r="D881" t="inlineStr">
        <is>
          <t>Restaurante / Cantina</t>
        </is>
      </c>
      <c r="E881" t="n">
        <v>212.9</v>
      </c>
      <c r="F881" t="n">
        <v>10.2</v>
      </c>
      <c r="G881" t="n">
        <v>10</v>
      </c>
      <c r="J881" t="inlineStr">
        <is>
          <t>A</t>
        </is>
      </c>
      <c r="K881" t="n">
        <v>2024</v>
      </c>
      <c r="L881" t="n">
        <v>1</v>
      </c>
      <c r="M881" t="inlineStr">
        <is>
          <t>Muçarela Mozzana 2 kg</t>
        </is>
      </c>
      <c r="N881" t="inlineStr">
        <is>
          <t>Supermercado</t>
        </is>
      </c>
      <c r="O881" t="n">
        <v>4</v>
      </c>
      <c r="P881" t="n">
        <v>10</v>
      </c>
      <c r="Q881" t="n">
        <v>4</v>
      </c>
    </row>
    <row r="882">
      <c r="A882" t="n">
        <v>2025</v>
      </c>
      <c r="B882" t="n">
        <v>4</v>
      </c>
      <c r="C882" t="inlineStr">
        <is>
          <t>Composto lácteo Merilú 400 g</t>
        </is>
      </c>
      <c r="D882" t="inlineStr">
        <is>
          <t>Outros</t>
        </is>
      </c>
      <c r="E882" t="n">
        <v>524.46</v>
      </c>
      <c r="F882" t="n">
        <v>31.08</v>
      </c>
      <c r="G882" t="n">
        <v>74</v>
      </c>
      <c r="J882" t="inlineStr">
        <is>
          <t>M</t>
        </is>
      </c>
      <c r="K882" t="n">
        <v>2024</v>
      </c>
      <c r="L882" t="n">
        <v>1</v>
      </c>
      <c r="M882" t="inlineStr">
        <is>
          <t>Muçarela Mozzana 2 kg</t>
        </is>
      </c>
      <c r="N882" t="inlineStr">
        <is>
          <t>Supermercado</t>
        </is>
      </c>
      <c r="O882" t="n">
        <v>4</v>
      </c>
      <c r="P882" t="n">
        <v>10</v>
      </c>
      <c r="Q882" t="n">
        <v>0</v>
      </c>
    </row>
    <row r="883">
      <c r="A883" t="n">
        <v>2025</v>
      </c>
      <c r="B883" t="n">
        <v>4</v>
      </c>
      <c r="C883" t="inlineStr">
        <is>
          <t>Composto lácteo Merilú 400 g</t>
        </is>
      </c>
      <c r="D883" t="inlineStr">
        <is>
          <t>Pessoa Física</t>
        </is>
      </c>
      <c r="E883" t="n">
        <v>45.54</v>
      </c>
      <c r="F883" t="n">
        <v>2.52</v>
      </c>
      <c r="G883" t="n">
        <v>6</v>
      </c>
      <c r="J883" t="inlineStr">
        <is>
          <t>A</t>
        </is>
      </c>
      <c r="K883" t="n">
        <v>2024</v>
      </c>
      <c r="L883" t="n">
        <v>2</v>
      </c>
      <c r="M883" t="inlineStr">
        <is>
          <t>Muçarela Mozzana 2 kg</t>
        </is>
      </c>
      <c r="N883" t="inlineStr">
        <is>
          <t>Supermercado</t>
        </is>
      </c>
      <c r="O883" t="n">
        <v>4</v>
      </c>
      <c r="P883" t="n">
        <v>20</v>
      </c>
      <c r="Q883" t="n">
        <v>4</v>
      </c>
    </row>
    <row r="884">
      <c r="A884" t="n">
        <v>2025</v>
      </c>
      <c r="B884" t="n">
        <v>4</v>
      </c>
      <c r="C884" t="inlineStr">
        <is>
          <t>Composto lácteo Merilú 400 g</t>
        </is>
      </c>
      <c r="D884" t="inlineStr">
        <is>
          <t>Pizzaria</t>
        </is>
      </c>
      <c r="E884" t="n">
        <v>33.1</v>
      </c>
      <c r="F884" t="n">
        <v>2.1</v>
      </c>
      <c r="G884" t="n">
        <v>5</v>
      </c>
      <c r="J884" t="inlineStr">
        <is>
          <t>M</t>
        </is>
      </c>
      <c r="K884" t="n">
        <v>2024</v>
      </c>
      <c r="L884" t="n">
        <v>2</v>
      </c>
      <c r="M884" t="inlineStr">
        <is>
          <t>Muçarela Mozzana 2 kg</t>
        </is>
      </c>
      <c r="N884" t="inlineStr">
        <is>
          <t>Supermercado</t>
        </is>
      </c>
      <c r="O884" t="n">
        <v>2</v>
      </c>
      <c r="P884" t="n">
        <v>10</v>
      </c>
      <c r="Q884" t="n">
        <v>0</v>
      </c>
    </row>
    <row r="885">
      <c r="A885" t="n">
        <v>2025</v>
      </c>
      <c r="B885" t="n">
        <v>4</v>
      </c>
      <c r="C885" t="inlineStr">
        <is>
          <t>Composto lácteo Merilú 400 g</t>
        </is>
      </c>
      <c r="D885" t="inlineStr">
        <is>
          <t>Restaurante / Cantina</t>
        </is>
      </c>
      <c r="E885" t="n">
        <v>615.96</v>
      </c>
      <c r="F885" t="n">
        <v>38.22</v>
      </c>
      <c r="G885" t="n">
        <v>91</v>
      </c>
      <c r="J885" t="inlineStr">
        <is>
          <t>A</t>
        </is>
      </c>
      <c r="K885" t="n">
        <v>2024</v>
      </c>
      <c r="L885" t="n">
        <v>3</v>
      </c>
      <c r="M885" t="inlineStr">
        <is>
          <t>Muçarela Mozzana 2 kg</t>
        </is>
      </c>
      <c r="N885" t="inlineStr">
        <is>
          <t>Supermercado</t>
        </is>
      </c>
      <c r="O885" t="n">
        <v>5</v>
      </c>
      <c r="P885" t="n">
        <v>29</v>
      </c>
      <c r="Q885" t="n">
        <v>5</v>
      </c>
    </row>
    <row r="886">
      <c r="A886" t="n">
        <v>2025</v>
      </c>
      <c r="B886" t="n">
        <v>4</v>
      </c>
      <c r="C886" t="inlineStr">
        <is>
          <t>Composto lácteo Merilú 400 g</t>
        </is>
      </c>
      <c r="D886" t="inlineStr">
        <is>
          <t>Supermercado</t>
        </is>
      </c>
      <c r="E886" t="n">
        <v>315.85</v>
      </c>
      <c r="F886" t="n">
        <v>18.9</v>
      </c>
      <c r="G886" t="n">
        <v>45</v>
      </c>
      <c r="J886" t="inlineStr">
        <is>
          <t>M</t>
        </is>
      </c>
      <c r="K886" t="n">
        <v>2024</v>
      </c>
      <c r="L886" t="n">
        <v>3</v>
      </c>
      <c r="M886" t="inlineStr">
        <is>
          <t>Muçarela Mozzana 2 kg</t>
        </is>
      </c>
      <c r="N886" t="inlineStr">
        <is>
          <t>Supermercado</t>
        </is>
      </c>
      <c r="O886" t="n">
        <v>3</v>
      </c>
      <c r="P886" t="n">
        <v>9</v>
      </c>
      <c r="Q886" t="n">
        <v>0</v>
      </c>
    </row>
    <row r="887">
      <c r="A887" t="n">
        <v>2025</v>
      </c>
      <c r="B887" t="n">
        <v>4</v>
      </c>
      <c r="C887" t="inlineStr">
        <is>
          <t>Muçarela Mozzalet 2 kg</t>
        </is>
      </c>
      <c r="D887" t="inlineStr">
        <is>
          <t>Cozinha Industrial</t>
        </is>
      </c>
      <c r="E887" t="n">
        <v>4408.38</v>
      </c>
      <c r="F887" t="n">
        <v>202</v>
      </c>
      <c r="G887" t="n">
        <v>101</v>
      </c>
      <c r="J887" t="inlineStr">
        <is>
          <t>A</t>
        </is>
      </c>
      <c r="K887" t="n">
        <v>2024</v>
      </c>
      <c r="L887" t="n">
        <v>4</v>
      </c>
      <c r="M887" t="inlineStr">
        <is>
          <t>Muçarela Mozzana 2 kg</t>
        </is>
      </c>
      <c r="N887" t="inlineStr">
        <is>
          <t>Supermercado</t>
        </is>
      </c>
      <c r="O887" t="n">
        <v>5</v>
      </c>
      <c r="P887" t="n">
        <v>40</v>
      </c>
      <c r="Q887" t="n">
        <v>5</v>
      </c>
    </row>
    <row r="888">
      <c r="A888" t="n">
        <v>2025</v>
      </c>
      <c r="B888" t="n">
        <v>4</v>
      </c>
      <c r="C888" t="inlineStr">
        <is>
          <t>Muçarela Mozzalet 2 kg</t>
        </is>
      </c>
      <c r="D888" t="inlineStr">
        <is>
          <t>Cozinha Oriental</t>
        </is>
      </c>
      <c r="E888" t="n">
        <v>514</v>
      </c>
      <c r="F888" t="n">
        <v>24</v>
      </c>
      <c r="G888" t="n">
        <v>12</v>
      </c>
      <c r="J888" t="inlineStr">
        <is>
          <t>M</t>
        </is>
      </c>
      <c r="K888" t="n">
        <v>2024</v>
      </c>
      <c r="L888" t="n">
        <v>4</v>
      </c>
      <c r="M888" t="inlineStr">
        <is>
          <t>Muçarela Mozzana 2 kg</t>
        </is>
      </c>
      <c r="N888" t="inlineStr">
        <is>
          <t>Supermercado</t>
        </is>
      </c>
      <c r="O888" t="n">
        <v>3</v>
      </c>
      <c r="P888" t="n">
        <v>11</v>
      </c>
      <c r="Q888" t="n">
        <v>0</v>
      </c>
    </row>
    <row r="889">
      <c r="A889" t="n">
        <v>2025</v>
      </c>
      <c r="B889" t="n">
        <v>4</v>
      </c>
      <c r="C889" t="inlineStr">
        <is>
          <t>Muçarela Mozzalet 2 kg</t>
        </is>
      </c>
      <c r="D889" t="inlineStr">
        <is>
          <t>Fábrica de Massas</t>
        </is>
      </c>
      <c r="E889" t="n">
        <v>21917.5</v>
      </c>
      <c r="F889" t="n">
        <v>1020</v>
      </c>
      <c r="G889" t="n">
        <v>510</v>
      </c>
      <c r="J889" t="inlineStr">
        <is>
          <t>A</t>
        </is>
      </c>
      <c r="K889" t="n">
        <v>2024</v>
      </c>
      <c r="L889" t="n">
        <v>5</v>
      </c>
      <c r="M889" t="inlineStr">
        <is>
          <t>Muçarela Mozzana 2 kg</t>
        </is>
      </c>
      <c r="N889" t="inlineStr">
        <is>
          <t>Supermercado</t>
        </is>
      </c>
      <c r="O889" t="n">
        <v>5</v>
      </c>
      <c r="P889" t="n">
        <v>51</v>
      </c>
      <c r="Q889" t="n">
        <v>5</v>
      </c>
    </row>
    <row r="890">
      <c r="A890" t="n">
        <v>2025</v>
      </c>
      <c r="B890" t="n">
        <v>4</v>
      </c>
      <c r="C890" t="inlineStr">
        <is>
          <t>Muçarela Mozzalet 2 kg</t>
        </is>
      </c>
      <c r="D890" t="inlineStr">
        <is>
          <t>Hamburgueria</t>
        </is>
      </c>
      <c r="E890" t="n">
        <v>676.8</v>
      </c>
      <c r="F890" t="n">
        <v>30</v>
      </c>
      <c r="G890" t="n">
        <v>15</v>
      </c>
      <c r="J890" t="inlineStr">
        <is>
          <t>M</t>
        </is>
      </c>
      <c r="K890" t="n">
        <v>2024</v>
      </c>
      <c r="L890" t="n">
        <v>5</v>
      </c>
      <c r="M890" t="inlineStr">
        <is>
          <t>Muçarela Mozzana 2 kg</t>
        </is>
      </c>
      <c r="N890" t="inlineStr">
        <is>
          <t>Supermercado</t>
        </is>
      </c>
      <c r="O890" t="n">
        <v>3</v>
      </c>
      <c r="P890" t="n">
        <v>11</v>
      </c>
      <c r="Q890" t="n">
        <v>0</v>
      </c>
    </row>
    <row r="891">
      <c r="A891" t="n">
        <v>2025</v>
      </c>
      <c r="B891" t="n">
        <v>4</v>
      </c>
      <c r="C891" t="inlineStr">
        <is>
          <t>Muçarela Mozzalet 2 kg</t>
        </is>
      </c>
      <c r="D891" t="inlineStr">
        <is>
          <t>Lanchonete / Cafeteria</t>
        </is>
      </c>
      <c r="E891" t="n">
        <v>1733.53</v>
      </c>
      <c r="F891" t="n">
        <v>76</v>
      </c>
      <c r="G891" t="n">
        <v>38</v>
      </c>
      <c r="J891" t="inlineStr">
        <is>
          <t>A</t>
        </is>
      </c>
      <c r="K891" t="n">
        <v>2024</v>
      </c>
      <c r="L891" t="n">
        <v>6</v>
      </c>
      <c r="M891" t="inlineStr">
        <is>
          <t>Muçarela Mozzana 2 kg</t>
        </is>
      </c>
      <c r="N891" t="inlineStr">
        <is>
          <t>Supermercado</t>
        </is>
      </c>
      <c r="O891" t="n">
        <v>6</v>
      </c>
      <c r="P891" t="n">
        <v>65</v>
      </c>
      <c r="Q891" t="n">
        <v>6</v>
      </c>
    </row>
    <row r="892">
      <c r="A892" t="n">
        <v>2025</v>
      </c>
      <c r="B892" t="n">
        <v>4</v>
      </c>
      <c r="C892" t="inlineStr">
        <is>
          <t>Muçarela Mozzalet 2 kg</t>
        </is>
      </c>
      <c r="D892" t="inlineStr">
        <is>
          <t>Outros</t>
        </is>
      </c>
      <c r="E892" t="n">
        <v>2496.12</v>
      </c>
      <c r="F892" t="n">
        <v>110</v>
      </c>
      <c r="G892" t="n">
        <v>55</v>
      </c>
      <c r="J892" t="inlineStr">
        <is>
          <t>M</t>
        </is>
      </c>
      <c r="K892" t="n">
        <v>2024</v>
      </c>
      <c r="L892" t="n">
        <v>6</v>
      </c>
      <c r="M892" t="inlineStr">
        <is>
          <t>Muçarela Mozzana 2 kg</t>
        </is>
      </c>
      <c r="N892" t="inlineStr">
        <is>
          <t>Supermercado</t>
        </is>
      </c>
      <c r="O892" t="n">
        <v>6</v>
      </c>
      <c r="P892" t="n">
        <v>14</v>
      </c>
      <c r="Q892" t="n">
        <v>0</v>
      </c>
    </row>
    <row r="893">
      <c r="A893" t="n">
        <v>2025</v>
      </c>
      <c r="B893" t="n">
        <v>4</v>
      </c>
      <c r="C893" t="inlineStr">
        <is>
          <t>Muçarela Mozzalet 2 kg</t>
        </is>
      </c>
      <c r="D893" t="inlineStr">
        <is>
          <t>Padaria</t>
        </is>
      </c>
      <c r="E893" t="n">
        <v>1597.37</v>
      </c>
      <c r="F893" t="n">
        <v>70</v>
      </c>
      <c r="G893" t="n">
        <v>35</v>
      </c>
      <c r="J893" t="inlineStr">
        <is>
          <t>A</t>
        </is>
      </c>
      <c r="K893" t="n">
        <v>2024</v>
      </c>
      <c r="L893" t="n">
        <v>7</v>
      </c>
      <c r="M893" t="inlineStr">
        <is>
          <t>Muçarela Mozzana 2 kg</t>
        </is>
      </c>
      <c r="N893" t="inlineStr">
        <is>
          <t>Supermercado</t>
        </is>
      </c>
      <c r="O893" t="n">
        <v>6</v>
      </c>
      <c r="P893" t="n">
        <v>73</v>
      </c>
      <c r="Q893" t="n">
        <v>6</v>
      </c>
    </row>
    <row r="894">
      <c r="A894" t="n">
        <v>2025</v>
      </c>
      <c r="B894" t="n">
        <v>4</v>
      </c>
      <c r="C894" t="inlineStr">
        <is>
          <t>Muçarela Mozzalet 2 kg</t>
        </is>
      </c>
      <c r="D894" t="inlineStr">
        <is>
          <t>Pastelaria</t>
        </is>
      </c>
      <c r="E894" t="n">
        <v>3251.59</v>
      </c>
      <c r="F894" t="n">
        <v>148</v>
      </c>
      <c r="G894" t="n">
        <v>74</v>
      </c>
      <c r="J894" t="inlineStr">
        <is>
          <t>M</t>
        </is>
      </c>
      <c r="K894" t="n">
        <v>2024</v>
      </c>
      <c r="L894" t="n">
        <v>7</v>
      </c>
      <c r="M894" t="inlineStr">
        <is>
          <t>Muçarela Mozzana 2 kg</t>
        </is>
      </c>
      <c r="N894" t="inlineStr">
        <is>
          <t>Supermercado</t>
        </is>
      </c>
      <c r="O894" t="n">
        <v>3</v>
      </c>
      <c r="P894" t="n">
        <v>8</v>
      </c>
      <c r="Q894" t="n">
        <v>0</v>
      </c>
    </row>
    <row r="895">
      <c r="A895" t="n">
        <v>2025</v>
      </c>
      <c r="B895" t="n">
        <v>4</v>
      </c>
      <c r="C895" t="inlineStr">
        <is>
          <t>Muçarela Mozzalet 2 kg</t>
        </is>
      </c>
      <c r="D895" t="inlineStr">
        <is>
          <t>Pessoa Física</t>
        </is>
      </c>
      <c r="E895" t="n">
        <v>2981.16</v>
      </c>
      <c r="F895" t="n">
        <v>132</v>
      </c>
      <c r="G895" t="n">
        <v>66</v>
      </c>
      <c r="J895" t="inlineStr">
        <is>
          <t>A</t>
        </is>
      </c>
      <c r="K895" t="n">
        <v>2024</v>
      </c>
      <c r="L895" t="n">
        <v>8</v>
      </c>
      <c r="M895" t="inlineStr">
        <is>
          <t>Muçarela Mozzana 2 kg</t>
        </is>
      </c>
      <c r="N895" t="inlineStr">
        <is>
          <t>Supermercado</t>
        </is>
      </c>
      <c r="O895" t="n">
        <v>6</v>
      </c>
      <c r="P895" t="n">
        <v>83</v>
      </c>
      <c r="Q895" t="n">
        <v>6</v>
      </c>
    </row>
    <row r="896">
      <c r="A896" t="n">
        <v>2025</v>
      </c>
      <c r="B896" t="n">
        <v>4</v>
      </c>
      <c r="C896" t="inlineStr">
        <is>
          <t>Muçarela Mozzalet 2 kg</t>
        </is>
      </c>
      <c r="D896" t="inlineStr">
        <is>
          <t>Pizzaria</t>
        </is>
      </c>
      <c r="E896" t="n">
        <v>14835.86</v>
      </c>
      <c r="F896" t="n">
        <v>670</v>
      </c>
      <c r="G896" t="n">
        <v>335</v>
      </c>
      <c r="J896" t="inlineStr">
        <is>
          <t>M</t>
        </is>
      </c>
      <c r="K896" t="n">
        <v>2024</v>
      </c>
      <c r="L896" t="n">
        <v>8</v>
      </c>
      <c r="M896" t="inlineStr">
        <is>
          <t>Muçarela Mozzana 2 kg</t>
        </is>
      </c>
      <c r="N896" t="inlineStr">
        <is>
          <t>Supermercado</t>
        </is>
      </c>
      <c r="O896" t="n">
        <v>2</v>
      </c>
      <c r="P896" t="n">
        <v>10</v>
      </c>
      <c r="Q896" t="n">
        <v>0</v>
      </c>
    </row>
    <row r="897">
      <c r="A897" t="n">
        <v>2025</v>
      </c>
      <c r="B897" t="n">
        <v>4</v>
      </c>
      <c r="C897" t="inlineStr">
        <is>
          <t>Muçarela Mozzalet 2 kg</t>
        </is>
      </c>
      <c r="D897" t="inlineStr">
        <is>
          <t>Restaurante / Cantina</t>
        </is>
      </c>
      <c r="E897" t="n">
        <v>50021.56</v>
      </c>
      <c r="F897" t="n">
        <v>2280</v>
      </c>
      <c r="G897" t="n">
        <v>1140</v>
      </c>
      <c r="J897" t="inlineStr">
        <is>
          <t>A</t>
        </is>
      </c>
      <c r="K897" t="n">
        <v>2024</v>
      </c>
      <c r="L897" t="n">
        <v>9</v>
      </c>
      <c r="M897" t="inlineStr">
        <is>
          <t>Muçarela Mozzana 2 kg</t>
        </is>
      </c>
      <c r="N897" t="inlineStr">
        <is>
          <t>Supermercado</t>
        </is>
      </c>
      <c r="O897" t="n">
        <v>6</v>
      </c>
      <c r="P897" t="n">
        <v>95</v>
      </c>
      <c r="Q897" t="n">
        <v>6</v>
      </c>
    </row>
    <row r="898">
      <c r="A898" t="n">
        <v>2025</v>
      </c>
      <c r="B898" t="n">
        <v>4</v>
      </c>
      <c r="C898" t="inlineStr">
        <is>
          <t>Muçarela Mozzana 2 kg</t>
        </is>
      </c>
      <c r="D898" t="inlineStr">
        <is>
          <t>Buffet</t>
        </is>
      </c>
      <c r="E898" t="n">
        <v>601.38</v>
      </c>
      <c r="F898" t="n">
        <v>24.24</v>
      </c>
      <c r="G898" t="n">
        <v>12</v>
      </c>
      <c r="J898" t="inlineStr">
        <is>
          <t>M</t>
        </is>
      </c>
      <c r="K898" t="n">
        <v>2024</v>
      </c>
      <c r="L898" t="n">
        <v>9</v>
      </c>
      <c r="M898" t="inlineStr">
        <is>
          <t>Muçarela Mozzana 2 kg</t>
        </is>
      </c>
      <c r="N898" t="inlineStr">
        <is>
          <t>Supermercado</t>
        </is>
      </c>
      <c r="O898" t="n">
        <v>2</v>
      </c>
      <c r="P898" t="n">
        <v>12</v>
      </c>
      <c r="Q898" t="n">
        <v>0</v>
      </c>
    </row>
    <row r="899">
      <c r="A899" t="n">
        <v>2025</v>
      </c>
      <c r="B899" t="n">
        <v>4</v>
      </c>
      <c r="C899" t="inlineStr">
        <is>
          <t>Muçarela Mozzana 2 kg</t>
        </is>
      </c>
      <c r="D899" t="inlineStr">
        <is>
          <t>Churrascaria</t>
        </is>
      </c>
      <c r="E899" t="n">
        <v>192.4</v>
      </c>
      <c r="F899" t="n">
        <v>8.08</v>
      </c>
      <c r="G899" t="n">
        <v>4</v>
      </c>
      <c r="J899" t="inlineStr">
        <is>
          <t>A</t>
        </is>
      </c>
      <c r="K899" t="n">
        <v>2024</v>
      </c>
      <c r="L899" t="n">
        <v>10</v>
      </c>
      <c r="M899" t="inlineStr">
        <is>
          <t>Muçarela Mozzana 2 kg</t>
        </is>
      </c>
      <c r="N899" t="inlineStr">
        <is>
          <t>Supermercado</t>
        </is>
      </c>
      <c r="O899" t="n">
        <v>6</v>
      </c>
      <c r="P899" t="n">
        <v>109</v>
      </c>
      <c r="Q899" t="n">
        <v>6</v>
      </c>
    </row>
    <row r="900">
      <c r="A900" t="n">
        <v>2025</v>
      </c>
      <c r="B900" t="n">
        <v>4</v>
      </c>
      <c r="C900" t="inlineStr">
        <is>
          <t>Muçarela Mozzana 2 kg</t>
        </is>
      </c>
      <c r="D900" t="inlineStr">
        <is>
          <t>Confeitaria</t>
        </is>
      </c>
      <c r="E900" t="n">
        <v>455.58</v>
      </c>
      <c r="F900" t="n">
        <v>18.18</v>
      </c>
      <c r="G900" t="n">
        <v>9</v>
      </c>
      <c r="J900" t="inlineStr">
        <is>
          <t>M</t>
        </is>
      </c>
      <c r="K900" t="n">
        <v>2024</v>
      </c>
      <c r="L900" t="n">
        <v>10</v>
      </c>
      <c r="M900" t="inlineStr">
        <is>
          <t>Muçarela Mozzana 2 kg</t>
        </is>
      </c>
      <c r="N900" t="inlineStr">
        <is>
          <t>Supermercado</t>
        </is>
      </c>
      <c r="O900" t="n">
        <v>3</v>
      </c>
      <c r="P900" t="n">
        <v>14</v>
      </c>
      <c r="Q900" t="n">
        <v>0</v>
      </c>
    </row>
    <row r="901">
      <c r="A901" t="n">
        <v>2025</v>
      </c>
      <c r="B901" t="n">
        <v>4</v>
      </c>
      <c r="C901" t="inlineStr">
        <is>
          <t>Muçarela Mozzana 2 kg</t>
        </is>
      </c>
      <c r="D901" t="inlineStr">
        <is>
          <t>Cozinha Industrial</t>
        </is>
      </c>
      <c r="E901" t="n">
        <v>2309</v>
      </c>
      <c r="F901" t="n">
        <v>92.92</v>
      </c>
      <c r="G901" t="n">
        <v>46</v>
      </c>
      <c r="J901" t="inlineStr">
        <is>
          <t>A</t>
        </is>
      </c>
      <c r="K901" t="n">
        <v>2024</v>
      </c>
      <c r="L901" t="n">
        <v>11</v>
      </c>
      <c r="M901" t="inlineStr">
        <is>
          <t>Muçarela Mozzana 2 kg</t>
        </is>
      </c>
      <c r="N901" t="inlineStr">
        <is>
          <t>Supermercado</t>
        </is>
      </c>
      <c r="O901" t="n">
        <v>6</v>
      </c>
      <c r="P901" t="n">
        <v>118</v>
      </c>
      <c r="Q901" t="n">
        <v>6</v>
      </c>
    </row>
    <row r="902">
      <c r="A902" t="n">
        <v>2025</v>
      </c>
      <c r="B902" t="n">
        <v>4</v>
      </c>
      <c r="C902" t="inlineStr">
        <is>
          <t>Muçarela Mozzana 2 kg</t>
        </is>
      </c>
      <c r="D902" t="inlineStr">
        <is>
          <t>Cozinha Oriental</t>
        </is>
      </c>
      <c r="E902" t="n">
        <v>141.6</v>
      </c>
      <c r="F902" t="n">
        <v>6.06</v>
      </c>
      <c r="G902" t="n">
        <v>3</v>
      </c>
      <c r="J902" t="inlineStr">
        <is>
          <t>M</t>
        </is>
      </c>
      <c r="K902" t="n">
        <v>2024</v>
      </c>
      <c r="L902" t="n">
        <v>11</v>
      </c>
      <c r="M902" t="inlineStr">
        <is>
          <t>Muçarela Mozzana 2 kg</t>
        </is>
      </c>
      <c r="N902" t="inlineStr">
        <is>
          <t>Supermercado</t>
        </is>
      </c>
      <c r="O902" t="n">
        <v>2</v>
      </c>
      <c r="P902" t="n">
        <v>9</v>
      </c>
      <c r="Q902" t="n">
        <v>0</v>
      </c>
    </row>
    <row r="903">
      <c r="A903" t="n">
        <v>2025</v>
      </c>
      <c r="B903" t="n">
        <v>4</v>
      </c>
      <c r="C903" t="inlineStr">
        <is>
          <t>Muçarela Mozzana 2 kg</t>
        </is>
      </c>
      <c r="D903" t="inlineStr">
        <is>
          <t>Esfiharia</t>
        </is>
      </c>
      <c r="E903" t="n">
        <v>3431.26</v>
      </c>
      <c r="F903" t="n">
        <v>139.38</v>
      </c>
      <c r="G903" t="n">
        <v>69</v>
      </c>
      <c r="J903" t="inlineStr">
        <is>
          <t>A</t>
        </is>
      </c>
      <c r="K903" t="n">
        <v>2024</v>
      </c>
      <c r="L903" t="n">
        <v>12</v>
      </c>
      <c r="M903" t="inlineStr">
        <is>
          <t>Muçarela Mozzana 2 kg</t>
        </is>
      </c>
      <c r="N903" t="inlineStr">
        <is>
          <t>Supermercado</t>
        </is>
      </c>
      <c r="O903" t="n">
        <v>6</v>
      </c>
      <c r="P903" t="n">
        <v>129</v>
      </c>
      <c r="Q903" t="n">
        <v>6</v>
      </c>
    </row>
    <row r="904">
      <c r="A904" t="n">
        <v>2025</v>
      </c>
      <c r="B904" t="n">
        <v>4</v>
      </c>
      <c r="C904" t="inlineStr">
        <is>
          <t>Muçarela Mozzana 2 kg</t>
        </is>
      </c>
      <c r="D904" t="inlineStr">
        <is>
          <t>Fábrica de Massas</t>
        </is>
      </c>
      <c r="E904" t="n">
        <v>15090.97</v>
      </c>
      <c r="F904" t="n">
        <v>636.3</v>
      </c>
      <c r="G904" t="n">
        <v>315</v>
      </c>
      <c r="J904" t="inlineStr">
        <is>
          <t>M</t>
        </is>
      </c>
      <c r="K904" t="n">
        <v>2024</v>
      </c>
      <c r="L904" t="n">
        <v>12</v>
      </c>
      <c r="M904" t="inlineStr">
        <is>
          <t>Muçarela Mozzana 2 kg</t>
        </is>
      </c>
      <c r="N904" t="inlineStr">
        <is>
          <t>Supermercado</t>
        </is>
      </c>
      <c r="O904" t="n">
        <v>3</v>
      </c>
      <c r="P904" t="n">
        <v>11</v>
      </c>
      <c r="Q904" t="n">
        <v>0</v>
      </c>
    </row>
    <row r="905">
      <c r="A905" t="n">
        <v>2025</v>
      </c>
      <c r="B905" t="n">
        <v>4</v>
      </c>
      <c r="C905" t="inlineStr">
        <is>
          <t>Muçarela Mozzana 2 kg</t>
        </is>
      </c>
      <c r="D905" t="inlineStr">
        <is>
          <t>Hamburgueria</t>
        </is>
      </c>
      <c r="E905" t="n">
        <v>954.8</v>
      </c>
      <c r="F905" t="n">
        <v>40.4</v>
      </c>
      <c r="G905" t="n">
        <v>20</v>
      </c>
      <c r="J905" t="inlineStr">
        <is>
          <t>A</t>
        </is>
      </c>
      <c r="K905" t="n">
        <v>2024</v>
      </c>
      <c r="L905" t="n">
        <v>5</v>
      </c>
      <c r="M905" t="inlineStr">
        <is>
          <t>Muçarela Mozzana 2 kg</t>
        </is>
      </c>
      <c r="N905" t="inlineStr">
        <is>
          <t>Rotisserie</t>
        </is>
      </c>
      <c r="O905" t="n">
        <v>1</v>
      </c>
      <c r="P905" t="n">
        <v>2</v>
      </c>
      <c r="Q905" t="n">
        <v>1</v>
      </c>
    </row>
    <row r="906">
      <c r="A906" t="n">
        <v>2025</v>
      </c>
      <c r="B906" t="n">
        <v>4</v>
      </c>
      <c r="C906" t="inlineStr">
        <is>
          <t>Muçarela Mozzana 2 kg</t>
        </is>
      </c>
      <c r="D906" t="inlineStr">
        <is>
          <t>Lanchonete / Cafeteria</t>
        </is>
      </c>
      <c r="E906" t="n">
        <v>873.8200000000001</v>
      </c>
      <c r="F906" t="n">
        <v>36.36</v>
      </c>
      <c r="G906" t="n">
        <v>18</v>
      </c>
      <c r="J906" t="inlineStr">
        <is>
          <t>M</t>
        </is>
      </c>
      <c r="K906" t="n">
        <v>2024</v>
      </c>
      <c r="L906" t="n">
        <v>5</v>
      </c>
      <c r="M906" t="inlineStr">
        <is>
          <t>Muçarela Mozzana 2 kg</t>
        </is>
      </c>
      <c r="N906" t="inlineStr">
        <is>
          <t>Rotisserie</t>
        </is>
      </c>
      <c r="O906" t="n">
        <v>1</v>
      </c>
      <c r="P906" t="n">
        <v>2</v>
      </c>
      <c r="Q906" t="n">
        <v>0</v>
      </c>
    </row>
    <row r="907">
      <c r="A907" t="n">
        <v>2025</v>
      </c>
      <c r="B907" t="n">
        <v>4</v>
      </c>
      <c r="C907" t="inlineStr">
        <is>
          <t>Muçarela Mozzana 2 kg</t>
        </is>
      </c>
      <c r="D907" t="inlineStr">
        <is>
          <t>Mercearia / Sacolão</t>
        </is>
      </c>
      <c r="E907" t="n">
        <v>1801.84</v>
      </c>
      <c r="F907" t="n">
        <v>74.73999999999999</v>
      </c>
      <c r="G907" t="n">
        <v>37</v>
      </c>
      <c r="J907" t="inlineStr">
        <is>
          <t>A</t>
        </is>
      </c>
      <c r="K907" t="n">
        <v>2024</v>
      </c>
      <c r="L907" t="n">
        <v>6</v>
      </c>
      <c r="M907" t="inlineStr">
        <is>
          <t>Muçarela Mozzana 2 kg</t>
        </is>
      </c>
      <c r="N907" t="inlineStr">
        <is>
          <t>Rotisserie</t>
        </is>
      </c>
      <c r="O907" t="n">
        <v>1</v>
      </c>
      <c r="P907" t="n">
        <v>3</v>
      </c>
      <c r="Q907" t="n">
        <v>1</v>
      </c>
    </row>
    <row r="908">
      <c r="A908" t="n">
        <v>2025</v>
      </c>
      <c r="B908" t="n">
        <v>4</v>
      </c>
      <c r="C908" t="inlineStr">
        <is>
          <t>Muçarela Mozzana 2 kg</t>
        </is>
      </c>
      <c r="D908" t="inlineStr">
        <is>
          <t>Não Selecionado</t>
        </is>
      </c>
      <c r="E908" t="n">
        <v>150.36</v>
      </c>
      <c r="F908" t="n">
        <v>6.06</v>
      </c>
      <c r="G908" t="n">
        <v>3</v>
      </c>
      <c r="J908" t="inlineStr">
        <is>
          <t>M</t>
        </is>
      </c>
      <c r="K908" t="n">
        <v>2024</v>
      </c>
      <c r="L908" t="n">
        <v>6</v>
      </c>
      <c r="M908" t="inlineStr">
        <is>
          <t>Muçarela Mozzana 2 kg</t>
        </is>
      </c>
      <c r="N908" t="inlineStr">
        <is>
          <t>Rotisserie</t>
        </is>
      </c>
      <c r="O908" t="n">
        <v>1</v>
      </c>
      <c r="P908" t="n">
        <v>1</v>
      </c>
      <c r="Q908" t="n">
        <v>0</v>
      </c>
    </row>
    <row r="909">
      <c r="A909" t="n">
        <v>2025</v>
      </c>
      <c r="B909" t="n">
        <v>4</v>
      </c>
      <c r="C909" t="inlineStr">
        <is>
          <t>Muçarela Mozzana 2 kg</t>
        </is>
      </c>
      <c r="D909" t="inlineStr">
        <is>
          <t>Outros</t>
        </is>
      </c>
      <c r="E909" t="n">
        <v>15988.03</v>
      </c>
      <c r="F909" t="n">
        <v>660.54</v>
      </c>
      <c r="G909" t="n">
        <v>327</v>
      </c>
      <c r="J909" t="inlineStr">
        <is>
          <t>A</t>
        </is>
      </c>
      <c r="K909" t="n">
        <v>2024</v>
      </c>
      <c r="L909" t="n">
        <v>7</v>
      </c>
      <c r="M909" t="inlineStr">
        <is>
          <t>Muçarela Mozzana 2 kg</t>
        </is>
      </c>
      <c r="N909" t="inlineStr">
        <is>
          <t>Rotisserie</t>
        </is>
      </c>
      <c r="O909" t="n">
        <v>1</v>
      </c>
      <c r="P909" t="n">
        <v>3</v>
      </c>
      <c r="Q909" t="n">
        <v>1</v>
      </c>
    </row>
    <row r="910">
      <c r="A910" t="n">
        <v>2025</v>
      </c>
      <c r="B910" t="n">
        <v>4</v>
      </c>
      <c r="C910" t="inlineStr">
        <is>
          <t>Muçarela Mozzana 2 kg</t>
        </is>
      </c>
      <c r="D910" t="inlineStr">
        <is>
          <t>Padaria</t>
        </is>
      </c>
      <c r="E910" t="n">
        <v>5504.48</v>
      </c>
      <c r="F910" t="n">
        <v>222.2</v>
      </c>
      <c r="G910" t="n">
        <v>110</v>
      </c>
      <c r="J910" t="inlineStr">
        <is>
          <t>A</t>
        </is>
      </c>
      <c r="K910" t="n">
        <v>2024</v>
      </c>
      <c r="L910" t="n">
        <v>8</v>
      </c>
      <c r="M910" t="inlineStr">
        <is>
          <t>Muçarela Mozzana 2 kg</t>
        </is>
      </c>
      <c r="N910" t="inlineStr">
        <is>
          <t>Rotisserie</t>
        </is>
      </c>
      <c r="O910" t="n">
        <v>1</v>
      </c>
      <c r="P910" t="n">
        <v>4</v>
      </c>
      <c r="Q910" t="n">
        <v>1</v>
      </c>
    </row>
    <row r="911">
      <c r="A911" t="n">
        <v>2025</v>
      </c>
      <c r="B911" t="n">
        <v>4</v>
      </c>
      <c r="C911" t="inlineStr">
        <is>
          <t>Muçarela Mozzana 2 kg</t>
        </is>
      </c>
      <c r="D911" t="inlineStr">
        <is>
          <t>Pastelaria</t>
        </is>
      </c>
      <c r="E911" t="n">
        <v>3937.61</v>
      </c>
      <c r="F911" t="n">
        <v>157.56</v>
      </c>
      <c r="G911" t="n">
        <v>78</v>
      </c>
      <c r="J911" t="inlineStr">
        <is>
          <t>M</t>
        </is>
      </c>
      <c r="K911" t="n">
        <v>2024</v>
      </c>
      <c r="L911" t="n">
        <v>8</v>
      </c>
      <c r="M911" t="inlineStr">
        <is>
          <t>Muçarela Mozzana 2 kg</t>
        </is>
      </c>
      <c r="N911" t="inlineStr">
        <is>
          <t>Rotisserie</t>
        </is>
      </c>
      <c r="O911" t="n">
        <v>1</v>
      </c>
      <c r="P911" t="n">
        <v>1</v>
      </c>
      <c r="Q911" t="n">
        <v>0</v>
      </c>
    </row>
    <row r="912">
      <c r="A912" t="n">
        <v>2025</v>
      </c>
      <c r="B912" t="n">
        <v>4</v>
      </c>
      <c r="C912" t="inlineStr">
        <is>
          <t>Muçarela Mozzana 2 kg</t>
        </is>
      </c>
      <c r="D912" t="inlineStr">
        <is>
          <t>Pessoa Física</t>
        </is>
      </c>
      <c r="E912" t="n">
        <v>2219.67</v>
      </c>
      <c r="F912" t="n">
        <v>90.90000000000001</v>
      </c>
      <c r="G912" t="n">
        <v>45</v>
      </c>
      <c r="J912" t="inlineStr">
        <is>
          <t>A</t>
        </is>
      </c>
      <c r="K912" t="n">
        <v>2024</v>
      </c>
      <c r="L912" t="n">
        <v>9</v>
      </c>
      <c r="M912" t="inlineStr">
        <is>
          <t>Muçarela Mozzana 2 kg</t>
        </is>
      </c>
      <c r="N912" t="inlineStr">
        <is>
          <t>Rotisserie</t>
        </is>
      </c>
      <c r="O912" t="n">
        <v>1</v>
      </c>
      <c r="P912" t="n">
        <v>4</v>
      </c>
      <c r="Q912" t="n">
        <v>1</v>
      </c>
    </row>
    <row r="913">
      <c r="A913" t="n">
        <v>2025</v>
      </c>
      <c r="B913" t="n">
        <v>4</v>
      </c>
      <c r="C913" t="inlineStr">
        <is>
          <t>Muçarela Mozzana 2 kg</t>
        </is>
      </c>
      <c r="D913" t="inlineStr">
        <is>
          <t>Pizzaria</t>
        </is>
      </c>
      <c r="E913" t="n">
        <v>70433.03</v>
      </c>
      <c r="F913" t="n">
        <v>2878.5</v>
      </c>
      <c r="G913" t="n">
        <v>1425</v>
      </c>
      <c r="J913" t="inlineStr">
        <is>
          <t>A</t>
        </is>
      </c>
      <c r="K913" t="n">
        <v>2024</v>
      </c>
      <c r="L913" t="n">
        <v>10</v>
      </c>
      <c r="M913" t="inlineStr">
        <is>
          <t>Muçarela Mozzana 2 kg</t>
        </is>
      </c>
      <c r="N913" t="inlineStr">
        <is>
          <t>Rotisserie</t>
        </is>
      </c>
      <c r="O913" t="n">
        <v>1</v>
      </c>
      <c r="P913" t="n">
        <v>5</v>
      </c>
      <c r="Q913" t="n">
        <v>1</v>
      </c>
    </row>
    <row r="914">
      <c r="A914" t="n">
        <v>2025</v>
      </c>
      <c r="B914" t="n">
        <v>4</v>
      </c>
      <c r="C914" t="inlineStr">
        <is>
          <t>Muçarela Mozzana 2 kg</t>
        </is>
      </c>
      <c r="D914" t="inlineStr">
        <is>
          <t>Restaurante / Cantina</t>
        </is>
      </c>
      <c r="E914" t="n">
        <v>22613.54</v>
      </c>
      <c r="F914" t="n">
        <v>947.38</v>
      </c>
      <c r="G914" t="n">
        <v>469</v>
      </c>
      <c r="J914" t="inlineStr">
        <is>
          <t>M</t>
        </is>
      </c>
      <c r="K914" t="n">
        <v>2024</v>
      </c>
      <c r="L914" t="n">
        <v>10</v>
      </c>
      <c r="M914" t="inlineStr">
        <is>
          <t>Muçarela Mozzana 2 kg</t>
        </is>
      </c>
      <c r="N914" t="inlineStr">
        <is>
          <t>Rotisserie</t>
        </is>
      </c>
      <c r="O914" t="n">
        <v>1</v>
      </c>
      <c r="P914" t="n">
        <v>1</v>
      </c>
      <c r="Q914" t="n">
        <v>0</v>
      </c>
    </row>
    <row r="915">
      <c r="A915" t="n">
        <v>2025</v>
      </c>
      <c r="B915" t="n">
        <v>4</v>
      </c>
      <c r="C915" t="inlineStr">
        <is>
          <t>Muçarela Mozzana 2 kg</t>
        </is>
      </c>
      <c r="D915" t="inlineStr">
        <is>
          <t>Rotisserie</t>
        </is>
      </c>
      <c r="E915" t="n">
        <v>49</v>
      </c>
      <c r="F915" t="n">
        <v>2.02</v>
      </c>
      <c r="G915" t="n">
        <v>1</v>
      </c>
      <c r="J915" t="inlineStr">
        <is>
          <t>A</t>
        </is>
      </c>
      <c r="K915" t="n">
        <v>2024</v>
      </c>
      <c r="L915" t="n">
        <v>11</v>
      </c>
      <c r="M915" t="inlineStr">
        <is>
          <t>Muçarela Mozzana 2 kg</t>
        </is>
      </c>
      <c r="N915" t="inlineStr">
        <is>
          <t>Rotisserie</t>
        </is>
      </c>
      <c r="O915" t="n">
        <v>1</v>
      </c>
      <c r="P915" t="n">
        <v>5</v>
      </c>
      <c r="Q915" t="n">
        <v>1</v>
      </c>
    </row>
    <row r="916">
      <c r="A916" t="n">
        <v>2025</v>
      </c>
      <c r="B916" t="n">
        <v>4</v>
      </c>
      <c r="C916" t="inlineStr">
        <is>
          <t>Muçarela Mozzana 2 kg</t>
        </is>
      </c>
      <c r="D916" t="inlineStr">
        <is>
          <t>Supermercado</t>
        </is>
      </c>
      <c r="E916" t="n">
        <v>5160.82</v>
      </c>
      <c r="F916" t="n">
        <v>206.04</v>
      </c>
      <c r="G916" t="n">
        <v>102</v>
      </c>
      <c r="J916" t="inlineStr">
        <is>
          <t>A</t>
        </is>
      </c>
      <c r="K916" t="n">
        <v>2024</v>
      </c>
      <c r="L916" t="n">
        <v>12</v>
      </c>
      <c r="M916" t="inlineStr">
        <is>
          <t>Muçarela Mozzana 2 kg</t>
        </is>
      </c>
      <c r="N916" t="inlineStr">
        <is>
          <t>Rotisserie</t>
        </is>
      </c>
      <c r="O916" t="n">
        <v>1</v>
      </c>
      <c r="P916" t="n">
        <v>5</v>
      </c>
      <c r="Q916" t="n">
        <v>1</v>
      </c>
    </row>
    <row r="917">
      <c r="A917" t="n">
        <v>2025</v>
      </c>
      <c r="B917" t="n">
        <v>4</v>
      </c>
      <c r="C917" t="inlineStr">
        <is>
          <t>Requeijão Pizzalet 1,8 kg</t>
        </is>
      </c>
      <c r="D917" t="inlineStr">
        <is>
          <t>Bar / Chopperia</t>
        </is>
      </c>
      <c r="E917" t="n">
        <v>447.1</v>
      </c>
      <c r="F917" t="n">
        <v>53.36</v>
      </c>
      <c r="G917" t="n">
        <v>29</v>
      </c>
      <c r="J917" t="inlineStr">
        <is>
          <t>A</t>
        </is>
      </c>
      <c r="K917" t="n">
        <v>2024</v>
      </c>
      <c r="L917" t="n">
        <v>1</v>
      </c>
      <c r="M917" t="inlineStr">
        <is>
          <t>Muçarela Mozzana 2 kg</t>
        </is>
      </c>
      <c r="N917" t="inlineStr">
        <is>
          <t>Mercearia / Sacolão</t>
        </is>
      </c>
      <c r="O917" t="n">
        <v>2</v>
      </c>
      <c r="P917" t="n">
        <v>4</v>
      </c>
      <c r="Q917" t="n">
        <v>2</v>
      </c>
    </row>
    <row r="918">
      <c r="A918" t="n">
        <v>2025</v>
      </c>
      <c r="B918" t="n">
        <v>4</v>
      </c>
      <c r="C918" t="inlineStr">
        <is>
          <t>Requeijão Pizzalet 1,8 kg</t>
        </is>
      </c>
      <c r="D918" t="inlineStr">
        <is>
          <t>Cozinha Industrial</t>
        </is>
      </c>
      <c r="E918" t="n">
        <v>1675.52</v>
      </c>
      <c r="F918" t="n">
        <v>206.08</v>
      </c>
      <c r="G918" t="n">
        <v>112</v>
      </c>
      <c r="J918" t="inlineStr">
        <is>
          <t>M</t>
        </is>
      </c>
      <c r="K918" t="n">
        <v>2024</v>
      </c>
      <c r="L918" t="n">
        <v>1</v>
      </c>
      <c r="M918" t="inlineStr">
        <is>
          <t>Muçarela Mozzana 2 kg</t>
        </is>
      </c>
      <c r="N918" t="inlineStr">
        <is>
          <t>Mercearia / Sacolão</t>
        </is>
      </c>
      <c r="O918" t="n">
        <v>2</v>
      </c>
      <c r="P918" t="n">
        <v>4</v>
      </c>
      <c r="Q918" t="n">
        <v>0</v>
      </c>
    </row>
    <row r="919">
      <c r="A919" t="n">
        <v>2025</v>
      </c>
      <c r="B919" t="n">
        <v>4</v>
      </c>
      <c r="C919" t="inlineStr">
        <is>
          <t>Requeijão Pizzalet 1,8 kg</t>
        </is>
      </c>
      <c r="D919" t="inlineStr">
        <is>
          <t>Lanchonete / Cafeteria</t>
        </is>
      </c>
      <c r="E919" t="n">
        <v>1658.24</v>
      </c>
      <c r="F919" t="n">
        <v>195.04</v>
      </c>
      <c r="G919" t="n">
        <v>106</v>
      </c>
      <c r="J919" t="inlineStr">
        <is>
          <t>A</t>
        </is>
      </c>
      <c r="K919" t="n">
        <v>2024</v>
      </c>
      <c r="L919" t="n">
        <v>2</v>
      </c>
      <c r="M919" t="inlineStr">
        <is>
          <t>Muçarela Mozzana 2 kg</t>
        </is>
      </c>
      <c r="N919" t="inlineStr">
        <is>
          <t>Mercearia / Sacolão</t>
        </is>
      </c>
      <c r="O919" t="n">
        <v>2</v>
      </c>
      <c r="P919" t="n">
        <v>5</v>
      </c>
      <c r="Q919" t="n">
        <v>2</v>
      </c>
    </row>
    <row r="920">
      <c r="A920" t="n">
        <v>2025</v>
      </c>
      <c r="B920" t="n">
        <v>4</v>
      </c>
      <c r="C920" t="inlineStr">
        <is>
          <t>Requeijão Pizzalet 1,8 kg</t>
        </is>
      </c>
      <c r="D920" t="inlineStr">
        <is>
          <t>Outros</t>
        </is>
      </c>
      <c r="E920" t="n">
        <v>558.04</v>
      </c>
      <c r="F920" t="n">
        <v>66.23999999999999</v>
      </c>
      <c r="G920" t="n">
        <v>36</v>
      </c>
      <c r="J920" t="inlineStr">
        <is>
          <t>M</t>
        </is>
      </c>
      <c r="K920" t="n">
        <v>2024</v>
      </c>
      <c r="L920" t="n">
        <v>2</v>
      </c>
      <c r="M920" t="inlineStr">
        <is>
          <t>Muçarela Mozzana 2 kg</t>
        </is>
      </c>
      <c r="N920" t="inlineStr">
        <is>
          <t>Mercearia / Sacolão</t>
        </is>
      </c>
      <c r="O920" t="n">
        <v>1</v>
      </c>
      <c r="P920" t="n">
        <v>1</v>
      </c>
      <c r="Q920" t="n">
        <v>0</v>
      </c>
    </row>
    <row r="921">
      <c r="A921" t="n">
        <v>2025</v>
      </c>
      <c r="B921" t="n">
        <v>4</v>
      </c>
      <c r="C921" t="inlineStr">
        <is>
          <t>Requeijão Pizzalet 1,8 kg</t>
        </is>
      </c>
      <c r="D921" t="inlineStr">
        <is>
          <t>Pastelaria</t>
        </is>
      </c>
      <c r="E921" t="n">
        <v>2379.6</v>
      </c>
      <c r="F921" t="n">
        <v>276</v>
      </c>
      <c r="G921" t="n">
        <v>150</v>
      </c>
      <c r="J921" t="inlineStr">
        <is>
          <t>A</t>
        </is>
      </c>
      <c r="K921" t="n">
        <v>2024</v>
      </c>
      <c r="L921" t="n">
        <v>3</v>
      </c>
      <c r="M921" t="inlineStr">
        <is>
          <t>Muçarela Mozzana 2 kg</t>
        </is>
      </c>
      <c r="N921" t="inlineStr">
        <is>
          <t>Mercearia / Sacolão</t>
        </is>
      </c>
      <c r="O921" t="n">
        <v>2</v>
      </c>
      <c r="P921" t="n">
        <v>5</v>
      </c>
      <c r="Q921" t="n">
        <v>2</v>
      </c>
    </row>
    <row r="922">
      <c r="A922" t="n">
        <v>2025</v>
      </c>
      <c r="B922" t="n">
        <v>4</v>
      </c>
      <c r="C922" t="inlineStr">
        <is>
          <t>Requeijão Pizzalet 1,8 kg</t>
        </is>
      </c>
      <c r="D922" t="inlineStr">
        <is>
          <t>Pizzaria</t>
        </is>
      </c>
      <c r="E922" t="n">
        <v>5218.91</v>
      </c>
      <c r="F922" t="n">
        <v>605.36</v>
      </c>
      <c r="G922" t="n">
        <v>329</v>
      </c>
      <c r="J922" t="inlineStr">
        <is>
          <t>A</t>
        </is>
      </c>
      <c r="K922" t="n">
        <v>2024</v>
      </c>
      <c r="L922" t="n">
        <v>4</v>
      </c>
      <c r="M922" t="inlineStr">
        <is>
          <t>Muçarela Mozzana 2 kg</t>
        </is>
      </c>
      <c r="N922" t="inlineStr">
        <is>
          <t>Mercearia / Sacolão</t>
        </is>
      </c>
      <c r="O922" t="n">
        <v>2</v>
      </c>
      <c r="P922" t="n">
        <v>7</v>
      </c>
      <c r="Q922" t="n">
        <v>2</v>
      </c>
    </row>
    <row r="923">
      <c r="A923" t="n">
        <v>2025</v>
      </c>
      <c r="B923" t="n">
        <v>4</v>
      </c>
      <c r="C923" t="inlineStr">
        <is>
          <t>Requeijão Pizzalet 1,8 kg</t>
        </is>
      </c>
      <c r="D923" t="inlineStr">
        <is>
          <t>Restaurante / Cantina</t>
        </is>
      </c>
      <c r="E923" t="n">
        <v>297.26</v>
      </c>
      <c r="F923" t="n">
        <v>34.96</v>
      </c>
      <c r="G923" t="n">
        <v>19</v>
      </c>
      <c r="J923" t="inlineStr">
        <is>
          <t>M</t>
        </is>
      </c>
      <c r="K923" t="n">
        <v>2024</v>
      </c>
      <c r="L923" t="n">
        <v>4</v>
      </c>
      <c r="M923" t="inlineStr">
        <is>
          <t>Muçarela Mozzana 2 kg</t>
        </is>
      </c>
      <c r="N923" t="inlineStr">
        <is>
          <t>Mercearia / Sacolão</t>
        </is>
      </c>
      <c r="O923" t="n">
        <v>1</v>
      </c>
      <c r="P923" t="n">
        <v>2</v>
      </c>
      <c r="Q923" t="n">
        <v>0</v>
      </c>
    </row>
    <row r="924">
      <c r="A924" t="n">
        <v>2025</v>
      </c>
      <c r="B924" t="n">
        <v>5</v>
      </c>
      <c r="C924" t="inlineStr">
        <is>
          <t>Chocolate em pó 50% 1 kg</t>
        </is>
      </c>
      <c r="D924" t="inlineStr">
        <is>
          <t>Bar / Chopperia</t>
        </is>
      </c>
      <c r="E924" t="n">
        <v>39.56</v>
      </c>
      <c r="F924" t="n">
        <v>1.02</v>
      </c>
      <c r="G924" t="n">
        <v>1</v>
      </c>
      <c r="J924" t="inlineStr">
        <is>
          <t>A</t>
        </is>
      </c>
      <c r="K924" t="n">
        <v>2024</v>
      </c>
      <c r="L924" t="n">
        <v>5</v>
      </c>
      <c r="M924" t="inlineStr">
        <is>
          <t>Muçarela Mozzana 2 kg</t>
        </is>
      </c>
      <c r="N924" t="inlineStr">
        <is>
          <t>Mercearia / Sacolão</t>
        </is>
      </c>
      <c r="O924" t="n">
        <v>2</v>
      </c>
      <c r="P924" t="n">
        <v>9</v>
      </c>
      <c r="Q924" t="n">
        <v>2</v>
      </c>
    </row>
    <row r="925">
      <c r="A925" t="n">
        <v>2025</v>
      </c>
      <c r="B925" t="n">
        <v>5</v>
      </c>
      <c r="C925" t="inlineStr">
        <is>
          <t>Chocolate em pó 50% 1 kg</t>
        </is>
      </c>
      <c r="D925" t="inlineStr">
        <is>
          <t>Buffet</t>
        </is>
      </c>
      <c r="E925" t="n">
        <v>39</v>
      </c>
      <c r="F925" t="n">
        <v>1.02</v>
      </c>
      <c r="G925" t="n">
        <v>1</v>
      </c>
      <c r="J925" t="inlineStr">
        <is>
          <t>M</t>
        </is>
      </c>
      <c r="K925" t="n">
        <v>2024</v>
      </c>
      <c r="L925" t="n">
        <v>5</v>
      </c>
      <c r="M925" t="inlineStr">
        <is>
          <t>Muçarela Mozzana 2 kg</t>
        </is>
      </c>
      <c r="N925" t="inlineStr">
        <is>
          <t>Mercearia / Sacolão</t>
        </is>
      </c>
      <c r="O925" t="n">
        <v>1</v>
      </c>
      <c r="P925" t="n">
        <v>2</v>
      </c>
      <c r="Q925" t="n">
        <v>0</v>
      </c>
    </row>
    <row r="926">
      <c r="A926" t="n">
        <v>2025</v>
      </c>
      <c r="B926" t="n">
        <v>5</v>
      </c>
      <c r="C926" t="inlineStr">
        <is>
          <t>Chocolate em pó 50% 1 kg</t>
        </is>
      </c>
      <c r="D926" t="inlineStr">
        <is>
          <t>Churrascaria</t>
        </is>
      </c>
      <c r="E926" t="n">
        <v>39.56</v>
      </c>
      <c r="F926" t="n">
        <v>1.02</v>
      </c>
      <c r="G926" t="n">
        <v>1</v>
      </c>
      <c r="J926" t="inlineStr">
        <is>
          <t>A</t>
        </is>
      </c>
      <c r="K926" t="n">
        <v>2024</v>
      </c>
      <c r="L926" t="n">
        <v>6</v>
      </c>
      <c r="M926" t="inlineStr">
        <is>
          <t>Muçarela Mozzana 2 kg</t>
        </is>
      </c>
      <c r="N926" t="inlineStr">
        <is>
          <t>Mercearia / Sacolão</t>
        </is>
      </c>
      <c r="O926" t="n">
        <v>2</v>
      </c>
      <c r="P926" t="n">
        <v>9</v>
      </c>
      <c r="Q926" t="n">
        <v>2</v>
      </c>
    </row>
    <row r="927">
      <c r="A927" t="n">
        <v>2025</v>
      </c>
      <c r="B927" t="n">
        <v>5</v>
      </c>
      <c r="C927" t="inlineStr">
        <is>
          <t>Chocolate em pó 50% 1 kg</t>
        </is>
      </c>
      <c r="D927" t="inlineStr">
        <is>
          <t>Colaborador</t>
        </is>
      </c>
      <c r="E927" t="n">
        <v>39.56</v>
      </c>
      <c r="F927" t="n">
        <v>1.02</v>
      </c>
      <c r="G927" t="n">
        <v>1</v>
      </c>
      <c r="J927" t="inlineStr">
        <is>
          <t>A</t>
        </is>
      </c>
      <c r="K927" t="n">
        <v>2024</v>
      </c>
      <c r="L927" t="n">
        <v>7</v>
      </c>
      <c r="M927" t="inlineStr">
        <is>
          <t>Muçarela Mozzana 2 kg</t>
        </is>
      </c>
      <c r="N927" t="inlineStr">
        <is>
          <t>Mercearia / Sacolão</t>
        </is>
      </c>
      <c r="O927" t="n">
        <v>2</v>
      </c>
      <c r="P927" t="n">
        <v>11</v>
      </c>
      <c r="Q927" t="n">
        <v>2</v>
      </c>
    </row>
    <row r="928">
      <c r="A928" t="n">
        <v>2025</v>
      </c>
      <c r="B928" t="n">
        <v>5</v>
      </c>
      <c r="C928" t="inlineStr">
        <is>
          <t>Chocolate em pó 50% 1 kg</t>
        </is>
      </c>
      <c r="D928" t="inlineStr">
        <is>
          <t>Cozinha Industrial</t>
        </is>
      </c>
      <c r="E928" t="n">
        <v>39.86</v>
      </c>
      <c r="F928" t="n">
        <v>1.02</v>
      </c>
      <c r="G928" t="n">
        <v>1</v>
      </c>
      <c r="J928" t="inlineStr">
        <is>
          <t>M</t>
        </is>
      </c>
      <c r="K928" t="n">
        <v>2024</v>
      </c>
      <c r="L928" t="n">
        <v>7</v>
      </c>
      <c r="M928" t="inlineStr">
        <is>
          <t>Muçarela Mozzana 2 kg</t>
        </is>
      </c>
      <c r="N928" t="inlineStr">
        <is>
          <t>Mercearia / Sacolão</t>
        </is>
      </c>
      <c r="O928" t="n">
        <v>1</v>
      </c>
      <c r="P928" t="n">
        <v>2</v>
      </c>
      <c r="Q928" t="n">
        <v>0</v>
      </c>
    </row>
    <row r="929">
      <c r="A929" t="n">
        <v>2025</v>
      </c>
      <c r="B929" t="n">
        <v>5</v>
      </c>
      <c r="C929" t="inlineStr">
        <is>
          <t>Chocolate em pó 50% 1 kg</t>
        </is>
      </c>
      <c r="D929" t="inlineStr">
        <is>
          <t>Cozinha Oriental</t>
        </is>
      </c>
      <c r="E929" t="n">
        <v>39.56</v>
      </c>
      <c r="F929" t="n">
        <v>1.02</v>
      </c>
      <c r="G929" t="n">
        <v>1</v>
      </c>
      <c r="J929" t="inlineStr">
        <is>
          <t>A</t>
        </is>
      </c>
      <c r="K929" t="n">
        <v>2024</v>
      </c>
      <c r="L929" t="n">
        <v>8</v>
      </c>
      <c r="M929" t="inlineStr">
        <is>
          <t>Muçarela Mozzana 2 kg</t>
        </is>
      </c>
      <c r="N929" t="inlineStr">
        <is>
          <t>Mercearia / Sacolão</t>
        </is>
      </c>
      <c r="O929" t="n">
        <v>2</v>
      </c>
      <c r="P929" t="n">
        <v>11</v>
      </c>
      <c r="Q929" t="n">
        <v>2</v>
      </c>
    </row>
    <row r="930">
      <c r="A930" t="n">
        <v>2025</v>
      </c>
      <c r="B930" t="n">
        <v>5</v>
      </c>
      <c r="C930" t="inlineStr">
        <is>
          <t>Chocolate em pó 50% 1 kg</t>
        </is>
      </c>
      <c r="D930" t="inlineStr">
        <is>
          <t>Esfiharia</t>
        </is>
      </c>
      <c r="E930" t="n">
        <v>593.4</v>
      </c>
      <c r="F930" t="n">
        <v>15.3</v>
      </c>
      <c r="G930" t="n">
        <v>15</v>
      </c>
      <c r="J930" t="inlineStr">
        <is>
          <t>A</t>
        </is>
      </c>
      <c r="K930" t="n">
        <v>2024</v>
      </c>
      <c r="L930" t="n">
        <v>9</v>
      </c>
      <c r="M930" t="inlineStr">
        <is>
          <t>Muçarela Mozzana 2 kg</t>
        </is>
      </c>
      <c r="N930" t="inlineStr">
        <is>
          <t>Mercearia / Sacolão</t>
        </is>
      </c>
      <c r="O930" t="n">
        <v>3</v>
      </c>
      <c r="P930" t="n">
        <v>13</v>
      </c>
      <c r="Q930" t="n">
        <v>3</v>
      </c>
    </row>
    <row r="931">
      <c r="A931" t="n">
        <v>2025</v>
      </c>
      <c r="B931" t="n">
        <v>5</v>
      </c>
      <c r="C931" t="inlineStr">
        <is>
          <t>Chocolate em pó 50% 1 kg</t>
        </is>
      </c>
      <c r="D931" t="inlineStr">
        <is>
          <t>Fábrica de Massas</t>
        </is>
      </c>
      <c r="E931" t="n">
        <v>39.86</v>
      </c>
      <c r="F931" t="n">
        <v>1.02</v>
      </c>
      <c r="G931" t="n">
        <v>1</v>
      </c>
      <c r="J931" t="inlineStr">
        <is>
          <t>M</t>
        </is>
      </c>
      <c r="K931" t="n">
        <v>2024</v>
      </c>
      <c r="L931" t="n">
        <v>9</v>
      </c>
      <c r="M931" t="inlineStr">
        <is>
          <t>Muçarela Mozzana 2 kg</t>
        </is>
      </c>
      <c r="N931" t="inlineStr">
        <is>
          <t>Mercearia / Sacolão</t>
        </is>
      </c>
      <c r="O931" t="n">
        <v>2</v>
      </c>
      <c r="P931" t="n">
        <v>2</v>
      </c>
      <c r="Q931" t="n">
        <v>0</v>
      </c>
    </row>
    <row r="932">
      <c r="A932" t="n">
        <v>2025</v>
      </c>
      <c r="B932" t="n">
        <v>5</v>
      </c>
      <c r="C932" t="inlineStr">
        <is>
          <t>Chocolate em pó 50% 1 kg</t>
        </is>
      </c>
      <c r="D932" t="inlineStr">
        <is>
          <t>Hotel / Motel / Pousada</t>
        </is>
      </c>
      <c r="E932" t="n">
        <v>794.84</v>
      </c>
      <c r="F932" t="n">
        <v>20.4</v>
      </c>
      <c r="G932" t="n">
        <v>20</v>
      </c>
      <c r="J932" t="inlineStr">
        <is>
          <t>A</t>
        </is>
      </c>
      <c r="K932" t="n">
        <v>2024</v>
      </c>
      <c r="L932" t="n">
        <v>10</v>
      </c>
      <c r="M932" t="inlineStr">
        <is>
          <t>Muçarela Mozzana 2 kg</t>
        </is>
      </c>
      <c r="N932" t="inlineStr">
        <is>
          <t>Mercearia / Sacolão</t>
        </is>
      </c>
      <c r="O932" t="n">
        <v>4</v>
      </c>
      <c r="P932" t="n">
        <v>15</v>
      </c>
      <c r="Q932" t="n">
        <v>4</v>
      </c>
    </row>
    <row r="933">
      <c r="A933" t="n">
        <v>2025</v>
      </c>
      <c r="B933" t="n">
        <v>5</v>
      </c>
      <c r="C933" t="inlineStr">
        <is>
          <t>Chocolate em pó 50% 1 kg</t>
        </is>
      </c>
      <c r="D933" t="inlineStr">
        <is>
          <t>Lanchonete / Cafeteria</t>
        </is>
      </c>
      <c r="E933" t="n">
        <v>237.36</v>
      </c>
      <c r="F933" t="n">
        <v>6.12</v>
      </c>
      <c r="G933" t="n">
        <v>6</v>
      </c>
      <c r="J933" t="inlineStr">
        <is>
          <t>M</t>
        </is>
      </c>
      <c r="K933" t="n">
        <v>2024</v>
      </c>
      <c r="L933" t="n">
        <v>10</v>
      </c>
      <c r="M933" t="inlineStr">
        <is>
          <t>Muçarela Mozzana 2 kg</t>
        </is>
      </c>
      <c r="N933" t="inlineStr">
        <is>
          <t>Mercearia / Sacolão</t>
        </is>
      </c>
      <c r="O933" t="n">
        <v>2</v>
      </c>
      <c r="P933" t="n">
        <v>2</v>
      </c>
      <c r="Q933" t="n">
        <v>0</v>
      </c>
    </row>
    <row r="934">
      <c r="A934" t="n">
        <v>2025</v>
      </c>
      <c r="B934" t="n">
        <v>5</v>
      </c>
      <c r="C934" t="inlineStr">
        <is>
          <t>Chocolate em pó 50% 1 kg</t>
        </is>
      </c>
      <c r="D934" t="inlineStr">
        <is>
          <t>Laticínios / Distribuidor</t>
        </is>
      </c>
      <c r="E934" t="n">
        <v>39</v>
      </c>
      <c r="F934" t="n">
        <v>1.02</v>
      </c>
      <c r="G934" t="n">
        <v>1</v>
      </c>
      <c r="J934" t="inlineStr">
        <is>
          <t>A</t>
        </is>
      </c>
      <c r="K934" t="n">
        <v>2024</v>
      </c>
      <c r="L934" t="n">
        <v>11</v>
      </c>
      <c r="M934" t="inlineStr">
        <is>
          <t>Muçarela Mozzana 2 kg</t>
        </is>
      </c>
      <c r="N934" t="inlineStr">
        <is>
          <t>Mercearia / Sacolão</t>
        </is>
      </c>
      <c r="O934" t="n">
        <v>4</v>
      </c>
      <c r="P934" t="n">
        <v>17</v>
      </c>
      <c r="Q934" t="n">
        <v>4</v>
      </c>
    </row>
    <row r="935">
      <c r="A935" t="n">
        <v>2025</v>
      </c>
      <c r="B935" t="n">
        <v>5</v>
      </c>
      <c r="C935" t="inlineStr">
        <is>
          <t>Chocolate em pó 50% 1 kg</t>
        </is>
      </c>
      <c r="D935" t="inlineStr">
        <is>
          <t>Mercearia / Sacolão</t>
        </is>
      </c>
      <c r="E935" t="n">
        <v>39.56</v>
      </c>
      <c r="F935" t="n">
        <v>1.02</v>
      </c>
      <c r="G935" t="n">
        <v>1</v>
      </c>
      <c r="J935" t="inlineStr">
        <is>
          <t>M</t>
        </is>
      </c>
      <c r="K935" t="n">
        <v>2024</v>
      </c>
      <c r="L935" t="n">
        <v>11</v>
      </c>
      <c r="M935" t="inlineStr">
        <is>
          <t>Muçarela Mozzana 2 kg</t>
        </is>
      </c>
      <c r="N935" t="inlineStr">
        <is>
          <t>Mercearia / Sacolão</t>
        </is>
      </c>
      <c r="O935" t="n">
        <v>1</v>
      </c>
      <c r="P935" t="n">
        <v>2</v>
      </c>
      <c r="Q935" t="n">
        <v>0</v>
      </c>
    </row>
    <row r="936">
      <c r="A936" t="n">
        <v>2025</v>
      </c>
      <c r="B936" t="n">
        <v>5</v>
      </c>
      <c r="C936" t="inlineStr">
        <is>
          <t>Chocolate em pó 50% 1 kg</t>
        </is>
      </c>
      <c r="D936" t="inlineStr">
        <is>
          <t>Outros</t>
        </is>
      </c>
      <c r="E936" t="n">
        <v>117.12</v>
      </c>
      <c r="F936" t="n">
        <v>3.06</v>
      </c>
      <c r="G936" t="n">
        <v>3</v>
      </c>
      <c r="J936" t="inlineStr">
        <is>
          <t>A</t>
        </is>
      </c>
      <c r="K936" t="n">
        <v>2024</v>
      </c>
      <c r="L936" t="n">
        <v>12</v>
      </c>
      <c r="M936" t="inlineStr">
        <is>
          <t>Muçarela Mozzana 2 kg</t>
        </is>
      </c>
      <c r="N936" t="inlineStr">
        <is>
          <t>Mercearia / Sacolão</t>
        </is>
      </c>
      <c r="O936" t="n">
        <v>4</v>
      </c>
      <c r="P936" t="n">
        <v>23</v>
      </c>
      <c r="Q936" t="n">
        <v>4</v>
      </c>
    </row>
    <row r="937">
      <c r="A937" t="n">
        <v>2025</v>
      </c>
      <c r="B937" t="n">
        <v>5</v>
      </c>
      <c r="C937" t="inlineStr">
        <is>
          <t>Chocolate em pó 50% 1 kg</t>
        </is>
      </c>
      <c r="D937" t="inlineStr">
        <is>
          <t>Padaria</t>
        </is>
      </c>
      <c r="E937" t="n">
        <v>155.12</v>
      </c>
      <c r="F937" t="n">
        <v>4.08</v>
      </c>
      <c r="G937" t="n">
        <v>4</v>
      </c>
      <c r="J937" t="inlineStr">
        <is>
          <t>M</t>
        </is>
      </c>
      <c r="K937" t="n">
        <v>2024</v>
      </c>
      <c r="L937" t="n">
        <v>12</v>
      </c>
      <c r="M937" t="inlineStr">
        <is>
          <t>Muçarela Mozzana 2 kg</t>
        </is>
      </c>
      <c r="N937" t="inlineStr">
        <is>
          <t>Mercearia / Sacolão</t>
        </is>
      </c>
      <c r="O937" t="n">
        <v>3</v>
      </c>
      <c r="P937" t="n">
        <v>6</v>
      </c>
      <c r="Q937" t="n">
        <v>0</v>
      </c>
    </row>
    <row r="938">
      <c r="A938" t="n">
        <v>2025</v>
      </c>
      <c r="B938" t="n">
        <v>5</v>
      </c>
      <c r="C938" t="inlineStr">
        <is>
          <t>Chocolate em pó 50% 1 kg</t>
        </is>
      </c>
      <c r="D938" t="inlineStr">
        <is>
          <t>Pessoa Física</t>
        </is>
      </c>
      <c r="E938" t="n">
        <v>39.86</v>
      </c>
      <c r="F938" t="n">
        <v>1.02</v>
      </c>
      <c r="G938" t="n">
        <v>1</v>
      </c>
      <c r="J938" t="inlineStr">
        <is>
          <t>A</t>
        </is>
      </c>
      <c r="K938" t="n">
        <v>2024</v>
      </c>
      <c r="L938" t="n">
        <v>1</v>
      </c>
      <c r="M938" t="inlineStr">
        <is>
          <t>Muçarela Mozzana 2 kg</t>
        </is>
      </c>
      <c r="N938" t="inlineStr">
        <is>
          <t>Buffet</t>
        </is>
      </c>
      <c r="O938" t="n">
        <v>1</v>
      </c>
      <c r="P938" t="n">
        <v>3</v>
      </c>
      <c r="Q938" t="n">
        <v>1</v>
      </c>
    </row>
    <row r="939">
      <c r="A939" t="n">
        <v>2025</v>
      </c>
      <c r="B939" t="n">
        <v>5</v>
      </c>
      <c r="C939" t="inlineStr">
        <is>
          <t>Chocolate em pó 50% 1 kg</t>
        </is>
      </c>
      <c r="D939" t="inlineStr">
        <is>
          <t>Pizzaria</t>
        </is>
      </c>
      <c r="E939" t="n">
        <v>235.67</v>
      </c>
      <c r="F939" t="n">
        <v>6.12</v>
      </c>
      <c r="G939" t="n">
        <v>6</v>
      </c>
      <c r="J939" t="inlineStr">
        <is>
          <t>M</t>
        </is>
      </c>
      <c r="K939" t="n">
        <v>2024</v>
      </c>
      <c r="L939" t="n">
        <v>1</v>
      </c>
      <c r="M939" t="inlineStr">
        <is>
          <t>Muçarela Mozzana 2 kg</t>
        </is>
      </c>
      <c r="N939" t="inlineStr">
        <is>
          <t>Buffet</t>
        </is>
      </c>
      <c r="O939" t="n">
        <v>1</v>
      </c>
      <c r="P939" t="n">
        <v>3</v>
      </c>
      <c r="Q939" t="n">
        <v>0</v>
      </c>
    </row>
    <row r="940">
      <c r="A940" t="n">
        <v>2025</v>
      </c>
      <c r="B940" t="n">
        <v>5</v>
      </c>
      <c r="C940" t="inlineStr">
        <is>
          <t>Chocolate em pó 50% 1 kg</t>
        </is>
      </c>
      <c r="D940" t="inlineStr">
        <is>
          <t>Restaurante / Cantina</t>
        </is>
      </c>
      <c r="E940" t="n">
        <v>1063.99</v>
      </c>
      <c r="F940" t="n">
        <v>27.54</v>
      </c>
      <c r="G940" t="n">
        <v>27</v>
      </c>
      <c r="J940" t="inlineStr">
        <is>
          <t>A</t>
        </is>
      </c>
      <c r="K940" t="n">
        <v>2024</v>
      </c>
      <c r="L940" t="n">
        <v>2</v>
      </c>
      <c r="M940" t="inlineStr">
        <is>
          <t>Muçarela Mozzana 2 kg</t>
        </is>
      </c>
      <c r="N940" t="inlineStr">
        <is>
          <t>Buffet</t>
        </is>
      </c>
      <c r="O940" t="n">
        <v>2</v>
      </c>
      <c r="P940" t="n">
        <v>7</v>
      </c>
      <c r="Q940" t="n">
        <v>2</v>
      </c>
    </row>
    <row r="941">
      <c r="A941" t="n">
        <v>2025</v>
      </c>
      <c r="B941" t="n">
        <v>5</v>
      </c>
      <c r="C941" t="inlineStr">
        <is>
          <t>Composto lácteo Alibralac 1 kg</t>
        </is>
      </c>
      <c r="D941" t="inlineStr">
        <is>
          <t>Hotel / Motel / Pousada</t>
        </is>
      </c>
      <c r="E941" t="n">
        <v>233.3</v>
      </c>
      <c r="F941" t="n">
        <v>10.2</v>
      </c>
      <c r="G941" t="n">
        <v>10</v>
      </c>
      <c r="J941" t="inlineStr">
        <is>
          <t>M</t>
        </is>
      </c>
      <c r="K941" t="n">
        <v>2024</v>
      </c>
      <c r="L941" t="n">
        <v>2</v>
      </c>
      <c r="M941" t="inlineStr">
        <is>
          <t>Muçarela Mozzana 2 kg</t>
        </is>
      </c>
      <c r="N941" t="inlineStr">
        <is>
          <t>Buffet</t>
        </is>
      </c>
      <c r="O941" t="n">
        <v>2</v>
      </c>
      <c r="P941" t="n">
        <v>4</v>
      </c>
      <c r="Q941" t="n">
        <v>0</v>
      </c>
    </row>
    <row r="942">
      <c r="A942" t="n">
        <v>2025</v>
      </c>
      <c r="B942" t="n">
        <v>5</v>
      </c>
      <c r="C942" t="inlineStr">
        <is>
          <t>Composto lácteo Alibralac 1 kg</t>
        </is>
      </c>
      <c r="D942" t="inlineStr">
        <is>
          <t>Pizzaria</t>
        </is>
      </c>
      <c r="E942" t="n">
        <v>1603</v>
      </c>
      <c r="F942" t="n">
        <v>71.40000000000001</v>
      </c>
      <c r="G942" t="n">
        <v>70</v>
      </c>
      <c r="J942" t="inlineStr">
        <is>
          <t>A</t>
        </is>
      </c>
      <c r="K942" t="n">
        <v>2024</v>
      </c>
      <c r="L942" t="n">
        <v>3</v>
      </c>
      <c r="M942" t="inlineStr">
        <is>
          <t>Muçarela Mozzana 2 kg</t>
        </is>
      </c>
      <c r="N942" t="inlineStr">
        <is>
          <t>Buffet</t>
        </is>
      </c>
      <c r="O942" t="n">
        <v>2</v>
      </c>
      <c r="P942" t="n">
        <v>9</v>
      </c>
      <c r="Q942" t="n">
        <v>2</v>
      </c>
    </row>
    <row r="943">
      <c r="A943" t="n">
        <v>2025</v>
      </c>
      <c r="B943" t="n">
        <v>5</v>
      </c>
      <c r="C943" t="inlineStr">
        <is>
          <t>Composto lácteo Alibralac 1 kg</t>
        </is>
      </c>
      <c r="D943" t="inlineStr">
        <is>
          <t>Restaurante / Cantina</t>
        </is>
      </c>
      <c r="E943" t="n">
        <v>1145.6</v>
      </c>
      <c r="F943" t="n">
        <v>51</v>
      </c>
      <c r="G943" t="n">
        <v>50</v>
      </c>
      <c r="J943" t="inlineStr">
        <is>
          <t>M</t>
        </is>
      </c>
      <c r="K943" t="n">
        <v>2024</v>
      </c>
      <c r="L943" t="n">
        <v>3</v>
      </c>
      <c r="M943" t="inlineStr">
        <is>
          <t>Muçarela Mozzana 2 kg</t>
        </is>
      </c>
      <c r="N943" t="inlineStr">
        <is>
          <t>Buffet</t>
        </is>
      </c>
      <c r="O943" t="n">
        <v>1</v>
      </c>
      <c r="P943" t="n">
        <v>2</v>
      </c>
      <c r="Q943" t="n">
        <v>0</v>
      </c>
    </row>
    <row r="944">
      <c r="A944" t="n">
        <v>2025</v>
      </c>
      <c r="B944" t="n">
        <v>5</v>
      </c>
      <c r="C944" t="inlineStr">
        <is>
          <t>Composto lácteo Merilú 400 g</t>
        </is>
      </c>
      <c r="D944" t="inlineStr">
        <is>
          <t>Outros</t>
        </is>
      </c>
      <c r="E944" t="n">
        <v>455.7</v>
      </c>
      <c r="F944" t="n">
        <v>25.2</v>
      </c>
      <c r="G944" t="n">
        <v>60</v>
      </c>
      <c r="J944" t="inlineStr">
        <is>
          <t>A</t>
        </is>
      </c>
      <c r="K944" t="n">
        <v>2024</v>
      </c>
      <c r="L944" t="n">
        <v>4</v>
      </c>
      <c r="M944" t="inlineStr">
        <is>
          <t>Muçarela Mozzana 2 kg</t>
        </is>
      </c>
      <c r="N944" t="inlineStr">
        <is>
          <t>Buffet</t>
        </is>
      </c>
      <c r="O944" t="n">
        <v>2</v>
      </c>
      <c r="P944" t="n">
        <v>15</v>
      </c>
      <c r="Q944" t="n">
        <v>2</v>
      </c>
    </row>
    <row r="945">
      <c r="A945" t="n">
        <v>2025</v>
      </c>
      <c r="B945" t="n">
        <v>5</v>
      </c>
      <c r="C945" t="inlineStr">
        <is>
          <t>Composto lácteo Merilú 400 g</t>
        </is>
      </c>
      <c r="D945" t="inlineStr">
        <is>
          <t>Padaria</t>
        </is>
      </c>
      <c r="E945" t="n">
        <v>249.47</v>
      </c>
      <c r="F945" t="n">
        <v>14.28</v>
      </c>
      <c r="G945" t="n">
        <v>34</v>
      </c>
      <c r="J945" t="inlineStr">
        <is>
          <t>M</t>
        </is>
      </c>
      <c r="K945" t="n">
        <v>2024</v>
      </c>
      <c r="L945" t="n">
        <v>4</v>
      </c>
      <c r="M945" t="inlineStr">
        <is>
          <t>Muçarela Mozzana 2 kg</t>
        </is>
      </c>
      <c r="N945" t="inlineStr">
        <is>
          <t>Buffet</t>
        </is>
      </c>
      <c r="O945" t="n">
        <v>2</v>
      </c>
      <c r="P945" t="n">
        <v>6</v>
      </c>
      <c r="Q945" t="n">
        <v>0</v>
      </c>
    </row>
    <row r="946">
      <c r="A946" t="n">
        <v>2025</v>
      </c>
      <c r="B946" t="n">
        <v>5</v>
      </c>
      <c r="C946" t="inlineStr">
        <is>
          <t>Composto lácteo Merilú 400 g</t>
        </is>
      </c>
      <c r="D946" t="inlineStr">
        <is>
          <t>Restaurante / Cantina</t>
        </is>
      </c>
      <c r="E946" t="n">
        <v>1156.42</v>
      </c>
      <c r="F946" t="n">
        <v>66.36</v>
      </c>
      <c r="G946" t="n">
        <v>158</v>
      </c>
      <c r="J946" t="inlineStr">
        <is>
          <t>A</t>
        </is>
      </c>
      <c r="K946" t="n">
        <v>2024</v>
      </c>
      <c r="L946" t="n">
        <v>5</v>
      </c>
      <c r="M946" t="inlineStr">
        <is>
          <t>Muçarela Mozzana 2 kg</t>
        </is>
      </c>
      <c r="N946" t="inlineStr">
        <is>
          <t>Buffet</t>
        </is>
      </c>
      <c r="O946" t="n">
        <v>2</v>
      </c>
      <c r="P946" t="n">
        <v>19</v>
      </c>
      <c r="Q946" t="n">
        <v>2</v>
      </c>
    </row>
    <row r="947">
      <c r="A947" t="n">
        <v>2025</v>
      </c>
      <c r="B947" t="n">
        <v>5</v>
      </c>
      <c r="C947" t="inlineStr">
        <is>
          <t>Composto lácteo Merilú 400 g</t>
        </is>
      </c>
      <c r="D947" t="inlineStr">
        <is>
          <t>Supermercado</t>
        </is>
      </c>
      <c r="E947" t="n">
        <v>145.6</v>
      </c>
      <c r="F947" t="n">
        <v>8.4</v>
      </c>
      <c r="G947" t="n">
        <v>20</v>
      </c>
      <c r="J947" t="inlineStr">
        <is>
          <t>M</t>
        </is>
      </c>
      <c r="K947" t="n">
        <v>2024</v>
      </c>
      <c r="L947" t="n">
        <v>5</v>
      </c>
      <c r="M947" t="inlineStr">
        <is>
          <t>Muçarela Mozzana 2 kg</t>
        </is>
      </c>
      <c r="N947" t="inlineStr">
        <is>
          <t>Buffet</t>
        </is>
      </c>
      <c r="O947" t="n">
        <v>1</v>
      </c>
      <c r="P947" t="n">
        <v>4</v>
      </c>
      <c r="Q947" t="n">
        <v>0</v>
      </c>
    </row>
    <row r="948">
      <c r="A948" t="n">
        <v>2025</v>
      </c>
      <c r="B948" t="n">
        <v>5</v>
      </c>
      <c r="C948" t="inlineStr">
        <is>
          <t>Muçarela Mozzalet 2 kg</t>
        </is>
      </c>
      <c r="D948" t="inlineStr">
        <is>
          <t>Bar / Chopperia</t>
        </is>
      </c>
      <c r="E948" t="n">
        <v>275.76</v>
      </c>
      <c r="F948" t="n">
        <v>12</v>
      </c>
      <c r="G948" t="n">
        <v>6</v>
      </c>
      <c r="J948" t="inlineStr">
        <is>
          <t>A</t>
        </is>
      </c>
      <c r="K948" t="n">
        <v>2024</v>
      </c>
      <c r="L948" t="n">
        <v>6</v>
      </c>
      <c r="M948" t="inlineStr">
        <is>
          <t>Muçarela Mozzana 2 kg</t>
        </is>
      </c>
      <c r="N948" t="inlineStr">
        <is>
          <t>Buffet</t>
        </is>
      </c>
      <c r="O948" t="n">
        <v>4</v>
      </c>
      <c r="P948" t="n">
        <v>25</v>
      </c>
      <c r="Q948" t="n">
        <v>4</v>
      </c>
    </row>
    <row r="949">
      <c r="A949" t="n">
        <v>2025</v>
      </c>
      <c r="B949" t="n">
        <v>5</v>
      </c>
      <c r="C949" t="inlineStr">
        <is>
          <t>Muçarela Mozzalet 2 kg</t>
        </is>
      </c>
      <c r="D949" t="inlineStr">
        <is>
          <t>Confeitaria</t>
        </is>
      </c>
      <c r="E949" t="n">
        <v>413.64</v>
      </c>
      <c r="F949" t="n">
        <v>18</v>
      </c>
      <c r="G949" t="n">
        <v>9</v>
      </c>
      <c r="J949" t="inlineStr">
        <is>
          <t>M</t>
        </is>
      </c>
      <c r="K949" t="n">
        <v>2024</v>
      </c>
      <c r="L949" t="n">
        <v>6</v>
      </c>
      <c r="M949" t="inlineStr">
        <is>
          <t>Muçarela Mozzana 2 kg</t>
        </is>
      </c>
      <c r="N949" t="inlineStr">
        <is>
          <t>Buffet</t>
        </is>
      </c>
      <c r="O949" t="n">
        <v>3</v>
      </c>
      <c r="P949" t="n">
        <v>6</v>
      </c>
      <c r="Q949" t="n">
        <v>0</v>
      </c>
    </row>
    <row r="950">
      <c r="A950" t="n">
        <v>2025</v>
      </c>
      <c r="B950" t="n">
        <v>5</v>
      </c>
      <c r="C950" t="inlineStr">
        <is>
          <t>Muçarela Mozzalet 2 kg</t>
        </is>
      </c>
      <c r="D950" t="inlineStr">
        <is>
          <t>Cozinha Industrial</t>
        </is>
      </c>
      <c r="E950" t="n">
        <v>6287.55</v>
      </c>
      <c r="F950" t="n">
        <v>282</v>
      </c>
      <c r="G950" t="n">
        <v>141</v>
      </c>
      <c r="J950" t="inlineStr">
        <is>
          <t>A</t>
        </is>
      </c>
      <c r="K950" t="n">
        <v>2024</v>
      </c>
      <c r="L950" t="n">
        <v>7</v>
      </c>
      <c r="M950" t="inlineStr">
        <is>
          <t>Muçarela Mozzana 2 kg</t>
        </is>
      </c>
      <c r="N950" t="inlineStr">
        <is>
          <t>Buffet</t>
        </is>
      </c>
      <c r="O950" t="n">
        <v>4</v>
      </c>
      <c r="P950" t="n">
        <v>27</v>
      </c>
      <c r="Q950" t="n">
        <v>4</v>
      </c>
    </row>
    <row r="951">
      <c r="A951" t="n">
        <v>2025</v>
      </c>
      <c r="B951" t="n">
        <v>5</v>
      </c>
      <c r="C951" t="inlineStr">
        <is>
          <t>Muçarela Mozzalet 2 kg</t>
        </is>
      </c>
      <c r="D951" t="inlineStr">
        <is>
          <t>Cozinha Oriental</t>
        </is>
      </c>
      <c r="E951" t="n">
        <v>752.8</v>
      </c>
      <c r="F951" t="n">
        <v>34</v>
      </c>
      <c r="G951" t="n">
        <v>17</v>
      </c>
      <c r="J951" t="inlineStr">
        <is>
          <t>M</t>
        </is>
      </c>
      <c r="K951" t="n">
        <v>2024</v>
      </c>
      <c r="L951" t="n">
        <v>7</v>
      </c>
      <c r="M951" t="inlineStr">
        <is>
          <t>Muçarela Mozzana 2 kg</t>
        </is>
      </c>
      <c r="N951" t="inlineStr">
        <is>
          <t>Buffet</t>
        </is>
      </c>
      <c r="O951" t="n">
        <v>1</v>
      </c>
      <c r="P951" t="n">
        <v>2</v>
      </c>
      <c r="Q951" t="n">
        <v>0</v>
      </c>
    </row>
    <row r="952">
      <c r="A952" t="n">
        <v>2025</v>
      </c>
      <c r="B952" t="n">
        <v>5</v>
      </c>
      <c r="C952" t="inlineStr">
        <is>
          <t>Muçarela Mozzalet 2 kg</t>
        </is>
      </c>
      <c r="D952" t="inlineStr">
        <is>
          <t>Esfiharia</t>
        </is>
      </c>
      <c r="E952" t="n">
        <v>1616.4</v>
      </c>
      <c r="F952" t="n">
        <v>72</v>
      </c>
      <c r="G952" t="n">
        <v>36</v>
      </c>
      <c r="J952" t="inlineStr">
        <is>
          <t>A</t>
        </is>
      </c>
      <c r="K952" t="n">
        <v>2024</v>
      </c>
      <c r="L952" t="n">
        <v>8</v>
      </c>
      <c r="M952" t="inlineStr">
        <is>
          <t>Muçarela Mozzana 2 kg</t>
        </is>
      </c>
      <c r="N952" t="inlineStr">
        <is>
          <t>Buffet</t>
        </is>
      </c>
      <c r="O952" t="n">
        <v>4</v>
      </c>
      <c r="P952" t="n">
        <v>32</v>
      </c>
      <c r="Q952" t="n">
        <v>4</v>
      </c>
    </row>
    <row r="953">
      <c r="A953" t="n">
        <v>2025</v>
      </c>
      <c r="B953" t="n">
        <v>5</v>
      </c>
      <c r="C953" t="inlineStr">
        <is>
          <t>Muçarela Mozzalet 2 kg</t>
        </is>
      </c>
      <c r="D953" t="inlineStr">
        <is>
          <t>Fábrica de Massas</t>
        </is>
      </c>
      <c r="E953" t="n">
        <v>33949.41</v>
      </c>
      <c r="F953" t="n">
        <v>1498</v>
      </c>
      <c r="G953" t="n">
        <v>749</v>
      </c>
      <c r="J953" t="inlineStr">
        <is>
          <t>M</t>
        </is>
      </c>
      <c r="K953" t="n">
        <v>2024</v>
      </c>
      <c r="L953" t="n">
        <v>8</v>
      </c>
      <c r="M953" t="inlineStr">
        <is>
          <t>Muçarela Mozzana 2 kg</t>
        </is>
      </c>
      <c r="N953" t="inlineStr">
        <is>
          <t>Buffet</t>
        </is>
      </c>
      <c r="O953" t="n">
        <v>2</v>
      </c>
      <c r="P953" t="n">
        <v>5</v>
      </c>
      <c r="Q953" t="n">
        <v>0</v>
      </c>
    </row>
    <row r="954">
      <c r="A954" t="n">
        <v>2025</v>
      </c>
      <c r="B954" t="n">
        <v>5</v>
      </c>
      <c r="C954" t="inlineStr">
        <is>
          <t>Muçarela Mozzalet 2 kg</t>
        </is>
      </c>
      <c r="D954" t="inlineStr">
        <is>
          <t>Hamburgueria</t>
        </is>
      </c>
      <c r="E954" t="n">
        <v>1046.5</v>
      </c>
      <c r="F954" t="n">
        <v>46</v>
      </c>
      <c r="G954" t="n">
        <v>23</v>
      </c>
      <c r="J954" t="inlineStr">
        <is>
          <t>A</t>
        </is>
      </c>
      <c r="K954" t="n">
        <v>2024</v>
      </c>
      <c r="L954" t="n">
        <v>9</v>
      </c>
      <c r="M954" t="inlineStr">
        <is>
          <t>Muçarela Mozzana 2 kg</t>
        </is>
      </c>
      <c r="N954" t="inlineStr">
        <is>
          <t>Buffet</t>
        </is>
      </c>
      <c r="O954" t="n">
        <v>5</v>
      </c>
      <c r="P954" t="n">
        <v>36</v>
      </c>
      <c r="Q954" t="n">
        <v>5</v>
      </c>
    </row>
    <row r="955">
      <c r="A955" t="n">
        <v>2025</v>
      </c>
      <c r="B955" t="n">
        <v>5</v>
      </c>
      <c r="C955" t="inlineStr">
        <is>
          <t>Muçarela Mozzalet 2 kg</t>
        </is>
      </c>
      <c r="D955" t="inlineStr">
        <is>
          <t>Lanchonete / Cafeteria</t>
        </is>
      </c>
      <c r="E955" t="n">
        <v>1048.95</v>
      </c>
      <c r="F955" t="n">
        <v>46</v>
      </c>
      <c r="G955" t="n">
        <v>23</v>
      </c>
      <c r="J955" t="inlineStr">
        <is>
          <t>M</t>
        </is>
      </c>
      <c r="K955" t="n">
        <v>2024</v>
      </c>
      <c r="L955" t="n">
        <v>9</v>
      </c>
      <c r="M955" t="inlineStr">
        <is>
          <t>Muçarela Mozzana 2 kg</t>
        </is>
      </c>
      <c r="N955" t="inlineStr">
        <is>
          <t>Buffet</t>
        </is>
      </c>
      <c r="O955" t="n">
        <v>2</v>
      </c>
      <c r="P955" t="n">
        <v>4</v>
      </c>
      <c r="Q955" t="n">
        <v>0</v>
      </c>
    </row>
    <row r="956">
      <c r="A956" t="n">
        <v>2025</v>
      </c>
      <c r="B956" t="n">
        <v>5</v>
      </c>
      <c r="C956" t="inlineStr">
        <is>
          <t>Muçarela Mozzalet 2 kg</t>
        </is>
      </c>
      <c r="D956" t="inlineStr">
        <is>
          <t>Laticínios / Distribuidor</t>
        </is>
      </c>
      <c r="E956" t="n">
        <v>825.12</v>
      </c>
      <c r="F956" t="n">
        <v>36</v>
      </c>
      <c r="G956" t="n">
        <v>18</v>
      </c>
      <c r="J956" t="inlineStr">
        <is>
          <t>A</t>
        </is>
      </c>
      <c r="K956" t="n">
        <v>2024</v>
      </c>
      <c r="L956" t="n">
        <v>10</v>
      </c>
      <c r="M956" t="inlineStr">
        <is>
          <t>Muçarela Mozzana 2 kg</t>
        </is>
      </c>
      <c r="N956" t="inlineStr">
        <is>
          <t>Buffet</t>
        </is>
      </c>
      <c r="O956" t="n">
        <v>5</v>
      </c>
      <c r="P956" t="n">
        <v>44</v>
      </c>
      <c r="Q956" t="n">
        <v>5</v>
      </c>
    </row>
    <row r="957">
      <c r="A957" t="n">
        <v>2025</v>
      </c>
      <c r="B957" t="n">
        <v>5</v>
      </c>
      <c r="C957" t="inlineStr">
        <is>
          <t>Muçarela Mozzalet 2 kg</t>
        </is>
      </c>
      <c r="D957" t="inlineStr">
        <is>
          <t>Mercearia / Sacolão</t>
        </is>
      </c>
      <c r="E957" t="n">
        <v>827.28</v>
      </c>
      <c r="F957" t="n">
        <v>36</v>
      </c>
      <c r="G957" t="n">
        <v>18</v>
      </c>
      <c r="J957" t="inlineStr">
        <is>
          <t>M</t>
        </is>
      </c>
      <c r="K957" t="n">
        <v>2024</v>
      </c>
      <c r="L957" t="n">
        <v>10</v>
      </c>
      <c r="M957" t="inlineStr">
        <is>
          <t>Muçarela Mozzana 2 kg</t>
        </is>
      </c>
      <c r="N957" t="inlineStr">
        <is>
          <t>Buffet</t>
        </is>
      </c>
      <c r="O957" t="n">
        <v>2</v>
      </c>
      <c r="P957" t="n">
        <v>8</v>
      </c>
      <c r="Q957" t="n">
        <v>0</v>
      </c>
    </row>
    <row r="958">
      <c r="A958" t="n">
        <v>2025</v>
      </c>
      <c r="B958" t="n">
        <v>5</v>
      </c>
      <c r="C958" t="inlineStr">
        <is>
          <t>Muçarela Mozzalet 2 kg</t>
        </is>
      </c>
      <c r="D958" t="inlineStr">
        <is>
          <t>Outros</t>
        </is>
      </c>
      <c r="E958" t="n">
        <v>2344.74</v>
      </c>
      <c r="F958" t="n">
        <v>102</v>
      </c>
      <c r="G958" t="n">
        <v>51</v>
      </c>
      <c r="J958" t="inlineStr">
        <is>
          <t>A</t>
        </is>
      </c>
      <c r="K958" t="n">
        <v>2024</v>
      </c>
      <c r="L958" t="n">
        <v>11</v>
      </c>
      <c r="M958" t="inlineStr">
        <is>
          <t>Muçarela Mozzana 2 kg</t>
        </is>
      </c>
      <c r="N958" t="inlineStr">
        <is>
          <t>Buffet</t>
        </is>
      </c>
      <c r="O958" t="n">
        <v>5</v>
      </c>
      <c r="P958" t="n">
        <v>51</v>
      </c>
      <c r="Q958" t="n">
        <v>5</v>
      </c>
    </row>
    <row r="959">
      <c r="A959" t="n">
        <v>2025</v>
      </c>
      <c r="B959" t="n">
        <v>5</v>
      </c>
      <c r="C959" t="inlineStr">
        <is>
          <t>Muçarela Mozzalet 2 kg</t>
        </is>
      </c>
      <c r="D959" t="inlineStr">
        <is>
          <t>Padaria</t>
        </is>
      </c>
      <c r="E959" t="n">
        <v>919.23</v>
      </c>
      <c r="F959" t="n">
        <v>40</v>
      </c>
      <c r="G959" t="n">
        <v>20</v>
      </c>
      <c r="J959" t="inlineStr">
        <is>
          <t>M</t>
        </is>
      </c>
      <c r="K959" t="n">
        <v>2024</v>
      </c>
      <c r="L959" t="n">
        <v>11</v>
      </c>
      <c r="M959" t="inlineStr">
        <is>
          <t>Muçarela Mozzana 2 kg</t>
        </is>
      </c>
      <c r="N959" t="inlineStr">
        <is>
          <t>Buffet</t>
        </is>
      </c>
      <c r="O959" t="n">
        <v>2</v>
      </c>
      <c r="P959" t="n">
        <v>7</v>
      </c>
      <c r="Q959" t="n">
        <v>0</v>
      </c>
    </row>
    <row r="960">
      <c r="A960" t="n">
        <v>2025</v>
      </c>
      <c r="B960" t="n">
        <v>5</v>
      </c>
      <c r="C960" t="inlineStr">
        <is>
          <t>Muçarela Mozzalet 2 kg</t>
        </is>
      </c>
      <c r="D960" t="inlineStr">
        <is>
          <t>Pastelaria</t>
        </is>
      </c>
      <c r="E960" t="n">
        <v>2152.6</v>
      </c>
      <c r="F960" t="n">
        <v>94</v>
      </c>
      <c r="G960" t="n">
        <v>47</v>
      </c>
      <c r="J960" t="inlineStr">
        <is>
          <t>A</t>
        </is>
      </c>
      <c r="K960" t="n">
        <v>2024</v>
      </c>
      <c r="L960" t="n">
        <v>12</v>
      </c>
      <c r="M960" t="inlineStr">
        <is>
          <t>Muçarela Mozzana 2 kg</t>
        </is>
      </c>
      <c r="N960" t="inlineStr">
        <is>
          <t>Buffet</t>
        </is>
      </c>
      <c r="O960" t="n">
        <v>5</v>
      </c>
      <c r="P960" t="n">
        <v>56</v>
      </c>
      <c r="Q960" t="n">
        <v>5</v>
      </c>
    </row>
    <row r="961">
      <c r="A961" t="n">
        <v>2025</v>
      </c>
      <c r="B961" t="n">
        <v>5</v>
      </c>
      <c r="C961" t="inlineStr">
        <is>
          <t>Muçarela Mozzalet 2 kg</t>
        </is>
      </c>
      <c r="D961" t="inlineStr">
        <is>
          <t>Pessoa Física</t>
        </is>
      </c>
      <c r="E961" t="n">
        <v>3448.18</v>
      </c>
      <c r="F961" t="n">
        <v>152</v>
      </c>
      <c r="G961" t="n">
        <v>76</v>
      </c>
      <c r="J961" t="inlineStr">
        <is>
          <t>M</t>
        </is>
      </c>
      <c r="K961" t="n">
        <v>2024</v>
      </c>
      <c r="L961" t="n">
        <v>12</v>
      </c>
      <c r="M961" t="inlineStr">
        <is>
          <t>Muçarela Mozzana 2 kg</t>
        </is>
      </c>
      <c r="N961" t="inlineStr">
        <is>
          <t>Buffet</t>
        </is>
      </c>
      <c r="O961" t="n">
        <v>2</v>
      </c>
      <c r="P961" t="n">
        <v>5</v>
      </c>
      <c r="Q961" t="n">
        <v>0</v>
      </c>
    </row>
    <row r="962">
      <c r="A962" t="n">
        <v>2025</v>
      </c>
      <c r="B962" t="n">
        <v>5</v>
      </c>
      <c r="C962" t="inlineStr">
        <is>
          <t>Muçarela Mozzalet 2 kg</t>
        </is>
      </c>
      <c r="D962" t="inlineStr">
        <is>
          <t>Pizzaria</t>
        </is>
      </c>
      <c r="E962" t="n">
        <v>23754.13</v>
      </c>
      <c r="F962" t="n">
        <v>1044</v>
      </c>
      <c r="G962" t="n">
        <v>522</v>
      </c>
      <c r="J962" t="inlineStr">
        <is>
          <t>A</t>
        </is>
      </c>
      <c r="K962" t="n">
        <v>2024</v>
      </c>
      <c r="L962" t="n">
        <v>1</v>
      </c>
      <c r="M962" t="inlineStr">
        <is>
          <t>Muçarela Mozzana 2 kg</t>
        </is>
      </c>
      <c r="N962" t="inlineStr">
        <is>
          <t>Hamburgueria</t>
        </is>
      </c>
      <c r="O962" t="n">
        <v>2</v>
      </c>
      <c r="P962" t="n">
        <v>6</v>
      </c>
      <c r="Q962" t="n">
        <v>2</v>
      </c>
    </row>
    <row r="963">
      <c r="A963" t="n">
        <v>2025</v>
      </c>
      <c r="B963" t="n">
        <v>5</v>
      </c>
      <c r="C963" t="inlineStr">
        <is>
          <t>Muçarela Mozzalet 2 kg</t>
        </is>
      </c>
      <c r="D963" t="inlineStr">
        <is>
          <t>Restaurante / Cantina</t>
        </is>
      </c>
      <c r="E963" t="n">
        <v>47528.76</v>
      </c>
      <c r="F963" t="n">
        <v>2138</v>
      </c>
      <c r="G963" t="n">
        <v>1069</v>
      </c>
      <c r="J963" t="inlineStr">
        <is>
          <t>M</t>
        </is>
      </c>
      <c r="K963" t="n">
        <v>2024</v>
      </c>
      <c r="L963" t="n">
        <v>1</v>
      </c>
      <c r="M963" t="inlineStr">
        <is>
          <t>Muçarela Mozzana 2 kg</t>
        </is>
      </c>
      <c r="N963" t="inlineStr">
        <is>
          <t>Hamburgueria</t>
        </is>
      </c>
      <c r="O963" t="n">
        <v>2</v>
      </c>
      <c r="P963" t="n">
        <v>6</v>
      </c>
      <c r="Q963" t="n">
        <v>0</v>
      </c>
    </row>
    <row r="964">
      <c r="A964" t="n">
        <v>2025</v>
      </c>
      <c r="B964" t="n">
        <v>5</v>
      </c>
      <c r="C964" t="inlineStr">
        <is>
          <t>Muçarela Mozzana 2 kg</t>
        </is>
      </c>
      <c r="D964" t="inlineStr">
        <is>
          <t>Buffet</t>
        </is>
      </c>
      <c r="E964" t="n">
        <v>967.67</v>
      </c>
      <c r="F964" t="n">
        <v>38.38</v>
      </c>
      <c r="G964" t="n">
        <v>19</v>
      </c>
      <c r="J964" t="inlineStr">
        <is>
          <t>A</t>
        </is>
      </c>
      <c r="K964" t="n">
        <v>2024</v>
      </c>
      <c r="L964" t="n">
        <v>2</v>
      </c>
      <c r="M964" t="inlineStr">
        <is>
          <t>Muçarela Mozzana 2 kg</t>
        </is>
      </c>
      <c r="N964" t="inlineStr">
        <is>
          <t>Hamburgueria</t>
        </is>
      </c>
      <c r="O964" t="n">
        <v>3</v>
      </c>
      <c r="P964" t="n">
        <v>11</v>
      </c>
      <c r="Q964" t="n">
        <v>3</v>
      </c>
    </row>
    <row r="965">
      <c r="A965" t="n">
        <v>2025</v>
      </c>
      <c r="B965" t="n">
        <v>5</v>
      </c>
      <c r="C965" t="inlineStr">
        <is>
          <t>Muçarela Mozzana 2 kg</t>
        </is>
      </c>
      <c r="D965" t="inlineStr">
        <is>
          <t>Cozinha Industrial</t>
        </is>
      </c>
      <c r="E965" t="n">
        <v>1097.03</v>
      </c>
      <c r="F965" t="n">
        <v>44.44</v>
      </c>
      <c r="G965" t="n">
        <v>22</v>
      </c>
      <c r="J965" t="inlineStr">
        <is>
          <t>M</t>
        </is>
      </c>
      <c r="K965" t="n">
        <v>2024</v>
      </c>
      <c r="L965" t="n">
        <v>2</v>
      </c>
      <c r="M965" t="inlineStr">
        <is>
          <t>Muçarela Mozzana 2 kg</t>
        </is>
      </c>
      <c r="N965" t="inlineStr">
        <is>
          <t>Hamburgueria</t>
        </is>
      </c>
      <c r="O965" t="n">
        <v>2</v>
      </c>
      <c r="P965" t="n">
        <v>5</v>
      </c>
      <c r="Q965" t="n">
        <v>0</v>
      </c>
    </row>
    <row r="966">
      <c r="A966" t="n">
        <v>2025</v>
      </c>
      <c r="B966" t="n">
        <v>5</v>
      </c>
      <c r="C966" t="inlineStr">
        <is>
          <t>Muçarela Mozzana 2 kg</t>
        </is>
      </c>
      <c r="D966" t="inlineStr">
        <is>
          <t>Esfiharia</t>
        </is>
      </c>
      <c r="E966" t="n">
        <v>4308.53</v>
      </c>
      <c r="F966" t="n">
        <v>171.7</v>
      </c>
      <c r="G966" t="n">
        <v>85</v>
      </c>
      <c r="J966" t="inlineStr">
        <is>
          <t>A</t>
        </is>
      </c>
      <c r="K966" t="n">
        <v>2024</v>
      </c>
      <c r="L966" t="n">
        <v>3</v>
      </c>
      <c r="M966" t="inlineStr">
        <is>
          <t>Muçarela Mozzana 2 kg</t>
        </is>
      </c>
      <c r="N966" t="inlineStr">
        <is>
          <t>Hamburgueria</t>
        </is>
      </c>
      <c r="O966" t="n">
        <v>3</v>
      </c>
      <c r="P966" t="n">
        <v>14</v>
      </c>
      <c r="Q966" t="n">
        <v>3</v>
      </c>
    </row>
    <row r="967">
      <c r="A967" t="n">
        <v>2025</v>
      </c>
      <c r="B967" t="n">
        <v>5</v>
      </c>
      <c r="C967" t="inlineStr">
        <is>
          <t>Muçarela Mozzana 2 kg</t>
        </is>
      </c>
      <c r="D967" t="inlineStr">
        <is>
          <t>Fábrica de Massas</t>
        </is>
      </c>
      <c r="E967" t="n">
        <v>14264.46</v>
      </c>
      <c r="F967" t="n">
        <v>579.74</v>
      </c>
      <c r="G967" t="n">
        <v>287</v>
      </c>
      <c r="J967" t="inlineStr">
        <is>
          <t>M</t>
        </is>
      </c>
      <c r="K967" t="n">
        <v>2024</v>
      </c>
      <c r="L967" t="n">
        <v>3</v>
      </c>
      <c r="M967" t="inlineStr">
        <is>
          <t>Muçarela Mozzana 2 kg</t>
        </is>
      </c>
      <c r="N967" t="inlineStr">
        <is>
          <t>Hamburgueria</t>
        </is>
      </c>
      <c r="O967" t="n">
        <v>1</v>
      </c>
      <c r="P967" t="n">
        <v>3</v>
      </c>
      <c r="Q967" t="n">
        <v>0</v>
      </c>
    </row>
    <row r="968">
      <c r="A968" t="n">
        <v>2025</v>
      </c>
      <c r="B968" t="n">
        <v>5</v>
      </c>
      <c r="C968" t="inlineStr">
        <is>
          <t>Muçarela Mozzana 2 kg</t>
        </is>
      </c>
      <c r="D968" t="inlineStr">
        <is>
          <t>Lanchonete / Cafeteria</t>
        </is>
      </c>
      <c r="E968" t="n">
        <v>503.06</v>
      </c>
      <c r="F968" t="n">
        <v>20.2</v>
      </c>
      <c r="G968" t="n">
        <v>10</v>
      </c>
      <c r="J968" t="inlineStr">
        <is>
          <t>A</t>
        </is>
      </c>
      <c r="K968" t="n">
        <v>2024</v>
      </c>
      <c r="L968" t="n">
        <v>4</v>
      </c>
      <c r="M968" t="inlineStr">
        <is>
          <t>Muçarela Mozzana 2 kg</t>
        </is>
      </c>
      <c r="N968" t="inlineStr">
        <is>
          <t>Hamburgueria</t>
        </is>
      </c>
      <c r="O968" t="n">
        <v>3</v>
      </c>
      <c r="P968" t="n">
        <v>18</v>
      </c>
      <c r="Q968" t="n">
        <v>3</v>
      </c>
    </row>
    <row r="969">
      <c r="A969" t="n">
        <v>2025</v>
      </c>
      <c r="B969" t="n">
        <v>5</v>
      </c>
      <c r="C969" t="inlineStr">
        <is>
          <t>Muçarela Mozzana 2 kg</t>
        </is>
      </c>
      <c r="D969" t="inlineStr">
        <is>
          <t>Mercearia / Sacolão</t>
        </is>
      </c>
      <c r="E969" t="n">
        <v>1333.53</v>
      </c>
      <c r="F969" t="n">
        <v>54.54</v>
      </c>
      <c r="G969" t="n">
        <v>27</v>
      </c>
      <c r="J969" t="inlineStr">
        <is>
          <t>M</t>
        </is>
      </c>
      <c r="K969" t="n">
        <v>2024</v>
      </c>
      <c r="L969" t="n">
        <v>4</v>
      </c>
      <c r="M969" t="inlineStr">
        <is>
          <t>Muçarela Mozzana 2 kg</t>
        </is>
      </c>
      <c r="N969" t="inlineStr">
        <is>
          <t>Hamburgueria</t>
        </is>
      </c>
      <c r="O969" t="n">
        <v>1</v>
      </c>
      <c r="P969" t="n">
        <v>4</v>
      </c>
      <c r="Q969" t="n">
        <v>0</v>
      </c>
    </row>
    <row r="970">
      <c r="A970" t="n">
        <v>2025</v>
      </c>
      <c r="B970" t="n">
        <v>5</v>
      </c>
      <c r="C970" t="inlineStr">
        <is>
          <t>Muçarela Mozzana 2 kg</t>
        </is>
      </c>
      <c r="D970" t="inlineStr">
        <is>
          <t>Outros</t>
        </is>
      </c>
      <c r="E970" t="n">
        <v>20173.21</v>
      </c>
      <c r="F970" t="n">
        <v>808</v>
      </c>
      <c r="G970" t="n">
        <v>400</v>
      </c>
      <c r="J970" t="inlineStr">
        <is>
          <t>A</t>
        </is>
      </c>
      <c r="K970" t="n">
        <v>2024</v>
      </c>
      <c r="L970" t="n">
        <v>5</v>
      </c>
      <c r="M970" t="inlineStr">
        <is>
          <t>Muçarela Mozzana 2 kg</t>
        </is>
      </c>
      <c r="N970" t="inlineStr">
        <is>
          <t>Hamburgueria</t>
        </is>
      </c>
      <c r="O970" t="n">
        <v>3</v>
      </c>
      <c r="P970" t="n">
        <v>22</v>
      </c>
      <c r="Q970" t="n">
        <v>3</v>
      </c>
    </row>
    <row r="971">
      <c r="A971" t="n">
        <v>2025</v>
      </c>
      <c r="B971" t="n">
        <v>5</v>
      </c>
      <c r="C971" t="inlineStr">
        <is>
          <t>Muçarela Mozzana 2 kg</t>
        </is>
      </c>
      <c r="D971" t="inlineStr">
        <is>
          <t>Padaria</t>
        </is>
      </c>
      <c r="E971" t="n">
        <v>1149.53</v>
      </c>
      <c r="F971" t="n">
        <v>46.46</v>
      </c>
      <c r="G971" t="n">
        <v>23</v>
      </c>
      <c r="J971" t="inlineStr">
        <is>
          <t>M</t>
        </is>
      </c>
      <c r="K971" t="n">
        <v>2024</v>
      </c>
      <c r="L971" t="n">
        <v>5</v>
      </c>
      <c r="M971" t="inlineStr">
        <is>
          <t>Muçarela Mozzana 2 kg</t>
        </is>
      </c>
      <c r="N971" t="inlineStr">
        <is>
          <t>Hamburgueria</t>
        </is>
      </c>
      <c r="O971" t="n">
        <v>1</v>
      </c>
      <c r="P971" t="n">
        <v>4</v>
      </c>
      <c r="Q971" t="n">
        <v>0</v>
      </c>
    </row>
    <row r="972">
      <c r="A972" t="n">
        <v>2025</v>
      </c>
      <c r="B972" t="n">
        <v>5</v>
      </c>
      <c r="C972" t="inlineStr">
        <is>
          <t>Muçarela Mozzana 2 kg</t>
        </is>
      </c>
      <c r="D972" t="inlineStr">
        <is>
          <t>Pastelaria</t>
        </is>
      </c>
      <c r="E972" t="n">
        <v>3880.36</v>
      </c>
      <c r="F972" t="n">
        <v>153.52</v>
      </c>
      <c r="G972" t="n">
        <v>76</v>
      </c>
      <c r="J972" t="inlineStr">
        <is>
          <t>A</t>
        </is>
      </c>
      <c r="K972" t="n">
        <v>2024</v>
      </c>
      <c r="L972" t="n">
        <v>6</v>
      </c>
      <c r="M972" t="inlineStr">
        <is>
          <t>Muçarela Mozzana 2 kg</t>
        </is>
      </c>
      <c r="N972" t="inlineStr">
        <is>
          <t>Hamburgueria</t>
        </is>
      </c>
      <c r="O972" t="n">
        <v>3</v>
      </c>
      <c r="P972" t="n">
        <v>26</v>
      </c>
      <c r="Q972" t="n">
        <v>3</v>
      </c>
    </row>
    <row r="973">
      <c r="A973" t="n">
        <v>2025</v>
      </c>
      <c r="B973" t="n">
        <v>5</v>
      </c>
      <c r="C973" t="inlineStr">
        <is>
          <t>Muçarela Mozzana 2 kg</t>
        </is>
      </c>
      <c r="D973" t="inlineStr">
        <is>
          <t>Pessoa Física</t>
        </is>
      </c>
      <c r="E973" t="n">
        <v>1364.85</v>
      </c>
      <c r="F973" t="n">
        <v>54.54</v>
      </c>
      <c r="G973" t="n">
        <v>27</v>
      </c>
      <c r="J973" t="inlineStr">
        <is>
          <t>M</t>
        </is>
      </c>
      <c r="K973" t="n">
        <v>2024</v>
      </c>
      <c r="L973" t="n">
        <v>6</v>
      </c>
      <c r="M973" t="inlineStr">
        <is>
          <t>Muçarela Mozzana 2 kg</t>
        </is>
      </c>
      <c r="N973" t="inlineStr">
        <is>
          <t>Hamburgueria</t>
        </is>
      </c>
      <c r="O973" t="n">
        <v>1</v>
      </c>
      <c r="P973" t="n">
        <v>4</v>
      </c>
      <c r="Q973" t="n">
        <v>0</v>
      </c>
    </row>
    <row r="974">
      <c r="A974" t="n">
        <v>2025</v>
      </c>
      <c r="B974" t="n">
        <v>5</v>
      </c>
      <c r="C974" t="inlineStr">
        <is>
          <t>Muçarela Mozzana 2 kg</t>
        </is>
      </c>
      <c r="D974" t="inlineStr">
        <is>
          <t>Pizzaria</t>
        </is>
      </c>
      <c r="E974" t="n">
        <v>51484.92</v>
      </c>
      <c r="F974" t="n">
        <v>2058.38</v>
      </c>
      <c r="G974" t="n">
        <v>1019</v>
      </c>
      <c r="J974" t="inlineStr">
        <is>
          <t>A</t>
        </is>
      </c>
      <c r="K974" t="n">
        <v>2024</v>
      </c>
      <c r="L974" t="n">
        <v>7</v>
      </c>
      <c r="M974" t="inlineStr">
        <is>
          <t>Muçarela Mozzana 2 kg</t>
        </is>
      </c>
      <c r="N974" t="inlineStr">
        <is>
          <t>Hamburgueria</t>
        </is>
      </c>
      <c r="O974" t="n">
        <v>3</v>
      </c>
      <c r="P974" t="n">
        <v>31</v>
      </c>
      <c r="Q974" t="n">
        <v>3</v>
      </c>
    </row>
    <row r="975">
      <c r="A975" t="n">
        <v>2025</v>
      </c>
      <c r="B975" t="n">
        <v>5</v>
      </c>
      <c r="C975" t="inlineStr">
        <is>
          <t>Muçarela Mozzana 2 kg</t>
        </is>
      </c>
      <c r="D975" t="inlineStr">
        <is>
          <t>Restaurante / Cantina</t>
        </is>
      </c>
      <c r="E975" t="n">
        <v>10202.17</v>
      </c>
      <c r="F975" t="n">
        <v>410.06</v>
      </c>
      <c r="G975" t="n">
        <v>203</v>
      </c>
      <c r="J975" t="inlineStr">
        <is>
          <t>M</t>
        </is>
      </c>
      <c r="K975" t="n">
        <v>2024</v>
      </c>
      <c r="L975" t="n">
        <v>7</v>
      </c>
      <c r="M975" t="inlineStr">
        <is>
          <t>Muçarela Mozzana 2 kg</t>
        </is>
      </c>
      <c r="N975" t="inlineStr">
        <is>
          <t>Hamburgueria</t>
        </is>
      </c>
      <c r="O975" t="n">
        <v>1</v>
      </c>
      <c r="P975" t="n">
        <v>5</v>
      </c>
      <c r="Q975" t="n">
        <v>0</v>
      </c>
    </row>
    <row r="976">
      <c r="A976" t="n">
        <v>2025</v>
      </c>
      <c r="B976" t="n">
        <v>5</v>
      </c>
      <c r="C976" t="inlineStr">
        <is>
          <t>Muçarela Mozzana 2 kg</t>
        </is>
      </c>
      <c r="D976" t="inlineStr">
        <is>
          <t>Rotisserie</t>
        </is>
      </c>
      <c r="E976" t="n">
        <v>249.33</v>
      </c>
      <c r="F976" t="n">
        <v>10.1</v>
      </c>
      <c r="G976" t="n">
        <v>5</v>
      </c>
      <c r="J976" t="inlineStr">
        <is>
          <t>A</t>
        </is>
      </c>
      <c r="K976" t="n">
        <v>2024</v>
      </c>
      <c r="L976" t="n">
        <v>8</v>
      </c>
      <c r="M976" t="inlineStr">
        <is>
          <t>Muçarela Mozzana 2 kg</t>
        </is>
      </c>
      <c r="N976" t="inlineStr">
        <is>
          <t>Hamburgueria</t>
        </is>
      </c>
      <c r="O976" t="n">
        <v>4</v>
      </c>
      <c r="P976" t="n">
        <v>32</v>
      </c>
      <c r="Q976" t="n">
        <v>4</v>
      </c>
    </row>
    <row r="977">
      <c r="A977" t="n">
        <v>2025</v>
      </c>
      <c r="B977" t="n">
        <v>5</v>
      </c>
      <c r="C977" t="inlineStr">
        <is>
          <t>Muçarela Mozzana 2 kg</t>
        </is>
      </c>
      <c r="D977" t="inlineStr">
        <is>
          <t>Supermercado</t>
        </is>
      </c>
      <c r="E977" t="n">
        <v>3372.3</v>
      </c>
      <c r="F977" t="n">
        <v>133.32</v>
      </c>
      <c r="G977" t="n">
        <v>66</v>
      </c>
      <c r="J977" t="inlineStr">
        <is>
          <t>M</t>
        </is>
      </c>
      <c r="K977" t="n">
        <v>2024</v>
      </c>
      <c r="L977" t="n">
        <v>8</v>
      </c>
      <c r="M977" t="inlineStr">
        <is>
          <t>Muçarela Mozzana 2 kg</t>
        </is>
      </c>
      <c r="N977" t="inlineStr">
        <is>
          <t>Hamburgueria</t>
        </is>
      </c>
      <c r="O977" t="n">
        <v>1</v>
      </c>
      <c r="P977" t="n">
        <v>1</v>
      </c>
      <c r="Q977" t="n">
        <v>0</v>
      </c>
    </row>
    <row r="978">
      <c r="A978" t="n">
        <v>2025</v>
      </c>
      <c r="B978" t="n">
        <v>5</v>
      </c>
      <c r="C978" t="inlineStr">
        <is>
          <t>Requeijão Pizzalet 1,8 kg</t>
        </is>
      </c>
      <c r="D978" t="inlineStr">
        <is>
          <t>Bar / Chopperia</t>
        </is>
      </c>
      <c r="E978" t="n">
        <v>365.47</v>
      </c>
      <c r="F978" t="n">
        <v>42.32</v>
      </c>
      <c r="G978" t="n">
        <v>23</v>
      </c>
      <c r="J978" t="inlineStr">
        <is>
          <t>A</t>
        </is>
      </c>
      <c r="K978" t="n">
        <v>2024</v>
      </c>
      <c r="L978" t="n">
        <v>9</v>
      </c>
      <c r="M978" t="inlineStr">
        <is>
          <t>Muçarela Mozzana 2 kg</t>
        </is>
      </c>
      <c r="N978" t="inlineStr">
        <is>
          <t>Hamburgueria</t>
        </is>
      </c>
      <c r="O978" t="n">
        <v>4</v>
      </c>
      <c r="P978" t="n">
        <v>33</v>
      </c>
      <c r="Q978" t="n">
        <v>4</v>
      </c>
    </row>
    <row r="979">
      <c r="A979" t="n">
        <v>2025</v>
      </c>
      <c r="B979" t="n">
        <v>5</v>
      </c>
      <c r="C979" t="inlineStr">
        <is>
          <t>Requeijão Pizzalet 1,8 kg</t>
        </is>
      </c>
      <c r="D979" t="inlineStr">
        <is>
          <t>Lanchonete / Cafeteria</t>
        </is>
      </c>
      <c r="E979" t="n">
        <v>1600.76</v>
      </c>
      <c r="F979" t="n">
        <v>184</v>
      </c>
      <c r="G979" t="n">
        <v>100</v>
      </c>
      <c r="J979" t="inlineStr">
        <is>
          <t>M</t>
        </is>
      </c>
      <c r="K979" t="n">
        <v>2024</v>
      </c>
      <c r="L979" t="n">
        <v>9</v>
      </c>
      <c r="M979" t="inlineStr">
        <is>
          <t>Muçarela Mozzana 2 kg</t>
        </is>
      </c>
      <c r="N979" t="inlineStr">
        <is>
          <t>Hamburgueria</t>
        </is>
      </c>
      <c r="O979" t="n">
        <v>1</v>
      </c>
      <c r="P979" t="n">
        <v>1</v>
      </c>
      <c r="Q979" t="n">
        <v>0</v>
      </c>
    </row>
    <row r="980">
      <c r="A980" t="n">
        <v>2025</v>
      </c>
      <c r="B980" t="n">
        <v>5</v>
      </c>
      <c r="C980" t="inlineStr">
        <is>
          <t>Requeijão Pizzalet 1,8 kg</t>
        </is>
      </c>
      <c r="D980" t="inlineStr">
        <is>
          <t>Outros</t>
        </is>
      </c>
      <c r="E980" t="n">
        <v>447.44</v>
      </c>
      <c r="F980" t="n">
        <v>51.52</v>
      </c>
      <c r="G980" t="n">
        <v>28</v>
      </c>
      <c r="J980" t="inlineStr">
        <is>
          <t>A</t>
        </is>
      </c>
      <c r="K980" t="n">
        <v>2024</v>
      </c>
      <c r="L980" t="n">
        <v>10</v>
      </c>
      <c r="M980" t="inlineStr">
        <is>
          <t>Muçarela Mozzana 2 kg</t>
        </is>
      </c>
      <c r="N980" t="inlineStr">
        <is>
          <t>Hamburgueria</t>
        </is>
      </c>
      <c r="O980" t="n">
        <v>4</v>
      </c>
      <c r="P980" t="n">
        <v>34</v>
      </c>
      <c r="Q980" t="n">
        <v>4</v>
      </c>
    </row>
    <row r="981">
      <c r="A981" t="n">
        <v>2025</v>
      </c>
      <c r="B981" t="n">
        <v>5</v>
      </c>
      <c r="C981" t="inlineStr">
        <is>
          <t>Requeijão Pizzalet 1,8 kg</t>
        </is>
      </c>
      <c r="D981" t="inlineStr">
        <is>
          <t>Pastelaria</t>
        </is>
      </c>
      <c r="E981" t="n">
        <v>1902.44</v>
      </c>
      <c r="F981" t="n">
        <v>217.12</v>
      </c>
      <c r="G981" t="n">
        <v>118</v>
      </c>
      <c r="J981" t="inlineStr">
        <is>
          <t>M</t>
        </is>
      </c>
      <c r="K981" t="n">
        <v>2024</v>
      </c>
      <c r="L981" t="n">
        <v>10</v>
      </c>
      <c r="M981" t="inlineStr">
        <is>
          <t>Muçarela Mozzana 2 kg</t>
        </is>
      </c>
      <c r="N981" t="inlineStr">
        <is>
          <t>Hamburgueria</t>
        </is>
      </c>
      <c r="O981" t="n">
        <v>1</v>
      </c>
      <c r="P981" t="n">
        <v>1</v>
      </c>
      <c r="Q981" t="n">
        <v>0</v>
      </c>
    </row>
    <row r="982">
      <c r="A982" t="n">
        <v>2025</v>
      </c>
      <c r="B982" t="n">
        <v>5</v>
      </c>
      <c r="C982" t="inlineStr">
        <is>
          <t>Requeijão Pizzalet 1,8 kg</t>
        </is>
      </c>
      <c r="D982" t="inlineStr">
        <is>
          <t>Pizzaria</t>
        </is>
      </c>
      <c r="E982" t="n">
        <v>6133.85</v>
      </c>
      <c r="F982" t="n">
        <v>697.36</v>
      </c>
      <c r="G982" t="n">
        <v>379</v>
      </c>
      <c r="J982" t="inlineStr">
        <is>
          <t>A</t>
        </is>
      </c>
      <c r="K982" t="n">
        <v>2024</v>
      </c>
      <c r="L982" t="n">
        <v>11</v>
      </c>
      <c r="M982" t="inlineStr">
        <is>
          <t>Muçarela Mozzana 2 kg</t>
        </is>
      </c>
      <c r="N982" t="inlineStr">
        <is>
          <t>Hamburgueria</t>
        </is>
      </c>
      <c r="O982" t="n">
        <v>4</v>
      </c>
      <c r="P982" t="n">
        <v>37</v>
      </c>
      <c r="Q982" t="n">
        <v>4</v>
      </c>
    </row>
    <row r="983">
      <c r="A983" t="n">
        <v>2025</v>
      </c>
      <c r="B983" t="n">
        <v>5</v>
      </c>
      <c r="C983" t="inlineStr">
        <is>
          <t>Requeijão Pizzalet 1,8 kg</t>
        </is>
      </c>
      <c r="D983" t="inlineStr">
        <is>
          <t>Restaurante / Cantina</t>
        </is>
      </c>
      <c r="E983" t="n">
        <v>63.96</v>
      </c>
      <c r="F983" t="n">
        <v>7.36</v>
      </c>
      <c r="G983" t="n">
        <v>4</v>
      </c>
      <c r="J983" t="inlineStr">
        <is>
          <t>M</t>
        </is>
      </c>
      <c r="K983" t="n">
        <v>2024</v>
      </c>
      <c r="L983" t="n">
        <v>11</v>
      </c>
      <c r="M983" t="inlineStr">
        <is>
          <t>Muçarela Mozzana 2 kg</t>
        </is>
      </c>
      <c r="N983" t="inlineStr">
        <is>
          <t>Hamburgueria</t>
        </is>
      </c>
      <c r="O983" t="n">
        <v>1</v>
      </c>
      <c r="P983" t="n">
        <v>3</v>
      </c>
      <c r="Q983" t="n">
        <v>0</v>
      </c>
    </row>
    <row r="984">
      <c r="A984" t="n">
        <v>2025</v>
      </c>
      <c r="B984" t="n">
        <v>6</v>
      </c>
      <c r="C984" t="inlineStr">
        <is>
          <t>Chocolate em pó 50% 1 kg</t>
        </is>
      </c>
      <c r="D984" t="inlineStr">
        <is>
          <t>Cozinha Industrial</t>
        </is>
      </c>
      <c r="E984" t="n">
        <v>41.85</v>
      </c>
      <c r="F984" t="n">
        <v>1.02</v>
      </c>
      <c r="G984" t="n">
        <v>1</v>
      </c>
      <c r="J984" t="inlineStr">
        <is>
          <t>A</t>
        </is>
      </c>
      <c r="K984" t="n">
        <v>2024</v>
      </c>
      <c r="L984" t="n">
        <v>12</v>
      </c>
      <c r="M984" t="inlineStr">
        <is>
          <t>Muçarela Mozzana 2 kg</t>
        </is>
      </c>
      <c r="N984" t="inlineStr">
        <is>
          <t>Hamburgueria</t>
        </is>
      </c>
      <c r="O984" t="n">
        <v>5</v>
      </c>
      <c r="P984" t="n">
        <v>41</v>
      </c>
      <c r="Q984" t="n">
        <v>5</v>
      </c>
    </row>
    <row r="985">
      <c r="A985" t="n">
        <v>2025</v>
      </c>
      <c r="B985" t="n">
        <v>6</v>
      </c>
      <c r="C985" t="inlineStr">
        <is>
          <t>Chocolate em pó 50% 1 kg</t>
        </is>
      </c>
      <c r="D985" t="inlineStr">
        <is>
          <t>Fábrica de Massas</t>
        </is>
      </c>
      <c r="E985" t="n">
        <v>125.4</v>
      </c>
      <c r="F985" t="n">
        <v>3.06</v>
      </c>
      <c r="G985" t="n">
        <v>3</v>
      </c>
      <c r="J985" t="inlineStr">
        <is>
          <t>M</t>
        </is>
      </c>
      <c r="K985" t="n">
        <v>2024</v>
      </c>
      <c r="L985" t="n">
        <v>12</v>
      </c>
      <c r="M985" t="inlineStr">
        <is>
          <t>Muçarela Mozzana 2 kg</t>
        </is>
      </c>
      <c r="N985" t="inlineStr">
        <is>
          <t>Hamburgueria</t>
        </is>
      </c>
      <c r="O985" t="n">
        <v>2</v>
      </c>
      <c r="P985" t="n">
        <v>4</v>
      </c>
      <c r="Q985" t="n">
        <v>0</v>
      </c>
    </row>
    <row r="986">
      <c r="A986" t="n">
        <v>2025</v>
      </c>
      <c r="B986" t="n">
        <v>6</v>
      </c>
      <c r="C986" t="inlineStr">
        <is>
          <t>Chocolate em pó 50% 1 kg</t>
        </is>
      </c>
      <c r="D986" t="inlineStr">
        <is>
          <t>Hotel / Motel / Pousada</t>
        </is>
      </c>
      <c r="E986" t="n">
        <v>418.61</v>
      </c>
      <c r="F986" t="n">
        <v>10.2</v>
      </c>
      <c r="G986" t="n">
        <v>10</v>
      </c>
      <c r="J986" t="inlineStr">
        <is>
          <t>A</t>
        </is>
      </c>
      <c r="K986" t="n">
        <v>2024</v>
      </c>
      <c r="L986" t="n">
        <v>1</v>
      </c>
      <c r="M986" t="inlineStr">
        <is>
          <t>Muçarela Mozzana 2 kg</t>
        </is>
      </c>
      <c r="N986" t="inlineStr">
        <is>
          <t>Laticínios / Distribuidor</t>
        </is>
      </c>
      <c r="O986" t="n">
        <v>2</v>
      </c>
      <c r="P986" t="n">
        <v>3</v>
      </c>
      <c r="Q986" t="n">
        <v>2</v>
      </c>
    </row>
    <row r="987">
      <c r="A987" t="n">
        <v>2025</v>
      </c>
      <c r="B987" t="n">
        <v>6</v>
      </c>
      <c r="C987" t="inlineStr">
        <is>
          <t>Chocolate em pó 50% 1 kg</t>
        </is>
      </c>
      <c r="D987" t="inlineStr">
        <is>
          <t>Lanchonete / Cafeteria</t>
        </is>
      </c>
      <c r="E987" t="n">
        <v>370.32</v>
      </c>
      <c r="F987" t="n">
        <v>9.18</v>
      </c>
      <c r="G987" t="n">
        <v>9</v>
      </c>
      <c r="J987" t="inlineStr">
        <is>
          <t>M</t>
        </is>
      </c>
      <c r="K987" t="n">
        <v>2024</v>
      </c>
      <c r="L987" t="n">
        <v>1</v>
      </c>
      <c r="M987" t="inlineStr">
        <is>
          <t>Muçarela Mozzana 2 kg</t>
        </is>
      </c>
      <c r="N987" t="inlineStr">
        <is>
          <t>Laticínios / Distribuidor</t>
        </is>
      </c>
      <c r="O987" t="n">
        <v>2</v>
      </c>
      <c r="P987" t="n">
        <v>3</v>
      </c>
      <c r="Q987" t="n">
        <v>0</v>
      </c>
    </row>
    <row r="988">
      <c r="A988" t="n">
        <v>2025</v>
      </c>
      <c r="B988" t="n">
        <v>6</v>
      </c>
      <c r="C988" t="inlineStr">
        <is>
          <t>Chocolate em pó 50% 1 kg</t>
        </is>
      </c>
      <c r="D988" t="inlineStr">
        <is>
          <t>Outros</t>
        </is>
      </c>
      <c r="E988" t="n">
        <v>572.8200000000001</v>
      </c>
      <c r="F988" t="n">
        <v>14.28</v>
      </c>
      <c r="G988" t="n">
        <v>14</v>
      </c>
      <c r="J988" t="inlineStr">
        <is>
          <t>A</t>
        </is>
      </c>
      <c r="K988" t="n">
        <v>2024</v>
      </c>
      <c r="L988" t="n">
        <v>2</v>
      </c>
      <c r="M988" t="inlineStr">
        <is>
          <t>Muçarela Mozzana 2 kg</t>
        </is>
      </c>
      <c r="N988" t="inlineStr">
        <is>
          <t>Laticínios / Distribuidor</t>
        </is>
      </c>
      <c r="O988" t="n">
        <v>2</v>
      </c>
      <c r="P988" t="n">
        <v>5</v>
      </c>
      <c r="Q988" t="n">
        <v>2</v>
      </c>
    </row>
    <row r="989">
      <c r="A989" t="n">
        <v>2025</v>
      </c>
      <c r="B989" t="n">
        <v>6</v>
      </c>
      <c r="C989" t="inlineStr">
        <is>
          <t>Chocolate em pó 50% 1 kg</t>
        </is>
      </c>
      <c r="D989" t="inlineStr">
        <is>
          <t>Padaria</t>
        </is>
      </c>
      <c r="E989" t="n">
        <v>242.7</v>
      </c>
      <c r="F989" t="n">
        <v>6.12</v>
      </c>
      <c r="G989" t="n">
        <v>6</v>
      </c>
      <c r="J989" t="inlineStr">
        <is>
          <t>M</t>
        </is>
      </c>
      <c r="K989" t="n">
        <v>2024</v>
      </c>
      <c r="L989" t="n">
        <v>2</v>
      </c>
      <c r="M989" t="inlineStr">
        <is>
          <t>Muçarela Mozzana 2 kg</t>
        </is>
      </c>
      <c r="N989" t="inlineStr">
        <is>
          <t>Laticínios / Distribuidor</t>
        </is>
      </c>
      <c r="O989" t="n">
        <v>1</v>
      </c>
      <c r="P989" t="n">
        <v>2</v>
      </c>
      <c r="Q989" t="n">
        <v>0</v>
      </c>
    </row>
    <row r="990">
      <c r="A990" t="n">
        <v>2025</v>
      </c>
      <c r="B990" t="n">
        <v>6</v>
      </c>
      <c r="C990" t="inlineStr">
        <is>
          <t>Chocolate em pó 50% 1 kg</t>
        </is>
      </c>
      <c r="D990" t="inlineStr">
        <is>
          <t>Pessoa Física</t>
        </is>
      </c>
      <c r="E990" t="n">
        <v>41.54</v>
      </c>
      <c r="F990" t="n">
        <v>1.02</v>
      </c>
      <c r="G990" t="n">
        <v>1</v>
      </c>
      <c r="J990" t="inlineStr">
        <is>
          <t>A</t>
        </is>
      </c>
      <c r="K990" t="n">
        <v>2024</v>
      </c>
      <c r="L990" t="n">
        <v>3</v>
      </c>
      <c r="M990" t="inlineStr">
        <is>
          <t>Muçarela Mozzana 2 kg</t>
        </is>
      </c>
      <c r="N990" t="inlineStr">
        <is>
          <t>Laticínios / Distribuidor</t>
        </is>
      </c>
      <c r="O990" t="n">
        <v>3</v>
      </c>
      <c r="P990" t="n">
        <v>9</v>
      </c>
      <c r="Q990" t="n">
        <v>3</v>
      </c>
    </row>
    <row r="991">
      <c r="A991" t="n">
        <v>2025</v>
      </c>
      <c r="B991" t="n">
        <v>6</v>
      </c>
      <c r="C991" t="inlineStr">
        <is>
          <t>Chocolate em pó 50% 1 kg</t>
        </is>
      </c>
      <c r="D991" t="inlineStr">
        <is>
          <t>Pizzaria</t>
        </is>
      </c>
      <c r="E991" t="n">
        <v>1608.39</v>
      </c>
      <c r="F991" t="n">
        <v>39.78</v>
      </c>
      <c r="G991" t="n">
        <v>39</v>
      </c>
      <c r="J991" t="inlineStr">
        <is>
          <t>M</t>
        </is>
      </c>
      <c r="K991" t="n">
        <v>2024</v>
      </c>
      <c r="L991" t="n">
        <v>3</v>
      </c>
      <c r="M991" t="inlineStr">
        <is>
          <t>Muçarela Mozzana 2 kg</t>
        </is>
      </c>
      <c r="N991" t="inlineStr">
        <is>
          <t>Laticínios / Distribuidor</t>
        </is>
      </c>
      <c r="O991" t="n">
        <v>3</v>
      </c>
      <c r="P991" t="n">
        <v>4</v>
      </c>
      <c r="Q991" t="n">
        <v>0</v>
      </c>
    </row>
    <row r="992">
      <c r="A992" t="n">
        <v>2025</v>
      </c>
      <c r="B992" t="n">
        <v>6</v>
      </c>
      <c r="C992" t="inlineStr">
        <is>
          <t>Chocolate em pó 50% 1 kg</t>
        </is>
      </c>
      <c r="D992" t="inlineStr">
        <is>
          <t>Restaurante / Cantina</t>
        </is>
      </c>
      <c r="E992" t="n">
        <v>2511.4</v>
      </c>
      <c r="F992" t="n">
        <v>62.22</v>
      </c>
      <c r="G992" t="n">
        <v>61</v>
      </c>
      <c r="J992" t="inlineStr">
        <is>
          <t>A</t>
        </is>
      </c>
      <c r="K992" t="n">
        <v>2024</v>
      </c>
      <c r="L992" t="n">
        <v>4</v>
      </c>
      <c r="M992" t="inlineStr">
        <is>
          <t>Muçarela Mozzana 2 kg</t>
        </is>
      </c>
      <c r="N992" t="inlineStr">
        <is>
          <t>Laticínios / Distribuidor</t>
        </is>
      </c>
      <c r="O992" t="n">
        <v>3</v>
      </c>
      <c r="P992" t="n">
        <v>13</v>
      </c>
      <c r="Q992" t="n">
        <v>3</v>
      </c>
    </row>
    <row r="993">
      <c r="A993" t="n">
        <v>2025</v>
      </c>
      <c r="B993" t="n">
        <v>6</v>
      </c>
      <c r="C993" t="inlineStr">
        <is>
          <t>Composto lácteo Alibralac 1 kg</t>
        </is>
      </c>
      <c r="D993" t="inlineStr">
        <is>
          <t>Cozinha Industrial</t>
        </is>
      </c>
      <c r="E993" t="n">
        <v>46.45</v>
      </c>
      <c r="F993" t="n">
        <v>2.04</v>
      </c>
      <c r="G993" t="n">
        <v>2</v>
      </c>
      <c r="J993" t="inlineStr">
        <is>
          <t>M</t>
        </is>
      </c>
      <c r="K993" t="n">
        <v>2024</v>
      </c>
      <c r="L993" t="n">
        <v>4</v>
      </c>
      <c r="M993" t="inlineStr">
        <is>
          <t>Muçarela Mozzana 2 kg</t>
        </is>
      </c>
      <c r="N993" t="inlineStr">
        <is>
          <t>Laticínios / Distribuidor</t>
        </is>
      </c>
      <c r="O993" t="n">
        <v>2</v>
      </c>
      <c r="P993" t="n">
        <v>4</v>
      </c>
      <c r="Q993" t="n">
        <v>0</v>
      </c>
    </row>
    <row r="994">
      <c r="A994" t="n">
        <v>2025</v>
      </c>
      <c r="B994" t="n">
        <v>6</v>
      </c>
      <c r="C994" t="inlineStr">
        <is>
          <t>Composto lácteo Alibralac 1 kg</t>
        </is>
      </c>
      <c r="D994" t="inlineStr">
        <is>
          <t>Fábrica de Massas</t>
        </is>
      </c>
      <c r="E994" t="n">
        <v>23.1</v>
      </c>
      <c r="F994" t="n">
        <v>1.02</v>
      </c>
      <c r="G994" t="n">
        <v>1</v>
      </c>
      <c r="J994" t="inlineStr">
        <is>
          <t>A</t>
        </is>
      </c>
      <c r="K994" t="n">
        <v>2024</v>
      </c>
      <c r="L994" t="n">
        <v>5</v>
      </c>
      <c r="M994" t="inlineStr">
        <is>
          <t>Muçarela Mozzana 2 kg</t>
        </is>
      </c>
      <c r="N994" t="inlineStr">
        <is>
          <t>Laticínios / Distribuidor</t>
        </is>
      </c>
      <c r="O994" t="n">
        <v>3</v>
      </c>
      <c r="P994" t="n">
        <v>18</v>
      </c>
      <c r="Q994" t="n">
        <v>3</v>
      </c>
    </row>
    <row r="995">
      <c r="A995" t="n">
        <v>2025</v>
      </c>
      <c r="B995" t="n">
        <v>6</v>
      </c>
      <c r="C995" t="inlineStr">
        <is>
          <t>Composto lácteo Alibralac 1 kg</t>
        </is>
      </c>
      <c r="D995" t="inlineStr">
        <is>
          <t>Hotel / Motel / Pousada</t>
        </is>
      </c>
      <c r="E995" t="n">
        <v>699.9</v>
      </c>
      <c r="F995" t="n">
        <v>30.6</v>
      </c>
      <c r="G995" t="n">
        <v>30</v>
      </c>
      <c r="J995" t="inlineStr">
        <is>
          <t>M</t>
        </is>
      </c>
      <c r="K995" t="n">
        <v>2024</v>
      </c>
      <c r="L995" t="n">
        <v>5</v>
      </c>
      <c r="M995" t="inlineStr">
        <is>
          <t>Muçarela Mozzana 2 kg</t>
        </is>
      </c>
      <c r="N995" t="inlineStr">
        <is>
          <t>Laticínios / Distribuidor</t>
        </is>
      </c>
      <c r="O995" t="n">
        <v>2</v>
      </c>
      <c r="P995" t="n">
        <v>5</v>
      </c>
      <c r="Q995" t="n">
        <v>0</v>
      </c>
    </row>
    <row r="996">
      <c r="A996" t="n">
        <v>2025</v>
      </c>
      <c r="B996" t="n">
        <v>6</v>
      </c>
      <c r="C996" t="inlineStr">
        <is>
          <t>Composto lácteo Alibralac 1 kg</t>
        </is>
      </c>
      <c r="D996" t="inlineStr">
        <is>
          <t>Padaria</t>
        </is>
      </c>
      <c r="E996" t="n">
        <v>231</v>
      </c>
      <c r="F996" t="n">
        <v>10.2</v>
      </c>
      <c r="G996" t="n">
        <v>10</v>
      </c>
      <c r="J996" t="inlineStr">
        <is>
          <t>A</t>
        </is>
      </c>
      <c r="K996" t="n">
        <v>2024</v>
      </c>
      <c r="L996" t="n">
        <v>6</v>
      </c>
      <c r="M996" t="inlineStr">
        <is>
          <t>Muçarela Mozzana 2 kg</t>
        </is>
      </c>
      <c r="N996" t="inlineStr">
        <is>
          <t>Laticínios / Distribuidor</t>
        </is>
      </c>
      <c r="O996" t="n">
        <v>3</v>
      </c>
      <c r="P996" t="n">
        <v>22</v>
      </c>
      <c r="Q996" t="n">
        <v>3</v>
      </c>
    </row>
    <row r="997">
      <c r="A997" t="n">
        <v>2025</v>
      </c>
      <c r="B997" t="n">
        <v>6</v>
      </c>
      <c r="C997" t="inlineStr">
        <is>
          <t>Composto lácteo Alibralac 1 kg</t>
        </is>
      </c>
      <c r="D997" t="inlineStr">
        <is>
          <t>Pizzaria</t>
        </is>
      </c>
      <c r="E997" t="n">
        <v>224</v>
      </c>
      <c r="F997" t="n">
        <v>10.2</v>
      </c>
      <c r="G997" t="n">
        <v>10</v>
      </c>
      <c r="J997" t="inlineStr">
        <is>
          <t>M</t>
        </is>
      </c>
      <c r="K997" t="n">
        <v>2024</v>
      </c>
      <c r="L997" t="n">
        <v>6</v>
      </c>
      <c r="M997" t="inlineStr">
        <is>
          <t>Muçarela Mozzana 2 kg</t>
        </is>
      </c>
      <c r="N997" t="inlineStr">
        <is>
          <t>Laticínios / Distribuidor</t>
        </is>
      </c>
      <c r="O997" t="n">
        <v>2</v>
      </c>
      <c r="P997" t="n">
        <v>4</v>
      </c>
      <c r="Q997" t="n">
        <v>0</v>
      </c>
    </row>
    <row r="998">
      <c r="A998" t="n">
        <v>2025</v>
      </c>
      <c r="B998" t="n">
        <v>6</v>
      </c>
      <c r="C998" t="inlineStr">
        <is>
          <t>Composto lácteo Alibralac 1 kg</t>
        </is>
      </c>
      <c r="D998" t="inlineStr">
        <is>
          <t>Restaurante / Cantina</t>
        </is>
      </c>
      <c r="E998" t="n">
        <v>1378.6</v>
      </c>
      <c r="F998" t="n">
        <v>61.2</v>
      </c>
      <c r="G998" t="n">
        <v>60</v>
      </c>
      <c r="J998" t="inlineStr">
        <is>
          <t>A</t>
        </is>
      </c>
      <c r="K998" t="n">
        <v>2024</v>
      </c>
      <c r="L998" t="n">
        <v>7</v>
      </c>
      <c r="M998" t="inlineStr">
        <is>
          <t>Muçarela Mozzana 2 kg</t>
        </is>
      </c>
      <c r="N998" t="inlineStr">
        <is>
          <t>Laticínios / Distribuidor</t>
        </is>
      </c>
      <c r="O998" t="n">
        <v>3</v>
      </c>
      <c r="P998" t="n">
        <v>23</v>
      </c>
      <c r="Q998" t="n">
        <v>3</v>
      </c>
    </row>
    <row r="999">
      <c r="A999" t="n">
        <v>2025</v>
      </c>
      <c r="B999" t="n">
        <v>6</v>
      </c>
      <c r="C999" t="inlineStr">
        <is>
          <t>Composto lácteo Merilú 400 g</t>
        </is>
      </c>
      <c r="D999" t="inlineStr">
        <is>
          <t>Confeitaria</t>
        </is>
      </c>
      <c r="E999" t="n">
        <v>7.66</v>
      </c>
      <c r="F999" t="n">
        <v>0.42</v>
      </c>
      <c r="G999" t="n">
        <v>1</v>
      </c>
      <c r="J999" t="inlineStr">
        <is>
          <t>M</t>
        </is>
      </c>
      <c r="K999" t="n">
        <v>2024</v>
      </c>
      <c r="L999" t="n">
        <v>7</v>
      </c>
      <c r="M999" t="inlineStr">
        <is>
          <t>Muçarela Mozzana 2 kg</t>
        </is>
      </c>
      <c r="N999" t="inlineStr">
        <is>
          <t>Laticínios / Distribuidor</t>
        </is>
      </c>
      <c r="O999" t="n">
        <v>1</v>
      </c>
      <c r="P999" t="n">
        <v>1</v>
      </c>
      <c r="Q999" t="n">
        <v>0</v>
      </c>
    </row>
    <row r="1000">
      <c r="A1000" t="n">
        <v>2025</v>
      </c>
      <c r="B1000" t="n">
        <v>6</v>
      </c>
      <c r="C1000" t="inlineStr">
        <is>
          <t>Composto lácteo Merilú 400 g</t>
        </is>
      </c>
      <c r="D1000" t="inlineStr">
        <is>
          <t>Outros</t>
        </is>
      </c>
      <c r="E1000" t="n">
        <v>433.8</v>
      </c>
      <c r="F1000" t="n">
        <v>25.2</v>
      </c>
      <c r="G1000" t="n">
        <v>60</v>
      </c>
      <c r="J1000" t="inlineStr">
        <is>
          <t>A</t>
        </is>
      </c>
      <c r="K1000" t="n">
        <v>2024</v>
      </c>
      <c r="L1000" t="n">
        <v>8</v>
      </c>
      <c r="M1000" t="inlineStr">
        <is>
          <t>Muçarela Mozzana 2 kg</t>
        </is>
      </c>
      <c r="N1000" t="inlineStr">
        <is>
          <t>Laticínios / Distribuidor</t>
        </is>
      </c>
      <c r="O1000" t="n">
        <v>3</v>
      </c>
      <c r="P1000" t="n">
        <v>23</v>
      </c>
      <c r="Q1000" t="n">
        <v>3</v>
      </c>
    </row>
    <row r="1001">
      <c r="A1001" t="n">
        <v>2025</v>
      </c>
      <c r="B1001" t="n">
        <v>6</v>
      </c>
      <c r="C1001" t="inlineStr">
        <is>
          <t>Composto lácteo Merilú 400 g</t>
        </is>
      </c>
      <c r="D1001" t="inlineStr">
        <is>
          <t>Pizzaria</t>
        </is>
      </c>
      <c r="E1001" t="n">
        <v>931.64</v>
      </c>
      <c r="F1001" t="n">
        <v>53.34</v>
      </c>
      <c r="G1001" t="n">
        <v>127</v>
      </c>
      <c r="J1001" t="inlineStr">
        <is>
          <t>A</t>
        </is>
      </c>
      <c r="K1001" t="n">
        <v>2024</v>
      </c>
      <c r="L1001" t="n">
        <v>9</v>
      </c>
      <c r="M1001" t="inlineStr">
        <is>
          <t>Muçarela Mozzana 2 kg</t>
        </is>
      </c>
      <c r="N1001" t="inlineStr">
        <is>
          <t>Laticínios / Distribuidor</t>
        </is>
      </c>
      <c r="O1001" t="n">
        <v>3</v>
      </c>
      <c r="P1001" t="n">
        <v>23</v>
      </c>
      <c r="Q1001" t="n">
        <v>3</v>
      </c>
    </row>
    <row r="1002">
      <c r="A1002" t="n">
        <v>2025</v>
      </c>
      <c r="B1002" t="n">
        <v>6</v>
      </c>
      <c r="C1002" t="inlineStr">
        <is>
          <t>Composto lácteo Merilú 400 g</t>
        </is>
      </c>
      <c r="D1002" t="inlineStr">
        <is>
          <t>Restaurante / Cantina</t>
        </is>
      </c>
      <c r="E1002" t="n">
        <v>606.64</v>
      </c>
      <c r="F1002" t="n">
        <v>34.02</v>
      </c>
      <c r="G1002" t="n">
        <v>81</v>
      </c>
      <c r="J1002" t="inlineStr">
        <is>
          <t>A</t>
        </is>
      </c>
      <c r="K1002" t="n">
        <v>2024</v>
      </c>
      <c r="L1002" t="n">
        <v>10</v>
      </c>
      <c r="M1002" t="inlineStr">
        <is>
          <t>Muçarela Mozzana 2 kg</t>
        </is>
      </c>
      <c r="N1002" t="inlineStr">
        <is>
          <t>Laticínios / Distribuidor</t>
        </is>
      </c>
      <c r="O1002" t="n">
        <v>3</v>
      </c>
      <c r="P1002" t="n">
        <v>23</v>
      </c>
      <c r="Q1002" t="n">
        <v>3</v>
      </c>
    </row>
    <row r="1003">
      <c r="A1003" t="n">
        <v>2025</v>
      </c>
      <c r="B1003" t="n">
        <v>6</v>
      </c>
      <c r="C1003" t="inlineStr">
        <is>
          <t>Composto lácteo Merilú 400 g</t>
        </is>
      </c>
      <c r="D1003" t="inlineStr">
        <is>
          <t>Supermercado</t>
        </is>
      </c>
      <c r="E1003" t="n">
        <v>196.38</v>
      </c>
      <c r="F1003" t="n">
        <v>10.92</v>
      </c>
      <c r="G1003" t="n">
        <v>26</v>
      </c>
      <c r="J1003" t="inlineStr">
        <is>
          <t>A</t>
        </is>
      </c>
      <c r="K1003" t="n">
        <v>2024</v>
      </c>
      <c r="L1003" t="n">
        <v>11</v>
      </c>
      <c r="M1003" t="inlineStr">
        <is>
          <t>Muçarela Mozzana 2 kg</t>
        </is>
      </c>
      <c r="N1003" t="inlineStr">
        <is>
          <t>Laticínios / Distribuidor</t>
        </is>
      </c>
      <c r="O1003" t="n">
        <v>3</v>
      </c>
      <c r="P1003" t="n">
        <v>23</v>
      </c>
      <c r="Q1003" t="n">
        <v>3</v>
      </c>
    </row>
    <row r="1004">
      <c r="A1004" t="n">
        <v>2025</v>
      </c>
      <c r="B1004" t="n">
        <v>6</v>
      </c>
      <c r="C1004" t="inlineStr">
        <is>
          <t>Muçarela Mozzalet 2 kg</t>
        </is>
      </c>
      <c r="D1004" t="inlineStr">
        <is>
          <t>Confeitaria</t>
        </is>
      </c>
      <c r="E1004" t="n">
        <v>413.64</v>
      </c>
      <c r="F1004" t="n">
        <v>18</v>
      </c>
      <c r="G1004" t="n">
        <v>9</v>
      </c>
      <c r="J1004" t="inlineStr">
        <is>
          <t>A</t>
        </is>
      </c>
      <c r="K1004" t="n">
        <v>2024</v>
      </c>
      <c r="L1004" t="n">
        <v>12</v>
      </c>
      <c r="M1004" t="inlineStr">
        <is>
          <t>Muçarela Mozzana 2 kg</t>
        </is>
      </c>
      <c r="N1004" t="inlineStr">
        <is>
          <t>Laticínios / Distribuidor</t>
        </is>
      </c>
      <c r="O1004" t="n">
        <v>3</v>
      </c>
      <c r="P1004" t="n">
        <v>23</v>
      </c>
      <c r="Q1004" t="n">
        <v>3</v>
      </c>
    </row>
    <row r="1005">
      <c r="A1005" t="n">
        <v>2025</v>
      </c>
      <c r="B1005" t="n">
        <v>6</v>
      </c>
      <c r="C1005" t="inlineStr">
        <is>
          <t>Muçarela Mozzalet 2 kg</t>
        </is>
      </c>
      <c r="D1005" t="inlineStr">
        <is>
          <t>Cozinha Industrial</t>
        </is>
      </c>
      <c r="E1005" t="n">
        <v>12401.46</v>
      </c>
      <c r="F1005" t="n">
        <v>558</v>
      </c>
      <c r="G1005" t="n">
        <v>279</v>
      </c>
      <c r="J1005" t="inlineStr">
        <is>
          <t>A</t>
        </is>
      </c>
      <c r="K1005" t="n">
        <v>2024</v>
      </c>
      <c r="L1005" t="n">
        <v>1</v>
      </c>
      <c r="M1005" t="inlineStr">
        <is>
          <t>Muçarela Mozzana 2 kg</t>
        </is>
      </c>
      <c r="N1005" t="inlineStr">
        <is>
          <t>Cozinha Oriental</t>
        </is>
      </c>
      <c r="O1005" t="n">
        <v>1</v>
      </c>
      <c r="P1005" t="n">
        <v>6</v>
      </c>
      <c r="Q1005" t="n">
        <v>1</v>
      </c>
    </row>
    <row r="1006">
      <c r="A1006" t="n">
        <v>2025</v>
      </c>
      <c r="B1006" t="n">
        <v>6</v>
      </c>
      <c r="C1006" t="inlineStr">
        <is>
          <t>Muçarela Mozzalet 2 kg</t>
        </is>
      </c>
      <c r="D1006" t="inlineStr">
        <is>
          <t>Cozinha Oriental</t>
        </is>
      </c>
      <c r="E1006" t="n">
        <v>930.9</v>
      </c>
      <c r="F1006" t="n">
        <v>42</v>
      </c>
      <c r="G1006" t="n">
        <v>21</v>
      </c>
      <c r="J1006" t="inlineStr">
        <is>
          <t>M</t>
        </is>
      </c>
      <c r="K1006" t="n">
        <v>2024</v>
      </c>
      <c r="L1006" t="n">
        <v>1</v>
      </c>
      <c r="M1006" t="inlineStr">
        <is>
          <t>Muçarela Mozzana 2 kg</t>
        </is>
      </c>
      <c r="N1006" t="inlineStr">
        <is>
          <t>Cozinha Oriental</t>
        </is>
      </c>
      <c r="O1006" t="n">
        <v>1</v>
      </c>
      <c r="P1006" t="n">
        <v>6</v>
      </c>
      <c r="Q1006" t="n">
        <v>0</v>
      </c>
    </row>
    <row r="1007">
      <c r="A1007" t="n">
        <v>2025</v>
      </c>
      <c r="B1007" t="n">
        <v>6</v>
      </c>
      <c r="C1007" t="inlineStr">
        <is>
          <t>Muçarela Mozzalet 2 kg</t>
        </is>
      </c>
      <c r="D1007" t="inlineStr">
        <is>
          <t>Esfiharia</t>
        </is>
      </c>
      <c r="E1007" t="n">
        <v>1257.82</v>
      </c>
      <c r="F1007" t="n">
        <v>54</v>
      </c>
      <c r="G1007" t="n">
        <v>27</v>
      </c>
      <c r="J1007" t="inlineStr">
        <is>
          <t>A</t>
        </is>
      </c>
      <c r="K1007" t="n">
        <v>2024</v>
      </c>
      <c r="L1007" t="n">
        <v>2</v>
      </c>
      <c r="M1007" t="inlineStr">
        <is>
          <t>Muçarela Mozzana 2 kg</t>
        </is>
      </c>
      <c r="N1007" t="inlineStr">
        <is>
          <t>Cozinha Oriental</t>
        </is>
      </c>
      <c r="O1007" t="n">
        <v>1</v>
      </c>
      <c r="P1007" t="n">
        <v>9</v>
      </c>
      <c r="Q1007" t="n">
        <v>1</v>
      </c>
    </row>
    <row r="1008">
      <c r="A1008" t="n">
        <v>2025</v>
      </c>
      <c r="B1008" t="n">
        <v>6</v>
      </c>
      <c r="C1008" t="inlineStr">
        <is>
          <t>Muçarela Mozzalet 2 kg</t>
        </is>
      </c>
      <c r="D1008" t="inlineStr">
        <is>
          <t>Fábrica de Massas</t>
        </is>
      </c>
      <c r="E1008" t="n">
        <v>35639.44</v>
      </c>
      <c r="F1008" t="n">
        <v>1586</v>
      </c>
      <c r="G1008" t="n">
        <v>793</v>
      </c>
      <c r="J1008" t="inlineStr">
        <is>
          <t>M</t>
        </is>
      </c>
      <c r="K1008" t="n">
        <v>2024</v>
      </c>
      <c r="L1008" t="n">
        <v>2</v>
      </c>
      <c r="M1008" t="inlineStr">
        <is>
          <t>Muçarela Mozzana 2 kg</t>
        </is>
      </c>
      <c r="N1008" t="inlineStr">
        <is>
          <t>Cozinha Oriental</t>
        </is>
      </c>
      <c r="O1008" t="n">
        <v>1</v>
      </c>
      <c r="P1008" t="n">
        <v>3</v>
      </c>
      <c r="Q1008" t="n">
        <v>0</v>
      </c>
    </row>
    <row r="1009">
      <c r="A1009" t="n">
        <v>2025</v>
      </c>
      <c r="B1009" t="n">
        <v>6</v>
      </c>
      <c r="C1009" t="inlineStr">
        <is>
          <t>Muçarela Mozzalet 2 kg</t>
        </is>
      </c>
      <c r="D1009" t="inlineStr">
        <is>
          <t>Hamburgueria</t>
        </is>
      </c>
      <c r="E1009" t="n">
        <v>1365</v>
      </c>
      <c r="F1009" t="n">
        <v>60</v>
      </c>
      <c r="G1009" t="n">
        <v>30</v>
      </c>
      <c r="J1009" t="inlineStr">
        <is>
          <t>A</t>
        </is>
      </c>
      <c r="K1009" t="n">
        <v>2024</v>
      </c>
      <c r="L1009" t="n">
        <v>3</v>
      </c>
      <c r="M1009" t="inlineStr">
        <is>
          <t>Muçarela Mozzana 2 kg</t>
        </is>
      </c>
      <c r="N1009" t="inlineStr">
        <is>
          <t>Cozinha Oriental</t>
        </is>
      </c>
      <c r="O1009" t="n">
        <v>1</v>
      </c>
      <c r="P1009" t="n">
        <v>13</v>
      </c>
      <c r="Q1009" t="n">
        <v>1</v>
      </c>
    </row>
    <row r="1010">
      <c r="A1010" t="n">
        <v>2025</v>
      </c>
      <c r="B1010" t="n">
        <v>6</v>
      </c>
      <c r="C1010" t="inlineStr">
        <is>
          <t>Muçarela Mozzalet 2 kg</t>
        </is>
      </c>
      <c r="D1010" t="inlineStr">
        <is>
          <t>Lanchonete / Cafeteria</t>
        </is>
      </c>
      <c r="E1010" t="n">
        <v>637.54</v>
      </c>
      <c r="F1010" t="n">
        <v>28</v>
      </c>
      <c r="G1010" t="n">
        <v>14</v>
      </c>
      <c r="J1010" t="inlineStr">
        <is>
          <t>M</t>
        </is>
      </c>
      <c r="K1010" t="n">
        <v>2024</v>
      </c>
      <c r="L1010" t="n">
        <v>3</v>
      </c>
      <c r="M1010" t="inlineStr">
        <is>
          <t>Muçarela Mozzana 2 kg</t>
        </is>
      </c>
      <c r="N1010" t="inlineStr">
        <is>
          <t>Cozinha Oriental</t>
        </is>
      </c>
      <c r="O1010" t="n">
        <v>1</v>
      </c>
      <c r="P1010" t="n">
        <v>4</v>
      </c>
      <c r="Q1010" t="n">
        <v>0</v>
      </c>
    </row>
    <row r="1011">
      <c r="A1011" t="n">
        <v>2025</v>
      </c>
      <c r="B1011" t="n">
        <v>6</v>
      </c>
      <c r="C1011" t="inlineStr">
        <is>
          <t>Muçarela Mozzalet 2 kg</t>
        </is>
      </c>
      <c r="D1011" t="inlineStr">
        <is>
          <t>Outros</t>
        </is>
      </c>
      <c r="E1011" t="n">
        <v>2809.7</v>
      </c>
      <c r="F1011" t="n">
        <v>122</v>
      </c>
      <c r="G1011" t="n">
        <v>61</v>
      </c>
      <c r="J1011" t="inlineStr">
        <is>
          <t>A</t>
        </is>
      </c>
      <c r="K1011" t="n">
        <v>2024</v>
      </c>
      <c r="L1011" t="n">
        <v>4</v>
      </c>
      <c r="M1011" t="inlineStr">
        <is>
          <t>Muçarela Mozzana 2 kg</t>
        </is>
      </c>
      <c r="N1011" t="inlineStr">
        <is>
          <t>Cozinha Oriental</t>
        </is>
      </c>
      <c r="O1011" t="n">
        <v>1</v>
      </c>
      <c r="P1011" t="n">
        <v>17</v>
      </c>
      <c r="Q1011" t="n">
        <v>1</v>
      </c>
    </row>
    <row r="1012">
      <c r="A1012" t="n">
        <v>2025</v>
      </c>
      <c r="B1012" t="n">
        <v>6</v>
      </c>
      <c r="C1012" t="inlineStr">
        <is>
          <t>Muçarela Mozzalet 2 kg</t>
        </is>
      </c>
      <c r="D1012" t="inlineStr">
        <is>
          <t>Padaria</t>
        </is>
      </c>
      <c r="E1012" t="n">
        <v>966.48</v>
      </c>
      <c r="F1012" t="n">
        <v>42</v>
      </c>
      <c r="G1012" t="n">
        <v>21</v>
      </c>
      <c r="J1012" t="inlineStr">
        <is>
          <t>M</t>
        </is>
      </c>
      <c r="K1012" t="n">
        <v>2024</v>
      </c>
      <c r="L1012" t="n">
        <v>4</v>
      </c>
      <c r="M1012" t="inlineStr">
        <is>
          <t>Muçarela Mozzana 2 kg</t>
        </is>
      </c>
      <c r="N1012" t="inlineStr">
        <is>
          <t>Cozinha Oriental</t>
        </is>
      </c>
      <c r="O1012" t="n">
        <v>1</v>
      </c>
      <c r="P1012" t="n">
        <v>4</v>
      </c>
      <c r="Q1012" t="n">
        <v>0</v>
      </c>
    </row>
    <row r="1013">
      <c r="A1013" t="n">
        <v>2025</v>
      </c>
      <c r="B1013" t="n">
        <v>6</v>
      </c>
      <c r="C1013" t="inlineStr">
        <is>
          <t>Muçarela Mozzalet 2 kg</t>
        </is>
      </c>
      <c r="D1013" t="inlineStr">
        <is>
          <t>Pastelaria</t>
        </is>
      </c>
      <c r="E1013" t="n">
        <v>2332.2</v>
      </c>
      <c r="F1013" t="n">
        <v>102</v>
      </c>
      <c r="G1013" t="n">
        <v>51</v>
      </c>
      <c r="J1013" t="inlineStr">
        <is>
          <t>A</t>
        </is>
      </c>
      <c r="K1013" t="n">
        <v>2024</v>
      </c>
      <c r="L1013" t="n">
        <v>5</v>
      </c>
      <c r="M1013" t="inlineStr">
        <is>
          <t>Muçarela Mozzana 2 kg</t>
        </is>
      </c>
      <c r="N1013" t="inlineStr">
        <is>
          <t>Cozinha Oriental</t>
        </is>
      </c>
      <c r="O1013" t="n">
        <v>1</v>
      </c>
      <c r="P1013" t="n">
        <v>22</v>
      </c>
      <c r="Q1013" t="n">
        <v>1</v>
      </c>
    </row>
    <row r="1014">
      <c r="A1014" t="n">
        <v>2025</v>
      </c>
      <c r="B1014" t="n">
        <v>6</v>
      </c>
      <c r="C1014" t="inlineStr">
        <is>
          <t>Muçarela Mozzalet 2 kg</t>
        </is>
      </c>
      <c r="D1014" t="inlineStr">
        <is>
          <t>Pessoa Física</t>
        </is>
      </c>
      <c r="E1014" t="n">
        <v>8275.559999999999</v>
      </c>
      <c r="F1014" t="n">
        <v>366</v>
      </c>
      <c r="G1014" t="n">
        <v>183</v>
      </c>
      <c r="J1014" t="inlineStr">
        <is>
          <t>M</t>
        </is>
      </c>
      <c r="K1014" t="n">
        <v>2024</v>
      </c>
      <c r="L1014" t="n">
        <v>5</v>
      </c>
      <c r="M1014" t="inlineStr">
        <is>
          <t>Muçarela Mozzana 2 kg</t>
        </is>
      </c>
      <c r="N1014" t="inlineStr">
        <is>
          <t>Cozinha Oriental</t>
        </is>
      </c>
      <c r="O1014" t="n">
        <v>1</v>
      </c>
      <c r="P1014" t="n">
        <v>5</v>
      </c>
      <c r="Q1014" t="n">
        <v>0</v>
      </c>
    </row>
    <row r="1015">
      <c r="A1015" t="n">
        <v>2025</v>
      </c>
      <c r="B1015" t="n">
        <v>6</v>
      </c>
      <c r="C1015" t="inlineStr">
        <is>
          <t>Muçarela Mozzalet 2 kg</t>
        </is>
      </c>
      <c r="D1015" t="inlineStr">
        <is>
          <t>Pizzaria</t>
        </is>
      </c>
      <c r="E1015" t="n">
        <v>22622.24</v>
      </c>
      <c r="F1015" t="n">
        <v>986</v>
      </c>
      <c r="G1015" t="n">
        <v>493</v>
      </c>
      <c r="J1015" t="inlineStr">
        <is>
          <t>A</t>
        </is>
      </c>
      <c r="K1015" t="n">
        <v>2024</v>
      </c>
      <c r="L1015" t="n">
        <v>6</v>
      </c>
      <c r="M1015" t="inlineStr">
        <is>
          <t>Muçarela Mozzana 2 kg</t>
        </is>
      </c>
      <c r="N1015" t="inlineStr">
        <is>
          <t>Cozinha Oriental</t>
        </is>
      </c>
      <c r="O1015" t="n">
        <v>1</v>
      </c>
      <c r="P1015" t="n">
        <v>25</v>
      </c>
      <c r="Q1015" t="n">
        <v>1</v>
      </c>
    </row>
    <row r="1016">
      <c r="A1016" t="n">
        <v>2025</v>
      </c>
      <c r="B1016" t="n">
        <v>6</v>
      </c>
      <c r="C1016" t="inlineStr">
        <is>
          <t>Muçarela Mozzalet 2 kg</t>
        </is>
      </c>
      <c r="D1016" t="inlineStr">
        <is>
          <t>Restaurante / Cantina</t>
        </is>
      </c>
      <c r="E1016" t="n">
        <v>47899.26</v>
      </c>
      <c r="F1016" t="n">
        <v>2154</v>
      </c>
      <c r="G1016" t="n">
        <v>1077</v>
      </c>
      <c r="J1016" t="inlineStr">
        <is>
          <t>M</t>
        </is>
      </c>
      <c r="K1016" t="n">
        <v>2024</v>
      </c>
      <c r="L1016" t="n">
        <v>6</v>
      </c>
      <c r="M1016" t="inlineStr">
        <is>
          <t>Muçarela Mozzana 2 kg</t>
        </is>
      </c>
      <c r="N1016" t="inlineStr">
        <is>
          <t>Cozinha Oriental</t>
        </is>
      </c>
      <c r="O1016" t="n">
        <v>1</v>
      </c>
      <c r="P1016" t="n">
        <v>3</v>
      </c>
      <c r="Q1016" t="n">
        <v>0</v>
      </c>
    </row>
    <row r="1017">
      <c r="A1017" t="n">
        <v>2025</v>
      </c>
      <c r="B1017" t="n">
        <v>6</v>
      </c>
      <c r="C1017" t="inlineStr">
        <is>
          <t>Muçarela Mozzana 2 kg</t>
        </is>
      </c>
      <c r="D1017" t="inlineStr">
        <is>
          <t>Buffet</t>
        </is>
      </c>
      <c r="E1017" t="n">
        <v>1324.18</v>
      </c>
      <c r="F1017" t="n">
        <v>52.52</v>
      </c>
      <c r="G1017" t="n">
        <v>26</v>
      </c>
      <c r="J1017" t="inlineStr">
        <is>
          <t>A</t>
        </is>
      </c>
      <c r="K1017" t="n">
        <v>2024</v>
      </c>
      <c r="L1017" t="n">
        <v>7</v>
      </c>
      <c r="M1017" t="inlineStr">
        <is>
          <t>Muçarela Mozzana 2 kg</t>
        </is>
      </c>
      <c r="N1017" t="inlineStr">
        <is>
          <t>Cozinha Oriental</t>
        </is>
      </c>
      <c r="O1017" t="n">
        <v>2</v>
      </c>
      <c r="P1017" t="n">
        <v>32</v>
      </c>
      <c r="Q1017" t="n">
        <v>2</v>
      </c>
    </row>
    <row r="1018">
      <c r="A1018" t="n">
        <v>2025</v>
      </c>
      <c r="B1018" t="n">
        <v>6</v>
      </c>
      <c r="C1018" t="inlineStr">
        <is>
          <t>Muçarela Mozzana 2 kg</t>
        </is>
      </c>
      <c r="D1018" t="inlineStr">
        <is>
          <t>Cozinha Industrial</t>
        </is>
      </c>
      <c r="E1018" t="n">
        <v>2827.05</v>
      </c>
      <c r="F1018" t="n">
        <v>115.14</v>
      </c>
      <c r="G1018" t="n">
        <v>57</v>
      </c>
      <c r="J1018" t="inlineStr">
        <is>
          <t>M</t>
        </is>
      </c>
      <c r="K1018" t="n">
        <v>2024</v>
      </c>
      <c r="L1018" t="n">
        <v>7</v>
      </c>
      <c r="M1018" t="inlineStr">
        <is>
          <t>Muçarela Mozzana 2 kg</t>
        </is>
      </c>
      <c r="N1018" t="inlineStr">
        <is>
          <t>Cozinha Oriental</t>
        </is>
      </c>
      <c r="O1018" t="n">
        <v>2</v>
      </c>
      <c r="P1018" t="n">
        <v>7</v>
      </c>
      <c r="Q1018" t="n">
        <v>0</v>
      </c>
    </row>
    <row r="1019">
      <c r="A1019" t="n">
        <v>2025</v>
      </c>
      <c r="B1019" t="n">
        <v>6</v>
      </c>
      <c r="C1019" t="inlineStr">
        <is>
          <t>Muçarela Mozzana 2 kg</t>
        </is>
      </c>
      <c r="D1019" t="inlineStr">
        <is>
          <t>Esfiharia</t>
        </is>
      </c>
      <c r="E1019" t="n">
        <v>4159.16</v>
      </c>
      <c r="F1019" t="n">
        <v>165.64</v>
      </c>
      <c r="G1019" t="n">
        <v>82</v>
      </c>
      <c r="J1019" t="inlineStr">
        <is>
          <t>A</t>
        </is>
      </c>
      <c r="K1019" t="n">
        <v>2024</v>
      </c>
      <c r="L1019" t="n">
        <v>8</v>
      </c>
      <c r="M1019" t="inlineStr">
        <is>
          <t>Muçarela Mozzana 2 kg</t>
        </is>
      </c>
      <c r="N1019" t="inlineStr">
        <is>
          <t>Cozinha Oriental</t>
        </is>
      </c>
      <c r="O1019" t="n">
        <v>2</v>
      </c>
      <c r="P1019" t="n">
        <v>39</v>
      </c>
      <c r="Q1019" t="n">
        <v>2</v>
      </c>
    </row>
    <row r="1020">
      <c r="A1020" t="n">
        <v>2025</v>
      </c>
      <c r="B1020" t="n">
        <v>6</v>
      </c>
      <c r="C1020" t="inlineStr">
        <is>
          <t>Muçarela Mozzana 2 kg</t>
        </is>
      </c>
      <c r="D1020" t="inlineStr">
        <is>
          <t>Fábrica de Massas</t>
        </is>
      </c>
      <c r="E1020" t="n">
        <v>624.6</v>
      </c>
      <c r="F1020" t="n">
        <v>24.24</v>
      </c>
      <c r="G1020" t="n">
        <v>12</v>
      </c>
      <c r="J1020" t="inlineStr">
        <is>
          <t>M</t>
        </is>
      </c>
      <c r="K1020" t="n">
        <v>2024</v>
      </c>
      <c r="L1020" t="n">
        <v>8</v>
      </c>
      <c r="M1020" t="inlineStr">
        <is>
          <t>Muçarela Mozzana 2 kg</t>
        </is>
      </c>
      <c r="N1020" t="inlineStr">
        <is>
          <t>Cozinha Oriental</t>
        </is>
      </c>
      <c r="O1020" t="n">
        <v>1</v>
      </c>
      <c r="P1020" t="n">
        <v>7</v>
      </c>
      <c r="Q1020" t="n">
        <v>0</v>
      </c>
    </row>
    <row r="1021">
      <c r="A1021" t="n">
        <v>2025</v>
      </c>
      <c r="B1021" t="n">
        <v>6</v>
      </c>
      <c r="C1021" t="inlineStr">
        <is>
          <t>Muçarela Mozzana 2 kg</t>
        </is>
      </c>
      <c r="D1021" t="inlineStr">
        <is>
          <t>Lanchonete / Cafeteria</t>
        </is>
      </c>
      <c r="E1021" t="n">
        <v>1158.99</v>
      </c>
      <c r="F1021" t="n">
        <v>46.46</v>
      </c>
      <c r="G1021" t="n">
        <v>23</v>
      </c>
      <c r="J1021" t="inlineStr">
        <is>
          <t>A</t>
        </is>
      </c>
      <c r="K1021" t="n">
        <v>2024</v>
      </c>
      <c r="L1021" t="n">
        <v>9</v>
      </c>
      <c r="M1021" t="inlineStr">
        <is>
          <t>Muçarela Mozzana 2 kg</t>
        </is>
      </c>
      <c r="N1021" t="inlineStr">
        <is>
          <t>Cozinha Oriental</t>
        </is>
      </c>
      <c r="O1021" t="n">
        <v>2</v>
      </c>
      <c r="P1021" t="n">
        <v>45</v>
      </c>
      <c r="Q1021" t="n">
        <v>2</v>
      </c>
    </row>
    <row r="1022">
      <c r="A1022" t="n">
        <v>2025</v>
      </c>
      <c r="B1022" t="n">
        <v>6</v>
      </c>
      <c r="C1022" t="inlineStr">
        <is>
          <t>Muçarela Mozzana 2 kg</t>
        </is>
      </c>
      <c r="D1022" t="inlineStr">
        <is>
          <t>Mercearia / Sacolão</t>
        </is>
      </c>
      <c r="E1022" t="n">
        <v>1845.92</v>
      </c>
      <c r="F1022" t="n">
        <v>74.73999999999999</v>
      </c>
      <c r="G1022" t="n">
        <v>37</v>
      </c>
      <c r="J1022" t="inlineStr">
        <is>
          <t>M</t>
        </is>
      </c>
      <c r="K1022" t="n">
        <v>2024</v>
      </c>
      <c r="L1022" t="n">
        <v>9</v>
      </c>
      <c r="M1022" t="inlineStr">
        <is>
          <t>Muçarela Mozzana 2 kg</t>
        </is>
      </c>
      <c r="N1022" t="inlineStr">
        <is>
          <t>Cozinha Oriental</t>
        </is>
      </c>
      <c r="O1022" t="n">
        <v>1</v>
      </c>
      <c r="P1022" t="n">
        <v>6</v>
      </c>
      <c r="Q1022" t="n">
        <v>0</v>
      </c>
    </row>
    <row r="1023">
      <c r="A1023" t="n">
        <v>2025</v>
      </c>
      <c r="B1023" t="n">
        <v>6</v>
      </c>
      <c r="C1023" t="inlineStr">
        <is>
          <t>Muçarela Mozzana 2 kg</t>
        </is>
      </c>
      <c r="D1023" t="inlineStr">
        <is>
          <t>Outros</t>
        </is>
      </c>
      <c r="E1023" t="n">
        <v>20429.05</v>
      </c>
      <c r="F1023" t="n">
        <v>816.08</v>
      </c>
      <c r="G1023" t="n">
        <v>404</v>
      </c>
      <c r="J1023" t="inlineStr">
        <is>
          <t>A</t>
        </is>
      </c>
      <c r="K1023" t="n">
        <v>2024</v>
      </c>
      <c r="L1023" t="n">
        <v>10</v>
      </c>
      <c r="M1023" t="inlineStr">
        <is>
          <t>Muçarela Mozzana 2 kg</t>
        </is>
      </c>
      <c r="N1023" t="inlineStr">
        <is>
          <t>Cozinha Oriental</t>
        </is>
      </c>
      <c r="O1023" t="n">
        <v>2</v>
      </c>
      <c r="P1023" t="n">
        <v>52</v>
      </c>
      <c r="Q1023" t="n">
        <v>2</v>
      </c>
    </row>
    <row r="1024">
      <c r="A1024" t="n">
        <v>2025</v>
      </c>
      <c r="B1024" t="n">
        <v>6</v>
      </c>
      <c r="C1024" t="inlineStr">
        <is>
          <t>Muçarela Mozzana 2 kg</t>
        </is>
      </c>
      <c r="D1024" t="inlineStr">
        <is>
          <t>Padaria</t>
        </is>
      </c>
      <c r="E1024" t="n">
        <v>2035.32</v>
      </c>
      <c r="F1024" t="n">
        <v>80.8</v>
      </c>
      <c r="G1024" t="n">
        <v>40</v>
      </c>
      <c r="J1024" t="inlineStr">
        <is>
          <t>M</t>
        </is>
      </c>
      <c r="K1024" t="n">
        <v>2024</v>
      </c>
      <c r="L1024" t="n">
        <v>10</v>
      </c>
      <c r="M1024" t="inlineStr">
        <is>
          <t>Muçarela Mozzana 2 kg</t>
        </is>
      </c>
      <c r="N1024" t="inlineStr">
        <is>
          <t>Cozinha Oriental</t>
        </is>
      </c>
      <c r="O1024" t="n">
        <v>1</v>
      </c>
      <c r="P1024" t="n">
        <v>7</v>
      </c>
      <c r="Q1024" t="n">
        <v>0</v>
      </c>
    </row>
    <row r="1025">
      <c r="A1025" t="n">
        <v>2025</v>
      </c>
      <c r="B1025" t="n">
        <v>6</v>
      </c>
      <c r="C1025" t="inlineStr">
        <is>
          <t>Muçarela Mozzana 2 kg</t>
        </is>
      </c>
      <c r="D1025" t="inlineStr">
        <is>
          <t>Pastelaria</t>
        </is>
      </c>
      <c r="E1025" t="n">
        <v>1883.74</v>
      </c>
      <c r="F1025" t="n">
        <v>74.73999999999999</v>
      </c>
      <c r="G1025" t="n">
        <v>37</v>
      </c>
      <c r="J1025" t="inlineStr">
        <is>
          <t>A</t>
        </is>
      </c>
      <c r="K1025" t="n">
        <v>2024</v>
      </c>
      <c r="L1025" t="n">
        <v>11</v>
      </c>
      <c r="M1025" t="inlineStr">
        <is>
          <t>Muçarela Mozzana 2 kg</t>
        </is>
      </c>
      <c r="N1025" t="inlineStr">
        <is>
          <t>Cozinha Oriental</t>
        </is>
      </c>
      <c r="O1025" t="n">
        <v>2</v>
      </c>
      <c r="P1025" t="n">
        <v>60</v>
      </c>
      <c r="Q1025" t="n">
        <v>2</v>
      </c>
    </row>
    <row r="1026">
      <c r="A1026" t="n">
        <v>2025</v>
      </c>
      <c r="B1026" t="n">
        <v>6</v>
      </c>
      <c r="C1026" t="inlineStr">
        <is>
          <t>Muçarela Mozzana 2 kg</t>
        </is>
      </c>
      <c r="D1026" t="inlineStr">
        <is>
          <t>Pessoa Física</t>
        </is>
      </c>
      <c r="E1026" t="n">
        <v>556.37</v>
      </c>
      <c r="F1026" t="n">
        <v>22.22</v>
      </c>
      <c r="G1026" t="n">
        <v>11</v>
      </c>
      <c r="J1026" t="inlineStr">
        <is>
          <t>M</t>
        </is>
      </c>
      <c r="K1026" t="n">
        <v>2024</v>
      </c>
      <c r="L1026" t="n">
        <v>11</v>
      </c>
      <c r="M1026" t="inlineStr">
        <is>
          <t>Muçarela Mozzana 2 kg</t>
        </is>
      </c>
      <c r="N1026" t="inlineStr">
        <is>
          <t>Cozinha Oriental</t>
        </is>
      </c>
      <c r="O1026" t="n">
        <v>1</v>
      </c>
      <c r="P1026" t="n">
        <v>8</v>
      </c>
      <c r="Q1026" t="n">
        <v>0</v>
      </c>
    </row>
    <row r="1027">
      <c r="A1027" t="n">
        <v>2025</v>
      </c>
      <c r="B1027" t="n">
        <v>6</v>
      </c>
      <c r="C1027" t="inlineStr">
        <is>
          <t>Muçarela Mozzana 2 kg</t>
        </is>
      </c>
      <c r="D1027" t="inlineStr">
        <is>
          <t>Pizzaria</t>
        </is>
      </c>
      <c r="E1027" t="n">
        <v>62115.94</v>
      </c>
      <c r="F1027" t="n">
        <v>2478.54</v>
      </c>
      <c r="G1027" t="n">
        <v>1227</v>
      </c>
      <c r="J1027" t="inlineStr">
        <is>
          <t>A</t>
        </is>
      </c>
      <c r="K1027" t="n">
        <v>2024</v>
      </c>
      <c r="L1027" t="n">
        <v>12</v>
      </c>
      <c r="M1027" t="inlineStr">
        <is>
          <t>Muçarela Mozzana 2 kg</t>
        </is>
      </c>
      <c r="N1027" t="inlineStr">
        <is>
          <t>Cozinha Oriental</t>
        </is>
      </c>
      <c r="O1027" t="n">
        <v>2</v>
      </c>
      <c r="P1027" t="n">
        <v>66</v>
      </c>
      <c r="Q1027" t="n">
        <v>2</v>
      </c>
    </row>
    <row r="1028">
      <c r="A1028" t="n">
        <v>2025</v>
      </c>
      <c r="B1028" t="n">
        <v>6</v>
      </c>
      <c r="C1028" t="inlineStr">
        <is>
          <t>Muçarela Mozzana 2 kg</t>
        </is>
      </c>
      <c r="D1028" t="inlineStr">
        <is>
          <t>Restaurante / Cantina</t>
        </is>
      </c>
      <c r="E1028" t="n">
        <v>11011.12</v>
      </c>
      <c r="F1028" t="n">
        <v>444.4</v>
      </c>
      <c r="G1028" t="n">
        <v>220</v>
      </c>
      <c r="J1028" t="inlineStr">
        <is>
          <t>M</t>
        </is>
      </c>
      <c r="K1028" t="n">
        <v>2024</v>
      </c>
      <c r="L1028" t="n">
        <v>12</v>
      </c>
      <c r="M1028" t="inlineStr">
        <is>
          <t>Muçarela Mozzana 2 kg</t>
        </is>
      </c>
      <c r="N1028" t="inlineStr">
        <is>
          <t>Cozinha Oriental</t>
        </is>
      </c>
      <c r="O1028" t="n">
        <v>1</v>
      </c>
      <c r="P1028" t="n">
        <v>6</v>
      </c>
      <c r="Q1028" t="n">
        <v>0</v>
      </c>
    </row>
    <row r="1029">
      <c r="A1029" t="n">
        <v>2025</v>
      </c>
      <c r="B1029" t="n">
        <v>6</v>
      </c>
      <c r="C1029" t="inlineStr">
        <is>
          <t>Muçarela Mozzana 2 kg</t>
        </is>
      </c>
      <c r="D1029" t="inlineStr">
        <is>
          <t>Rotisserie</t>
        </is>
      </c>
      <c r="E1029" t="n">
        <v>49.9</v>
      </c>
      <c r="F1029" t="n">
        <v>2.02</v>
      </c>
      <c r="G1029" t="n">
        <v>1</v>
      </c>
      <c r="J1029" t="inlineStr">
        <is>
          <t>A</t>
        </is>
      </c>
      <c r="K1029" t="n">
        <v>2024</v>
      </c>
      <c r="L1029" t="n">
        <v>5</v>
      </c>
      <c r="M1029" t="inlineStr">
        <is>
          <t>Muçarela Mozzana 2 kg</t>
        </is>
      </c>
      <c r="N1029" t="inlineStr">
        <is>
          <t>Adega</t>
        </is>
      </c>
      <c r="O1029" t="n">
        <v>1</v>
      </c>
      <c r="P1029" t="n">
        <v>1</v>
      </c>
      <c r="Q1029" t="n">
        <v>1</v>
      </c>
    </row>
    <row r="1030">
      <c r="A1030" t="n">
        <v>2025</v>
      </c>
      <c r="B1030" t="n">
        <v>6</v>
      </c>
      <c r="C1030" t="inlineStr">
        <is>
          <t>Muçarela Mozzana 2 kg</t>
        </is>
      </c>
      <c r="D1030" t="inlineStr">
        <is>
          <t>Supermercado</t>
        </is>
      </c>
      <c r="E1030" t="n">
        <v>6778.71</v>
      </c>
      <c r="F1030" t="n">
        <v>266.64</v>
      </c>
      <c r="G1030" t="n">
        <v>132</v>
      </c>
      <c r="J1030" t="inlineStr">
        <is>
          <t>M</t>
        </is>
      </c>
      <c r="K1030" t="n">
        <v>2024</v>
      </c>
      <c r="L1030" t="n">
        <v>5</v>
      </c>
      <c r="M1030" t="inlineStr">
        <is>
          <t>Muçarela Mozzana 2 kg</t>
        </is>
      </c>
      <c r="N1030" t="inlineStr">
        <is>
          <t>Adega</t>
        </is>
      </c>
      <c r="O1030" t="n">
        <v>1</v>
      </c>
      <c r="P1030" t="n">
        <v>1</v>
      </c>
      <c r="Q1030" t="n">
        <v>0</v>
      </c>
    </row>
    <row r="1031">
      <c r="A1031" t="n">
        <v>2025</v>
      </c>
      <c r="B1031" t="n">
        <v>6</v>
      </c>
      <c r="C1031" t="inlineStr">
        <is>
          <t>Requeijão Pizzalet 1,8 kg</t>
        </is>
      </c>
      <c r="D1031" t="inlineStr">
        <is>
          <t>Bar / Chopperia</t>
        </is>
      </c>
      <c r="E1031" t="n">
        <v>683.27</v>
      </c>
      <c r="F1031" t="n">
        <v>79.12</v>
      </c>
      <c r="G1031" t="n">
        <v>43</v>
      </c>
      <c r="J1031" t="inlineStr">
        <is>
          <t>A</t>
        </is>
      </c>
      <c r="K1031" t="n">
        <v>2024</v>
      </c>
      <c r="L1031" t="n">
        <v>6</v>
      </c>
      <c r="M1031" t="inlineStr">
        <is>
          <t>Muçarela Mozzana 2 kg</t>
        </is>
      </c>
      <c r="N1031" t="inlineStr">
        <is>
          <t>Adega</t>
        </is>
      </c>
      <c r="O1031" t="n">
        <v>1</v>
      </c>
      <c r="P1031" t="n">
        <v>1</v>
      </c>
      <c r="Q1031" t="n">
        <v>1</v>
      </c>
    </row>
    <row r="1032">
      <c r="A1032" t="n">
        <v>2025</v>
      </c>
      <c r="B1032" t="n">
        <v>6</v>
      </c>
      <c r="C1032" t="inlineStr">
        <is>
          <t>Requeijão Pizzalet 1,8 kg</t>
        </is>
      </c>
      <c r="D1032" t="inlineStr">
        <is>
          <t>Cozinha Industrial</t>
        </is>
      </c>
      <c r="E1032" t="n">
        <v>2319.84</v>
      </c>
      <c r="F1032" t="n">
        <v>264.96</v>
      </c>
      <c r="G1032" t="n">
        <v>144</v>
      </c>
      <c r="J1032" t="inlineStr">
        <is>
          <t>A</t>
        </is>
      </c>
      <c r="K1032" t="n">
        <v>2024</v>
      </c>
      <c r="L1032" t="n">
        <v>7</v>
      </c>
      <c r="M1032" t="inlineStr">
        <is>
          <t>Muçarela Mozzana 2 kg</t>
        </is>
      </c>
      <c r="N1032" t="inlineStr">
        <is>
          <t>Adega</t>
        </is>
      </c>
      <c r="O1032" t="n">
        <v>1</v>
      </c>
      <c r="P1032" t="n">
        <v>3</v>
      </c>
      <c r="Q1032" t="n">
        <v>1</v>
      </c>
    </row>
    <row r="1033">
      <c r="A1033" t="n">
        <v>2025</v>
      </c>
      <c r="B1033" t="n">
        <v>6</v>
      </c>
      <c r="C1033" t="inlineStr">
        <is>
          <t>Requeijão Pizzalet 1,8 kg</t>
        </is>
      </c>
      <c r="D1033" t="inlineStr">
        <is>
          <t>Lanchonete / Cafeteria</t>
        </is>
      </c>
      <c r="E1033" t="n">
        <v>2044.48</v>
      </c>
      <c r="F1033" t="n">
        <v>235.52</v>
      </c>
      <c r="G1033" t="n">
        <v>128</v>
      </c>
      <c r="J1033" t="inlineStr">
        <is>
          <t>M</t>
        </is>
      </c>
      <c r="K1033" t="n">
        <v>2024</v>
      </c>
      <c r="L1033" t="n">
        <v>7</v>
      </c>
      <c r="M1033" t="inlineStr">
        <is>
          <t>Muçarela Mozzana 2 kg</t>
        </is>
      </c>
      <c r="N1033" t="inlineStr">
        <is>
          <t>Adega</t>
        </is>
      </c>
      <c r="O1033" t="n">
        <v>1</v>
      </c>
      <c r="P1033" t="n">
        <v>2</v>
      </c>
      <c r="Q1033" t="n">
        <v>0</v>
      </c>
    </row>
    <row r="1034">
      <c r="A1034" t="n">
        <v>2025</v>
      </c>
      <c r="B1034" t="n">
        <v>6</v>
      </c>
      <c r="C1034" t="inlineStr">
        <is>
          <t>Requeijão Pizzalet 1,8 kg</t>
        </is>
      </c>
      <c r="D1034" t="inlineStr">
        <is>
          <t>Outros</t>
        </is>
      </c>
      <c r="E1034" t="n">
        <v>543.3200000000001</v>
      </c>
      <c r="F1034" t="n">
        <v>62.56</v>
      </c>
      <c r="G1034" t="n">
        <v>34</v>
      </c>
      <c r="J1034" t="inlineStr">
        <is>
          <t>A</t>
        </is>
      </c>
      <c r="K1034" t="n">
        <v>2024</v>
      </c>
      <c r="L1034" t="n">
        <v>8</v>
      </c>
      <c r="M1034" t="inlineStr">
        <is>
          <t>Muçarela Mozzana 2 kg</t>
        </is>
      </c>
      <c r="N1034" t="inlineStr">
        <is>
          <t>Adega</t>
        </is>
      </c>
      <c r="O1034" t="n">
        <v>1</v>
      </c>
      <c r="P1034" t="n">
        <v>4</v>
      </c>
      <c r="Q1034" t="n">
        <v>1</v>
      </c>
    </row>
    <row r="1035">
      <c r="A1035" t="n">
        <v>2025</v>
      </c>
      <c r="B1035" t="n">
        <v>6</v>
      </c>
      <c r="C1035" t="inlineStr">
        <is>
          <t>Requeijão Pizzalet 1,8 kg</t>
        </is>
      </c>
      <c r="D1035" t="inlineStr">
        <is>
          <t>Pastelaria</t>
        </is>
      </c>
      <c r="E1035" t="n">
        <v>2599.18</v>
      </c>
      <c r="F1035" t="n">
        <v>296.24</v>
      </c>
      <c r="G1035" t="n">
        <v>161</v>
      </c>
      <c r="J1035" t="inlineStr">
        <is>
          <t>M</t>
        </is>
      </c>
      <c r="K1035" t="n">
        <v>2024</v>
      </c>
      <c r="L1035" t="n">
        <v>8</v>
      </c>
      <c r="M1035" t="inlineStr">
        <is>
          <t>Muçarela Mozzana 2 kg</t>
        </is>
      </c>
      <c r="N1035" t="inlineStr">
        <is>
          <t>Adega</t>
        </is>
      </c>
      <c r="O1035" t="n">
        <v>1</v>
      </c>
      <c r="P1035" t="n">
        <v>1</v>
      </c>
      <c r="Q1035" t="n">
        <v>0</v>
      </c>
    </row>
    <row r="1036">
      <c r="A1036" t="n">
        <v>2025</v>
      </c>
      <c r="B1036" t="n">
        <v>6</v>
      </c>
      <c r="C1036" t="inlineStr">
        <is>
          <t>Requeijão Pizzalet 1,8 kg</t>
        </is>
      </c>
      <c r="D1036" t="inlineStr">
        <is>
          <t>Pizzaria</t>
        </is>
      </c>
      <c r="E1036" t="n">
        <v>4798.38</v>
      </c>
      <c r="F1036" t="n">
        <v>544.64</v>
      </c>
      <c r="G1036" t="n">
        <v>296</v>
      </c>
      <c r="J1036" t="inlineStr">
        <is>
          <t>A</t>
        </is>
      </c>
      <c r="K1036" t="n">
        <v>2024</v>
      </c>
      <c r="L1036" t="n">
        <v>9</v>
      </c>
      <c r="M1036" t="inlineStr">
        <is>
          <t>Muçarela Mozzana 2 kg</t>
        </is>
      </c>
      <c r="N1036" t="inlineStr">
        <is>
          <t>Adega</t>
        </is>
      </c>
      <c r="O1036" t="n">
        <v>1</v>
      </c>
      <c r="P1036" t="n">
        <v>4</v>
      </c>
      <c r="Q1036" t="n">
        <v>1</v>
      </c>
    </row>
    <row r="1037">
      <c r="A1037" t="n">
        <v>2025</v>
      </c>
      <c r="B1037" t="n">
        <v>6</v>
      </c>
      <c r="C1037" t="inlineStr">
        <is>
          <t>Requeijão Pizzalet 1,8 kg</t>
        </is>
      </c>
      <c r="D1037" t="inlineStr">
        <is>
          <t>Restaurante / Cantina</t>
        </is>
      </c>
      <c r="E1037" t="n">
        <v>127.92</v>
      </c>
      <c r="F1037" t="n">
        <v>14.72</v>
      </c>
      <c r="G1037" t="n">
        <v>8</v>
      </c>
      <c r="J1037" t="inlineStr">
        <is>
          <t>A</t>
        </is>
      </c>
      <c r="K1037" t="n">
        <v>2024</v>
      </c>
      <c r="L1037" t="n">
        <v>10</v>
      </c>
      <c r="M1037" t="inlineStr">
        <is>
          <t>Muçarela Mozzana 2 kg</t>
        </is>
      </c>
      <c r="N1037" t="inlineStr">
        <is>
          <t>Adega</t>
        </is>
      </c>
      <c r="O1037" t="n">
        <v>1</v>
      </c>
      <c r="P1037" t="n">
        <v>5</v>
      </c>
      <c r="Q1037" t="n">
        <v>1</v>
      </c>
    </row>
    <row r="1038">
      <c r="A1038" t="n">
        <v>2025</v>
      </c>
      <c r="B1038" t="n">
        <v>7</v>
      </c>
      <c r="C1038" t="inlineStr">
        <is>
          <t>Chocolate em pó 50% 1 kg</t>
        </is>
      </c>
      <c r="D1038" t="inlineStr">
        <is>
          <t>Buffet</t>
        </is>
      </c>
      <c r="E1038" t="n">
        <v>165.62</v>
      </c>
      <c r="F1038" t="n">
        <v>4.08</v>
      </c>
      <c r="G1038" t="n">
        <v>4</v>
      </c>
      <c r="J1038" t="inlineStr">
        <is>
          <t>M</t>
        </is>
      </c>
      <c r="K1038" t="n">
        <v>2024</v>
      </c>
      <c r="L1038" t="n">
        <v>10</v>
      </c>
      <c r="M1038" t="inlineStr">
        <is>
          <t>Muçarela Mozzana 2 kg</t>
        </is>
      </c>
      <c r="N1038" t="inlineStr">
        <is>
          <t>Adega</t>
        </is>
      </c>
      <c r="O1038" t="n">
        <v>1</v>
      </c>
      <c r="P1038" t="n">
        <v>1</v>
      </c>
      <c r="Q1038" t="n">
        <v>0</v>
      </c>
    </row>
    <row r="1039">
      <c r="A1039" t="n">
        <v>2025</v>
      </c>
      <c r="B1039" t="n">
        <v>7</v>
      </c>
      <c r="C1039" t="inlineStr">
        <is>
          <t>Chocolate em pó 50% 1 kg</t>
        </is>
      </c>
      <c r="D1039" t="inlineStr">
        <is>
          <t>Casa Noturna</t>
        </is>
      </c>
      <c r="E1039" t="n">
        <v>41.54</v>
      </c>
      <c r="F1039" t="n">
        <v>1.02</v>
      </c>
      <c r="G1039" t="n">
        <v>1</v>
      </c>
      <c r="J1039" t="inlineStr">
        <is>
          <t>A</t>
        </is>
      </c>
      <c r="K1039" t="n">
        <v>2024</v>
      </c>
      <c r="L1039" t="n">
        <v>11</v>
      </c>
      <c r="M1039" t="inlineStr">
        <is>
          <t>Muçarela Mozzana 2 kg</t>
        </is>
      </c>
      <c r="N1039" t="inlineStr">
        <is>
          <t>Adega</t>
        </is>
      </c>
      <c r="O1039" t="n">
        <v>1</v>
      </c>
      <c r="P1039" t="n">
        <v>6</v>
      </c>
      <c r="Q1039" t="n">
        <v>1</v>
      </c>
    </row>
    <row r="1040">
      <c r="A1040" t="n">
        <v>2025</v>
      </c>
      <c r="B1040" t="n">
        <v>7</v>
      </c>
      <c r="C1040" t="inlineStr">
        <is>
          <t>Chocolate em pó 50% 1 kg</t>
        </is>
      </c>
      <c r="D1040" t="inlineStr">
        <is>
          <t>Churrascaria</t>
        </is>
      </c>
      <c r="E1040" t="n">
        <v>498.92</v>
      </c>
      <c r="F1040" t="n">
        <v>12.24</v>
      </c>
      <c r="G1040" t="n">
        <v>12</v>
      </c>
      <c r="J1040" t="inlineStr">
        <is>
          <t>M</t>
        </is>
      </c>
      <c r="K1040" t="n">
        <v>2024</v>
      </c>
      <c r="L1040" t="n">
        <v>11</v>
      </c>
      <c r="M1040" t="inlineStr">
        <is>
          <t>Muçarela Mozzana 2 kg</t>
        </is>
      </c>
      <c r="N1040" t="inlineStr">
        <is>
          <t>Adega</t>
        </is>
      </c>
      <c r="O1040" t="n">
        <v>1</v>
      </c>
      <c r="P1040" t="n">
        <v>1</v>
      </c>
      <c r="Q1040" t="n">
        <v>0</v>
      </c>
    </row>
    <row r="1041">
      <c r="A1041" t="n">
        <v>2025</v>
      </c>
      <c r="B1041" t="n">
        <v>7</v>
      </c>
      <c r="C1041" t="inlineStr">
        <is>
          <t>Chocolate em pó 50% 1 kg</t>
        </is>
      </c>
      <c r="D1041" t="inlineStr">
        <is>
          <t>Confeitaria</t>
        </is>
      </c>
      <c r="E1041" t="n">
        <v>41.85</v>
      </c>
      <c r="F1041" t="n">
        <v>1.02</v>
      </c>
      <c r="G1041" t="n">
        <v>1</v>
      </c>
      <c r="J1041" t="inlineStr">
        <is>
          <t>A</t>
        </is>
      </c>
      <c r="K1041" t="n">
        <v>2024</v>
      </c>
      <c r="L1041" t="n">
        <v>12</v>
      </c>
      <c r="M1041" t="inlineStr">
        <is>
          <t>Muçarela Mozzana 2 kg</t>
        </is>
      </c>
      <c r="N1041" t="inlineStr">
        <is>
          <t>Adega</t>
        </is>
      </c>
      <c r="O1041" t="n">
        <v>1</v>
      </c>
      <c r="P1041" t="n">
        <v>6</v>
      </c>
      <c r="Q1041" t="n">
        <v>1</v>
      </c>
    </row>
    <row r="1042">
      <c r="A1042" t="n">
        <v>2025</v>
      </c>
      <c r="B1042" t="n">
        <v>7</v>
      </c>
      <c r="C1042" t="inlineStr">
        <is>
          <t>Chocolate em pó 50% 1 kg</t>
        </is>
      </c>
      <c r="D1042" t="inlineStr">
        <is>
          <t>Hamburgueria</t>
        </is>
      </c>
      <c r="E1042" t="n">
        <v>208.39</v>
      </c>
      <c r="F1042" t="n">
        <v>5.1</v>
      </c>
      <c r="G1042" t="n">
        <v>5</v>
      </c>
      <c r="J1042" t="inlineStr">
        <is>
          <t>A</t>
        </is>
      </c>
      <c r="K1042" t="n">
        <v>2024</v>
      </c>
      <c r="L1042" t="n">
        <v>2</v>
      </c>
      <c r="M1042" t="inlineStr">
        <is>
          <t>Muçarela Mozzana 2 kg</t>
        </is>
      </c>
      <c r="N1042" t="inlineStr">
        <is>
          <t>Bar / Chopperia</t>
        </is>
      </c>
      <c r="O1042" t="n">
        <v>1</v>
      </c>
      <c r="P1042" t="n">
        <v>1</v>
      </c>
      <c r="Q1042" t="n">
        <v>1</v>
      </c>
    </row>
    <row r="1043">
      <c r="A1043" t="n">
        <v>2025</v>
      </c>
      <c r="B1043" t="n">
        <v>7</v>
      </c>
      <c r="C1043" t="inlineStr">
        <is>
          <t>Chocolate em pó 50% 1 kg</t>
        </is>
      </c>
      <c r="D1043" t="inlineStr">
        <is>
          <t>Hotel / Motel / Pousada</t>
        </is>
      </c>
      <c r="E1043" t="n">
        <v>828.03</v>
      </c>
      <c r="F1043" t="n">
        <v>20.4</v>
      </c>
      <c r="G1043" t="n">
        <v>20</v>
      </c>
      <c r="J1043" t="inlineStr">
        <is>
          <t>M</t>
        </is>
      </c>
      <c r="K1043" t="n">
        <v>2024</v>
      </c>
      <c r="L1043" t="n">
        <v>2</v>
      </c>
      <c r="M1043" t="inlineStr">
        <is>
          <t>Muçarela Mozzana 2 kg</t>
        </is>
      </c>
      <c r="N1043" t="inlineStr">
        <is>
          <t>Bar / Chopperia</t>
        </is>
      </c>
      <c r="O1043" t="n">
        <v>1</v>
      </c>
      <c r="P1043" t="n">
        <v>1</v>
      </c>
      <c r="Q1043" t="n">
        <v>0</v>
      </c>
    </row>
    <row r="1044">
      <c r="A1044" t="n">
        <v>2025</v>
      </c>
      <c r="B1044" t="n">
        <v>7</v>
      </c>
      <c r="C1044" t="inlineStr">
        <is>
          <t>Chocolate em pó 50% 1 kg</t>
        </is>
      </c>
      <c r="D1044" t="inlineStr">
        <is>
          <t>Lanchonete / Cafeteria</t>
        </is>
      </c>
      <c r="E1044" t="n">
        <v>458.88</v>
      </c>
      <c r="F1044" t="n">
        <v>11.22</v>
      </c>
      <c r="G1044" t="n">
        <v>11</v>
      </c>
      <c r="J1044" t="inlineStr">
        <is>
          <t>A</t>
        </is>
      </c>
      <c r="K1044" t="n">
        <v>2024</v>
      </c>
      <c r="L1044" t="n">
        <v>3</v>
      </c>
      <c r="M1044" t="inlineStr">
        <is>
          <t>Muçarela Mozzana 2 kg</t>
        </is>
      </c>
      <c r="N1044" t="inlineStr">
        <is>
          <t>Bar / Chopperia</t>
        </is>
      </c>
      <c r="O1044" t="n">
        <v>1</v>
      </c>
      <c r="P1044" t="n">
        <v>2</v>
      </c>
      <c r="Q1044" t="n">
        <v>1</v>
      </c>
    </row>
    <row r="1045">
      <c r="A1045" t="n">
        <v>2025</v>
      </c>
      <c r="B1045" t="n">
        <v>7</v>
      </c>
      <c r="C1045" t="inlineStr">
        <is>
          <t>Chocolate em pó 50% 1 kg</t>
        </is>
      </c>
      <c r="D1045" t="inlineStr">
        <is>
          <t>Laticínios / Distribuidor</t>
        </is>
      </c>
      <c r="E1045" t="n">
        <v>83.08</v>
      </c>
      <c r="F1045" t="n">
        <v>2.04</v>
      </c>
      <c r="G1045" t="n">
        <v>2</v>
      </c>
      <c r="J1045" t="inlineStr">
        <is>
          <t>M</t>
        </is>
      </c>
      <c r="K1045" t="n">
        <v>2024</v>
      </c>
      <c r="L1045" t="n">
        <v>3</v>
      </c>
      <c r="M1045" t="inlineStr">
        <is>
          <t>Muçarela Mozzana 2 kg</t>
        </is>
      </c>
      <c r="N1045" t="inlineStr">
        <is>
          <t>Bar / Chopperia</t>
        </is>
      </c>
      <c r="O1045" t="n">
        <v>1</v>
      </c>
      <c r="P1045" t="n">
        <v>1</v>
      </c>
      <c r="Q1045" t="n">
        <v>0</v>
      </c>
    </row>
    <row r="1046">
      <c r="A1046" t="n">
        <v>2025</v>
      </c>
      <c r="B1046" t="n">
        <v>7</v>
      </c>
      <c r="C1046" t="inlineStr">
        <is>
          <t>Chocolate em pó 50% 1 kg</t>
        </is>
      </c>
      <c r="D1046" t="inlineStr">
        <is>
          <t>Mercearia / Sacolão</t>
        </is>
      </c>
      <c r="E1046" t="n">
        <v>41.54</v>
      </c>
      <c r="F1046" t="n">
        <v>1.02</v>
      </c>
      <c r="G1046" t="n">
        <v>1</v>
      </c>
      <c r="J1046" t="inlineStr">
        <is>
          <t>A</t>
        </is>
      </c>
      <c r="K1046" t="n">
        <v>2024</v>
      </c>
      <c r="L1046" t="n">
        <v>4</v>
      </c>
      <c r="M1046" t="inlineStr">
        <is>
          <t>Muçarela Mozzana 2 kg</t>
        </is>
      </c>
      <c r="N1046" t="inlineStr">
        <is>
          <t>Bar / Chopperia</t>
        </is>
      </c>
      <c r="O1046" t="n">
        <v>1</v>
      </c>
      <c r="P1046" t="n">
        <v>2</v>
      </c>
      <c r="Q1046" t="n">
        <v>1</v>
      </c>
    </row>
    <row r="1047">
      <c r="A1047" t="n">
        <v>2025</v>
      </c>
      <c r="B1047" t="n">
        <v>7</v>
      </c>
      <c r="C1047" t="inlineStr">
        <is>
          <t>Chocolate em pó 50% 1 kg</t>
        </is>
      </c>
      <c r="D1047" t="inlineStr">
        <is>
          <t>Outros</t>
        </is>
      </c>
      <c r="E1047" t="n">
        <v>1982.66</v>
      </c>
      <c r="F1047" t="n">
        <v>48.96</v>
      </c>
      <c r="G1047" t="n">
        <v>48</v>
      </c>
      <c r="J1047" t="inlineStr">
        <is>
          <t>A</t>
        </is>
      </c>
      <c r="K1047" t="n">
        <v>2024</v>
      </c>
      <c r="L1047" t="n">
        <v>5</v>
      </c>
      <c r="M1047" t="inlineStr">
        <is>
          <t>Muçarela Mozzana 2 kg</t>
        </is>
      </c>
      <c r="N1047" t="inlineStr">
        <is>
          <t>Bar / Chopperia</t>
        </is>
      </c>
      <c r="O1047" t="n">
        <v>1</v>
      </c>
      <c r="P1047" t="n">
        <v>2</v>
      </c>
      <c r="Q1047" t="n">
        <v>1</v>
      </c>
    </row>
    <row r="1048">
      <c r="A1048" t="n">
        <v>2025</v>
      </c>
      <c r="B1048" t="n">
        <v>7</v>
      </c>
      <c r="C1048" t="inlineStr">
        <is>
          <t>Chocolate em pó 50% 1 kg</t>
        </is>
      </c>
      <c r="D1048" t="inlineStr">
        <is>
          <t>Padaria</t>
        </is>
      </c>
      <c r="E1048" t="n">
        <v>694.53</v>
      </c>
      <c r="F1048" t="n">
        <v>17.34</v>
      </c>
      <c r="G1048" t="n">
        <v>17</v>
      </c>
      <c r="J1048" t="inlineStr">
        <is>
          <t>A</t>
        </is>
      </c>
      <c r="K1048" t="n">
        <v>2024</v>
      </c>
      <c r="L1048" t="n">
        <v>6</v>
      </c>
      <c r="M1048" t="inlineStr">
        <is>
          <t>Muçarela Mozzana 2 kg</t>
        </is>
      </c>
      <c r="N1048" t="inlineStr">
        <is>
          <t>Bar / Chopperia</t>
        </is>
      </c>
      <c r="O1048" t="n">
        <v>1</v>
      </c>
      <c r="P1048" t="n">
        <v>2</v>
      </c>
      <c r="Q1048" t="n">
        <v>1</v>
      </c>
    </row>
    <row r="1049">
      <c r="A1049" t="n">
        <v>2025</v>
      </c>
      <c r="B1049" t="n">
        <v>7</v>
      </c>
      <c r="C1049" t="inlineStr">
        <is>
          <t>Chocolate em pó 50% 1 kg</t>
        </is>
      </c>
      <c r="D1049" t="inlineStr">
        <is>
          <t>Pastelaria</t>
        </is>
      </c>
      <c r="E1049" t="n">
        <v>163.96</v>
      </c>
      <c r="F1049" t="n">
        <v>4.08</v>
      </c>
      <c r="G1049" t="n">
        <v>4</v>
      </c>
      <c r="J1049" t="inlineStr">
        <is>
          <t>A</t>
        </is>
      </c>
      <c r="K1049" t="n">
        <v>2024</v>
      </c>
      <c r="L1049" t="n">
        <v>7</v>
      </c>
      <c r="M1049" t="inlineStr">
        <is>
          <t>Muçarela Mozzana 2 kg</t>
        </is>
      </c>
      <c r="N1049" t="inlineStr">
        <is>
          <t>Bar / Chopperia</t>
        </is>
      </c>
      <c r="O1049" t="n">
        <v>1</v>
      </c>
      <c r="P1049" t="n">
        <v>2</v>
      </c>
      <c r="Q1049" t="n">
        <v>1</v>
      </c>
    </row>
    <row r="1050">
      <c r="A1050" t="n">
        <v>2025</v>
      </c>
      <c r="B1050" t="n">
        <v>7</v>
      </c>
      <c r="C1050" t="inlineStr">
        <is>
          <t>Chocolate em pó 50% 1 kg</t>
        </is>
      </c>
      <c r="D1050" t="inlineStr">
        <is>
          <t>Pizzaria</t>
        </is>
      </c>
      <c r="E1050" t="n">
        <v>2984.08</v>
      </c>
      <c r="F1050" t="n">
        <v>73.44</v>
      </c>
      <c r="G1050" t="n">
        <v>72</v>
      </c>
      <c r="J1050" t="inlineStr">
        <is>
          <t>A</t>
        </is>
      </c>
      <c r="K1050" t="n">
        <v>2024</v>
      </c>
      <c r="L1050" t="n">
        <v>8</v>
      </c>
      <c r="M1050" t="inlineStr">
        <is>
          <t>Muçarela Mozzana 2 kg</t>
        </is>
      </c>
      <c r="N1050" t="inlineStr">
        <is>
          <t>Bar / Chopperia</t>
        </is>
      </c>
      <c r="O1050" t="n">
        <v>1</v>
      </c>
      <c r="P1050" t="n">
        <v>2</v>
      </c>
      <c r="Q1050" t="n">
        <v>1</v>
      </c>
    </row>
    <row r="1051">
      <c r="A1051" t="n">
        <v>2025</v>
      </c>
      <c r="B1051" t="n">
        <v>7</v>
      </c>
      <c r="C1051" t="inlineStr">
        <is>
          <t>Chocolate em pó 50% 1 kg</t>
        </is>
      </c>
      <c r="D1051" t="inlineStr">
        <is>
          <t>Restaurante / Cantina</t>
        </is>
      </c>
      <c r="E1051" t="n">
        <v>2577.7</v>
      </c>
      <c r="F1051" t="n">
        <v>63.24</v>
      </c>
      <c r="G1051" t="n">
        <v>62</v>
      </c>
      <c r="J1051" t="inlineStr">
        <is>
          <t>A</t>
        </is>
      </c>
      <c r="K1051" t="n">
        <v>2024</v>
      </c>
      <c r="L1051" t="n">
        <v>9</v>
      </c>
      <c r="M1051" t="inlineStr">
        <is>
          <t>Muçarela Mozzana 2 kg</t>
        </is>
      </c>
      <c r="N1051" t="inlineStr">
        <is>
          <t>Bar / Chopperia</t>
        </is>
      </c>
      <c r="O1051" t="n">
        <v>1</v>
      </c>
      <c r="P1051" t="n">
        <v>2</v>
      </c>
      <c r="Q1051" t="n">
        <v>1</v>
      </c>
    </row>
    <row r="1052">
      <c r="A1052" t="n">
        <v>2025</v>
      </c>
      <c r="B1052" t="n">
        <v>7</v>
      </c>
      <c r="C1052" t="inlineStr">
        <is>
          <t>Composto lácteo Alibralac 1 kg</t>
        </is>
      </c>
      <c r="D1052" t="inlineStr">
        <is>
          <t>Buffet</t>
        </is>
      </c>
      <c r="E1052" t="n">
        <v>46.66</v>
      </c>
      <c r="F1052" t="n">
        <v>2.04</v>
      </c>
      <c r="G1052" t="n">
        <v>2</v>
      </c>
      <c r="J1052" t="inlineStr">
        <is>
          <t>A</t>
        </is>
      </c>
      <c r="K1052" t="n">
        <v>2024</v>
      </c>
      <c r="L1052" t="n">
        <v>10</v>
      </c>
      <c r="M1052" t="inlineStr">
        <is>
          <t>Muçarela Mozzana 2 kg</t>
        </is>
      </c>
      <c r="N1052" t="inlineStr">
        <is>
          <t>Bar / Chopperia</t>
        </is>
      </c>
      <c r="O1052" t="n">
        <v>1</v>
      </c>
      <c r="P1052" t="n">
        <v>2</v>
      </c>
      <c r="Q1052" t="n">
        <v>1</v>
      </c>
    </row>
    <row r="1053">
      <c r="A1053" t="n">
        <v>2025</v>
      </c>
      <c r="B1053" t="n">
        <v>7</v>
      </c>
      <c r="C1053" t="inlineStr">
        <is>
          <t>Composto lácteo Alibralac 1 kg</t>
        </is>
      </c>
      <c r="D1053" t="inlineStr">
        <is>
          <t>Hotel / Motel / Pousada</t>
        </is>
      </c>
      <c r="E1053" t="n">
        <v>699.9</v>
      </c>
      <c r="F1053" t="n">
        <v>30.6</v>
      </c>
      <c r="G1053" t="n">
        <v>30</v>
      </c>
      <c r="J1053" t="inlineStr">
        <is>
          <t>A</t>
        </is>
      </c>
      <c r="K1053" t="n">
        <v>2024</v>
      </c>
      <c r="L1053" t="n">
        <v>11</v>
      </c>
      <c r="M1053" t="inlineStr">
        <is>
          <t>Muçarela Mozzana 2 kg</t>
        </is>
      </c>
      <c r="N1053" t="inlineStr">
        <is>
          <t>Bar / Chopperia</t>
        </is>
      </c>
      <c r="O1053" t="n">
        <v>1</v>
      </c>
      <c r="P1053" t="n">
        <v>2</v>
      </c>
      <c r="Q1053" t="n">
        <v>1</v>
      </c>
    </row>
    <row r="1054">
      <c r="A1054" t="n">
        <v>2025</v>
      </c>
      <c r="B1054" t="n">
        <v>7</v>
      </c>
      <c r="C1054" t="inlineStr">
        <is>
          <t>Composto lácteo Alibralac 1 kg</t>
        </is>
      </c>
      <c r="D1054" t="inlineStr">
        <is>
          <t>Outros</t>
        </is>
      </c>
      <c r="E1054" t="n">
        <v>279.6</v>
      </c>
      <c r="F1054" t="n">
        <v>12.24</v>
      </c>
      <c r="G1054" t="n">
        <v>12</v>
      </c>
      <c r="J1054" t="inlineStr">
        <is>
          <t>A</t>
        </is>
      </c>
      <c r="K1054" t="n">
        <v>2024</v>
      </c>
      <c r="L1054" t="n">
        <v>12</v>
      </c>
      <c r="M1054" t="inlineStr">
        <is>
          <t>Muçarela Mozzana 2 kg</t>
        </is>
      </c>
      <c r="N1054" t="inlineStr">
        <is>
          <t>Bar / Chopperia</t>
        </is>
      </c>
      <c r="O1054" t="n">
        <v>1</v>
      </c>
      <c r="P1054" t="n">
        <v>3</v>
      </c>
      <c r="Q1054" t="n">
        <v>1</v>
      </c>
    </row>
    <row r="1055">
      <c r="A1055" t="n">
        <v>2025</v>
      </c>
      <c r="B1055" t="n">
        <v>7</v>
      </c>
      <c r="C1055" t="inlineStr">
        <is>
          <t>Composto lácteo Alibralac 1 kg</t>
        </is>
      </c>
      <c r="D1055" t="inlineStr">
        <is>
          <t>Pizzaria</t>
        </is>
      </c>
      <c r="E1055" t="n">
        <v>493.8</v>
      </c>
      <c r="F1055" t="n">
        <v>22.44</v>
      </c>
      <c r="G1055" t="n">
        <v>22</v>
      </c>
      <c r="J1055" t="inlineStr">
        <is>
          <t>M</t>
        </is>
      </c>
      <c r="K1055" t="n">
        <v>2024</v>
      </c>
      <c r="L1055" t="n">
        <v>12</v>
      </c>
      <c r="M1055" t="inlineStr">
        <is>
          <t>Muçarela Mozzana 2 kg</t>
        </is>
      </c>
      <c r="N1055" t="inlineStr">
        <is>
          <t>Bar / Chopperia</t>
        </is>
      </c>
      <c r="O1055" t="n">
        <v>1</v>
      </c>
      <c r="P1055" t="n">
        <v>1</v>
      </c>
      <c r="Q1055" t="n">
        <v>0</v>
      </c>
    </row>
    <row r="1056">
      <c r="A1056" t="n">
        <v>2025</v>
      </c>
      <c r="B1056" t="n">
        <v>7</v>
      </c>
      <c r="C1056" t="inlineStr">
        <is>
          <t>Composto lácteo Merilú 400 g</t>
        </is>
      </c>
      <c r="D1056" t="inlineStr">
        <is>
          <t>Cozinha Oriental</t>
        </is>
      </c>
      <c r="E1056" t="n">
        <v>7.28</v>
      </c>
      <c r="F1056" t="n">
        <v>0.42</v>
      </c>
      <c r="G1056" t="n">
        <v>1</v>
      </c>
      <c r="J1056" t="inlineStr">
        <is>
          <t>A</t>
        </is>
      </c>
      <c r="K1056" t="n">
        <v>2024</v>
      </c>
      <c r="L1056" t="n">
        <v>1</v>
      </c>
      <c r="M1056" t="inlineStr">
        <is>
          <t>Muçarela Mozzana 2 kg</t>
        </is>
      </c>
      <c r="N1056" t="inlineStr">
        <is>
          <t>Confeitaria</t>
        </is>
      </c>
      <c r="O1056" t="n">
        <v>1</v>
      </c>
      <c r="P1056" t="n">
        <v>1</v>
      </c>
      <c r="Q1056" t="n">
        <v>1</v>
      </c>
    </row>
    <row r="1057">
      <c r="A1057" t="n">
        <v>2025</v>
      </c>
      <c r="B1057" t="n">
        <v>7</v>
      </c>
      <c r="C1057" t="inlineStr">
        <is>
          <t>Composto lácteo Merilú 400 g</t>
        </is>
      </c>
      <c r="D1057" t="inlineStr">
        <is>
          <t>Outros</t>
        </is>
      </c>
      <c r="E1057" t="n">
        <v>361.5</v>
      </c>
      <c r="F1057" t="n">
        <v>21</v>
      </c>
      <c r="G1057" t="n">
        <v>50</v>
      </c>
      <c r="J1057" t="inlineStr">
        <is>
          <t>M</t>
        </is>
      </c>
      <c r="K1057" t="n">
        <v>2024</v>
      </c>
      <c r="L1057" t="n">
        <v>1</v>
      </c>
      <c r="M1057" t="inlineStr">
        <is>
          <t>Muçarela Mozzana 2 kg</t>
        </is>
      </c>
      <c r="N1057" t="inlineStr">
        <is>
          <t>Confeitaria</t>
        </is>
      </c>
      <c r="O1057" t="n">
        <v>1</v>
      </c>
      <c r="P1057" t="n">
        <v>1</v>
      </c>
      <c r="Q1057" t="n">
        <v>0</v>
      </c>
    </row>
    <row r="1058">
      <c r="A1058" t="n">
        <v>2025</v>
      </c>
      <c r="B1058" t="n">
        <v>7</v>
      </c>
      <c r="C1058" t="inlineStr">
        <is>
          <t>Composto lácteo Merilú 400 g</t>
        </is>
      </c>
      <c r="D1058" t="inlineStr">
        <is>
          <t>Pessoa Física</t>
        </is>
      </c>
      <c r="E1058" t="n">
        <v>183.5</v>
      </c>
      <c r="F1058" t="n">
        <v>10.5</v>
      </c>
      <c r="G1058" t="n">
        <v>25</v>
      </c>
      <c r="J1058" t="inlineStr">
        <is>
          <t>A</t>
        </is>
      </c>
      <c r="K1058" t="n">
        <v>2024</v>
      </c>
      <c r="L1058" t="n">
        <v>2</v>
      </c>
      <c r="M1058" t="inlineStr">
        <is>
          <t>Muçarela Mozzana 2 kg</t>
        </is>
      </c>
      <c r="N1058" t="inlineStr">
        <is>
          <t>Confeitaria</t>
        </is>
      </c>
      <c r="O1058" t="n">
        <v>1</v>
      </c>
      <c r="P1058" t="n">
        <v>3</v>
      </c>
      <c r="Q1058" t="n">
        <v>1</v>
      </c>
    </row>
    <row r="1059">
      <c r="A1059" t="n">
        <v>2025</v>
      </c>
      <c r="B1059" t="n">
        <v>7</v>
      </c>
      <c r="C1059" t="inlineStr">
        <is>
          <t>Composto lácteo Merilú 400 g</t>
        </is>
      </c>
      <c r="D1059" t="inlineStr">
        <is>
          <t>Restaurante / Cantina</t>
        </is>
      </c>
      <c r="E1059" t="n">
        <v>962.92</v>
      </c>
      <c r="F1059" t="n">
        <v>55.44</v>
      </c>
      <c r="G1059" t="n">
        <v>132</v>
      </c>
      <c r="J1059" t="inlineStr">
        <is>
          <t>M</t>
        </is>
      </c>
      <c r="K1059" t="n">
        <v>2024</v>
      </c>
      <c r="L1059" t="n">
        <v>2</v>
      </c>
      <c r="M1059" t="inlineStr">
        <is>
          <t>Muçarela Mozzana 2 kg</t>
        </is>
      </c>
      <c r="N1059" t="inlineStr">
        <is>
          <t>Confeitaria</t>
        </is>
      </c>
      <c r="O1059" t="n">
        <v>1</v>
      </c>
      <c r="P1059" t="n">
        <v>2</v>
      </c>
      <c r="Q1059" t="n">
        <v>0</v>
      </c>
    </row>
    <row r="1060">
      <c r="A1060" t="n">
        <v>2025</v>
      </c>
      <c r="B1060" t="n">
        <v>7</v>
      </c>
      <c r="C1060" t="inlineStr">
        <is>
          <t>Composto lácteo Merilú 400 g</t>
        </is>
      </c>
      <c r="D1060" t="inlineStr">
        <is>
          <t>Supermercado</t>
        </is>
      </c>
      <c r="E1060" t="n">
        <v>400.4</v>
      </c>
      <c r="F1060" t="n">
        <v>23.1</v>
      </c>
      <c r="G1060" t="n">
        <v>55</v>
      </c>
      <c r="J1060" t="inlineStr">
        <is>
          <t>A</t>
        </is>
      </c>
      <c r="K1060" t="n">
        <v>2024</v>
      </c>
      <c r="L1060" t="n">
        <v>3</v>
      </c>
      <c r="M1060" t="inlineStr">
        <is>
          <t>Muçarela Mozzana 2 kg</t>
        </is>
      </c>
      <c r="N1060" t="inlineStr">
        <is>
          <t>Confeitaria</t>
        </is>
      </c>
      <c r="O1060" t="n">
        <v>1</v>
      </c>
      <c r="P1060" t="n">
        <v>3</v>
      </c>
      <c r="Q1060" t="n">
        <v>1</v>
      </c>
    </row>
    <row r="1061">
      <c r="A1061" t="n">
        <v>2025</v>
      </c>
      <c r="B1061" t="n">
        <v>7</v>
      </c>
      <c r="C1061" t="inlineStr">
        <is>
          <t>Muçarela Mozzalet 2 kg</t>
        </is>
      </c>
      <c r="D1061" t="inlineStr">
        <is>
          <t>Confeitaria</t>
        </is>
      </c>
      <c r="E1061" t="n">
        <v>413.64</v>
      </c>
      <c r="F1061" t="n">
        <v>18</v>
      </c>
      <c r="G1061" t="n">
        <v>9</v>
      </c>
      <c r="J1061" t="inlineStr">
        <is>
          <t>A</t>
        </is>
      </c>
      <c r="K1061" t="n">
        <v>2024</v>
      </c>
      <c r="L1061" t="n">
        <v>4</v>
      </c>
      <c r="M1061" t="inlineStr">
        <is>
          <t>Muçarela Mozzana 2 kg</t>
        </is>
      </c>
      <c r="N1061" t="inlineStr">
        <is>
          <t>Confeitaria</t>
        </is>
      </c>
      <c r="O1061" t="n">
        <v>1</v>
      </c>
      <c r="P1061" t="n">
        <v>4</v>
      </c>
      <c r="Q1061" t="n">
        <v>1</v>
      </c>
    </row>
    <row r="1062">
      <c r="A1062" t="n">
        <v>2025</v>
      </c>
      <c r="B1062" t="n">
        <v>7</v>
      </c>
      <c r="C1062" t="inlineStr">
        <is>
          <t>Muçarela Mozzalet 2 kg</t>
        </is>
      </c>
      <c r="D1062" t="inlineStr">
        <is>
          <t>Cozinha Industrial</t>
        </is>
      </c>
      <c r="E1062" t="n">
        <v>10888.62</v>
      </c>
      <c r="F1062" t="n">
        <v>492</v>
      </c>
      <c r="G1062" t="n">
        <v>246</v>
      </c>
      <c r="J1062" t="inlineStr">
        <is>
          <t>M</t>
        </is>
      </c>
      <c r="K1062" t="n">
        <v>2024</v>
      </c>
      <c r="L1062" t="n">
        <v>4</v>
      </c>
      <c r="M1062" t="inlineStr">
        <is>
          <t>Muçarela Mozzana 2 kg</t>
        </is>
      </c>
      <c r="N1062" t="inlineStr">
        <is>
          <t>Confeitaria</t>
        </is>
      </c>
      <c r="O1062" t="n">
        <v>1</v>
      </c>
      <c r="P1062" t="n">
        <v>1</v>
      </c>
      <c r="Q1062" t="n">
        <v>0</v>
      </c>
    </row>
    <row r="1063">
      <c r="A1063" t="n">
        <v>2025</v>
      </c>
      <c r="B1063" t="n">
        <v>7</v>
      </c>
      <c r="C1063" t="inlineStr">
        <is>
          <t>Muçarela Mozzalet 2 kg</t>
        </is>
      </c>
      <c r="D1063" t="inlineStr">
        <is>
          <t>Cozinha Oriental</t>
        </is>
      </c>
      <c r="E1063" t="n">
        <v>44.9</v>
      </c>
      <c r="F1063" t="n">
        <v>2</v>
      </c>
      <c r="G1063" t="n">
        <v>1</v>
      </c>
      <c r="J1063" t="inlineStr">
        <is>
          <t>A</t>
        </is>
      </c>
      <c r="K1063" t="n">
        <v>2024</v>
      </c>
      <c r="L1063" t="n">
        <v>5</v>
      </c>
      <c r="M1063" t="inlineStr">
        <is>
          <t>Muçarela Mozzana 2 kg</t>
        </is>
      </c>
      <c r="N1063" t="inlineStr">
        <is>
          <t>Confeitaria</t>
        </is>
      </c>
      <c r="O1063" t="n">
        <v>1</v>
      </c>
      <c r="P1063" t="n">
        <v>6</v>
      </c>
      <c r="Q1063" t="n">
        <v>1</v>
      </c>
    </row>
    <row r="1064">
      <c r="A1064" t="n">
        <v>2025</v>
      </c>
      <c r="B1064" t="n">
        <v>7</v>
      </c>
      <c r="C1064" t="inlineStr">
        <is>
          <t>Muçarela Mozzalet 2 kg</t>
        </is>
      </c>
      <c r="D1064" t="inlineStr">
        <is>
          <t>Esfiharia</t>
        </is>
      </c>
      <c r="E1064" t="n">
        <v>2715.96</v>
      </c>
      <c r="F1064" t="n">
        <v>116</v>
      </c>
      <c r="G1064" t="n">
        <v>58</v>
      </c>
      <c r="J1064" t="inlineStr">
        <is>
          <t>M</t>
        </is>
      </c>
      <c r="K1064" t="n">
        <v>2024</v>
      </c>
      <c r="L1064" t="n">
        <v>5</v>
      </c>
      <c r="M1064" t="inlineStr">
        <is>
          <t>Muçarela Mozzana 2 kg</t>
        </is>
      </c>
      <c r="N1064" t="inlineStr">
        <is>
          <t>Confeitaria</t>
        </is>
      </c>
      <c r="O1064" t="n">
        <v>1</v>
      </c>
      <c r="P1064" t="n">
        <v>2</v>
      </c>
      <c r="Q1064" t="n">
        <v>0</v>
      </c>
    </row>
    <row r="1065">
      <c r="A1065" t="n">
        <v>2025</v>
      </c>
      <c r="B1065" t="n">
        <v>7</v>
      </c>
      <c r="C1065" t="inlineStr">
        <is>
          <t>Muçarela Mozzalet 2 kg</t>
        </is>
      </c>
      <c r="D1065" t="inlineStr">
        <is>
          <t>Fábrica de Massas</t>
        </is>
      </c>
      <c r="E1065" t="n">
        <v>6552.79</v>
      </c>
      <c r="F1065" t="n">
        <v>288</v>
      </c>
      <c r="G1065" t="n">
        <v>144</v>
      </c>
      <c r="J1065" t="inlineStr">
        <is>
          <t>A</t>
        </is>
      </c>
      <c r="K1065" t="n">
        <v>2024</v>
      </c>
      <c r="L1065" t="n">
        <v>6</v>
      </c>
      <c r="M1065" t="inlineStr">
        <is>
          <t>Muçarela Mozzana 2 kg</t>
        </is>
      </c>
      <c r="N1065" t="inlineStr">
        <is>
          <t>Confeitaria</t>
        </is>
      </c>
      <c r="O1065" t="n">
        <v>1</v>
      </c>
      <c r="P1065" t="n">
        <v>6</v>
      </c>
      <c r="Q1065" t="n">
        <v>1</v>
      </c>
    </row>
    <row r="1066">
      <c r="A1066" t="n">
        <v>2025</v>
      </c>
      <c r="B1066" t="n">
        <v>7</v>
      </c>
      <c r="C1066" t="inlineStr">
        <is>
          <t>Muçarela Mozzalet 2 kg</t>
        </is>
      </c>
      <c r="D1066" t="inlineStr">
        <is>
          <t>Lanchonete / Cafeteria</t>
        </is>
      </c>
      <c r="E1066" t="n">
        <v>3549.93</v>
      </c>
      <c r="F1066" t="n">
        <v>156</v>
      </c>
      <c r="G1066" t="n">
        <v>78</v>
      </c>
      <c r="J1066" t="inlineStr">
        <is>
          <t>A</t>
        </is>
      </c>
      <c r="K1066" t="n">
        <v>2024</v>
      </c>
      <c r="L1066" t="n">
        <v>7</v>
      </c>
      <c r="M1066" t="inlineStr">
        <is>
          <t>Muçarela Mozzana 2 kg</t>
        </is>
      </c>
      <c r="N1066" t="inlineStr">
        <is>
          <t>Confeitaria</t>
        </is>
      </c>
      <c r="O1066" t="n">
        <v>1</v>
      </c>
      <c r="P1066" t="n">
        <v>8</v>
      </c>
      <c r="Q1066" t="n">
        <v>1</v>
      </c>
    </row>
    <row r="1067">
      <c r="A1067" t="n">
        <v>2025</v>
      </c>
      <c r="B1067" t="n">
        <v>7</v>
      </c>
      <c r="C1067" t="inlineStr">
        <is>
          <t>Muçarela Mozzalet 2 kg</t>
        </is>
      </c>
      <c r="D1067" t="inlineStr">
        <is>
          <t>Laticínios / Distribuidor</t>
        </is>
      </c>
      <c r="E1067" t="n">
        <v>412.56</v>
      </c>
      <c r="F1067" t="n">
        <v>18</v>
      </c>
      <c r="G1067" t="n">
        <v>9</v>
      </c>
      <c r="J1067" t="inlineStr">
        <is>
          <t>M</t>
        </is>
      </c>
      <c r="K1067" t="n">
        <v>2024</v>
      </c>
      <c r="L1067" t="n">
        <v>7</v>
      </c>
      <c r="M1067" t="inlineStr">
        <is>
          <t>Muçarela Mozzana 2 kg</t>
        </is>
      </c>
      <c r="N1067" t="inlineStr">
        <is>
          <t>Confeitaria</t>
        </is>
      </c>
      <c r="O1067" t="n">
        <v>1</v>
      </c>
      <c r="P1067" t="n">
        <v>2</v>
      </c>
      <c r="Q1067" t="n">
        <v>0</v>
      </c>
    </row>
    <row r="1068">
      <c r="A1068" t="n">
        <v>2025</v>
      </c>
      <c r="B1068" t="n">
        <v>7</v>
      </c>
      <c r="C1068" t="inlineStr">
        <is>
          <t>Muçarela Mozzalet 2 kg</t>
        </is>
      </c>
      <c r="D1068" t="inlineStr">
        <is>
          <t>Outros</t>
        </is>
      </c>
      <c r="E1068" t="n">
        <v>3865.74</v>
      </c>
      <c r="F1068" t="n">
        <v>168</v>
      </c>
      <c r="G1068" t="n">
        <v>84</v>
      </c>
      <c r="J1068" t="inlineStr">
        <is>
          <t>A</t>
        </is>
      </c>
      <c r="K1068" t="n">
        <v>2024</v>
      </c>
      <c r="L1068" t="n">
        <v>8</v>
      </c>
      <c r="M1068" t="inlineStr">
        <is>
          <t>Muçarela Mozzana 2 kg</t>
        </is>
      </c>
      <c r="N1068" t="inlineStr">
        <is>
          <t>Confeitaria</t>
        </is>
      </c>
      <c r="O1068" t="n">
        <v>1</v>
      </c>
      <c r="P1068" t="n">
        <v>9</v>
      </c>
      <c r="Q1068" t="n">
        <v>1</v>
      </c>
    </row>
    <row r="1069">
      <c r="A1069" t="n">
        <v>2025</v>
      </c>
      <c r="B1069" t="n">
        <v>7</v>
      </c>
      <c r="C1069" t="inlineStr">
        <is>
          <t>Muçarela Mozzalet 2 kg</t>
        </is>
      </c>
      <c r="D1069" t="inlineStr">
        <is>
          <t>Padaria</t>
        </is>
      </c>
      <c r="E1069" t="n">
        <v>1886.52</v>
      </c>
      <c r="F1069" t="n">
        <v>82</v>
      </c>
      <c r="G1069" t="n">
        <v>41</v>
      </c>
      <c r="J1069" t="inlineStr">
        <is>
          <t>M</t>
        </is>
      </c>
      <c r="K1069" t="n">
        <v>2024</v>
      </c>
      <c r="L1069" t="n">
        <v>8</v>
      </c>
      <c r="M1069" t="inlineStr">
        <is>
          <t>Muçarela Mozzana 2 kg</t>
        </is>
      </c>
      <c r="N1069" t="inlineStr">
        <is>
          <t>Confeitaria</t>
        </is>
      </c>
      <c r="O1069" t="n">
        <v>1</v>
      </c>
      <c r="P1069" t="n">
        <v>1</v>
      </c>
      <c r="Q1069" t="n">
        <v>0</v>
      </c>
    </row>
    <row r="1070">
      <c r="A1070" t="n">
        <v>2025</v>
      </c>
      <c r="B1070" t="n">
        <v>7</v>
      </c>
      <c r="C1070" t="inlineStr">
        <is>
          <t>Muçarela Mozzalet 2 kg</t>
        </is>
      </c>
      <c r="D1070" t="inlineStr">
        <is>
          <t>Pastelaria</t>
        </is>
      </c>
      <c r="E1070" t="n">
        <v>3659.68</v>
      </c>
      <c r="F1070" t="n">
        <v>160</v>
      </c>
      <c r="G1070" t="n">
        <v>80</v>
      </c>
      <c r="J1070" t="inlineStr">
        <is>
          <t>A</t>
        </is>
      </c>
      <c r="K1070" t="n">
        <v>2024</v>
      </c>
      <c r="L1070" t="n">
        <v>9</v>
      </c>
      <c r="M1070" t="inlineStr">
        <is>
          <t>Muçarela Mozzana 2 kg</t>
        </is>
      </c>
      <c r="N1070" t="inlineStr">
        <is>
          <t>Confeitaria</t>
        </is>
      </c>
      <c r="O1070" t="n">
        <v>1</v>
      </c>
      <c r="P1070" t="n">
        <v>10</v>
      </c>
      <c r="Q1070" t="n">
        <v>1</v>
      </c>
    </row>
    <row r="1071">
      <c r="A1071" t="n">
        <v>2025</v>
      </c>
      <c r="B1071" t="n">
        <v>7</v>
      </c>
      <c r="C1071" t="inlineStr">
        <is>
          <t>Muçarela Mozzalet 2 kg</t>
        </is>
      </c>
      <c r="D1071" t="inlineStr">
        <is>
          <t>Pessoa Física</t>
        </is>
      </c>
      <c r="E1071" t="n">
        <v>5979.68</v>
      </c>
      <c r="F1071" t="n">
        <v>266</v>
      </c>
      <c r="G1071" t="n">
        <v>133</v>
      </c>
      <c r="J1071" t="inlineStr">
        <is>
          <t>M</t>
        </is>
      </c>
      <c r="K1071" t="n">
        <v>2024</v>
      </c>
      <c r="L1071" t="n">
        <v>9</v>
      </c>
      <c r="M1071" t="inlineStr">
        <is>
          <t>Muçarela Mozzana 2 kg</t>
        </is>
      </c>
      <c r="N1071" t="inlineStr">
        <is>
          <t>Confeitaria</t>
        </is>
      </c>
      <c r="O1071" t="n">
        <v>1</v>
      </c>
      <c r="P1071" t="n">
        <v>1</v>
      </c>
      <c r="Q1071" t="n">
        <v>0</v>
      </c>
    </row>
    <row r="1072">
      <c r="A1072" t="n">
        <v>2025</v>
      </c>
      <c r="B1072" t="n">
        <v>7</v>
      </c>
      <c r="C1072" t="inlineStr">
        <is>
          <t>Muçarela Mozzalet 2 kg</t>
        </is>
      </c>
      <c r="D1072" t="inlineStr">
        <is>
          <t>Pizzaria</t>
        </is>
      </c>
      <c r="E1072" t="n">
        <v>19410.13</v>
      </c>
      <c r="F1072" t="n">
        <v>848</v>
      </c>
      <c r="G1072" t="n">
        <v>424</v>
      </c>
      <c r="J1072" t="inlineStr">
        <is>
          <t>A</t>
        </is>
      </c>
      <c r="K1072" t="n">
        <v>2024</v>
      </c>
      <c r="L1072" t="n">
        <v>10</v>
      </c>
      <c r="M1072" t="inlineStr">
        <is>
          <t>Muçarela Mozzana 2 kg</t>
        </is>
      </c>
      <c r="N1072" t="inlineStr">
        <is>
          <t>Confeitaria</t>
        </is>
      </c>
      <c r="O1072" t="n">
        <v>1</v>
      </c>
      <c r="P1072" t="n">
        <v>12</v>
      </c>
      <c r="Q1072" t="n">
        <v>1</v>
      </c>
    </row>
    <row r="1073">
      <c r="A1073" t="n">
        <v>2025</v>
      </c>
      <c r="B1073" t="n">
        <v>7</v>
      </c>
      <c r="C1073" t="inlineStr">
        <is>
          <t>Muçarela Mozzalet 2 kg</t>
        </is>
      </c>
      <c r="D1073" t="inlineStr">
        <is>
          <t>Restaurante / Cantina</t>
        </is>
      </c>
      <c r="E1073" t="n">
        <v>37022.94</v>
      </c>
      <c r="F1073" t="n">
        <v>1664</v>
      </c>
      <c r="G1073" t="n">
        <v>832</v>
      </c>
      <c r="J1073" t="inlineStr">
        <is>
          <t>M</t>
        </is>
      </c>
      <c r="K1073" t="n">
        <v>2024</v>
      </c>
      <c r="L1073" t="n">
        <v>10</v>
      </c>
      <c r="M1073" t="inlineStr">
        <is>
          <t>Muçarela Mozzana 2 kg</t>
        </is>
      </c>
      <c r="N1073" t="inlineStr">
        <is>
          <t>Confeitaria</t>
        </is>
      </c>
      <c r="O1073" t="n">
        <v>1</v>
      </c>
      <c r="P1073" t="n">
        <v>2</v>
      </c>
      <c r="Q1073" t="n">
        <v>0</v>
      </c>
    </row>
    <row r="1074">
      <c r="A1074" t="n">
        <v>2025</v>
      </c>
      <c r="B1074" t="n">
        <v>7</v>
      </c>
      <c r="C1074" t="inlineStr">
        <is>
          <t>Muçarela Mozzana 2 kg</t>
        </is>
      </c>
      <c r="D1074" t="inlineStr">
        <is>
          <t>Buffet</t>
        </is>
      </c>
      <c r="E1074" t="n">
        <v>1018.6</v>
      </c>
      <c r="F1074" t="n">
        <v>40.4</v>
      </c>
      <c r="G1074" t="n">
        <v>20</v>
      </c>
      <c r="J1074" t="inlineStr">
        <is>
          <t>A</t>
        </is>
      </c>
      <c r="K1074" t="n">
        <v>2024</v>
      </c>
      <c r="L1074" t="n">
        <v>11</v>
      </c>
      <c r="M1074" t="inlineStr">
        <is>
          <t>Muçarela Mozzana 2 kg</t>
        </is>
      </c>
      <c r="N1074" t="inlineStr">
        <is>
          <t>Confeitaria</t>
        </is>
      </c>
      <c r="O1074" t="n">
        <v>1</v>
      </c>
      <c r="P1074" t="n">
        <v>12</v>
      </c>
      <c r="Q1074" t="n">
        <v>1</v>
      </c>
    </row>
    <row r="1075">
      <c r="A1075" t="n">
        <v>2025</v>
      </c>
      <c r="B1075" t="n">
        <v>7</v>
      </c>
      <c r="C1075" t="inlineStr">
        <is>
          <t>Muçarela Mozzana 2 kg</t>
        </is>
      </c>
      <c r="D1075" t="inlineStr">
        <is>
          <t>Cozinha Industrial</t>
        </is>
      </c>
      <c r="E1075" t="n">
        <v>496.5</v>
      </c>
      <c r="F1075" t="n">
        <v>20.2</v>
      </c>
      <c r="G1075" t="n">
        <v>10</v>
      </c>
      <c r="J1075" t="inlineStr">
        <is>
          <t>A</t>
        </is>
      </c>
      <c r="K1075" t="n">
        <v>2024</v>
      </c>
      <c r="L1075" t="n">
        <v>12</v>
      </c>
      <c r="M1075" t="inlineStr">
        <is>
          <t>Muçarela Mozzana 2 kg</t>
        </is>
      </c>
      <c r="N1075" t="inlineStr">
        <is>
          <t>Confeitaria</t>
        </is>
      </c>
      <c r="O1075" t="n">
        <v>1</v>
      </c>
      <c r="P1075" t="n">
        <v>12</v>
      </c>
      <c r="Q1075" t="n">
        <v>1</v>
      </c>
    </row>
    <row r="1076">
      <c r="A1076" t="n">
        <v>2025</v>
      </c>
      <c r="B1076" t="n">
        <v>7</v>
      </c>
      <c r="C1076" t="inlineStr">
        <is>
          <t>Muçarela Mozzana 2 kg</t>
        </is>
      </c>
      <c r="D1076" t="inlineStr">
        <is>
          <t>Esfiharia</t>
        </is>
      </c>
      <c r="E1076" t="n">
        <v>1832.72</v>
      </c>
      <c r="F1076" t="n">
        <v>72.72</v>
      </c>
      <c r="G1076" t="n">
        <v>36</v>
      </c>
      <c r="J1076" t="inlineStr">
        <is>
          <t>A</t>
        </is>
      </c>
      <c r="K1076" t="n">
        <v>2024</v>
      </c>
      <c r="L1076" t="n">
        <v>3</v>
      </c>
      <c r="M1076" t="inlineStr">
        <is>
          <t>Muçarela Mozzana 2 kg</t>
        </is>
      </c>
      <c r="N1076" t="inlineStr">
        <is>
          <t>Não Selecionado</t>
        </is>
      </c>
      <c r="O1076" t="n">
        <v>1</v>
      </c>
      <c r="P1076" t="n">
        <v>1</v>
      </c>
      <c r="Q1076" t="n">
        <v>1</v>
      </c>
    </row>
    <row r="1077">
      <c r="A1077" t="n">
        <v>2025</v>
      </c>
      <c r="B1077" t="n">
        <v>7</v>
      </c>
      <c r="C1077" t="inlineStr">
        <is>
          <t>Muçarela Mozzana 2 kg</t>
        </is>
      </c>
      <c r="D1077" t="inlineStr">
        <is>
          <t>Fábrica de Massas</t>
        </is>
      </c>
      <c r="E1077" t="n">
        <v>3463.1</v>
      </c>
      <c r="F1077" t="n">
        <v>137.36</v>
      </c>
      <c r="G1077" t="n">
        <v>68</v>
      </c>
      <c r="J1077" t="inlineStr">
        <is>
          <t>M</t>
        </is>
      </c>
      <c r="K1077" t="n">
        <v>2024</v>
      </c>
      <c r="L1077" t="n">
        <v>3</v>
      </c>
      <c r="M1077" t="inlineStr">
        <is>
          <t>Muçarela Mozzana 2 kg</t>
        </is>
      </c>
      <c r="N1077" t="inlineStr">
        <is>
          <t>Não Selecionado</t>
        </is>
      </c>
      <c r="O1077" t="n">
        <v>1</v>
      </c>
      <c r="P1077" t="n">
        <v>1</v>
      </c>
      <c r="Q1077" t="n">
        <v>0</v>
      </c>
    </row>
    <row r="1078">
      <c r="A1078" t="n">
        <v>2025</v>
      </c>
      <c r="B1078" t="n">
        <v>7</v>
      </c>
      <c r="C1078" t="inlineStr">
        <is>
          <t>Muçarela Mozzana 2 kg</t>
        </is>
      </c>
      <c r="D1078" t="inlineStr">
        <is>
          <t>Hamburgueria</t>
        </is>
      </c>
      <c r="E1078" t="n">
        <v>50.55</v>
      </c>
      <c r="F1078" t="n">
        <v>2.02</v>
      </c>
      <c r="G1078" t="n">
        <v>1</v>
      </c>
      <c r="J1078" t="inlineStr">
        <is>
          <t>A</t>
        </is>
      </c>
      <c r="K1078" t="n">
        <v>2024</v>
      </c>
      <c r="L1078" t="n">
        <v>4</v>
      </c>
      <c r="M1078" t="inlineStr">
        <is>
          <t>Muçarela Mozzana 2 kg</t>
        </is>
      </c>
      <c r="N1078" t="inlineStr">
        <is>
          <t>Não Selecionado</t>
        </is>
      </c>
      <c r="O1078" t="n">
        <v>1</v>
      </c>
      <c r="P1078" t="n">
        <v>2</v>
      </c>
      <c r="Q1078" t="n">
        <v>1</v>
      </c>
    </row>
    <row r="1079">
      <c r="A1079" t="n">
        <v>2025</v>
      </c>
      <c r="B1079" t="n">
        <v>7</v>
      </c>
      <c r="C1079" t="inlineStr">
        <is>
          <t>Muçarela Mozzana 2 kg</t>
        </is>
      </c>
      <c r="D1079" t="inlineStr">
        <is>
          <t>Lanchonete / Cafeteria</t>
        </is>
      </c>
      <c r="E1079" t="n">
        <v>604.27</v>
      </c>
      <c r="F1079" t="n">
        <v>24.24</v>
      </c>
      <c r="G1079" t="n">
        <v>12</v>
      </c>
      <c r="J1079" t="inlineStr">
        <is>
          <t>M</t>
        </is>
      </c>
      <c r="K1079" t="n">
        <v>2024</v>
      </c>
      <c r="L1079" t="n">
        <v>4</v>
      </c>
      <c r="M1079" t="inlineStr">
        <is>
          <t>Muçarela Mozzana 2 kg</t>
        </is>
      </c>
      <c r="N1079" t="inlineStr">
        <is>
          <t>Não Selecionado</t>
        </is>
      </c>
      <c r="O1079" t="n">
        <v>1</v>
      </c>
      <c r="P1079" t="n">
        <v>1</v>
      </c>
      <c r="Q1079" t="n">
        <v>0</v>
      </c>
    </row>
    <row r="1080">
      <c r="A1080" t="n">
        <v>2025</v>
      </c>
      <c r="B1080" t="n">
        <v>7</v>
      </c>
      <c r="C1080" t="inlineStr">
        <is>
          <t>Muçarela Mozzana 2 kg</t>
        </is>
      </c>
      <c r="D1080" t="inlineStr">
        <is>
          <t>Mercearia / Sacolão</t>
        </is>
      </c>
      <c r="E1080" t="n">
        <v>1862.3</v>
      </c>
      <c r="F1080" t="n">
        <v>74.73999999999999</v>
      </c>
      <c r="G1080" t="n">
        <v>37</v>
      </c>
      <c r="J1080" t="inlineStr">
        <is>
          <t>A</t>
        </is>
      </c>
      <c r="K1080" t="n">
        <v>2024</v>
      </c>
      <c r="L1080" t="n">
        <v>5</v>
      </c>
      <c r="M1080" t="inlineStr">
        <is>
          <t>Muçarela Mozzana 2 kg</t>
        </is>
      </c>
      <c r="N1080" t="inlineStr">
        <is>
          <t>Não Selecionado</t>
        </is>
      </c>
      <c r="O1080" t="n">
        <v>1</v>
      </c>
      <c r="P1080" t="n">
        <v>3</v>
      </c>
      <c r="Q1080" t="n">
        <v>1</v>
      </c>
    </row>
    <row r="1081">
      <c r="A1081" t="n">
        <v>2025</v>
      </c>
      <c r="B1081" t="n">
        <v>7</v>
      </c>
      <c r="C1081" t="inlineStr">
        <is>
          <t>Muçarela Mozzana 2 kg</t>
        </is>
      </c>
      <c r="D1081" t="inlineStr">
        <is>
          <t>Não Selecionado</t>
        </is>
      </c>
      <c r="E1081" t="n">
        <v>707.7</v>
      </c>
      <c r="F1081" t="n">
        <v>28.28</v>
      </c>
      <c r="G1081" t="n">
        <v>14</v>
      </c>
      <c r="J1081" t="inlineStr">
        <is>
          <t>M</t>
        </is>
      </c>
      <c r="K1081" t="n">
        <v>2024</v>
      </c>
      <c r="L1081" t="n">
        <v>5</v>
      </c>
      <c r="M1081" t="inlineStr">
        <is>
          <t>Muçarela Mozzana 2 kg</t>
        </is>
      </c>
      <c r="N1081" t="inlineStr">
        <is>
          <t>Não Selecionado</t>
        </is>
      </c>
      <c r="O1081" t="n">
        <v>1</v>
      </c>
      <c r="P1081" t="n">
        <v>1</v>
      </c>
      <c r="Q1081" t="n">
        <v>0</v>
      </c>
    </row>
    <row r="1082">
      <c r="A1082" t="n">
        <v>2025</v>
      </c>
      <c r="B1082" t="n">
        <v>7</v>
      </c>
      <c r="C1082" t="inlineStr">
        <is>
          <t>Muçarela Mozzana 2 kg</t>
        </is>
      </c>
      <c r="D1082" t="inlineStr">
        <is>
          <t>Outros</t>
        </is>
      </c>
      <c r="E1082" t="n">
        <v>19648.06</v>
      </c>
      <c r="F1082" t="n">
        <v>787.8</v>
      </c>
      <c r="G1082" t="n">
        <v>390</v>
      </c>
      <c r="J1082" t="inlineStr">
        <is>
          <t>A</t>
        </is>
      </c>
      <c r="K1082" t="n">
        <v>2024</v>
      </c>
      <c r="L1082" t="n">
        <v>6</v>
      </c>
      <c r="M1082" t="inlineStr">
        <is>
          <t>Muçarela Mozzana 2 kg</t>
        </is>
      </c>
      <c r="N1082" t="inlineStr">
        <is>
          <t>Não Selecionado</t>
        </is>
      </c>
      <c r="O1082" t="n">
        <v>1</v>
      </c>
      <c r="P1082" t="n">
        <v>3</v>
      </c>
      <c r="Q1082" t="n">
        <v>1</v>
      </c>
    </row>
    <row r="1083">
      <c r="A1083" t="n">
        <v>2025</v>
      </c>
      <c r="B1083" t="n">
        <v>7</v>
      </c>
      <c r="C1083" t="inlineStr">
        <is>
          <t>Muçarela Mozzana 2 kg</t>
        </is>
      </c>
      <c r="D1083" t="inlineStr">
        <is>
          <t>Padaria</t>
        </is>
      </c>
      <c r="E1083" t="n">
        <v>1272.31</v>
      </c>
      <c r="F1083" t="n">
        <v>50.5</v>
      </c>
      <c r="G1083" t="n">
        <v>25</v>
      </c>
      <c r="J1083" t="inlineStr">
        <is>
          <t>A</t>
        </is>
      </c>
      <c r="K1083" t="n">
        <v>2024</v>
      </c>
      <c r="L1083" t="n">
        <v>7</v>
      </c>
      <c r="M1083" t="inlineStr">
        <is>
          <t>Muçarela Mozzana 2 kg</t>
        </is>
      </c>
      <c r="N1083" t="inlineStr">
        <is>
          <t>Não Selecionado</t>
        </is>
      </c>
      <c r="O1083" t="n">
        <v>1</v>
      </c>
      <c r="P1083" t="n">
        <v>4</v>
      </c>
      <c r="Q1083" t="n">
        <v>1</v>
      </c>
    </row>
    <row r="1084">
      <c r="A1084" t="n">
        <v>2025</v>
      </c>
      <c r="B1084" t="n">
        <v>7</v>
      </c>
      <c r="C1084" t="inlineStr">
        <is>
          <t>Muçarela Mozzana 2 kg</t>
        </is>
      </c>
      <c r="D1084" t="inlineStr">
        <is>
          <t>Pastelaria</t>
        </is>
      </c>
      <c r="E1084" t="n">
        <v>2703.81</v>
      </c>
      <c r="F1084" t="n">
        <v>107.06</v>
      </c>
      <c r="G1084" t="n">
        <v>53</v>
      </c>
      <c r="J1084" t="inlineStr">
        <is>
          <t>M</t>
        </is>
      </c>
      <c r="K1084" t="n">
        <v>2024</v>
      </c>
      <c r="L1084" t="n">
        <v>7</v>
      </c>
      <c r="M1084" t="inlineStr">
        <is>
          <t>Muçarela Mozzana 2 kg</t>
        </is>
      </c>
      <c r="N1084" t="inlineStr">
        <is>
          <t>Não Selecionado</t>
        </is>
      </c>
      <c r="O1084" t="n">
        <v>1</v>
      </c>
      <c r="P1084" t="n">
        <v>1</v>
      </c>
      <c r="Q1084" t="n">
        <v>0</v>
      </c>
    </row>
    <row r="1085">
      <c r="A1085" t="n">
        <v>2025</v>
      </c>
      <c r="B1085" t="n">
        <v>7</v>
      </c>
      <c r="C1085" t="inlineStr">
        <is>
          <t>Muçarela Mozzana 2 kg</t>
        </is>
      </c>
      <c r="D1085" t="inlineStr">
        <is>
          <t>Pessoa Física</t>
        </is>
      </c>
      <c r="E1085" t="n">
        <v>2482.61</v>
      </c>
      <c r="F1085" t="n">
        <v>98.98</v>
      </c>
      <c r="G1085" t="n">
        <v>49</v>
      </c>
      <c r="J1085" t="inlineStr">
        <is>
          <t>A</t>
        </is>
      </c>
      <c r="K1085" t="n">
        <v>2024</v>
      </c>
      <c r="L1085" t="n">
        <v>8</v>
      </c>
      <c r="M1085" t="inlineStr">
        <is>
          <t>Muçarela Mozzana 2 kg</t>
        </is>
      </c>
      <c r="N1085" t="inlineStr">
        <is>
          <t>Não Selecionado</t>
        </is>
      </c>
      <c r="O1085" t="n">
        <v>1</v>
      </c>
      <c r="P1085" t="n">
        <v>4</v>
      </c>
      <c r="Q1085" t="n">
        <v>1</v>
      </c>
    </row>
    <row r="1086">
      <c r="A1086" t="n">
        <v>2025</v>
      </c>
      <c r="B1086" t="n">
        <v>7</v>
      </c>
      <c r="C1086" t="inlineStr">
        <is>
          <t>Muçarela Mozzana 2 kg</t>
        </is>
      </c>
      <c r="D1086" t="inlineStr">
        <is>
          <t>Pizzaria</t>
        </is>
      </c>
      <c r="E1086" t="n">
        <v>69882.13</v>
      </c>
      <c r="F1086" t="n">
        <v>2787.6</v>
      </c>
      <c r="G1086" t="n">
        <v>1380</v>
      </c>
      <c r="J1086" t="inlineStr">
        <is>
          <t>A</t>
        </is>
      </c>
      <c r="K1086" t="n">
        <v>2024</v>
      </c>
      <c r="L1086" t="n">
        <v>9</v>
      </c>
      <c r="M1086" t="inlineStr">
        <is>
          <t>Muçarela Mozzana 2 kg</t>
        </is>
      </c>
      <c r="N1086" t="inlineStr">
        <is>
          <t>Não Selecionado</t>
        </is>
      </c>
      <c r="O1086" t="n">
        <v>2</v>
      </c>
      <c r="P1086" t="n">
        <v>5</v>
      </c>
      <c r="Q1086" t="n">
        <v>2</v>
      </c>
    </row>
    <row r="1087">
      <c r="A1087" t="n">
        <v>2025</v>
      </c>
      <c r="B1087" t="n">
        <v>7</v>
      </c>
      <c r="C1087" t="inlineStr">
        <is>
          <t>Muçarela Mozzana 2 kg</t>
        </is>
      </c>
      <c r="D1087" t="inlineStr">
        <is>
          <t>Restaurante / Cantina</t>
        </is>
      </c>
      <c r="E1087" t="n">
        <v>13343.89</v>
      </c>
      <c r="F1087" t="n">
        <v>539.34</v>
      </c>
      <c r="G1087" t="n">
        <v>267</v>
      </c>
      <c r="J1087" t="inlineStr">
        <is>
          <t>M</t>
        </is>
      </c>
      <c r="K1087" t="n">
        <v>2024</v>
      </c>
      <c r="L1087" t="n">
        <v>9</v>
      </c>
      <c r="M1087" t="inlineStr">
        <is>
          <t>Muçarela Mozzana 2 kg</t>
        </is>
      </c>
      <c r="N1087" t="inlineStr">
        <is>
          <t>Não Selecionado</t>
        </is>
      </c>
      <c r="O1087" t="n">
        <v>1</v>
      </c>
      <c r="P1087" t="n">
        <v>1</v>
      </c>
      <c r="Q1087" t="n">
        <v>0</v>
      </c>
    </row>
    <row r="1088">
      <c r="A1088" t="n">
        <v>2025</v>
      </c>
      <c r="B1088" t="n">
        <v>7</v>
      </c>
      <c r="C1088" t="inlineStr">
        <is>
          <t>Muçarela Mozzana 2 kg</t>
        </is>
      </c>
      <c r="D1088" t="inlineStr">
        <is>
          <t>Rotisserie</t>
        </is>
      </c>
      <c r="E1088" t="n">
        <v>201.64</v>
      </c>
      <c r="F1088" t="n">
        <v>8.08</v>
      </c>
      <c r="G1088" t="n">
        <v>4</v>
      </c>
      <c r="J1088" t="inlineStr">
        <is>
          <t>A</t>
        </is>
      </c>
      <c r="K1088" t="n">
        <v>2024</v>
      </c>
      <c r="L1088" t="n">
        <v>10</v>
      </c>
      <c r="M1088" t="inlineStr">
        <is>
          <t>Muçarela Mozzana 2 kg</t>
        </is>
      </c>
      <c r="N1088" t="inlineStr">
        <is>
          <t>Não Selecionado</t>
        </is>
      </c>
      <c r="O1088" t="n">
        <v>2</v>
      </c>
      <c r="P1088" t="n">
        <v>6</v>
      </c>
      <c r="Q1088" t="n">
        <v>2</v>
      </c>
    </row>
    <row r="1089">
      <c r="A1089" t="n">
        <v>2025</v>
      </c>
      <c r="B1089" t="n">
        <v>7</v>
      </c>
      <c r="C1089" t="inlineStr">
        <is>
          <t>Muçarela Mozzana 2 kg</t>
        </is>
      </c>
      <c r="D1089" t="inlineStr">
        <is>
          <t>Supermercado</t>
        </is>
      </c>
      <c r="E1089" t="n">
        <v>4463.45</v>
      </c>
      <c r="F1089" t="n">
        <v>175.74</v>
      </c>
      <c r="G1089" t="n">
        <v>87</v>
      </c>
      <c r="J1089" t="inlineStr">
        <is>
          <t>M</t>
        </is>
      </c>
      <c r="K1089" t="n">
        <v>2024</v>
      </c>
      <c r="L1089" t="n">
        <v>10</v>
      </c>
      <c r="M1089" t="inlineStr">
        <is>
          <t>Muçarela Mozzana 2 kg</t>
        </is>
      </c>
      <c r="N1089" t="inlineStr">
        <is>
          <t>Não Selecionado</t>
        </is>
      </c>
      <c r="O1089" t="n">
        <v>1</v>
      </c>
      <c r="P1089" t="n">
        <v>1</v>
      </c>
      <c r="Q1089" t="n">
        <v>0</v>
      </c>
    </row>
    <row r="1090">
      <c r="A1090" t="n">
        <v>2025</v>
      </c>
      <c r="B1090" t="n">
        <v>7</v>
      </c>
      <c r="C1090" t="inlineStr">
        <is>
          <t>Requeijão Pizzalet 1,8 kg</t>
        </is>
      </c>
      <c r="D1090" t="inlineStr">
        <is>
          <t>Bar / Chopperia</t>
        </is>
      </c>
      <c r="E1090" t="n">
        <v>381.36</v>
      </c>
      <c r="F1090" t="n">
        <v>44.16</v>
      </c>
      <c r="G1090" t="n">
        <v>24</v>
      </c>
      <c r="J1090" t="inlineStr">
        <is>
          <t>A</t>
        </is>
      </c>
      <c r="K1090" t="n">
        <v>2024</v>
      </c>
      <c r="L1090" t="n">
        <v>11</v>
      </c>
      <c r="M1090" t="inlineStr">
        <is>
          <t>Muçarela Mozzana 2 kg</t>
        </is>
      </c>
      <c r="N1090" t="inlineStr">
        <is>
          <t>Não Selecionado</t>
        </is>
      </c>
      <c r="O1090" t="n">
        <v>2</v>
      </c>
      <c r="P1090" t="n">
        <v>6</v>
      </c>
      <c r="Q1090" t="n">
        <v>2</v>
      </c>
    </row>
    <row r="1091">
      <c r="A1091" t="n">
        <v>2025</v>
      </c>
      <c r="B1091" t="n">
        <v>7</v>
      </c>
      <c r="C1091" t="inlineStr">
        <is>
          <t>Requeijão Pizzalet 1,8 kg</t>
        </is>
      </c>
      <c r="D1091" t="inlineStr">
        <is>
          <t>Lanchonete / Cafeteria</t>
        </is>
      </c>
      <c r="E1091" t="n">
        <v>1374.34</v>
      </c>
      <c r="F1091" t="n">
        <v>158.24</v>
      </c>
      <c r="G1091" t="n">
        <v>86</v>
      </c>
      <c r="J1091" t="inlineStr">
        <is>
          <t>A</t>
        </is>
      </c>
      <c r="K1091" t="n">
        <v>2024</v>
      </c>
      <c r="L1091" t="n">
        <v>12</v>
      </c>
      <c r="M1091" t="inlineStr">
        <is>
          <t>Muçarela Mozzana 2 kg</t>
        </is>
      </c>
      <c r="N1091" t="inlineStr">
        <is>
          <t>Não Selecionado</t>
        </is>
      </c>
      <c r="O1091" t="n">
        <v>2</v>
      </c>
      <c r="P1091" t="n">
        <v>6</v>
      </c>
      <c r="Q1091" t="n">
        <v>2</v>
      </c>
    </row>
    <row r="1092">
      <c r="A1092" t="n">
        <v>2025</v>
      </c>
      <c r="B1092" t="n">
        <v>7</v>
      </c>
      <c r="C1092" t="inlineStr">
        <is>
          <t>Requeijão Pizzalet 1,8 kg</t>
        </is>
      </c>
      <c r="D1092" t="inlineStr">
        <is>
          <t>Outros</t>
        </is>
      </c>
      <c r="E1092" t="n">
        <v>511.36</v>
      </c>
      <c r="F1092" t="n">
        <v>58.88</v>
      </c>
      <c r="G1092" t="n">
        <v>32</v>
      </c>
      <c r="J1092" t="inlineStr">
        <is>
          <t>A</t>
        </is>
      </c>
      <c r="K1092" t="n">
        <v>2024</v>
      </c>
      <c r="L1092" t="n">
        <v>1</v>
      </c>
      <c r="M1092" t="inlineStr">
        <is>
          <t>Muçarela Mozzana 2 kg</t>
        </is>
      </c>
      <c r="N1092" t="inlineStr">
        <is>
          <t>Loja de Conveniência</t>
        </is>
      </c>
      <c r="O1092" t="n">
        <v>1</v>
      </c>
      <c r="P1092" t="n">
        <v>1</v>
      </c>
      <c r="Q1092" t="n">
        <v>1</v>
      </c>
    </row>
    <row r="1093">
      <c r="A1093" t="n">
        <v>2025</v>
      </c>
      <c r="B1093" t="n">
        <v>7</v>
      </c>
      <c r="C1093" t="inlineStr">
        <is>
          <t>Requeijão Pizzalet 1,8 kg</t>
        </is>
      </c>
      <c r="D1093" t="inlineStr">
        <is>
          <t>Pastelaria</t>
        </is>
      </c>
      <c r="E1093" t="n">
        <v>1617.24</v>
      </c>
      <c r="F1093" t="n">
        <v>184</v>
      </c>
      <c r="G1093" t="n">
        <v>100</v>
      </c>
      <c r="J1093" t="inlineStr">
        <is>
          <t>M</t>
        </is>
      </c>
      <c r="K1093" t="n">
        <v>2024</v>
      </c>
      <c r="L1093" t="n">
        <v>1</v>
      </c>
      <c r="M1093" t="inlineStr">
        <is>
          <t>Muçarela Mozzana 2 kg</t>
        </is>
      </c>
      <c r="N1093" t="inlineStr">
        <is>
          <t>Loja de Conveniência</t>
        </is>
      </c>
      <c r="O1093" t="n">
        <v>1</v>
      </c>
      <c r="P1093" t="n">
        <v>1</v>
      </c>
      <c r="Q1093" t="n">
        <v>0</v>
      </c>
    </row>
    <row r="1094">
      <c r="A1094" t="n">
        <v>2025</v>
      </c>
      <c r="B1094" t="n">
        <v>7</v>
      </c>
      <c r="C1094" t="inlineStr">
        <is>
          <t>Requeijão Pizzalet 1,8 kg</t>
        </is>
      </c>
      <c r="D1094" t="inlineStr">
        <is>
          <t>Pizzaria</t>
        </is>
      </c>
      <c r="E1094" t="n">
        <v>5164.3</v>
      </c>
      <c r="F1094" t="n">
        <v>586.96</v>
      </c>
      <c r="G1094" t="n">
        <v>319</v>
      </c>
      <c r="J1094" t="inlineStr">
        <is>
          <t>A</t>
        </is>
      </c>
      <c r="K1094" t="n">
        <v>2024</v>
      </c>
      <c r="L1094" t="n">
        <v>2</v>
      </c>
      <c r="M1094" t="inlineStr">
        <is>
          <t>Muçarela Mozzana 2 kg</t>
        </is>
      </c>
      <c r="N1094" t="inlineStr">
        <is>
          <t>Loja de Conveniência</t>
        </is>
      </c>
      <c r="O1094" t="n">
        <v>1</v>
      </c>
      <c r="P1094" t="n">
        <v>2</v>
      </c>
      <c r="Q1094" t="n">
        <v>1</v>
      </c>
    </row>
    <row r="1095">
      <c r="A1095" t="n">
        <v>2025</v>
      </c>
      <c r="B1095" t="n">
        <v>7</v>
      </c>
      <c r="C1095" t="inlineStr">
        <is>
          <t>Requeijão Pizzalet 1,8 kg</t>
        </is>
      </c>
      <c r="D1095" t="inlineStr">
        <is>
          <t>Restaurante / Cantina</t>
        </is>
      </c>
      <c r="E1095" t="n">
        <v>191.88</v>
      </c>
      <c r="F1095" t="n">
        <v>22.08</v>
      </c>
      <c r="G1095" t="n">
        <v>12</v>
      </c>
      <c r="J1095" t="inlineStr">
        <is>
          <t>M</t>
        </is>
      </c>
      <c r="K1095" t="n">
        <v>2024</v>
      </c>
      <c r="L1095" t="n">
        <v>2</v>
      </c>
      <c r="M1095" t="inlineStr">
        <is>
          <t>Muçarela Mozzana 2 kg</t>
        </is>
      </c>
      <c r="N1095" t="inlineStr">
        <is>
          <t>Loja de Conveniência</t>
        </is>
      </c>
      <c r="O1095" t="n">
        <v>1</v>
      </c>
      <c r="P1095" t="n">
        <v>1</v>
      </c>
      <c r="Q1095" t="n">
        <v>0</v>
      </c>
    </row>
    <row r="1096">
      <c r="A1096" t="n">
        <v>2025</v>
      </c>
      <c r="B1096" t="n">
        <v>8</v>
      </c>
      <c r="C1096" t="inlineStr">
        <is>
          <t>Chocolate em pó 50% 1 kg</t>
        </is>
      </c>
      <c r="D1096" t="inlineStr">
        <is>
          <t>Buffet</t>
        </is>
      </c>
      <c r="E1096" t="n">
        <v>249.24</v>
      </c>
      <c r="F1096" t="n">
        <v>6.12</v>
      </c>
      <c r="G1096" t="n">
        <v>6</v>
      </c>
      <c r="J1096" t="inlineStr">
        <is>
          <t>A</t>
        </is>
      </c>
      <c r="K1096" t="n">
        <v>2024</v>
      </c>
      <c r="L1096" t="n">
        <v>3</v>
      </c>
      <c r="M1096" t="inlineStr">
        <is>
          <t>Muçarela Mozzana 2 kg</t>
        </is>
      </c>
      <c r="N1096" t="inlineStr">
        <is>
          <t>Loja de Conveniência</t>
        </is>
      </c>
      <c r="O1096" t="n">
        <v>1</v>
      </c>
      <c r="P1096" t="n">
        <v>2</v>
      </c>
      <c r="Q1096" t="n">
        <v>1</v>
      </c>
    </row>
    <row r="1097">
      <c r="A1097" t="n">
        <v>2025</v>
      </c>
      <c r="B1097" t="n">
        <v>8</v>
      </c>
      <c r="C1097" t="inlineStr">
        <is>
          <t>Chocolate em pó 50% 1 kg</t>
        </is>
      </c>
      <c r="D1097" t="inlineStr">
        <is>
          <t>Churrascaria</t>
        </is>
      </c>
      <c r="E1097" t="n">
        <v>291.14</v>
      </c>
      <c r="F1097" t="n">
        <v>7.14</v>
      </c>
      <c r="G1097" t="n">
        <v>7</v>
      </c>
      <c r="J1097" t="inlineStr">
        <is>
          <t>A</t>
        </is>
      </c>
      <c r="K1097" t="n">
        <v>2024</v>
      </c>
      <c r="L1097" t="n">
        <v>4</v>
      </c>
      <c r="M1097" t="inlineStr">
        <is>
          <t>Muçarela Mozzana 2 kg</t>
        </is>
      </c>
      <c r="N1097" t="inlineStr">
        <is>
          <t>Loja de Conveniência</t>
        </is>
      </c>
      <c r="O1097" t="n">
        <v>1</v>
      </c>
      <c r="P1097" t="n">
        <v>3</v>
      </c>
      <c r="Q1097" t="n">
        <v>1</v>
      </c>
    </row>
    <row r="1098">
      <c r="A1098" t="n">
        <v>2025</v>
      </c>
      <c r="B1098" t="n">
        <v>8</v>
      </c>
      <c r="C1098" t="inlineStr">
        <is>
          <t>Chocolate em pó 50% 1 kg</t>
        </is>
      </c>
      <c r="D1098" t="inlineStr">
        <is>
          <t>Confeitaria</t>
        </is>
      </c>
      <c r="E1098" t="n">
        <v>208.54</v>
      </c>
      <c r="F1098" t="n">
        <v>5.1</v>
      </c>
      <c r="G1098" t="n">
        <v>5</v>
      </c>
      <c r="J1098" t="inlineStr">
        <is>
          <t>M</t>
        </is>
      </c>
      <c r="K1098" t="n">
        <v>2024</v>
      </c>
      <c r="L1098" t="n">
        <v>4</v>
      </c>
      <c r="M1098" t="inlineStr">
        <is>
          <t>Muçarela Mozzana 2 kg</t>
        </is>
      </c>
      <c r="N1098" t="inlineStr">
        <is>
          <t>Loja de Conveniência</t>
        </is>
      </c>
      <c r="O1098" t="n">
        <v>1</v>
      </c>
      <c r="P1098" t="n">
        <v>1</v>
      </c>
      <c r="Q1098" t="n">
        <v>0</v>
      </c>
    </row>
    <row r="1099">
      <c r="A1099" t="n">
        <v>2025</v>
      </c>
      <c r="B1099" t="n">
        <v>8</v>
      </c>
      <c r="C1099" t="inlineStr">
        <is>
          <t>Chocolate em pó 50% 1 kg</t>
        </is>
      </c>
      <c r="D1099" t="inlineStr">
        <is>
          <t>Cozinha Industrial</t>
        </is>
      </c>
      <c r="E1099" t="n">
        <v>207.46</v>
      </c>
      <c r="F1099" t="n">
        <v>5.1</v>
      </c>
      <c r="G1099" t="n">
        <v>5</v>
      </c>
      <c r="J1099" t="inlineStr">
        <is>
          <t>A</t>
        </is>
      </c>
      <c r="K1099" t="n">
        <v>2024</v>
      </c>
      <c r="L1099" t="n">
        <v>5</v>
      </c>
      <c r="M1099" t="inlineStr">
        <is>
          <t>Muçarela Mozzana 2 kg</t>
        </is>
      </c>
      <c r="N1099" t="inlineStr">
        <is>
          <t>Loja de Conveniência</t>
        </is>
      </c>
      <c r="O1099" t="n">
        <v>1</v>
      </c>
      <c r="P1099" t="n">
        <v>3</v>
      </c>
      <c r="Q1099" t="n">
        <v>1</v>
      </c>
    </row>
    <row r="1100">
      <c r="A1100" t="n">
        <v>2025</v>
      </c>
      <c r="B1100" t="n">
        <v>8</v>
      </c>
      <c r="C1100" t="inlineStr">
        <is>
          <t>Chocolate em pó 50% 1 kg</t>
        </is>
      </c>
      <c r="D1100" t="inlineStr">
        <is>
          <t>Esfiharia</t>
        </is>
      </c>
      <c r="E1100" t="n">
        <v>124.62</v>
      </c>
      <c r="F1100" t="n">
        <v>3.06</v>
      </c>
      <c r="G1100" t="n">
        <v>3</v>
      </c>
      <c r="J1100" t="inlineStr">
        <is>
          <t>A</t>
        </is>
      </c>
      <c r="K1100" t="n">
        <v>2024</v>
      </c>
      <c r="L1100" t="n">
        <v>6</v>
      </c>
      <c r="M1100" t="inlineStr">
        <is>
          <t>Muçarela Mozzana 2 kg</t>
        </is>
      </c>
      <c r="N1100" t="inlineStr">
        <is>
          <t>Loja de Conveniência</t>
        </is>
      </c>
      <c r="O1100" t="n">
        <v>1</v>
      </c>
      <c r="P1100" t="n">
        <v>3</v>
      </c>
      <c r="Q1100" t="n">
        <v>1</v>
      </c>
    </row>
    <row r="1101">
      <c r="A1101" t="n">
        <v>2025</v>
      </c>
      <c r="B1101" t="n">
        <v>8</v>
      </c>
      <c r="C1101" t="inlineStr">
        <is>
          <t>Chocolate em pó 50% 1 kg</t>
        </is>
      </c>
      <c r="D1101" t="inlineStr">
        <is>
          <t>Fábrica de Massas</t>
        </is>
      </c>
      <c r="E1101" t="n">
        <v>83.98</v>
      </c>
      <c r="F1101" t="n">
        <v>2.04</v>
      </c>
      <c r="G1101" t="n">
        <v>2</v>
      </c>
      <c r="J1101" t="inlineStr">
        <is>
          <t>A</t>
        </is>
      </c>
      <c r="K1101" t="n">
        <v>2024</v>
      </c>
      <c r="L1101" t="n">
        <v>7</v>
      </c>
      <c r="M1101" t="inlineStr">
        <is>
          <t>Muçarela Mozzana 2 kg</t>
        </is>
      </c>
      <c r="N1101" t="inlineStr">
        <is>
          <t>Loja de Conveniência</t>
        </is>
      </c>
      <c r="O1101" t="n">
        <v>1</v>
      </c>
      <c r="P1101" t="n">
        <v>3</v>
      </c>
      <c r="Q1101" t="n">
        <v>1</v>
      </c>
    </row>
    <row r="1102">
      <c r="A1102" t="n">
        <v>2025</v>
      </c>
      <c r="B1102" t="n">
        <v>8</v>
      </c>
      <c r="C1102" t="inlineStr">
        <is>
          <t>Chocolate em pó 50% 1 kg</t>
        </is>
      </c>
      <c r="D1102" t="inlineStr">
        <is>
          <t>Hotel / Motel / Pousada</t>
        </is>
      </c>
      <c r="E1102" t="n">
        <v>2267.31</v>
      </c>
      <c r="F1102" t="n">
        <v>56.1</v>
      </c>
      <c r="G1102" t="n">
        <v>55</v>
      </c>
      <c r="J1102" t="inlineStr">
        <is>
          <t>A</t>
        </is>
      </c>
      <c r="K1102" t="n">
        <v>2024</v>
      </c>
      <c r="L1102" t="n">
        <v>8</v>
      </c>
      <c r="M1102" t="inlineStr">
        <is>
          <t>Muçarela Mozzana 2 kg</t>
        </is>
      </c>
      <c r="N1102" t="inlineStr">
        <is>
          <t>Loja de Conveniência</t>
        </is>
      </c>
      <c r="O1102" t="n">
        <v>1</v>
      </c>
      <c r="P1102" t="n">
        <v>3</v>
      </c>
      <c r="Q1102" t="n">
        <v>1</v>
      </c>
    </row>
    <row r="1103">
      <c r="A1103" t="n">
        <v>2025</v>
      </c>
      <c r="B1103" t="n">
        <v>8</v>
      </c>
      <c r="C1103" t="inlineStr">
        <is>
          <t>Chocolate em pó 50% 1 kg</t>
        </is>
      </c>
      <c r="D1103" t="inlineStr">
        <is>
          <t>Lanchonete / Cafeteria</t>
        </is>
      </c>
      <c r="E1103" t="n">
        <v>166.16</v>
      </c>
      <c r="F1103" t="n">
        <v>4.08</v>
      </c>
      <c r="G1103" t="n">
        <v>4</v>
      </c>
      <c r="J1103" t="inlineStr">
        <is>
          <t>A</t>
        </is>
      </c>
      <c r="K1103" t="n">
        <v>2024</v>
      </c>
      <c r="L1103" t="n">
        <v>9</v>
      </c>
      <c r="M1103" t="inlineStr">
        <is>
          <t>Muçarela Mozzana 2 kg</t>
        </is>
      </c>
      <c r="N1103" t="inlineStr">
        <is>
          <t>Loja de Conveniência</t>
        </is>
      </c>
      <c r="O1103" t="n">
        <v>1</v>
      </c>
      <c r="P1103" t="n">
        <v>3</v>
      </c>
      <c r="Q1103" t="n">
        <v>1</v>
      </c>
    </row>
    <row r="1104">
      <c r="A1104" t="n">
        <v>2025</v>
      </c>
      <c r="B1104" t="n">
        <v>8</v>
      </c>
      <c r="C1104" t="inlineStr">
        <is>
          <t>Chocolate em pó 50% 1 kg</t>
        </is>
      </c>
      <c r="D1104" t="inlineStr">
        <is>
          <t>Outros</t>
        </is>
      </c>
      <c r="E1104" t="n">
        <v>870.61</v>
      </c>
      <c r="F1104" t="n">
        <v>21.42</v>
      </c>
      <c r="G1104" t="n">
        <v>21</v>
      </c>
      <c r="J1104" t="inlineStr">
        <is>
          <t>A</t>
        </is>
      </c>
      <c r="K1104" t="n">
        <v>2024</v>
      </c>
      <c r="L1104" t="n">
        <v>10</v>
      </c>
      <c r="M1104" t="inlineStr">
        <is>
          <t>Muçarela Mozzana 2 kg</t>
        </is>
      </c>
      <c r="N1104" t="inlineStr">
        <is>
          <t>Loja de Conveniência</t>
        </is>
      </c>
      <c r="O1104" t="n">
        <v>1</v>
      </c>
      <c r="P1104" t="n">
        <v>4</v>
      </c>
      <c r="Q1104" t="n">
        <v>1</v>
      </c>
    </row>
    <row r="1105">
      <c r="A1105" t="n">
        <v>2025</v>
      </c>
      <c r="B1105" t="n">
        <v>8</v>
      </c>
      <c r="C1105" t="inlineStr">
        <is>
          <t>Chocolate em pó 50% 1 kg</t>
        </is>
      </c>
      <c r="D1105" t="inlineStr">
        <is>
          <t>Padaria</t>
        </is>
      </c>
      <c r="E1105" t="n">
        <v>786.08</v>
      </c>
      <c r="F1105" t="n">
        <v>19.38</v>
      </c>
      <c r="G1105" t="n">
        <v>19</v>
      </c>
      <c r="J1105" t="inlineStr">
        <is>
          <t>M</t>
        </is>
      </c>
      <c r="K1105" t="n">
        <v>2024</v>
      </c>
      <c r="L1105" t="n">
        <v>10</v>
      </c>
      <c r="M1105" t="inlineStr">
        <is>
          <t>Muçarela Mozzana 2 kg</t>
        </is>
      </c>
      <c r="N1105" t="inlineStr">
        <is>
          <t>Loja de Conveniência</t>
        </is>
      </c>
      <c r="O1105" t="n">
        <v>1</v>
      </c>
      <c r="P1105" t="n">
        <v>1</v>
      </c>
      <c r="Q1105" t="n">
        <v>0</v>
      </c>
    </row>
    <row r="1106">
      <c r="A1106" t="n">
        <v>2025</v>
      </c>
      <c r="B1106" t="n">
        <v>8</v>
      </c>
      <c r="C1106" t="inlineStr">
        <is>
          <t>Chocolate em pó 50% 1 kg</t>
        </is>
      </c>
      <c r="D1106" t="inlineStr">
        <is>
          <t>Pessoa Física</t>
        </is>
      </c>
      <c r="E1106" t="n">
        <v>40.6</v>
      </c>
      <c r="F1106" t="n">
        <v>1.02</v>
      </c>
      <c r="G1106" t="n">
        <v>1</v>
      </c>
      <c r="J1106" t="inlineStr">
        <is>
          <t>A</t>
        </is>
      </c>
      <c r="K1106" t="n">
        <v>2024</v>
      </c>
      <c r="L1106" t="n">
        <v>11</v>
      </c>
      <c r="M1106" t="inlineStr">
        <is>
          <t>Muçarela Mozzana 2 kg</t>
        </is>
      </c>
      <c r="N1106" t="inlineStr">
        <is>
          <t>Loja de Conveniência</t>
        </is>
      </c>
      <c r="O1106" t="n">
        <v>1</v>
      </c>
      <c r="P1106" t="n">
        <v>5</v>
      </c>
      <c r="Q1106" t="n">
        <v>1</v>
      </c>
    </row>
    <row r="1107">
      <c r="A1107" t="n">
        <v>2025</v>
      </c>
      <c r="B1107" t="n">
        <v>8</v>
      </c>
      <c r="C1107" t="inlineStr">
        <is>
          <t>Chocolate em pó 50% 1 kg</t>
        </is>
      </c>
      <c r="D1107" t="inlineStr">
        <is>
          <t>Pizzaria</t>
        </is>
      </c>
      <c r="E1107" t="n">
        <v>1614.4</v>
      </c>
      <c r="F1107" t="n">
        <v>39.78</v>
      </c>
      <c r="G1107" t="n">
        <v>39</v>
      </c>
      <c r="J1107" t="inlineStr">
        <is>
          <t>M</t>
        </is>
      </c>
      <c r="K1107" t="n">
        <v>2024</v>
      </c>
      <c r="L1107" t="n">
        <v>11</v>
      </c>
      <c r="M1107" t="inlineStr">
        <is>
          <t>Muçarela Mozzana 2 kg</t>
        </is>
      </c>
      <c r="N1107" t="inlineStr">
        <is>
          <t>Loja de Conveniência</t>
        </is>
      </c>
      <c r="O1107" t="n">
        <v>1</v>
      </c>
      <c r="P1107" t="n">
        <v>1</v>
      </c>
      <c r="Q1107" t="n">
        <v>0</v>
      </c>
    </row>
    <row r="1108">
      <c r="A1108" t="n">
        <v>2025</v>
      </c>
      <c r="B1108" t="n">
        <v>8</v>
      </c>
      <c r="C1108" t="inlineStr">
        <is>
          <t>Chocolate em pó 50% 1 kg</t>
        </is>
      </c>
      <c r="D1108" t="inlineStr">
        <is>
          <t>Restaurante / Cantina</t>
        </is>
      </c>
      <c r="E1108" t="n">
        <v>3112.75</v>
      </c>
      <c r="F1108" t="n">
        <v>76.5</v>
      </c>
      <c r="G1108" t="n">
        <v>75</v>
      </c>
      <c r="J1108" t="inlineStr">
        <is>
          <t>A</t>
        </is>
      </c>
      <c r="K1108" t="n">
        <v>2024</v>
      </c>
      <c r="L1108" t="n">
        <v>12</v>
      </c>
      <c r="M1108" t="inlineStr">
        <is>
          <t>Muçarela Mozzana 2 kg</t>
        </is>
      </c>
      <c r="N1108" t="inlineStr">
        <is>
          <t>Loja de Conveniência</t>
        </is>
      </c>
      <c r="O1108" t="n">
        <v>1</v>
      </c>
      <c r="P1108" t="n">
        <v>5</v>
      </c>
      <c r="Q1108" t="n">
        <v>1</v>
      </c>
    </row>
    <row r="1109">
      <c r="A1109" t="n">
        <v>2025</v>
      </c>
      <c r="B1109" t="n">
        <v>8</v>
      </c>
      <c r="C1109" t="inlineStr">
        <is>
          <t>Composto lácteo Alibralac 1 kg</t>
        </is>
      </c>
      <c r="D1109" t="inlineStr">
        <is>
          <t>Cozinha Industrial</t>
        </is>
      </c>
      <c r="E1109" t="n">
        <v>583.25</v>
      </c>
      <c r="F1109" t="n">
        <v>25.5</v>
      </c>
      <c r="G1109" t="n">
        <v>25</v>
      </c>
      <c r="J1109" t="inlineStr">
        <is>
          <t>A</t>
        </is>
      </c>
      <c r="K1109" t="n">
        <v>2024</v>
      </c>
      <c r="L1109" t="n">
        <v>1</v>
      </c>
      <c r="M1109" t="inlineStr">
        <is>
          <t>Muçarela Mozzalet 2 kg</t>
        </is>
      </c>
      <c r="N1109" t="inlineStr">
        <is>
          <t>Todos</t>
        </is>
      </c>
      <c r="O1109" t="n">
        <v>8</v>
      </c>
      <c r="P1109" t="n">
        <v>18</v>
      </c>
      <c r="Q1109" t="n">
        <v>8</v>
      </c>
    </row>
    <row r="1110">
      <c r="A1110" t="n">
        <v>2025</v>
      </c>
      <c r="B1110" t="n">
        <v>8</v>
      </c>
      <c r="C1110" t="inlineStr">
        <is>
          <t>Composto lácteo Alibralac 1 kg</t>
        </is>
      </c>
      <c r="D1110" t="inlineStr">
        <is>
          <t>Hotel / Motel / Pousada</t>
        </is>
      </c>
      <c r="E1110" t="n">
        <v>701.7</v>
      </c>
      <c r="F1110" t="n">
        <v>30.6</v>
      </c>
      <c r="G1110" t="n">
        <v>30</v>
      </c>
      <c r="J1110" t="inlineStr">
        <is>
          <t>M</t>
        </is>
      </c>
      <c r="K1110" t="n">
        <v>2024</v>
      </c>
      <c r="L1110" t="n">
        <v>1</v>
      </c>
      <c r="M1110" t="inlineStr">
        <is>
          <t>Muçarela Mozzalet 2 kg</t>
        </is>
      </c>
      <c r="N1110" t="inlineStr">
        <is>
          <t>Todos</t>
        </is>
      </c>
      <c r="O1110" t="n">
        <v>8</v>
      </c>
      <c r="P1110" t="n">
        <v>18</v>
      </c>
      <c r="Q1110" t="n">
        <v>0</v>
      </c>
    </row>
    <row r="1111">
      <c r="A1111" t="n">
        <v>2025</v>
      </c>
      <c r="B1111" t="n">
        <v>8</v>
      </c>
      <c r="C1111" t="inlineStr">
        <is>
          <t>Composto lácteo Alibralac 1 kg</t>
        </is>
      </c>
      <c r="D1111" t="inlineStr">
        <is>
          <t>Lanchonete / Cafeteria</t>
        </is>
      </c>
      <c r="E1111" t="n">
        <v>46.66</v>
      </c>
      <c r="F1111" t="n">
        <v>2.04</v>
      </c>
      <c r="G1111" t="n">
        <v>2</v>
      </c>
      <c r="J1111" t="inlineStr">
        <is>
          <t>A</t>
        </is>
      </c>
      <c r="K1111" t="n">
        <v>2024</v>
      </c>
      <c r="L1111" t="n">
        <v>2</v>
      </c>
      <c r="M1111" t="inlineStr">
        <is>
          <t>Muçarela Mozzalet 2 kg</t>
        </is>
      </c>
      <c r="N1111" t="inlineStr">
        <is>
          <t>Todos</t>
        </is>
      </c>
      <c r="O1111" t="n">
        <v>12</v>
      </c>
      <c r="P1111" t="n">
        <v>31</v>
      </c>
      <c r="Q1111" t="n">
        <v>12</v>
      </c>
    </row>
    <row r="1112">
      <c r="A1112" t="n">
        <v>2025</v>
      </c>
      <c r="B1112" t="n">
        <v>8</v>
      </c>
      <c r="C1112" t="inlineStr">
        <is>
          <t>Composto lácteo Alibralac 1 kg</t>
        </is>
      </c>
      <c r="D1112" t="inlineStr">
        <is>
          <t>Padaria</t>
        </is>
      </c>
      <c r="E1112" t="n">
        <v>231</v>
      </c>
      <c r="F1112" t="n">
        <v>10.2</v>
      </c>
      <c r="G1112" t="n">
        <v>10</v>
      </c>
      <c r="J1112" t="inlineStr">
        <is>
          <t>M</t>
        </is>
      </c>
      <c r="K1112" t="n">
        <v>2024</v>
      </c>
      <c r="L1112" t="n">
        <v>2</v>
      </c>
      <c r="M1112" t="inlineStr">
        <is>
          <t>Muçarela Mozzalet 2 kg</t>
        </is>
      </c>
      <c r="N1112" t="inlineStr">
        <is>
          <t>Todos</t>
        </is>
      </c>
      <c r="O1112" t="n">
        <v>9</v>
      </c>
      <c r="P1112" t="n">
        <v>13</v>
      </c>
      <c r="Q1112" t="n">
        <v>0</v>
      </c>
    </row>
    <row r="1113">
      <c r="A1113" t="n">
        <v>2025</v>
      </c>
      <c r="B1113" t="n">
        <v>8</v>
      </c>
      <c r="C1113" t="inlineStr">
        <is>
          <t>Composto lácteo Alibralac 1 kg</t>
        </is>
      </c>
      <c r="D1113" t="inlineStr">
        <is>
          <t>Pizzaria</t>
        </is>
      </c>
      <c r="E1113" t="n">
        <v>69.39</v>
      </c>
      <c r="F1113" t="n">
        <v>3.06</v>
      </c>
      <c r="G1113" t="n">
        <v>3</v>
      </c>
      <c r="J1113" t="inlineStr">
        <is>
          <t>A</t>
        </is>
      </c>
      <c r="K1113" t="n">
        <v>2024</v>
      </c>
      <c r="L1113" t="n">
        <v>3</v>
      </c>
      <c r="M1113" t="inlineStr">
        <is>
          <t>Muçarela Mozzalet 2 kg</t>
        </is>
      </c>
      <c r="N1113" t="inlineStr">
        <is>
          <t>Todos</t>
        </is>
      </c>
      <c r="O1113" t="n">
        <v>17</v>
      </c>
      <c r="P1113" t="n">
        <v>52</v>
      </c>
      <c r="Q1113" t="n">
        <v>17</v>
      </c>
    </row>
    <row r="1114">
      <c r="A1114" t="n">
        <v>2025</v>
      </c>
      <c r="B1114" t="n">
        <v>8</v>
      </c>
      <c r="C1114" t="inlineStr">
        <is>
          <t>Composto lácteo Alibralac 1 kg</t>
        </is>
      </c>
      <c r="D1114" t="inlineStr">
        <is>
          <t>Restaurante / Cantina</t>
        </is>
      </c>
      <c r="E1114" t="n">
        <v>904</v>
      </c>
      <c r="F1114" t="n">
        <v>40.8</v>
      </c>
      <c r="G1114" t="n">
        <v>40</v>
      </c>
      <c r="J1114" t="inlineStr">
        <is>
          <t>M</t>
        </is>
      </c>
      <c r="K1114" t="n">
        <v>2024</v>
      </c>
      <c r="L1114" t="n">
        <v>3</v>
      </c>
      <c r="M1114" t="inlineStr">
        <is>
          <t>Muçarela Mozzalet 2 kg</t>
        </is>
      </c>
      <c r="N1114" t="inlineStr">
        <is>
          <t>Todos</t>
        </is>
      </c>
      <c r="O1114" t="n">
        <v>11</v>
      </c>
      <c r="P1114" t="n">
        <v>21</v>
      </c>
      <c r="Q1114" t="n">
        <v>0</v>
      </c>
    </row>
    <row r="1115">
      <c r="A1115" t="n">
        <v>2025</v>
      </c>
      <c r="B1115" t="n">
        <v>8</v>
      </c>
      <c r="C1115" t="inlineStr">
        <is>
          <t>Composto lácteo Merilú 400 g</t>
        </is>
      </c>
      <c r="D1115" t="inlineStr">
        <is>
          <t>Fábrica de Massas</t>
        </is>
      </c>
      <c r="E1115" t="n">
        <v>182.5</v>
      </c>
      <c r="F1115" t="n">
        <v>10.5</v>
      </c>
      <c r="G1115" t="n">
        <v>25</v>
      </c>
      <c r="J1115" t="inlineStr">
        <is>
          <t>A</t>
        </is>
      </c>
      <c r="K1115" t="n">
        <v>2024</v>
      </c>
      <c r="L1115" t="n">
        <v>4</v>
      </c>
      <c r="M1115" t="inlineStr">
        <is>
          <t>Muçarela Mozzalet 2 kg</t>
        </is>
      </c>
      <c r="N1115" t="inlineStr">
        <is>
          <t>Todos</t>
        </is>
      </c>
      <c r="O1115" t="n">
        <v>22</v>
      </c>
      <c r="P1115" t="n">
        <v>70</v>
      </c>
      <c r="Q1115" t="n">
        <v>22</v>
      </c>
    </row>
    <row r="1116">
      <c r="A1116" t="n">
        <v>2025</v>
      </c>
      <c r="B1116" t="n">
        <v>8</v>
      </c>
      <c r="C1116" t="inlineStr">
        <is>
          <t>Composto lácteo Merilú 400 g</t>
        </is>
      </c>
      <c r="D1116" t="inlineStr">
        <is>
          <t>Laticínios / Distribuidor</t>
        </is>
      </c>
      <c r="E1116" t="n">
        <v>7.23</v>
      </c>
      <c r="F1116" t="n">
        <v>0.42</v>
      </c>
      <c r="G1116" t="n">
        <v>1</v>
      </c>
      <c r="J1116" t="inlineStr">
        <is>
          <t>M</t>
        </is>
      </c>
      <c r="K1116" t="n">
        <v>2024</v>
      </c>
      <c r="L1116" t="n">
        <v>4</v>
      </c>
      <c r="M1116" t="inlineStr">
        <is>
          <t>Muçarela Mozzalet 2 kg</t>
        </is>
      </c>
      <c r="N1116" t="inlineStr">
        <is>
          <t>Todos</t>
        </is>
      </c>
      <c r="O1116" t="n">
        <v>11</v>
      </c>
      <c r="P1116" t="n">
        <v>18</v>
      </c>
      <c r="Q1116" t="n">
        <v>0</v>
      </c>
    </row>
    <row r="1117">
      <c r="A1117" t="n">
        <v>2025</v>
      </c>
      <c r="B1117" t="n">
        <v>8</v>
      </c>
      <c r="C1117" t="inlineStr">
        <is>
          <t>Composto lácteo Merilú 400 g</t>
        </is>
      </c>
      <c r="D1117" t="inlineStr">
        <is>
          <t>Outros</t>
        </is>
      </c>
      <c r="E1117" t="n">
        <v>433.8</v>
      </c>
      <c r="F1117" t="n">
        <v>25.2</v>
      </c>
      <c r="G1117" t="n">
        <v>60</v>
      </c>
      <c r="J1117" t="inlineStr">
        <is>
          <t>A</t>
        </is>
      </c>
      <c r="K1117" t="n">
        <v>2024</v>
      </c>
      <c r="L1117" t="n">
        <v>5</v>
      </c>
      <c r="M1117" t="inlineStr">
        <is>
          <t>Muçarela Mozzalet 2 kg</t>
        </is>
      </c>
      <c r="N1117" t="inlineStr">
        <is>
          <t>Todos</t>
        </is>
      </c>
      <c r="O1117" t="n">
        <v>30</v>
      </c>
      <c r="P1117" t="n">
        <v>90</v>
      </c>
      <c r="Q1117" t="n">
        <v>30</v>
      </c>
    </row>
    <row r="1118">
      <c r="A1118" t="n">
        <v>2025</v>
      </c>
      <c r="B1118" t="n">
        <v>8</v>
      </c>
      <c r="C1118" t="inlineStr">
        <is>
          <t>Composto lácteo Merilú 400 g</t>
        </is>
      </c>
      <c r="D1118" t="inlineStr">
        <is>
          <t>Restaurante / Cantina</t>
        </is>
      </c>
      <c r="E1118" t="n">
        <v>552.9400000000001</v>
      </c>
      <c r="F1118" t="n">
        <v>31.92</v>
      </c>
      <c r="G1118" t="n">
        <v>76</v>
      </c>
      <c r="J1118" t="inlineStr">
        <is>
          <t>M</t>
        </is>
      </c>
      <c r="K1118" t="n">
        <v>2024</v>
      </c>
      <c r="L1118" t="n">
        <v>5</v>
      </c>
      <c r="M1118" t="inlineStr">
        <is>
          <t>Muçarela Mozzalet 2 kg</t>
        </is>
      </c>
      <c r="N1118" t="inlineStr">
        <is>
          <t>Todos</t>
        </is>
      </c>
      <c r="O1118" t="n">
        <v>15</v>
      </c>
      <c r="P1118" t="n">
        <v>20</v>
      </c>
      <c r="Q1118" t="n">
        <v>0</v>
      </c>
    </row>
    <row r="1119">
      <c r="A1119" t="n">
        <v>2025</v>
      </c>
      <c r="B1119" t="n">
        <v>8</v>
      </c>
      <c r="C1119" t="inlineStr">
        <is>
          <t>Composto lácteo Merilú 400 g</t>
        </is>
      </c>
      <c r="D1119" t="inlineStr">
        <is>
          <t>Supermercado</t>
        </is>
      </c>
      <c r="E1119" t="n">
        <v>313.15</v>
      </c>
      <c r="F1119" t="n">
        <v>18.06</v>
      </c>
      <c r="G1119" t="n">
        <v>43</v>
      </c>
      <c r="J1119" t="inlineStr">
        <is>
          <t>A</t>
        </is>
      </c>
      <c r="K1119" t="n">
        <v>2024</v>
      </c>
      <c r="L1119" t="n">
        <v>6</v>
      </c>
      <c r="M1119" t="inlineStr">
        <is>
          <t>Muçarela Mozzalet 2 kg</t>
        </is>
      </c>
      <c r="N1119" t="inlineStr">
        <is>
          <t>Todos</t>
        </is>
      </c>
      <c r="O1119" t="n">
        <v>42</v>
      </c>
      <c r="P1119" t="n">
        <v>113</v>
      </c>
      <c r="Q1119" t="n">
        <v>42</v>
      </c>
    </row>
    <row r="1120">
      <c r="A1120" t="n">
        <v>2025</v>
      </c>
      <c r="B1120" t="n">
        <v>8</v>
      </c>
      <c r="C1120" t="inlineStr">
        <is>
          <t>Muçarela Mozzalet 2 kg</t>
        </is>
      </c>
      <c r="D1120" t="inlineStr">
        <is>
          <t>Cozinha Industrial</t>
        </is>
      </c>
      <c r="E1120" t="n">
        <v>28038.3</v>
      </c>
      <c r="F1120" t="n">
        <v>1272</v>
      </c>
      <c r="G1120" t="n">
        <v>636</v>
      </c>
      <c r="J1120" t="inlineStr">
        <is>
          <t>M</t>
        </is>
      </c>
      <c r="K1120" t="n">
        <v>2024</v>
      </c>
      <c r="L1120" t="n">
        <v>6</v>
      </c>
      <c r="M1120" t="inlineStr">
        <is>
          <t>Muçarela Mozzalet 2 kg</t>
        </is>
      </c>
      <c r="N1120" t="inlineStr">
        <is>
          <t>Todos</t>
        </is>
      </c>
      <c r="O1120" t="n">
        <v>18</v>
      </c>
      <c r="P1120" t="n">
        <v>23</v>
      </c>
      <c r="Q1120" t="n">
        <v>0</v>
      </c>
    </row>
    <row r="1121">
      <c r="A1121" t="n">
        <v>2025</v>
      </c>
      <c r="B1121" t="n">
        <v>8</v>
      </c>
      <c r="C1121" t="inlineStr">
        <is>
          <t>Muçarela Mozzalet 2 kg</t>
        </is>
      </c>
      <c r="D1121" t="inlineStr">
        <is>
          <t>Cozinha Oriental</t>
        </is>
      </c>
      <c r="E1121" t="n">
        <v>751.4</v>
      </c>
      <c r="F1121" t="n">
        <v>34</v>
      </c>
      <c r="G1121" t="n">
        <v>17</v>
      </c>
      <c r="J1121" t="inlineStr">
        <is>
          <t>A</t>
        </is>
      </c>
      <c r="K1121" t="n">
        <v>2024</v>
      </c>
      <c r="L1121" t="n">
        <v>7</v>
      </c>
      <c r="M1121" t="inlineStr">
        <is>
          <t>Muçarela Mozzalet 2 kg</t>
        </is>
      </c>
      <c r="N1121" t="inlineStr">
        <is>
          <t>Todos</t>
        </is>
      </c>
      <c r="O1121" t="n">
        <v>47</v>
      </c>
      <c r="P1121" t="n">
        <v>135</v>
      </c>
      <c r="Q1121" t="n">
        <v>47</v>
      </c>
    </row>
    <row r="1122">
      <c r="A1122" t="n">
        <v>2025</v>
      </c>
      <c r="B1122" t="n">
        <v>8</v>
      </c>
      <c r="C1122" t="inlineStr">
        <is>
          <t>Muçarela Mozzalet 2 kg</t>
        </is>
      </c>
      <c r="D1122" t="inlineStr">
        <is>
          <t>Esfiharia</t>
        </is>
      </c>
      <c r="E1122" t="n">
        <v>4582.56</v>
      </c>
      <c r="F1122" t="n">
        <v>198</v>
      </c>
      <c r="G1122" t="n">
        <v>99</v>
      </c>
      <c r="J1122" t="inlineStr">
        <is>
          <t>M</t>
        </is>
      </c>
      <c r="K1122" t="n">
        <v>2024</v>
      </c>
      <c r="L1122" t="n">
        <v>7</v>
      </c>
      <c r="M1122" t="inlineStr">
        <is>
          <t>Muçarela Mozzalet 2 kg</t>
        </is>
      </c>
      <c r="N1122" t="inlineStr">
        <is>
          <t>Todos</t>
        </is>
      </c>
      <c r="O1122" t="n">
        <v>14</v>
      </c>
      <c r="P1122" t="n">
        <v>22</v>
      </c>
      <c r="Q1122" t="n">
        <v>0</v>
      </c>
    </row>
    <row r="1123">
      <c r="A1123" t="n">
        <v>2025</v>
      </c>
      <c r="B1123" t="n">
        <v>8</v>
      </c>
      <c r="C1123" t="inlineStr">
        <is>
          <t>Muçarela Mozzalet 2 kg</t>
        </is>
      </c>
      <c r="D1123" t="inlineStr">
        <is>
          <t>Fábrica de Massas</t>
        </is>
      </c>
      <c r="E1123" t="n">
        <v>5778.5</v>
      </c>
      <c r="F1123" t="n">
        <v>254</v>
      </c>
      <c r="G1123" t="n">
        <v>127</v>
      </c>
      <c r="J1123" t="inlineStr">
        <is>
          <t>A</t>
        </is>
      </c>
      <c r="K1123" t="n">
        <v>2024</v>
      </c>
      <c r="L1123" t="n">
        <v>8</v>
      </c>
      <c r="M1123" t="inlineStr">
        <is>
          <t>Muçarela Mozzalet 2 kg</t>
        </is>
      </c>
      <c r="N1123" t="inlineStr">
        <is>
          <t>Todos</t>
        </is>
      </c>
      <c r="O1123" t="n">
        <v>53</v>
      </c>
      <c r="P1123" t="n">
        <v>159</v>
      </c>
      <c r="Q1123" t="n">
        <v>53</v>
      </c>
    </row>
    <row r="1124">
      <c r="A1124" t="n">
        <v>2025</v>
      </c>
      <c r="B1124" t="n">
        <v>8</v>
      </c>
      <c r="C1124" t="inlineStr">
        <is>
          <t>Muçarela Mozzalet 2 kg</t>
        </is>
      </c>
      <c r="D1124" t="inlineStr">
        <is>
          <t>Lanchonete / Cafeteria</t>
        </is>
      </c>
      <c r="E1124" t="n">
        <v>1321.3</v>
      </c>
      <c r="F1124" t="n">
        <v>58</v>
      </c>
      <c r="G1124" t="n">
        <v>29</v>
      </c>
      <c r="J1124" t="inlineStr">
        <is>
          <t>M</t>
        </is>
      </c>
      <c r="K1124" t="n">
        <v>2024</v>
      </c>
      <c r="L1124" t="n">
        <v>8</v>
      </c>
      <c r="M1124" t="inlineStr">
        <is>
          <t>Muçarela Mozzalet 2 kg</t>
        </is>
      </c>
      <c r="N1124" t="inlineStr">
        <is>
          <t>Todos</t>
        </is>
      </c>
      <c r="O1124" t="n">
        <v>15</v>
      </c>
      <c r="P1124" t="n">
        <v>24</v>
      </c>
      <c r="Q1124" t="n">
        <v>0</v>
      </c>
    </row>
    <row r="1125">
      <c r="A1125" t="n">
        <v>2025</v>
      </c>
      <c r="B1125" t="n">
        <v>8</v>
      </c>
      <c r="C1125" t="inlineStr">
        <is>
          <t>Muçarela Mozzalet 2 kg</t>
        </is>
      </c>
      <c r="D1125" t="inlineStr">
        <is>
          <t>Mercearia / Sacolão</t>
        </is>
      </c>
      <c r="E1125" t="n">
        <v>827.28</v>
      </c>
      <c r="F1125" t="n">
        <v>36</v>
      </c>
      <c r="G1125" t="n">
        <v>18</v>
      </c>
      <c r="J1125" t="inlineStr">
        <is>
          <t>A</t>
        </is>
      </c>
      <c r="K1125" t="n">
        <v>2024</v>
      </c>
      <c r="L1125" t="n">
        <v>9</v>
      </c>
      <c r="M1125" t="inlineStr">
        <is>
          <t>Muçarela Mozzalet 2 kg</t>
        </is>
      </c>
      <c r="N1125" t="inlineStr">
        <is>
          <t>Todos</t>
        </is>
      </c>
      <c r="O1125" t="n">
        <v>60</v>
      </c>
      <c r="P1125" t="n">
        <v>186</v>
      </c>
      <c r="Q1125" t="n">
        <v>60</v>
      </c>
    </row>
    <row r="1126">
      <c r="A1126" t="n">
        <v>2025</v>
      </c>
      <c r="B1126" t="n">
        <v>8</v>
      </c>
      <c r="C1126" t="inlineStr">
        <is>
          <t>Muçarela Mozzalet 2 kg</t>
        </is>
      </c>
      <c r="D1126" t="inlineStr">
        <is>
          <t>Outros</t>
        </is>
      </c>
      <c r="E1126" t="n">
        <v>1246.86</v>
      </c>
      <c r="F1126" t="n">
        <v>54</v>
      </c>
      <c r="G1126" t="n">
        <v>27</v>
      </c>
      <c r="J1126" t="inlineStr">
        <is>
          <t>M</t>
        </is>
      </c>
      <c r="K1126" t="n">
        <v>2024</v>
      </c>
      <c r="L1126" t="n">
        <v>9</v>
      </c>
      <c r="M1126" t="inlineStr">
        <is>
          <t>Muçarela Mozzalet 2 kg</t>
        </is>
      </c>
      <c r="N1126" t="inlineStr">
        <is>
          <t>Todos</t>
        </is>
      </c>
      <c r="O1126" t="n">
        <v>18</v>
      </c>
      <c r="P1126" t="n">
        <v>27</v>
      </c>
      <c r="Q1126" t="n">
        <v>0</v>
      </c>
    </row>
    <row r="1127">
      <c r="A1127" t="n">
        <v>2025</v>
      </c>
      <c r="B1127" t="n">
        <v>8</v>
      </c>
      <c r="C1127" t="inlineStr">
        <is>
          <t>Muçarela Mozzalet 2 kg</t>
        </is>
      </c>
      <c r="D1127" t="inlineStr">
        <is>
          <t>Padaria</t>
        </is>
      </c>
      <c r="E1127" t="n">
        <v>430.83</v>
      </c>
      <c r="F1127" t="n">
        <v>18</v>
      </c>
      <c r="G1127" t="n">
        <v>9</v>
      </c>
      <c r="J1127" t="inlineStr">
        <is>
          <t>A</t>
        </is>
      </c>
      <c r="K1127" t="n">
        <v>2024</v>
      </c>
      <c r="L1127" t="n">
        <v>10</v>
      </c>
      <c r="M1127" t="inlineStr">
        <is>
          <t>Muçarela Mozzalet 2 kg</t>
        </is>
      </c>
      <c r="N1127" t="inlineStr">
        <is>
          <t>Todos</t>
        </is>
      </c>
      <c r="O1127" t="n">
        <v>67</v>
      </c>
      <c r="P1127" t="n">
        <v>243</v>
      </c>
      <c r="Q1127" t="n">
        <v>67</v>
      </c>
    </row>
    <row r="1128">
      <c r="A1128" t="n">
        <v>2025</v>
      </c>
      <c r="B1128" t="n">
        <v>8</v>
      </c>
      <c r="C1128" t="inlineStr">
        <is>
          <t>Muçarela Mozzalet 2 kg</t>
        </is>
      </c>
      <c r="D1128" t="inlineStr">
        <is>
          <t>Pastelaria</t>
        </is>
      </c>
      <c r="E1128" t="n">
        <v>1231.38</v>
      </c>
      <c r="F1128" t="n">
        <v>54</v>
      </c>
      <c r="G1128" t="n">
        <v>27</v>
      </c>
      <c r="J1128" t="inlineStr">
        <is>
          <t>M</t>
        </is>
      </c>
      <c r="K1128" t="n">
        <v>2024</v>
      </c>
      <c r="L1128" t="n">
        <v>10</v>
      </c>
      <c r="M1128" t="inlineStr">
        <is>
          <t>Muçarela Mozzalet 2 kg</t>
        </is>
      </c>
      <c r="N1128" t="inlineStr">
        <is>
          <t>Todos</t>
        </is>
      </c>
      <c r="O1128" t="n">
        <v>28</v>
      </c>
      <c r="P1128" t="n">
        <v>57</v>
      </c>
      <c r="Q1128" t="n">
        <v>0</v>
      </c>
    </row>
    <row r="1129">
      <c r="A1129" t="n">
        <v>2025</v>
      </c>
      <c r="B1129" t="n">
        <v>8</v>
      </c>
      <c r="C1129" t="inlineStr">
        <is>
          <t>Muçarela Mozzalet 2 kg</t>
        </is>
      </c>
      <c r="D1129" t="inlineStr">
        <is>
          <t>Pessoa Física</t>
        </is>
      </c>
      <c r="E1129" t="n">
        <v>5790.97</v>
      </c>
      <c r="F1129" t="n">
        <v>256</v>
      </c>
      <c r="G1129" t="n">
        <v>128</v>
      </c>
      <c r="J1129" t="inlineStr">
        <is>
          <t>A</t>
        </is>
      </c>
      <c r="K1129" t="n">
        <v>2024</v>
      </c>
      <c r="L1129" t="n">
        <v>11</v>
      </c>
      <c r="M1129" t="inlineStr">
        <is>
          <t>Muçarela Mozzalet 2 kg</t>
        </is>
      </c>
      <c r="N1129" t="inlineStr">
        <is>
          <t>Todos</t>
        </is>
      </c>
      <c r="O1129" t="n">
        <v>77</v>
      </c>
      <c r="P1129" t="n">
        <v>297</v>
      </c>
      <c r="Q1129" t="n">
        <v>77</v>
      </c>
    </row>
    <row r="1130">
      <c r="A1130" t="n">
        <v>2025</v>
      </c>
      <c r="B1130" t="n">
        <v>8</v>
      </c>
      <c r="C1130" t="inlineStr">
        <is>
          <t>Muçarela Mozzalet 2 kg</t>
        </is>
      </c>
      <c r="D1130" t="inlineStr">
        <is>
          <t>Pizzaria</t>
        </is>
      </c>
      <c r="E1130" t="n">
        <v>15529.99</v>
      </c>
      <c r="F1130" t="n">
        <v>688</v>
      </c>
      <c r="G1130" t="n">
        <v>344</v>
      </c>
      <c r="J1130" t="inlineStr">
        <is>
          <t>M</t>
        </is>
      </c>
      <c r="K1130" t="n">
        <v>2024</v>
      </c>
      <c r="L1130" t="n">
        <v>11</v>
      </c>
      <c r="M1130" t="inlineStr">
        <is>
          <t>Muçarela Mozzalet 2 kg</t>
        </is>
      </c>
      <c r="N1130" t="inlineStr">
        <is>
          <t>Todos</t>
        </is>
      </c>
      <c r="O1130" t="n">
        <v>26</v>
      </c>
      <c r="P1130" t="n">
        <v>54</v>
      </c>
      <c r="Q1130" t="n">
        <v>0</v>
      </c>
    </row>
    <row r="1131">
      <c r="A1131" t="n">
        <v>2025</v>
      </c>
      <c r="B1131" t="n">
        <v>8</v>
      </c>
      <c r="C1131" t="inlineStr">
        <is>
          <t>Muçarela Mozzalet 2 kg</t>
        </is>
      </c>
      <c r="D1131" t="inlineStr">
        <is>
          <t>Restaurante / Cantina</t>
        </is>
      </c>
      <c r="E1131" t="n">
        <v>23680.16</v>
      </c>
      <c r="F1131" t="n">
        <v>1066</v>
      </c>
      <c r="G1131" t="n">
        <v>533</v>
      </c>
      <c r="J1131" t="inlineStr">
        <is>
          <t>A</t>
        </is>
      </c>
      <c r="K1131" t="n">
        <v>2024</v>
      </c>
      <c r="L1131" t="n">
        <v>12</v>
      </c>
      <c r="M1131" t="inlineStr">
        <is>
          <t>Muçarela Mozzalet 2 kg</t>
        </is>
      </c>
      <c r="N1131" t="inlineStr">
        <is>
          <t>Todos</t>
        </is>
      </c>
      <c r="O1131" t="n">
        <v>80</v>
      </c>
      <c r="P1131" t="n">
        <v>324</v>
      </c>
      <c r="Q1131" t="n">
        <v>80</v>
      </c>
    </row>
    <row r="1132">
      <c r="A1132" t="n">
        <v>2025</v>
      </c>
      <c r="B1132" t="n">
        <v>8</v>
      </c>
      <c r="C1132" t="inlineStr">
        <is>
          <t>Muçarela Mozzalet 2 kg</t>
        </is>
      </c>
      <c r="D1132" t="inlineStr">
        <is>
          <t>Rotisserie</t>
        </is>
      </c>
      <c r="E1132" t="n">
        <v>409.5</v>
      </c>
      <c r="F1132" t="n">
        <v>18</v>
      </c>
      <c r="G1132" t="n">
        <v>9</v>
      </c>
      <c r="J1132" t="inlineStr">
        <is>
          <t>M</t>
        </is>
      </c>
      <c r="K1132" t="n">
        <v>2024</v>
      </c>
      <c r="L1132" t="n">
        <v>12</v>
      </c>
      <c r="M1132" t="inlineStr">
        <is>
          <t>Muçarela Mozzalet 2 kg</t>
        </is>
      </c>
      <c r="N1132" t="inlineStr">
        <is>
          <t>Todos</t>
        </is>
      </c>
      <c r="O1132" t="n">
        <v>13</v>
      </c>
      <c r="P1132" t="n">
        <v>27</v>
      </c>
      <c r="Q1132" t="n">
        <v>0</v>
      </c>
    </row>
    <row r="1133">
      <c r="A1133" t="n">
        <v>2025</v>
      </c>
      <c r="B1133" t="n">
        <v>8</v>
      </c>
      <c r="C1133" t="inlineStr">
        <is>
          <t>Muçarela Mozzana 2 kg</t>
        </is>
      </c>
      <c r="D1133" t="inlineStr">
        <is>
          <t>Bar / Chopperia</t>
        </is>
      </c>
      <c r="E1133" t="n">
        <v>230</v>
      </c>
      <c r="F1133" t="n">
        <v>10.1</v>
      </c>
      <c r="G1133" t="n">
        <v>5</v>
      </c>
      <c r="J1133" t="inlineStr">
        <is>
          <t>A</t>
        </is>
      </c>
      <c r="K1133" t="n">
        <v>2024</v>
      </c>
      <c r="L1133" t="n">
        <v>1</v>
      </c>
      <c r="M1133" t="inlineStr">
        <is>
          <t>Muçarela Mozzalet 2 kg</t>
        </is>
      </c>
      <c r="N1133" t="inlineStr">
        <is>
          <t>Pizzaria</t>
        </is>
      </c>
      <c r="O1133" t="n">
        <v>5</v>
      </c>
      <c r="P1133" t="n">
        <v>13</v>
      </c>
      <c r="Q1133" t="n">
        <v>5</v>
      </c>
    </row>
    <row r="1134">
      <c r="A1134" t="n">
        <v>2025</v>
      </c>
      <c r="B1134" t="n">
        <v>8</v>
      </c>
      <c r="C1134" t="inlineStr">
        <is>
          <t>Muçarela Mozzana 2 kg</t>
        </is>
      </c>
      <c r="D1134" t="inlineStr">
        <is>
          <t>Buffet</t>
        </is>
      </c>
      <c r="E1134" t="n">
        <v>969.52</v>
      </c>
      <c r="F1134" t="n">
        <v>38.38</v>
      </c>
      <c r="G1134" t="n">
        <v>19</v>
      </c>
      <c r="J1134" t="inlineStr">
        <is>
          <t>M</t>
        </is>
      </c>
      <c r="K1134" t="n">
        <v>2024</v>
      </c>
      <c r="L1134" t="n">
        <v>1</v>
      </c>
      <c r="M1134" t="inlineStr">
        <is>
          <t>Muçarela Mozzalet 2 kg</t>
        </is>
      </c>
      <c r="N1134" t="inlineStr">
        <is>
          <t>Pizzaria</t>
        </is>
      </c>
      <c r="O1134" t="n">
        <v>5</v>
      </c>
      <c r="P1134" t="n">
        <v>13</v>
      </c>
      <c r="Q1134" t="n">
        <v>0</v>
      </c>
    </row>
    <row r="1135">
      <c r="A1135" t="n">
        <v>2025</v>
      </c>
      <c r="B1135" t="n">
        <v>8</v>
      </c>
      <c r="C1135" t="inlineStr">
        <is>
          <t>Muçarela Mozzana 2 kg</t>
        </is>
      </c>
      <c r="D1135" t="inlineStr">
        <is>
          <t>Cozinha Industrial</t>
        </is>
      </c>
      <c r="E1135" t="n">
        <v>2123</v>
      </c>
      <c r="F1135" t="n">
        <v>86.86</v>
      </c>
      <c r="G1135" t="n">
        <v>43</v>
      </c>
      <c r="J1135" t="inlineStr">
        <is>
          <t>A</t>
        </is>
      </c>
      <c r="K1135" t="n">
        <v>2024</v>
      </c>
      <c r="L1135" t="n">
        <v>2</v>
      </c>
      <c r="M1135" t="inlineStr">
        <is>
          <t>Muçarela Mozzalet 2 kg</t>
        </is>
      </c>
      <c r="N1135" t="inlineStr">
        <is>
          <t>Pizzaria</t>
        </is>
      </c>
      <c r="O1135" t="n">
        <v>6</v>
      </c>
      <c r="P1135" t="n">
        <v>22</v>
      </c>
      <c r="Q1135" t="n">
        <v>6</v>
      </c>
    </row>
    <row r="1136">
      <c r="A1136" t="n">
        <v>2025</v>
      </c>
      <c r="B1136" t="n">
        <v>8</v>
      </c>
      <c r="C1136" t="inlineStr">
        <is>
          <t>Muçarela Mozzana 2 kg</t>
        </is>
      </c>
      <c r="D1136" t="inlineStr">
        <is>
          <t>Esfiharia</t>
        </is>
      </c>
      <c r="E1136" t="n">
        <v>4007.81</v>
      </c>
      <c r="F1136" t="n">
        <v>161.6</v>
      </c>
      <c r="G1136" t="n">
        <v>80</v>
      </c>
      <c r="J1136" t="inlineStr">
        <is>
          <t>M</t>
        </is>
      </c>
      <c r="K1136" t="n">
        <v>2024</v>
      </c>
      <c r="L1136" t="n">
        <v>2</v>
      </c>
      <c r="M1136" t="inlineStr">
        <is>
          <t>Muçarela Mozzalet 2 kg</t>
        </is>
      </c>
      <c r="N1136" t="inlineStr">
        <is>
          <t>Pizzaria</t>
        </is>
      </c>
      <c r="O1136" t="n">
        <v>5</v>
      </c>
      <c r="P1136" t="n">
        <v>9</v>
      </c>
      <c r="Q1136" t="n">
        <v>0</v>
      </c>
    </row>
    <row r="1137">
      <c r="A1137" t="n">
        <v>2025</v>
      </c>
      <c r="B1137" t="n">
        <v>8</v>
      </c>
      <c r="C1137" t="inlineStr">
        <is>
          <t>Muçarela Mozzana 2 kg</t>
        </is>
      </c>
      <c r="D1137" t="inlineStr">
        <is>
          <t>Fábrica de Massas</t>
        </is>
      </c>
      <c r="E1137" t="n">
        <v>10960.1</v>
      </c>
      <c r="F1137" t="n">
        <v>448.44</v>
      </c>
      <c r="G1137" t="n">
        <v>222</v>
      </c>
      <c r="J1137" t="inlineStr">
        <is>
          <t>A</t>
        </is>
      </c>
      <c r="K1137" t="n">
        <v>2024</v>
      </c>
      <c r="L1137" t="n">
        <v>3</v>
      </c>
      <c r="M1137" t="inlineStr">
        <is>
          <t>Muçarela Mozzalet 2 kg</t>
        </is>
      </c>
      <c r="N1137" t="inlineStr">
        <is>
          <t>Pizzaria</t>
        </is>
      </c>
      <c r="O1137" t="n">
        <v>8</v>
      </c>
      <c r="P1137" t="n">
        <v>35</v>
      </c>
      <c r="Q1137" t="n">
        <v>8</v>
      </c>
    </row>
    <row r="1138">
      <c r="A1138" t="n">
        <v>2025</v>
      </c>
      <c r="B1138" t="n">
        <v>8</v>
      </c>
      <c r="C1138" t="inlineStr">
        <is>
          <t>Muçarela Mozzana 2 kg</t>
        </is>
      </c>
      <c r="D1138" t="inlineStr">
        <is>
          <t>Hamburgueria</t>
        </is>
      </c>
      <c r="E1138" t="n">
        <v>49.8</v>
      </c>
      <c r="F1138" t="n">
        <v>2.02</v>
      </c>
      <c r="G1138" t="n">
        <v>1</v>
      </c>
      <c r="J1138" t="inlineStr">
        <is>
          <t>M</t>
        </is>
      </c>
      <c r="K1138" t="n">
        <v>2024</v>
      </c>
      <c r="L1138" t="n">
        <v>3</v>
      </c>
      <c r="M1138" t="inlineStr">
        <is>
          <t>Muçarela Mozzalet 2 kg</t>
        </is>
      </c>
      <c r="N1138" t="inlineStr">
        <is>
          <t>Pizzaria</t>
        </is>
      </c>
      <c r="O1138" t="n">
        <v>6</v>
      </c>
      <c r="P1138" t="n">
        <v>13</v>
      </c>
      <c r="Q1138" t="n">
        <v>0</v>
      </c>
    </row>
    <row r="1139">
      <c r="A1139" t="n">
        <v>2025</v>
      </c>
      <c r="B1139" t="n">
        <v>8</v>
      </c>
      <c r="C1139" t="inlineStr">
        <is>
          <t>Muçarela Mozzana 2 kg</t>
        </is>
      </c>
      <c r="D1139" t="inlineStr">
        <is>
          <t>Lanchonete / Cafeteria</t>
        </is>
      </c>
      <c r="E1139" t="n">
        <v>436.83</v>
      </c>
      <c r="F1139" t="n">
        <v>18.18</v>
      </c>
      <c r="G1139" t="n">
        <v>9</v>
      </c>
      <c r="J1139" t="inlineStr">
        <is>
          <t>A</t>
        </is>
      </c>
      <c r="K1139" t="n">
        <v>2024</v>
      </c>
      <c r="L1139" t="n">
        <v>4</v>
      </c>
      <c r="M1139" t="inlineStr">
        <is>
          <t>Muçarela Mozzalet 2 kg</t>
        </is>
      </c>
      <c r="N1139" t="inlineStr">
        <is>
          <t>Pizzaria</t>
        </is>
      </c>
      <c r="O1139" t="n">
        <v>11</v>
      </c>
      <c r="P1139" t="n">
        <v>47</v>
      </c>
      <c r="Q1139" t="n">
        <v>11</v>
      </c>
    </row>
    <row r="1140">
      <c r="A1140" t="n">
        <v>2025</v>
      </c>
      <c r="B1140" t="n">
        <v>8</v>
      </c>
      <c r="C1140" t="inlineStr">
        <is>
          <t>Muçarela Mozzana 2 kg</t>
        </is>
      </c>
      <c r="D1140" t="inlineStr">
        <is>
          <t>Loja de Conveniência</t>
        </is>
      </c>
      <c r="E1140" t="n">
        <v>232.4</v>
      </c>
      <c r="F1140" t="n">
        <v>10.1</v>
      </c>
      <c r="G1140" t="n">
        <v>5</v>
      </c>
      <c r="J1140" t="inlineStr">
        <is>
          <t>M</t>
        </is>
      </c>
      <c r="K1140" t="n">
        <v>2024</v>
      </c>
      <c r="L1140" t="n">
        <v>4</v>
      </c>
      <c r="M1140" t="inlineStr">
        <is>
          <t>Muçarela Mozzalet 2 kg</t>
        </is>
      </c>
      <c r="N1140" t="inlineStr">
        <is>
          <t>Pizzaria</t>
        </is>
      </c>
      <c r="O1140" t="n">
        <v>5</v>
      </c>
      <c r="P1140" t="n">
        <v>12</v>
      </c>
      <c r="Q1140" t="n">
        <v>0</v>
      </c>
    </row>
    <row r="1141">
      <c r="A1141" t="n">
        <v>2025</v>
      </c>
      <c r="B1141" t="n">
        <v>8</v>
      </c>
      <c r="C1141" t="inlineStr">
        <is>
          <t>Muçarela Mozzana 2 kg</t>
        </is>
      </c>
      <c r="D1141" t="inlineStr">
        <is>
          <t>Mercearia / Sacolão</t>
        </is>
      </c>
      <c r="E1141" t="n">
        <v>845.8200000000001</v>
      </c>
      <c r="F1141" t="n">
        <v>36.36</v>
      </c>
      <c r="G1141" t="n">
        <v>18</v>
      </c>
      <c r="J1141" t="inlineStr">
        <is>
          <t>A</t>
        </is>
      </c>
      <c r="K1141" t="n">
        <v>2024</v>
      </c>
      <c r="L1141" t="n">
        <v>5</v>
      </c>
      <c r="M1141" t="inlineStr">
        <is>
          <t>Muçarela Mozzalet 2 kg</t>
        </is>
      </c>
      <c r="N1141" t="inlineStr">
        <is>
          <t>Pizzaria</t>
        </is>
      </c>
      <c r="O1141" t="n">
        <v>13</v>
      </c>
      <c r="P1141" t="n">
        <v>57</v>
      </c>
      <c r="Q1141" t="n">
        <v>13</v>
      </c>
    </row>
    <row r="1142">
      <c r="A1142" t="n">
        <v>2025</v>
      </c>
      <c r="B1142" t="n">
        <v>8</v>
      </c>
      <c r="C1142" t="inlineStr">
        <is>
          <t>Muçarela Mozzana 2 kg</t>
        </is>
      </c>
      <c r="D1142" t="inlineStr">
        <is>
          <t>Não Selecionado</t>
        </is>
      </c>
      <c r="E1142" t="n">
        <v>758.25</v>
      </c>
      <c r="F1142" t="n">
        <v>30.3</v>
      </c>
      <c r="G1142" t="n">
        <v>15</v>
      </c>
      <c r="J1142" t="inlineStr">
        <is>
          <t>M</t>
        </is>
      </c>
      <c r="K1142" t="n">
        <v>2024</v>
      </c>
      <c r="L1142" t="n">
        <v>5</v>
      </c>
      <c r="M1142" t="inlineStr">
        <is>
          <t>Muçarela Mozzalet 2 kg</t>
        </is>
      </c>
      <c r="N1142" t="inlineStr">
        <is>
          <t>Pizzaria</t>
        </is>
      </c>
      <c r="O1142" t="n">
        <v>7</v>
      </c>
      <c r="P1142" t="n">
        <v>10</v>
      </c>
      <c r="Q1142" t="n">
        <v>0</v>
      </c>
    </row>
    <row r="1143">
      <c r="A1143" t="n">
        <v>2025</v>
      </c>
      <c r="B1143" t="n">
        <v>8</v>
      </c>
      <c r="C1143" t="inlineStr">
        <is>
          <t>Muçarela Mozzana 2 kg</t>
        </is>
      </c>
      <c r="D1143" t="inlineStr">
        <is>
          <t>Outros</t>
        </is>
      </c>
      <c r="E1143" t="n">
        <v>22498.08</v>
      </c>
      <c r="F1143" t="n">
        <v>921.12</v>
      </c>
      <c r="G1143" t="n">
        <v>456</v>
      </c>
      <c r="J1143" t="inlineStr">
        <is>
          <t>A</t>
        </is>
      </c>
      <c r="K1143" t="n">
        <v>2024</v>
      </c>
      <c r="L1143" t="n">
        <v>6</v>
      </c>
      <c r="M1143" t="inlineStr">
        <is>
          <t>Muçarela Mozzalet 2 kg</t>
        </is>
      </c>
      <c r="N1143" t="inlineStr">
        <is>
          <t>Pizzaria</t>
        </is>
      </c>
      <c r="O1143" t="n">
        <v>15</v>
      </c>
      <c r="P1143" t="n">
        <v>65</v>
      </c>
      <c r="Q1143" t="n">
        <v>15</v>
      </c>
    </row>
    <row r="1144">
      <c r="A1144" t="n">
        <v>2025</v>
      </c>
      <c r="B1144" t="n">
        <v>8</v>
      </c>
      <c r="C1144" t="inlineStr">
        <is>
          <t>Muçarela Mozzana 2 kg</t>
        </is>
      </c>
      <c r="D1144" t="inlineStr">
        <is>
          <t>Padaria</t>
        </is>
      </c>
      <c r="E1144" t="n">
        <v>2017.52</v>
      </c>
      <c r="F1144" t="n">
        <v>80.8</v>
      </c>
      <c r="G1144" t="n">
        <v>40</v>
      </c>
      <c r="J1144" t="inlineStr">
        <is>
          <t>M</t>
        </is>
      </c>
      <c r="K1144" t="n">
        <v>2024</v>
      </c>
      <c r="L1144" t="n">
        <v>6</v>
      </c>
      <c r="M1144" t="inlineStr">
        <is>
          <t>Muçarela Mozzalet 2 kg</t>
        </is>
      </c>
      <c r="N1144" t="inlineStr">
        <is>
          <t>Pizzaria</t>
        </is>
      </c>
      <c r="O1144" t="n">
        <v>6</v>
      </c>
      <c r="P1144" t="n">
        <v>8</v>
      </c>
      <c r="Q1144" t="n">
        <v>0</v>
      </c>
    </row>
    <row r="1145">
      <c r="A1145" t="n">
        <v>2025</v>
      </c>
      <c r="B1145" t="n">
        <v>8</v>
      </c>
      <c r="C1145" t="inlineStr">
        <is>
          <t>Muçarela Mozzana 2 kg</t>
        </is>
      </c>
      <c r="D1145" t="inlineStr">
        <is>
          <t>Pastelaria</t>
        </is>
      </c>
      <c r="E1145" t="n">
        <v>2479.45</v>
      </c>
      <c r="F1145" t="n">
        <v>98.98</v>
      </c>
      <c r="G1145" t="n">
        <v>49</v>
      </c>
      <c r="J1145" t="inlineStr">
        <is>
          <t>A</t>
        </is>
      </c>
      <c r="K1145" t="n">
        <v>2024</v>
      </c>
      <c r="L1145" t="n">
        <v>7</v>
      </c>
      <c r="M1145" t="inlineStr">
        <is>
          <t>Muçarela Mozzalet 2 kg</t>
        </is>
      </c>
      <c r="N1145" t="inlineStr">
        <is>
          <t>Pizzaria</t>
        </is>
      </c>
      <c r="O1145" t="n">
        <v>17</v>
      </c>
      <c r="P1145" t="n">
        <v>76</v>
      </c>
      <c r="Q1145" t="n">
        <v>17</v>
      </c>
    </row>
    <row r="1146">
      <c r="A1146" t="n">
        <v>2025</v>
      </c>
      <c r="B1146" t="n">
        <v>8</v>
      </c>
      <c r="C1146" t="inlineStr">
        <is>
          <t>Muçarela Mozzana 2 kg</t>
        </is>
      </c>
      <c r="D1146" t="inlineStr">
        <is>
          <t>Pessoa Física</t>
        </is>
      </c>
      <c r="E1146" t="n">
        <v>1859.08</v>
      </c>
      <c r="F1146" t="n">
        <v>74.73999999999999</v>
      </c>
      <c r="G1146" t="n">
        <v>37</v>
      </c>
      <c r="J1146" t="inlineStr">
        <is>
          <t>M</t>
        </is>
      </c>
      <c r="K1146" t="n">
        <v>2024</v>
      </c>
      <c r="L1146" t="n">
        <v>7</v>
      </c>
      <c r="M1146" t="inlineStr">
        <is>
          <t>Muçarela Mozzalet 2 kg</t>
        </is>
      </c>
      <c r="N1146" t="inlineStr">
        <is>
          <t>Pizzaria</t>
        </is>
      </c>
      <c r="O1146" t="n">
        <v>5</v>
      </c>
      <c r="P1146" t="n">
        <v>11</v>
      </c>
      <c r="Q1146" t="n">
        <v>0</v>
      </c>
    </row>
    <row r="1147">
      <c r="A1147" t="n">
        <v>2025</v>
      </c>
      <c r="B1147" t="n">
        <v>8</v>
      </c>
      <c r="C1147" t="inlineStr">
        <is>
          <t>Muçarela Mozzana 2 kg</t>
        </is>
      </c>
      <c r="D1147" t="inlineStr">
        <is>
          <t>Pizzaria</t>
        </is>
      </c>
      <c r="E1147" t="n">
        <v>64933.4</v>
      </c>
      <c r="F1147" t="n">
        <v>2640.14</v>
      </c>
      <c r="G1147" t="n">
        <v>1307</v>
      </c>
      <c r="J1147" t="inlineStr">
        <is>
          <t>A</t>
        </is>
      </c>
      <c r="K1147" t="n">
        <v>2024</v>
      </c>
      <c r="L1147" t="n">
        <v>8</v>
      </c>
      <c r="M1147" t="inlineStr">
        <is>
          <t>Muçarela Mozzalet 2 kg</t>
        </is>
      </c>
      <c r="N1147" t="inlineStr">
        <is>
          <t>Pizzaria</t>
        </is>
      </c>
      <c r="O1147" t="n">
        <v>18</v>
      </c>
      <c r="P1147" t="n">
        <v>85</v>
      </c>
      <c r="Q1147" t="n">
        <v>18</v>
      </c>
    </row>
    <row r="1148">
      <c r="A1148" t="n">
        <v>2025</v>
      </c>
      <c r="B1148" t="n">
        <v>8</v>
      </c>
      <c r="C1148" t="inlineStr">
        <is>
          <t>Muçarela Mozzana 2 kg</t>
        </is>
      </c>
      <c r="D1148" t="inlineStr">
        <is>
          <t>Restaurante / Cantina</t>
        </is>
      </c>
      <c r="E1148" t="n">
        <v>8144.17</v>
      </c>
      <c r="F1148" t="n">
        <v>335.32</v>
      </c>
      <c r="G1148" t="n">
        <v>166</v>
      </c>
      <c r="J1148" t="inlineStr">
        <is>
          <t>M</t>
        </is>
      </c>
      <c r="K1148" t="n">
        <v>2024</v>
      </c>
      <c r="L1148" t="n">
        <v>8</v>
      </c>
      <c r="M1148" t="inlineStr">
        <is>
          <t>Muçarela Mozzalet 2 kg</t>
        </is>
      </c>
      <c r="N1148" t="inlineStr">
        <is>
          <t>Pizzaria</t>
        </is>
      </c>
      <c r="O1148" t="n">
        <v>6</v>
      </c>
      <c r="P1148" t="n">
        <v>9</v>
      </c>
      <c r="Q1148" t="n">
        <v>0</v>
      </c>
    </row>
    <row r="1149">
      <c r="A1149" t="n">
        <v>2025</v>
      </c>
      <c r="B1149" t="n">
        <v>8</v>
      </c>
      <c r="C1149" t="inlineStr">
        <is>
          <t>Muçarela Mozzana 2 kg</t>
        </is>
      </c>
      <c r="D1149" t="inlineStr">
        <is>
          <t>Rotisserie</t>
        </is>
      </c>
      <c r="E1149" t="n">
        <v>242.93</v>
      </c>
      <c r="F1149" t="n">
        <v>10.1</v>
      </c>
      <c r="G1149" t="n">
        <v>5</v>
      </c>
      <c r="J1149" t="inlineStr">
        <is>
          <t>A</t>
        </is>
      </c>
      <c r="K1149" t="n">
        <v>2024</v>
      </c>
      <c r="L1149" t="n">
        <v>9</v>
      </c>
      <c r="M1149" t="inlineStr">
        <is>
          <t>Muçarela Mozzalet 2 kg</t>
        </is>
      </c>
      <c r="N1149" t="inlineStr">
        <is>
          <t>Pizzaria</t>
        </is>
      </c>
      <c r="O1149" t="n">
        <v>19</v>
      </c>
      <c r="P1149" t="n">
        <v>96</v>
      </c>
      <c r="Q1149" t="n">
        <v>19</v>
      </c>
    </row>
    <row r="1150">
      <c r="A1150" t="n">
        <v>2025</v>
      </c>
      <c r="B1150" t="n">
        <v>8</v>
      </c>
      <c r="C1150" t="inlineStr">
        <is>
          <t>Muçarela Mozzana 2 kg</t>
        </is>
      </c>
      <c r="D1150" t="inlineStr">
        <is>
          <t>Supermercado</t>
        </is>
      </c>
      <c r="E1150" t="n">
        <v>4221.23</v>
      </c>
      <c r="F1150" t="n">
        <v>173.72</v>
      </c>
      <c r="G1150" t="n">
        <v>86</v>
      </c>
      <c r="J1150" t="inlineStr">
        <is>
          <t>M</t>
        </is>
      </c>
      <c r="K1150" t="n">
        <v>2024</v>
      </c>
      <c r="L1150" t="n">
        <v>9</v>
      </c>
      <c r="M1150" t="inlineStr">
        <is>
          <t>Muçarela Mozzalet 2 kg</t>
        </is>
      </c>
      <c r="N1150" t="inlineStr">
        <is>
          <t>Pizzaria</t>
        </is>
      </c>
      <c r="O1150" t="n">
        <v>6</v>
      </c>
      <c r="P1150" t="n">
        <v>11</v>
      </c>
      <c r="Q1150" t="n">
        <v>0</v>
      </c>
    </row>
    <row r="1151">
      <c r="A1151" t="n">
        <v>2025</v>
      </c>
      <c r="B1151" t="n">
        <v>8</v>
      </c>
      <c r="C1151" t="inlineStr">
        <is>
          <t>Requeijão Pizzalet 1,8 kg</t>
        </is>
      </c>
      <c r="D1151" t="inlineStr">
        <is>
          <t>Bar / Chopperia</t>
        </is>
      </c>
      <c r="E1151" t="n">
        <v>413.14</v>
      </c>
      <c r="F1151" t="n">
        <v>47.84</v>
      </c>
      <c r="G1151" t="n">
        <v>26</v>
      </c>
      <c r="J1151" t="inlineStr">
        <is>
          <t>A</t>
        </is>
      </c>
      <c r="K1151" t="n">
        <v>2024</v>
      </c>
      <c r="L1151" t="n">
        <v>10</v>
      </c>
      <c r="M1151" t="inlineStr">
        <is>
          <t>Muçarela Mozzalet 2 kg</t>
        </is>
      </c>
      <c r="N1151" t="inlineStr">
        <is>
          <t>Pizzaria</t>
        </is>
      </c>
      <c r="O1151" t="n">
        <v>20</v>
      </c>
      <c r="P1151" t="n">
        <v>118</v>
      </c>
      <c r="Q1151" t="n">
        <v>20</v>
      </c>
    </row>
    <row r="1152">
      <c r="A1152" t="n">
        <v>2025</v>
      </c>
      <c r="B1152" t="n">
        <v>8</v>
      </c>
      <c r="C1152" t="inlineStr">
        <is>
          <t>Requeijão Pizzalet 1,8 kg</t>
        </is>
      </c>
      <c r="D1152" t="inlineStr">
        <is>
          <t>Hotel / Motel / Pousada</t>
        </is>
      </c>
      <c r="E1152" t="n">
        <v>32.62</v>
      </c>
      <c r="F1152" t="n">
        <v>3.68</v>
      </c>
      <c r="G1152" t="n">
        <v>2</v>
      </c>
      <c r="J1152" t="inlineStr">
        <is>
          <t>M</t>
        </is>
      </c>
      <c r="K1152" t="n">
        <v>2024</v>
      </c>
      <c r="L1152" t="n">
        <v>10</v>
      </c>
      <c r="M1152" t="inlineStr">
        <is>
          <t>Muçarela Mozzalet 2 kg</t>
        </is>
      </c>
      <c r="N1152" t="inlineStr">
        <is>
          <t>Pizzaria</t>
        </is>
      </c>
      <c r="O1152" t="n">
        <v>8</v>
      </c>
      <c r="P1152" t="n">
        <v>22</v>
      </c>
      <c r="Q1152" t="n">
        <v>0</v>
      </c>
    </row>
    <row r="1153">
      <c r="A1153" t="n">
        <v>2025</v>
      </c>
      <c r="B1153" t="n">
        <v>8</v>
      </c>
      <c r="C1153" t="inlineStr">
        <is>
          <t>Requeijão Pizzalet 1,8 kg</t>
        </is>
      </c>
      <c r="D1153" t="inlineStr">
        <is>
          <t>Lanchonete / Cafeteria</t>
        </is>
      </c>
      <c r="E1153" t="n">
        <v>1517.29</v>
      </c>
      <c r="F1153" t="n">
        <v>174.8</v>
      </c>
      <c r="G1153" t="n">
        <v>95</v>
      </c>
      <c r="J1153" t="inlineStr">
        <is>
          <t>A</t>
        </is>
      </c>
      <c r="K1153" t="n">
        <v>2024</v>
      </c>
      <c r="L1153" t="n">
        <v>11</v>
      </c>
      <c r="M1153" t="inlineStr">
        <is>
          <t>Muçarela Mozzalet 2 kg</t>
        </is>
      </c>
      <c r="N1153" t="inlineStr">
        <is>
          <t>Pizzaria</t>
        </is>
      </c>
      <c r="O1153" t="n">
        <v>24</v>
      </c>
      <c r="P1153" t="n">
        <v>138</v>
      </c>
      <c r="Q1153" t="n">
        <v>24</v>
      </c>
    </row>
    <row r="1154">
      <c r="A1154" t="n">
        <v>2025</v>
      </c>
      <c r="B1154" t="n">
        <v>8</v>
      </c>
      <c r="C1154" t="inlineStr">
        <is>
          <t>Requeijão Pizzalet 1,8 kg</t>
        </is>
      </c>
      <c r="D1154" t="inlineStr">
        <is>
          <t>Outros</t>
        </is>
      </c>
      <c r="E1154" t="n">
        <v>463.42</v>
      </c>
      <c r="F1154" t="n">
        <v>53.36</v>
      </c>
      <c r="G1154" t="n">
        <v>29</v>
      </c>
      <c r="J1154" t="inlineStr">
        <is>
          <t>M</t>
        </is>
      </c>
      <c r="K1154" t="n">
        <v>2024</v>
      </c>
      <c r="L1154" t="n">
        <v>11</v>
      </c>
      <c r="M1154" t="inlineStr">
        <is>
          <t>Muçarela Mozzalet 2 kg</t>
        </is>
      </c>
      <c r="N1154" t="inlineStr">
        <is>
          <t>Pizzaria</t>
        </is>
      </c>
      <c r="O1154" t="n">
        <v>10</v>
      </c>
      <c r="P1154" t="n">
        <v>20</v>
      </c>
      <c r="Q1154" t="n">
        <v>0</v>
      </c>
    </row>
    <row r="1155">
      <c r="A1155" t="n">
        <v>2025</v>
      </c>
      <c r="B1155" t="n">
        <v>8</v>
      </c>
      <c r="C1155" t="inlineStr">
        <is>
          <t>Requeijão Pizzalet 1,8 kg</t>
        </is>
      </c>
      <c r="D1155" t="inlineStr">
        <is>
          <t>Pastelaria</t>
        </is>
      </c>
      <c r="E1155" t="n">
        <v>2310.27</v>
      </c>
      <c r="F1155" t="n">
        <v>266.8</v>
      </c>
      <c r="G1155" t="n">
        <v>145</v>
      </c>
      <c r="J1155" t="inlineStr">
        <is>
          <t>A</t>
        </is>
      </c>
      <c r="K1155" t="n">
        <v>2024</v>
      </c>
      <c r="L1155" t="n">
        <v>12</v>
      </c>
      <c r="M1155" t="inlineStr">
        <is>
          <t>Muçarela Mozzalet 2 kg</t>
        </is>
      </c>
      <c r="N1155" t="inlineStr">
        <is>
          <t>Pizzaria</t>
        </is>
      </c>
      <c r="O1155" t="n">
        <v>27</v>
      </c>
      <c r="P1155" t="n">
        <v>155</v>
      </c>
      <c r="Q1155" t="n">
        <v>27</v>
      </c>
    </row>
    <row r="1156">
      <c r="A1156" t="n">
        <v>2025</v>
      </c>
      <c r="B1156" t="n">
        <v>8</v>
      </c>
      <c r="C1156" t="inlineStr">
        <is>
          <t>Requeijão Pizzalet 1,8 kg</t>
        </is>
      </c>
      <c r="D1156" t="inlineStr">
        <is>
          <t>Pizzaria</t>
        </is>
      </c>
      <c r="E1156" t="n">
        <v>4129.85</v>
      </c>
      <c r="F1156" t="n">
        <v>469.2</v>
      </c>
      <c r="G1156" t="n">
        <v>255</v>
      </c>
      <c r="J1156" t="inlineStr">
        <is>
          <t>M</t>
        </is>
      </c>
      <c r="K1156" t="n">
        <v>2024</v>
      </c>
      <c r="L1156" t="n">
        <v>12</v>
      </c>
      <c r="M1156" t="inlineStr">
        <is>
          <t>Muçarela Mozzalet 2 kg</t>
        </is>
      </c>
      <c r="N1156" t="inlineStr">
        <is>
          <t>Pizzaria</t>
        </is>
      </c>
      <c r="O1156" t="n">
        <v>7</v>
      </c>
      <c r="P1156" t="n">
        <v>17</v>
      </c>
      <c r="Q1156" t="n">
        <v>0</v>
      </c>
    </row>
    <row r="1157">
      <c r="A1157" t="n">
        <v>2025</v>
      </c>
      <c r="B1157" t="n">
        <v>8</v>
      </c>
      <c r="C1157" t="inlineStr">
        <is>
          <t>Requeijão Pizzalet 1,8 kg</t>
        </is>
      </c>
      <c r="D1157" t="inlineStr">
        <is>
          <t>Restaurante / Cantina</t>
        </is>
      </c>
      <c r="E1157" t="n">
        <v>63.96</v>
      </c>
      <c r="F1157" t="n">
        <v>7.36</v>
      </c>
      <c r="G1157" t="n">
        <v>4</v>
      </c>
      <c r="J1157" t="inlineStr">
        <is>
          <t>A</t>
        </is>
      </c>
      <c r="K1157" t="n">
        <v>2024</v>
      </c>
      <c r="L1157" t="n">
        <v>5</v>
      </c>
      <c r="M1157" t="inlineStr">
        <is>
          <t>Muçarela Mozzalet 2 kg</t>
        </is>
      </c>
      <c r="N1157" t="inlineStr">
        <is>
          <t>Restaurante / Cantina</t>
        </is>
      </c>
      <c r="O1157" t="n">
        <v>3</v>
      </c>
      <c r="P1157" t="n">
        <v>3</v>
      </c>
      <c r="Q1157" t="n">
        <v>3</v>
      </c>
    </row>
    <row r="1158">
      <c r="A1158" t="n">
        <v>2025</v>
      </c>
      <c r="B1158" t="n">
        <v>9</v>
      </c>
      <c r="C1158" t="inlineStr">
        <is>
          <t>Chocolate em pó 50% 1 kg</t>
        </is>
      </c>
      <c r="D1158" t="inlineStr">
        <is>
          <t>Buffet</t>
        </is>
      </c>
      <c r="E1158" t="n">
        <v>85.08</v>
      </c>
      <c r="F1158" t="n">
        <v>2.04</v>
      </c>
      <c r="G1158" t="n">
        <v>2</v>
      </c>
      <c r="J1158" t="inlineStr">
        <is>
          <t>M</t>
        </is>
      </c>
      <c r="K1158" t="n">
        <v>2024</v>
      </c>
      <c r="L1158" t="n">
        <v>5</v>
      </c>
      <c r="M1158" t="inlineStr">
        <is>
          <t>Muçarela Mozzalet 2 kg</t>
        </is>
      </c>
      <c r="N1158" t="inlineStr">
        <is>
          <t>Restaurante / Cantina</t>
        </is>
      </c>
      <c r="O1158" t="n">
        <v>3</v>
      </c>
      <c r="P1158" t="n">
        <v>3</v>
      </c>
      <c r="Q1158" t="n">
        <v>0</v>
      </c>
    </row>
    <row r="1159">
      <c r="A1159" t="n">
        <v>2025</v>
      </c>
      <c r="B1159" t="n">
        <v>9</v>
      </c>
      <c r="C1159" t="inlineStr">
        <is>
          <t>Chocolate em pó 50% 1 kg</t>
        </is>
      </c>
      <c r="D1159" t="inlineStr">
        <is>
          <t>Churrascaria</t>
        </is>
      </c>
      <c r="E1159" t="n">
        <v>332.72</v>
      </c>
      <c r="F1159" t="n">
        <v>8.16</v>
      </c>
      <c r="G1159" t="n">
        <v>8</v>
      </c>
      <c r="J1159" t="inlineStr">
        <is>
          <t>A</t>
        </is>
      </c>
      <c r="K1159" t="n">
        <v>2024</v>
      </c>
      <c r="L1159" t="n">
        <v>6</v>
      </c>
      <c r="M1159" t="inlineStr">
        <is>
          <t>Muçarela Mozzalet 2 kg</t>
        </is>
      </c>
      <c r="N1159" t="inlineStr">
        <is>
          <t>Restaurante / Cantina</t>
        </is>
      </c>
      <c r="O1159" t="n">
        <v>4</v>
      </c>
      <c r="P1159" t="n">
        <v>4</v>
      </c>
      <c r="Q1159" t="n">
        <v>4</v>
      </c>
    </row>
    <row r="1160">
      <c r="A1160" t="n">
        <v>2025</v>
      </c>
      <c r="B1160" t="n">
        <v>9</v>
      </c>
      <c r="C1160" t="inlineStr">
        <is>
          <t>Chocolate em pó 50% 1 kg</t>
        </is>
      </c>
      <c r="D1160" t="inlineStr">
        <is>
          <t>Confeitaria</t>
        </is>
      </c>
      <c r="E1160" t="n">
        <v>654.9</v>
      </c>
      <c r="F1160" t="n">
        <v>16.32</v>
      </c>
      <c r="G1160" t="n">
        <v>16</v>
      </c>
      <c r="J1160" t="inlineStr">
        <is>
          <t>M</t>
        </is>
      </c>
      <c r="K1160" t="n">
        <v>2024</v>
      </c>
      <c r="L1160" t="n">
        <v>6</v>
      </c>
      <c r="M1160" t="inlineStr">
        <is>
          <t>Muçarela Mozzalet 2 kg</t>
        </is>
      </c>
      <c r="N1160" t="inlineStr">
        <is>
          <t>Restaurante / Cantina</t>
        </is>
      </c>
      <c r="O1160" t="n">
        <v>1</v>
      </c>
      <c r="P1160" t="n">
        <v>1</v>
      </c>
      <c r="Q1160" t="n">
        <v>0</v>
      </c>
    </row>
    <row r="1161">
      <c r="A1161" t="n">
        <v>2025</v>
      </c>
      <c r="B1161" t="n">
        <v>9</v>
      </c>
      <c r="C1161" t="inlineStr">
        <is>
          <t>Chocolate em pó 50% 1 kg</t>
        </is>
      </c>
      <c r="D1161" t="inlineStr">
        <is>
          <t>Cozinha Industrial</t>
        </is>
      </c>
      <c r="E1161" t="n">
        <v>125.92</v>
      </c>
      <c r="F1161" t="n">
        <v>3.06</v>
      </c>
      <c r="G1161" t="n">
        <v>3</v>
      </c>
      <c r="J1161" t="inlineStr">
        <is>
          <t>A</t>
        </is>
      </c>
      <c r="K1161" t="n">
        <v>2024</v>
      </c>
      <c r="L1161" t="n">
        <v>7</v>
      </c>
      <c r="M1161" t="inlineStr">
        <is>
          <t>Muçarela Mozzalet 2 kg</t>
        </is>
      </c>
      <c r="N1161" t="inlineStr">
        <is>
          <t>Restaurante / Cantina</t>
        </is>
      </c>
      <c r="O1161" t="n">
        <v>5</v>
      </c>
      <c r="P1161" t="n">
        <v>6</v>
      </c>
      <c r="Q1161" t="n">
        <v>5</v>
      </c>
    </row>
    <row r="1162">
      <c r="A1162" t="n">
        <v>2025</v>
      </c>
      <c r="B1162" t="n">
        <v>9</v>
      </c>
      <c r="C1162" t="inlineStr">
        <is>
          <t>Chocolate em pó 50% 1 kg</t>
        </is>
      </c>
      <c r="D1162" t="inlineStr">
        <is>
          <t>Esfiharia</t>
        </is>
      </c>
      <c r="E1162" t="n">
        <v>41.54</v>
      </c>
      <c r="F1162" t="n">
        <v>1.02</v>
      </c>
      <c r="G1162" t="n">
        <v>1</v>
      </c>
      <c r="J1162" t="inlineStr">
        <is>
          <t>M</t>
        </is>
      </c>
      <c r="K1162" t="n">
        <v>2024</v>
      </c>
      <c r="L1162" t="n">
        <v>7</v>
      </c>
      <c r="M1162" t="inlineStr">
        <is>
          <t>Muçarela Mozzalet 2 kg</t>
        </is>
      </c>
      <c r="N1162" t="inlineStr">
        <is>
          <t>Restaurante / Cantina</t>
        </is>
      </c>
      <c r="O1162" t="n">
        <v>2</v>
      </c>
      <c r="P1162" t="n">
        <v>2</v>
      </c>
      <c r="Q1162" t="n">
        <v>0</v>
      </c>
    </row>
    <row r="1163">
      <c r="A1163" t="n">
        <v>2025</v>
      </c>
      <c r="B1163" t="n">
        <v>9</v>
      </c>
      <c r="C1163" t="inlineStr">
        <is>
          <t>Chocolate em pó 50% 1 kg</t>
        </is>
      </c>
      <c r="D1163" t="inlineStr">
        <is>
          <t>Hotel / Motel / Pousada</t>
        </is>
      </c>
      <c r="E1163" t="n">
        <v>1193.56</v>
      </c>
      <c r="F1163" t="n">
        <v>29.58</v>
      </c>
      <c r="G1163" t="n">
        <v>29</v>
      </c>
      <c r="J1163" t="inlineStr">
        <is>
          <t>A</t>
        </is>
      </c>
      <c r="K1163" t="n">
        <v>2024</v>
      </c>
      <c r="L1163" t="n">
        <v>8</v>
      </c>
      <c r="M1163" t="inlineStr">
        <is>
          <t>Muçarela Mozzalet 2 kg</t>
        </is>
      </c>
      <c r="N1163" t="inlineStr">
        <is>
          <t>Restaurante / Cantina</t>
        </is>
      </c>
      <c r="O1163" t="n">
        <v>6</v>
      </c>
      <c r="P1163" t="n">
        <v>11</v>
      </c>
      <c r="Q1163" t="n">
        <v>6</v>
      </c>
    </row>
    <row r="1164">
      <c r="A1164" t="n">
        <v>2025</v>
      </c>
      <c r="B1164" t="n">
        <v>9</v>
      </c>
      <c r="C1164" t="inlineStr">
        <is>
          <t>Chocolate em pó 50% 1 kg</t>
        </is>
      </c>
      <c r="D1164" t="inlineStr">
        <is>
          <t>Lanchonete / Cafeteria</t>
        </is>
      </c>
      <c r="E1164" t="n">
        <v>912.26</v>
      </c>
      <c r="F1164" t="n">
        <v>22.44</v>
      </c>
      <c r="G1164" t="n">
        <v>22</v>
      </c>
      <c r="J1164" t="inlineStr">
        <is>
          <t>M</t>
        </is>
      </c>
      <c r="K1164" t="n">
        <v>2024</v>
      </c>
      <c r="L1164" t="n">
        <v>8</v>
      </c>
      <c r="M1164" t="inlineStr">
        <is>
          <t>Muçarela Mozzalet 2 kg</t>
        </is>
      </c>
      <c r="N1164" t="inlineStr">
        <is>
          <t>Restaurante / Cantina</t>
        </is>
      </c>
      <c r="O1164" t="n">
        <v>2</v>
      </c>
      <c r="P1164" t="n">
        <v>5</v>
      </c>
      <c r="Q1164" t="n">
        <v>0</v>
      </c>
    </row>
    <row r="1165">
      <c r="A1165" t="n">
        <v>2025</v>
      </c>
      <c r="B1165" t="n">
        <v>9</v>
      </c>
      <c r="C1165" t="inlineStr">
        <is>
          <t>Chocolate em pó 50% 1 kg</t>
        </is>
      </c>
      <c r="D1165" t="inlineStr">
        <is>
          <t>Laticínios / Distribuidor</t>
        </is>
      </c>
      <c r="E1165" t="n">
        <v>83.08</v>
      </c>
      <c r="F1165" t="n">
        <v>2.04</v>
      </c>
      <c r="G1165" t="n">
        <v>2</v>
      </c>
      <c r="J1165" t="inlineStr">
        <is>
          <t>A</t>
        </is>
      </c>
      <c r="K1165" t="n">
        <v>2024</v>
      </c>
      <c r="L1165" t="n">
        <v>9</v>
      </c>
      <c r="M1165" t="inlineStr">
        <is>
          <t>Muçarela Mozzalet 2 kg</t>
        </is>
      </c>
      <c r="N1165" t="inlineStr">
        <is>
          <t>Restaurante / Cantina</t>
        </is>
      </c>
      <c r="O1165" t="n">
        <v>6</v>
      </c>
      <c r="P1165" t="n">
        <v>15</v>
      </c>
      <c r="Q1165" t="n">
        <v>6</v>
      </c>
    </row>
    <row r="1166">
      <c r="A1166" t="n">
        <v>2025</v>
      </c>
      <c r="B1166" t="n">
        <v>9</v>
      </c>
      <c r="C1166" t="inlineStr">
        <is>
          <t>Chocolate em pó 50% 1 kg</t>
        </is>
      </c>
      <c r="D1166" t="inlineStr">
        <is>
          <t>Loja de Conveniência</t>
        </is>
      </c>
      <c r="E1166" t="n">
        <v>168.46</v>
      </c>
      <c r="F1166" t="n">
        <v>4.08</v>
      </c>
      <c r="G1166" t="n">
        <v>4</v>
      </c>
      <c r="J1166" t="inlineStr">
        <is>
          <t>M</t>
        </is>
      </c>
      <c r="K1166" t="n">
        <v>2024</v>
      </c>
      <c r="L1166" t="n">
        <v>9</v>
      </c>
      <c r="M1166" t="inlineStr">
        <is>
          <t>Muçarela Mozzalet 2 kg</t>
        </is>
      </c>
      <c r="N1166" t="inlineStr">
        <is>
          <t>Restaurante / Cantina</t>
        </is>
      </c>
      <c r="O1166" t="n">
        <v>1</v>
      </c>
      <c r="P1166" t="n">
        <v>4</v>
      </c>
      <c r="Q1166" t="n">
        <v>0</v>
      </c>
    </row>
    <row r="1167">
      <c r="A1167" t="n">
        <v>2025</v>
      </c>
      <c r="B1167" t="n">
        <v>9</v>
      </c>
      <c r="C1167" t="inlineStr">
        <is>
          <t>Chocolate em pó 50% 1 kg</t>
        </is>
      </c>
      <c r="D1167" t="inlineStr">
        <is>
          <t>Mercearia / Sacolão</t>
        </is>
      </c>
      <c r="E1167" t="n">
        <v>41.54</v>
      </c>
      <c r="F1167" t="n">
        <v>1.02</v>
      </c>
      <c r="G1167" t="n">
        <v>1</v>
      </c>
      <c r="J1167" t="inlineStr">
        <is>
          <t>A</t>
        </is>
      </c>
      <c r="K1167" t="n">
        <v>2024</v>
      </c>
      <c r="L1167" t="n">
        <v>10</v>
      </c>
      <c r="M1167" t="inlineStr">
        <is>
          <t>Muçarela Mozzalet 2 kg</t>
        </is>
      </c>
      <c r="N1167" t="inlineStr">
        <is>
          <t>Restaurante / Cantina</t>
        </is>
      </c>
      <c r="O1167" t="n">
        <v>7</v>
      </c>
      <c r="P1167" t="n">
        <v>23</v>
      </c>
      <c r="Q1167" t="n">
        <v>7</v>
      </c>
    </row>
    <row r="1168">
      <c r="A1168" t="n">
        <v>2025</v>
      </c>
      <c r="B1168" t="n">
        <v>9</v>
      </c>
      <c r="C1168" t="inlineStr">
        <is>
          <t>Chocolate em pó 50% 1 kg</t>
        </is>
      </c>
      <c r="D1168" t="inlineStr">
        <is>
          <t>Outros</t>
        </is>
      </c>
      <c r="E1168" t="n">
        <v>579.9400000000001</v>
      </c>
      <c r="F1168" t="n">
        <v>14.28</v>
      </c>
      <c r="G1168" t="n">
        <v>14</v>
      </c>
      <c r="J1168" t="inlineStr">
        <is>
          <t>M</t>
        </is>
      </c>
      <c r="K1168" t="n">
        <v>2024</v>
      </c>
      <c r="L1168" t="n">
        <v>10</v>
      </c>
      <c r="M1168" t="inlineStr">
        <is>
          <t>Muçarela Mozzalet 2 kg</t>
        </is>
      </c>
      <c r="N1168" t="inlineStr">
        <is>
          <t>Restaurante / Cantina</t>
        </is>
      </c>
      <c r="O1168" t="n">
        <v>3</v>
      </c>
      <c r="P1168" t="n">
        <v>8</v>
      </c>
      <c r="Q1168" t="n">
        <v>0</v>
      </c>
    </row>
    <row r="1169">
      <c r="A1169" t="n">
        <v>2025</v>
      </c>
      <c r="B1169" t="n">
        <v>9</v>
      </c>
      <c r="C1169" t="inlineStr">
        <is>
          <t>Chocolate em pó 50% 1 kg</t>
        </is>
      </c>
      <c r="D1169" t="inlineStr">
        <is>
          <t>Padaria</t>
        </is>
      </c>
      <c r="E1169" t="n">
        <v>872.76</v>
      </c>
      <c r="F1169" t="n">
        <v>21.42</v>
      </c>
      <c r="G1169" t="n">
        <v>21</v>
      </c>
      <c r="J1169" t="inlineStr">
        <is>
          <t>A</t>
        </is>
      </c>
      <c r="K1169" t="n">
        <v>2024</v>
      </c>
      <c r="L1169" t="n">
        <v>11</v>
      </c>
      <c r="M1169" t="inlineStr">
        <is>
          <t>Muçarela Mozzalet 2 kg</t>
        </is>
      </c>
      <c r="N1169" t="inlineStr">
        <is>
          <t>Restaurante / Cantina</t>
        </is>
      </c>
      <c r="O1169" t="n">
        <v>8</v>
      </c>
      <c r="P1169" t="n">
        <v>30</v>
      </c>
      <c r="Q1169" t="n">
        <v>8</v>
      </c>
    </row>
    <row r="1170">
      <c r="A1170" t="n">
        <v>2025</v>
      </c>
      <c r="B1170" t="n">
        <v>9</v>
      </c>
      <c r="C1170" t="inlineStr">
        <is>
          <t>Chocolate em pó 50% 1 kg</t>
        </is>
      </c>
      <c r="D1170" t="inlineStr">
        <is>
          <t>Pessoa Física</t>
        </is>
      </c>
      <c r="E1170" t="n">
        <v>84.12</v>
      </c>
      <c r="F1170" t="n">
        <v>2.04</v>
      </c>
      <c r="G1170" t="n">
        <v>2</v>
      </c>
      <c r="J1170" t="inlineStr">
        <is>
          <t>M</t>
        </is>
      </c>
      <c r="K1170" t="n">
        <v>2024</v>
      </c>
      <c r="L1170" t="n">
        <v>11</v>
      </c>
      <c r="M1170" t="inlineStr">
        <is>
          <t>Muçarela Mozzalet 2 kg</t>
        </is>
      </c>
      <c r="N1170" t="inlineStr">
        <is>
          <t>Restaurante / Cantina</t>
        </is>
      </c>
      <c r="O1170" t="n">
        <v>2</v>
      </c>
      <c r="P1170" t="n">
        <v>7</v>
      </c>
      <c r="Q1170" t="n">
        <v>0</v>
      </c>
    </row>
    <row r="1171">
      <c r="A1171" t="n">
        <v>2025</v>
      </c>
      <c r="B1171" t="n">
        <v>9</v>
      </c>
      <c r="C1171" t="inlineStr">
        <is>
          <t>Chocolate em pó 50% 1 kg</t>
        </is>
      </c>
      <c r="D1171" t="inlineStr">
        <is>
          <t>Pizzaria</t>
        </is>
      </c>
      <c r="E1171" t="n">
        <v>1776.76</v>
      </c>
      <c r="F1171" t="n">
        <v>43.86</v>
      </c>
      <c r="G1171" t="n">
        <v>43</v>
      </c>
      <c r="J1171" t="inlineStr">
        <is>
          <t>A</t>
        </is>
      </c>
      <c r="K1171" t="n">
        <v>2024</v>
      </c>
      <c r="L1171" t="n">
        <v>12</v>
      </c>
      <c r="M1171" t="inlineStr">
        <is>
          <t>Muçarela Mozzalet 2 kg</t>
        </is>
      </c>
      <c r="N1171" t="inlineStr">
        <is>
          <t>Restaurante / Cantina</t>
        </is>
      </c>
      <c r="O1171" t="n">
        <v>8</v>
      </c>
      <c r="P1171" t="n">
        <v>33</v>
      </c>
      <c r="Q1171" t="n">
        <v>8</v>
      </c>
    </row>
    <row r="1172">
      <c r="A1172" t="n">
        <v>2025</v>
      </c>
      <c r="B1172" t="n">
        <v>9</v>
      </c>
      <c r="C1172" t="inlineStr">
        <is>
          <t>Chocolate em pó 50% 1 kg</t>
        </is>
      </c>
      <c r="D1172" t="inlineStr">
        <is>
          <t>Restaurante / Cantina</t>
        </is>
      </c>
      <c r="E1172" t="n">
        <v>3209.2</v>
      </c>
      <c r="F1172" t="n">
        <v>78.54000000000001</v>
      </c>
      <c r="G1172" t="n">
        <v>77</v>
      </c>
      <c r="J1172" t="inlineStr">
        <is>
          <t>M</t>
        </is>
      </c>
      <c r="K1172" t="n">
        <v>2024</v>
      </c>
      <c r="L1172" t="n">
        <v>12</v>
      </c>
      <c r="M1172" t="inlineStr">
        <is>
          <t>Muçarela Mozzalet 2 kg</t>
        </is>
      </c>
      <c r="N1172" t="inlineStr">
        <is>
          <t>Restaurante / Cantina</t>
        </is>
      </c>
      <c r="O1172" t="n">
        <v>1</v>
      </c>
      <c r="P1172" t="n">
        <v>3</v>
      </c>
      <c r="Q1172" t="n">
        <v>0</v>
      </c>
    </row>
    <row r="1173">
      <c r="A1173" t="n">
        <v>2025</v>
      </c>
      <c r="B1173" t="n">
        <v>9</v>
      </c>
      <c r="C1173" t="inlineStr">
        <is>
          <t>Chocolate em pó 50% 1 kg</t>
        </is>
      </c>
      <c r="D1173" t="inlineStr">
        <is>
          <t>Supermercado</t>
        </is>
      </c>
      <c r="E1173" t="n">
        <v>166.36</v>
      </c>
      <c r="F1173" t="n">
        <v>4.08</v>
      </c>
      <c r="G1173" t="n">
        <v>4</v>
      </c>
      <c r="J1173" t="inlineStr">
        <is>
          <t>A</t>
        </is>
      </c>
      <c r="K1173" t="n">
        <v>2024</v>
      </c>
      <c r="L1173" t="n">
        <v>1</v>
      </c>
      <c r="M1173" t="inlineStr">
        <is>
          <t>Muçarela Mozzalet 2 kg</t>
        </is>
      </c>
      <c r="N1173" t="inlineStr">
        <is>
          <t>Cozinha Industrial</t>
        </is>
      </c>
      <c r="O1173" t="n">
        <v>1</v>
      </c>
      <c r="P1173" t="n">
        <v>2</v>
      </c>
      <c r="Q1173" t="n">
        <v>1</v>
      </c>
    </row>
    <row r="1174">
      <c r="A1174" t="n">
        <v>2025</v>
      </c>
      <c r="B1174" t="n">
        <v>9</v>
      </c>
      <c r="C1174" t="inlineStr">
        <is>
          <t>Composto lácteo Alibralac 1 kg</t>
        </is>
      </c>
      <c r="D1174" t="inlineStr">
        <is>
          <t>Cozinha Industrial</t>
        </is>
      </c>
      <c r="E1174" t="n">
        <v>3966.1</v>
      </c>
      <c r="F1174" t="n">
        <v>173.4</v>
      </c>
      <c r="G1174" t="n">
        <v>170</v>
      </c>
      <c r="J1174" t="inlineStr">
        <is>
          <t>M</t>
        </is>
      </c>
      <c r="K1174" t="n">
        <v>2024</v>
      </c>
      <c r="L1174" t="n">
        <v>1</v>
      </c>
      <c r="M1174" t="inlineStr">
        <is>
          <t>Muçarela Mozzalet 2 kg</t>
        </is>
      </c>
      <c r="N1174" t="inlineStr">
        <is>
          <t>Cozinha Industrial</t>
        </is>
      </c>
      <c r="O1174" t="n">
        <v>1</v>
      </c>
      <c r="P1174" t="n">
        <v>2</v>
      </c>
      <c r="Q1174" t="n">
        <v>0</v>
      </c>
    </row>
    <row r="1175">
      <c r="A1175" t="n">
        <v>2025</v>
      </c>
      <c r="B1175" t="n">
        <v>9</v>
      </c>
      <c r="C1175" t="inlineStr">
        <is>
          <t>Composto lácteo Alibralac 1 kg</t>
        </is>
      </c>
      <c r="D1175" t="inlineStr">
        <is>
          <t>Fábrica de Massas</t>
        </is>
      </c>
      <c r="E1175" t="n">
        <v>23.1</v>
      </c>
      <c r="F1175" t="n">
        <v>1.02</v>
      </c>
      <c r="G1175" t="n">
        <v>1</v>
      </c>
      <c r="J1175" t="inlineStr">
        <is>
          <t>A</t>
        </is>
      </c>
      <c r="K1175" t="n">
        <v>2024</v>
      </c>
      <c r="L1175" t="n">
        <v>2</v>
      </c>
      <c r="M1175" t="inlineStr">
        <is>
          <t>Muçarela Mozzalet 2 kg</t>
        </is>
      </c>
      <c r="N1175" t="inlineStr">
        <is>
          <t>Cozinha Industrial</t>
        </is>
      </c>
      <c r="O1175" t="n">
        <v>1</v>
      </c>
      <c r="P1175" t="n">
        <v>2</v>
      </c>
      <c r="Q1175" t="n">
        <v>1</v>
      </c>
    </row>
    <row r="1176">
      <c r="A1176" t="n">
        <v>2025</v>
      </c>
      <c r="B1176" t="n">
        <v>9</v>
      </c>
      <c r="C1176" t="inlineStr">
        <is>
          <t>Composto lácteo Alibralac 1 kg</t>
        </is>
      </c>
      <c r="D1176" t="inlineStr">
        <is>
          <t>Hotel / Motel / Pousada</t>
        </is>
      </c>
      <c r="E1176" t="n">
        <v>233.9</v>
      </c>
      <c r="F1176" t="n">
        <v>10.2</v>
      </c>
      <c r="G1176" t="n">
        <v>10</v>
      </c>
      <c r="J1176" t="inlineStr">
        <is>
          <t>A</t>
        </is>
      </c>
      <c r="K1176" t="n">
        <v>2024</v>
      </c>
      <c r="L1176" t="n">
        <v>3</v>
      </c>
      <c r="M1176" t="inlineStr">
        <is>
          <t>Muçarela Mozzalet 2 kg</t>
        </is>
      </c>
      <c r="N1176" t="inlineStr">
        <is>
          <t>Cozinha Industrial</t>
        </is>
      </c>
      <c r="O1176" t="n">
        <v>2</v>
      </c>
      <c r="P1176" t="n">
        <v>7</v>
      </c>
      <c r="Q1176" t="n">
        <v>2</v>
      </c>
    </row>
    <row r="1177">
      <c r="A1177" t="n">
        <v>2025</v>
      </c>
      <c r="B1177" t="n">
        <v>9</v>
      </c>
      <c r="C1177" t="inlineStr">
        <is>
          <t>Composto lácteo Alibralac 1 kg</t>
        </is>
      </c>
      <c r="D1177" t="inlineStr">
        <is>
          <t>Padaria</t>
        </is>
      </c>
      <c r="E1177" t="n">
        <v>462</v>
      </c>
      <c r="F1177" t="n">
        <v>20.4</v>
      </c>
      <c r="G1177" t="n">
        <v>20</v>
      </c>
      <c r="J1177" t="inlineStr">
        <is>
          <t>M</t>
        </is>
      </c>
      <c r="K1177" t="n">
        <v>2024</v>
      </c>
      <c r="L1177" t="n">
        <v>3</v>
      </c>
      <c r="M1177" t="inlineStr">
        <is>
          <t>Muçarela Mozzalet 2 kg</t>
        </is>
      </c>
      <c r="N1177" t="inlineStr">
        <is>
          <t>Cozinha Industrial</t>
        </is>
      </c>
      <c r="O1177" t="n">
        <v>2</v>
      </c>
      <c r="P1177" t="n">
        <v>5</v>
      </c>
      <c r="Q1177" t="n">
        <v>0</v>
      </c>
    </row>
    <row r="1178">
      <c r="A1178" t="n">
        <v>2025</v>
      </c>
      <c r="B1178" t="n">
        <v>9</v>
      </c>
      <c r="C1178" t="inlineStr">
        <is>
          <t>Composto lácteo Alibralac 1 kg</t>
        </is>
      </c>
      <c r="D1178" t="inlineStr">
        <is>
          <t>Restaurante / Cantina</t>
        </is>
      </c>
      <c r="E1178" t="n">
        <v>233</v>
      </c>
      <c r="F1178" t="n">
        <v>10.2</v>
      </c>
      <c r="G1178" t="n">
        <v>10</v>
      </c>
      <c r="J1178" t="inlineStr">
        <is>
          <t>A</t>
        </is>
      </c>
      <c r="K1178" t="n">
        <v>2024</v>
      </c>
      <c r="L1178" t="n">
        <v>4</v>
      </c>
      <c r="M1178" t="inlineStr">
        <is>
          <t>Muçarela Mozzalet 2 kg</t>
        </is>
      </c>
      <c r="N1178" t="inlineStr">
        <is>
          <t>Cozinha Industrial</t>
        </is>
      </c>
      <c r="O1178" t="n">
        <v>2</v>
      </c>
      <c r="P1178" t="n">
        <v>9</v>
      </c>
      <c r="Q1178" t="n">
        <v>2</v>
      </c>
    </row>
    <row r="1179">
      <c r="A1179" t="n">
        <v>2025</v>
      </c>
      <c r="B1179" t="n">
        <v>9</v>
      </c>
      <c r="C1179" t="inlineStr">
        <is>
          <t>Composto lácteo Merilú 400 g</t>
        </is>
      </c>
      <c r="D1179" t="inlineStr">
        <is>
          <t>Outros</t>
        </is>
      </c>
      <c r="E1179" t="n">
        <v>426.57</v>
      </c>
      <c r="F1179" t="n">
        <v>24.78</v>
      </c>
      <c r="G1179" t="n">
        <v>59</v>
      </c>
      <c r="J1179" t="inlineStr">
        <is>
          <t>M</t>
        </is>
      </c>
      <c r="K1179" t="n">
        <v>2024</v>
      </c>
      <c r="L1179" t="n">
        <v>4</v>
      </c>
      <c r="M1179" t="inlineStr">
        <is>
          <t>Muçarela Mozzalet 2 kg</t>
        </is>
      </c>
      <c r="N1179" t="inlineStr">
        <is>
          <t>Cozinha Industrial</t>
        </is>
      </c>
      <c r="O1179" t="n">
        <v>2</v>
      </c>
      <c r="P1179" t="n">
        <v>2</v>
      </c>
      <c r="Q1179" t="n">
        <v>0</v>
      </c>
    </row>
    <row r="1180">
      <c r="A1180" t="n">
        <v>2025</v>
      </c>
      <c r="B1180" t="n">
        <v>9</v>
      </c>
      <c r="C1180" t="inlineStr">
        <is>
          <t>Composto lácteo Merilú 400 g</t>
        </is>
      </c>
      <c r="D1180" t="inlineStr">
        <is>
          <t>Padaria</t>
        </is>
      </c>
      <c r="E1180" t="n">
        <v>507</v>
      </c>
      <c r="F1180" t="n">
        <v>31.5</v>
      </c>
      <c r="G1180" t="n">
        <v>75</v>
      </c>
      <c r="J1180" t="inlineStr">
        <is>
          <t>A</t>
        </is>
      </c>
      <c r="K1180" t="n">
        <v>2024</v>
      </c>
      <c r="L1180" t="n">
        <v>5</v>
      </c>
      <c r="M1180" t="inlineStr">
        <is>
          <t>Muçarela Mozzalet 2 kg</t>
        </is>
      </c>
      <c r="N1180" t="inlineStr">
        <is>
          <t>Cozinha Industrial</t>
        </is>
      </c>
      <c r="O1180" t="n">
        <v>2</v>
      </c>
      <c r="P1180" t="n">
        <v>13</v>
      </c>
      <c r="Q1180" t="n">
        <v>2</v>
      </c>
    </row>
    <row r="1181">
      <c r="A1181" t="n">
        <v>2025</v>
      </c>
      <c r="B1181" t="n">
        <v>9</v>
      </c>
      <c r="C1181" t="inlineStr">
        <is>
          <t>Composto lácteo Merilú 400 g</t>
        </is>
      </c>
      <c r="D1181" t="inlineStr">
        <is>
          <t>Pizzaria</t>
        </is>
      </c>
      <c r="E1181" t="n">
        <v>7.3</v>
      </c>
      <c r="F1181" t="n">
        <v>0.42</v>
      </c>
      <c r="G1181" t="n">
        <v>1</v>
      </c>
      <c r="J1181" t="inlineStr">
        <is>
          <t>M</t>
        </is>
      </c>
      <c r="K1181" t="n">
        <v>2024</v>
      </c>
      <c r="L1181" t="n">
        <v>5</v>
      </c>
      <c r="M1181" t="inlineStr">
        <is>
          <t>Muçarela Mozzalet 2 kg</t>
        </is>
      </c>
      <c r="N1181" t="inlineStr">
        <is>
          <t>Cozinha Industrial</t>
        </is>
      </c>
      <c r="O1181" t="n">
        <v>2</v>
      </c>
      <c r="P1181" t="n">
        <v>4</v>
      </c>
      <c r="Q1181" t="n">
        <v>0</v>
      </c>
    </row>
    <row r="1182">
      <c r="A1182" t="n">
        <v>2025</v>
      </c>
      <c r="B1182" t="n">
        <v>9</v>
      </c>
      <c r="C1182" t="inlineStr">
        <is>
          <t>Composto lácteo Merilú 400 g</t>
        </is>
      </c>
      <c r="D1182" t="inlineStr">
        <is>
          <t>Restaurante / Cantina</t>
        </is>
      </c>
      <c r="E1182" t="n">
        <v>1155.79</v>
      </c>
      <c r="F1182" t="n">
        <v>66.78</v>
      </c>
      <c r="G1182" t="n">
        <v>159</v>
      </c>
      <c r="J1182" t="inlineStr">
        <is>
          <t>A</t>
        </is>
      </c>
      <c r="K1182" t="n">
        <v>2024</v>
      </c>
      <c r="L1182" t="n">
        <v>6</v>
      </c>
      <c r="M1182" t="inlineStr">
        <is>
          <t>Muçarela Mozzalet 2 kg</t>
        </is>
      </c>
      <c r="N1182" t="inlineStr">
        <is>
          <t>Cozinha Industrial</t>
        </is>
      </c>
      <c r="O1182" t="n">
        <v>4</v>
      </c>
      <c r="P1182" t="n">
        <v>18</v>
      </c>
      <c r="Q1182" t="n">
        <v>4</v>
      </c>
    </row>
    <row r="1183">
      <c r="A1183" t="n">
        <v>2025</v>
      </c>
      <c r="B1183" t="n">
        <v>9</v>
      </c>
      <c r="C1183" t="inlineStr">
        <is>
          <t>Composto lácteo Merilú 400 g</t>
        </is>
      </c>
      <c r="D1183" t="inlineStr">
        <is>
          <t>Supermercado</t>
        </is>
      </c>
      <c r="E1183" t="n">
        <v>262.38</v>
      </c>
      <c r="F1183" t="n">
        <v>15.12</v>
      </c>
      <c r="G1183" t="n">
        <v>36</v>
      </c>
      <c r="J1183" t="inlineStr">
        <is>
          <t>M</t>
        </is>
      </c>
      <c r="K1183" t="n">
        <v>2024</v>
      </c>
      <c r="L1183" t="n">
        <v>6</v>
      </c>
      <c r="M1183" t="inlineStr">
        <is>
          <t>Muçarela Mozzalet 2 kg</t>
        </is>
      </c>
      <c r="N1183" t="inlineStr">
        <is>
          <t>Cozinha Industrial</t>
        </is>
      </c>
      <c r="O1183" t="n">
        <v>3</v>
      </c>
      <c r="P1183" t="n">
        <v>5</v>
      </c>
      <c r="Q1183" t="n">
        <v>0</v>
      </c>
    </row>
    <row r="1184">
      <c r="A1184" t="n">
        <v>2025</v>
      </c>
      <c r="B1184" t="n">
        <v>9</v>
      </c>
      <c r="C1184" t="inlineStr">
        <is>
          <t>Muçarela Mozzalet 2 kg</t>
        </is>
      </c>
      <c r="D1184" t="inlineStr">
        <is>
          <t>Cozinha Industrial</t>
        </is>
      </c>
      <c r="E1184" t="n">
        <v>16608.22</v>
      </c>
      <c r="F1184" t="n">
        <v>746</v>
      </c>
      <c r="G1184" t="n">
        <v>373</v>
      </c>
      <c r="J1184" t="inlineStr">
        <is>
          <t>A</t>
        </is>
      </c>
      <c r="K1184" t="n">
        <v>2024</v>
      </c>
      <c r="L1184" t="n">
        <v>7</v>
      </c>
      <c r="M1184" t="inlineStr">
        <is>
          <t>Muçarela Mozzalet 2 kg</t>
        </is>
      </c>
      <c r="N1184" t="inlineStr">
        <is>
          <t>Cozinha Industrial</t>
        </is>
      </c>
      <c r="O1184" t="n">
        <v>4</v>
      </c>
      <c r="P1184" t="n">
        <v>21</v>
      </c>
      <c r="Q1184" t="n">
        <v>4</v>
      </c>
    </row>
    <row r="1185">
      <c r="A1185" t="n">
        <v>2025</v>
      </c>
      <c r="B1185" t="n">
        <v>9</v>
      </c>
      <c r="C1185" t="inlineStr">
        <is>
          <t>Muçarela Mozzalet 2 kg</t>
        </is>
      </c>
      <c r="D1185" t="inlineStr">
        <is>
          <t>Esfiharia</t>
        </is>
      </c>
      <c r="E1185" t="n">
        <v>4404.99</v>
      </c>
      <c r="F1185" t="n">
        <v>192</v>
      </c>
      <c r="G1185" t="n">
        <v>96</v>
      </c>
      <c r="J1185" t="inlineStr">
        <is>
          <t>M</t>
        </is>
      </c>
      <c r="K1185" t="n">
        <v>2024</v>
      </c>
      <c r="L1185" t="n">
        <v>7</v>
      </c>
      <c r="M1185" t="inlineStr">
        <is>
          <t>Muçarela Mozzalet 2 kg</t>
        </is>
      </c>
      <c r="N1185" t="inlineStr">
        <is>
          <t>Cozinha Industrial</t>
        </is>
      </c>
      <c r="O1185" t="n">
        <v>2</v>
      </c>
      <c r="P1185" t="n">
        <v>3</v>
      </c>
      <c r="Q1185" t="n">
        <v>0</v>
      </c>
    </row>
    <row r="1186">
      <c r="A1186" t="n">
        <v>2025</v>
      </c>
      <c r="B1186" t="n">
        <v>9</v>
      </c>
      <c r="C1186" t="inlineStr">
        <is>
          <t>Muçarela Mozzalet 2 kg</t>
        </is>
      </c>
      <c r="D1186" t="inlineStr">
        <is>
          <t>Fábrica de Massas</t>
        </is>
      </c>
      <c r="E1186" t="n">
        <v>5369</v>
      </c>
      <c r="F1186" t="n">
        <v>236</v>
      </c>
      <c r="G1186" t="n">
        <v>118</v>
      </c>
      <c r="J1186" t="inlineStr">
        <is>
          <t>A</t>
        </is>
      </c>
      <c r="K1186" t="n">
        <v>2024</v>
      </c>
      <c r="L1186" t="n">
        <v>8</v>
      </c>
      <c r="M1186" t="inlineStr">
        <is>
          <t>Muçarela Mozzalet 2 kg</t>
        </is>
      </c>
      <c r="N1186" t="inlineStr">
        <is>
          <t>Cozinha Industrial</t>
        </is>
      </c>
      <c r="O1186" t="n">
        <v>4</v>
      </c>
      <c r="P1186" t="n">
        <v>21</v>
      </c>
      <c r="Q1186" t="n">
        <v>4</v>
      </c>
    </row>
    <row r="1187">
      <c r="A1187" t="n">
        <v>2025</v>
      </c>
      <c r="B1187" t="n">
        <v>9</v>
      </c>
      <c r="C1187" t="inlineStr">
        <is>
          <t>Muçarela Mozzalet 2 kg</t>
        </is>
      </c>
      <c r="D1187" t="inlineStr">
        <is>
          <t>Lanchonete / Cafeteria</t>
        </is>
      </c>
      <c r="E1187" t="n">
        <v>911.8</v>
      </c>
      <c r="F1187" t="n">
        <v>40</v>
      </c>
      <c r="G1187" t="n">
        <v>20</v>
      </c>
      <c r="J1187" t="inlineStr">
        <is>
          <t>A</t>
        </is>
      </c>
      <c r="K1187" t="n">
        <v>2024</v>
      </c>
      <c r="L1187" t="n">
        <v>9</v>
      </c>
      <c r="M1187" t="inlineStr">
        <is>
          <t>Muçarela Mozzalet 2 kg</t>
        </is>
      </c>
      <c r="N1187" t="inlineStr">
        <is>
          <t>Cozinha Industrial</t>
        </is>
      </c>
      <c r="O1187" t="n">
        <v>5</v>
      </c>
      <c r="P1187" t="n">
        <v>23</v>
      </c>
      <c r="Q1187" t="n">
        <v>5</v>
      </c>
    </row>
    <row r="1188">
      <c r="A1188" t="n">
        <v>2025</v>
      </c>
      <c r="B1188" t="n">
        <v>9</v>
      </c>
      <c r="C1188" t="inlineStr">
        <is>
          <t>Muçarela Mozzalet 2 kg</t>
        </is>
      </c>
      <c r="D1188" t="inlineStr">
        <is>
          <t>Laticínios / Distribuidor</t>
        </is>
      </c>
      <c r="E1188" t="n">
        <v>3289.68</v>
      </c>
      <c r="F1188" t="n">
        <v>144</v>
      </c>
      <c r="G1188" t="n">
        <v>72</v>
      </c>
      <c r="J1188" t="inlineStr">
        <is>
          <t>M</t>
        </is>
      </c>
      <c r="K1188" t="n">
        <v>2024</v>
      </c>
      <c r="L1188" t="n">
        <v>9</v>
      </c>
      <c r="M1188" t="inlineStr">
        <is>
          <t>Muçarela Mozzalet 2 kg</t>
        </is>
      </c>
      <c r="N1188" t="inlineStr">
        <is>
          <t>Cozinha Industrial</t>
        </is>
      </c>
      <c r="O1188" t="n">
        <v>2</v>
      </c>
      <c r="P1188" t="n">
        <v>2</v>
      </c>
      <c r="Q1188" t="n">
        <v>0</v>
      </c>
    </row>
    <row r="1189">
      <c r="A1189" t="n">
        <v>2025</v>
      </c>
      <c r="B1189" t="n">
        <v>9</v>
      </c>
      <c r="C1189" t="inlineStr">
        <is>
          <t>Muçarela Mozzalet 2 kg</t>
        </is>
      </c>
      <c r="D1189" t="inlineStr">
        <is>
          <t>Outros</t>
        </is>
      </c>
      <c r="E1189" t="n">
        <v>831.24</v>
      </c>
      <c r="F1189" t="n">
        <v>36</v>
      </c>
      <c r="G1189" t="n">
        <v>18</v>
      </c>
      <c r="J1189" t="inlineStr">
        <is>
          <t>A</t>
        </is>
      </c>
      <c r="K1189" t="n">
        <v>2024</v>
      </c>
      <c r="L1189" t="n">
        <v>10</v>
      </c>
      <c r="M1189" t="inlineStr">
        <is>
          <t>Muçarela Mozzalet 2 kg</t>
        </is>
      </c>
      <c r="N1189" t="inlineStr">
        <is>
          <t>Cozinha Industrial</t>
        </is>
      </c>
      <c r="O1189" t="n">
        <v>5</v>
      </c>
      <c r="P1189" t="n">
        <v>28</v>
      </c>
      <c r="Q1189" t="n">
        <v>5</v>
      </c>
    </row>
    <row r="1190">
      <c r="A1190" t="n">
        <v>2025</v>
      </c>
      <c r="B1190" t="n">
        <v>9</v>
      </c>
      <c r="C1190" t="inlineStr">
        <is>
          <t>Muçarela Mozzalet 2 kg</t>
        </is>
      </c>
      <c r="D1190" t="inlineStr">
        <is>
          <t>Padaria</t>
        </is>
      </c>
      <c r="E1190" t="n">
        <v>838.4400000000001</v>
      </c>
      <c r="F1190" t="n">
        <v>36</v>
      </c>
      <c r="G1190" t="n">
        <v>18</v>
      </c>
      <c r="J1190" t="inlineStr">
        <is>
          <t>M</t>
        </is>
      </c>
      <c r="K1190" t="n">
        <v>2024</v>
      </c>
      <c r="L1190" t="n">
        <v>10</v>
      </c>
      <c r="M1190" t="inlineStr">
        <is>
          <t>Muçarela Mozzalet 2 kg</t>
        </is>
      </c>
      <c r="N1190" t="inlineStr">
        <is>
          <t>Cozinha Industrial</t>
        </is>
      </c>
      <c r="O1190" t="n">
        <v>3</v>
      </c>
      <c r="P1190" t="n">
        <v>5</v>
      </c>
      <c r="Q1190" t="n">
        <v>0</v>
      </c>
    </row>
    <row r="1191">
      <c r="A1191" t="n">
        <v>2025</v>
      </c>
      <c r="B1191" t="n">
        <v>9</v>
      </c>
      <c r="C1191" t="inlineStr">
        <is>
          <t>Muçarela Mozzalet 2 kg</t>
        </is>
      </c>
      <c r="D1191" t="inlineStr">
        <is>
          <t>Pastelaria</t>
        </is>
      </c>
      <c r="E1191" t="n">
        <v>1734.82</v>
      </c>
      <c r="F1191" t="n">
        <v>76</v>
      </c>
      <c r="G1191" t="n">
        <v>38</v>
      </c>
      <c r="J1191" t="inlineStr">
        <is>
          <t>A</t>
        </is>
      </c>
      <c r="K1191" t="n">
        <v>2024</v>
      </c>
      <c r="L1191" t="n">
        <v>11</v>
      </c>
      <c r="M1191" t="inlineStr">
        <is>
          <t>Muçarela Mozzalet 2 kg</t>
        </is>
      </c>
      <c r="N1191" t="inlineStr">
        <is>
          <t>Cozinha Industrial</t>
        </is>
      </c>
      <c r="O1191" t="n">
        <v>5</v>
      </c>
      <c r="P1191" t="n">
        <v>33</v>
      </c>
      <c r="Q1191" t="n">
        <v>5</v>
      </c>
    </row>
    <row r="1192">
      <c r="A1192" t="n">
        <v>2025</v>
      </c>
      <c r="B1192" t="n">
        <v>9</v>
      </c>
      <c r="C1192" t="inlineStr">
        <is>
          <t>Muçarela Mozzalet 2 kg</t>
        </is>
      </c>
      <c r="D1192" t="inlineStr">
        <is>
          <t>Pessoa Física</t>
        </is>
      </c>
      <c r="E1192" t="n">
        <v>4995.7</v>
      </c>
      <c r="F1192" t="n">
        <v>222</v>
      </c>
      <c r="G1192" t="n">
        <v>111</v>
      </c>
      <c r="J1192" t="inlineStr">
        <is>
          <t>M</t>
        </is>
      </c>
      <c r="K1192" t="n">
        <v>2024</v>
      </c>
      <c r="L1192" t="n">
        <v>11</v>
      </c>
      <c r="M1192" t="inlineStr">
        <is>
          <t>Muçarela Mozzalet 2 kg</t>
        </is>
      </c>
      <c r="N1192" t="inlineStr">
        <is>
          <t>Cozinha Industrial</t>
        </is>
      </c>
      <c r="O1192" t="n">
        <v>2</v>
      </c>
      <c r="P1192" t="n">
        <v>5</v>
      </c>
      <c r="Q1192" t="n">
        <v>0</v>
      </c>
    </row>
    <row r="1193">
      <c r="A1193" t="n">
        <v>2025</v>
      </c>
      <c r="B1193" t="n">
        <v>9</v>
      </c>
      <c r="C1193" t="inlineStr">
        <is>
          <t>Muçarela Mozzalet 2 kg</t>
        </is>
      </c>
      <c r="D1193" t="inlineStr">
        <is>
          <t>Pizzaria</t>
        </is>
      </c>
      <c r="E1193" t="n">
        <v>16324.8</v>
      </c>
      <c r="F1193" t="n">
        <v>722</v>
      </c>
      <c r="G1193" t="n">
        <v>361</v>
      </c>
      <c r="J1193" t="inlineStr">
        <is>
          <t>A</t>
        </is>
      </c>
      <c r="K1193" t="n">
        <v>2024</v>
      </c>
      <c r="L1193" t="n">
        <v>12</v>
      </c>
      <c r="M1193" t="inlineStr">
        <is>
          <t>Muçarela Mozzalet 2 kg</t>
        </is>
      </c>
      <c r="N1193" t="inlineStr">
        <is>
          <t>Cozinha Industrial</t>
        </is>
      </c>
      <c r="O1193" t="n">
        <v>5</v>
      </c>
      <c r="P1193" t="n">
        <v>36</v>
      </c>
      <c r="Q1193" t="n">
        <v>5</v>
      </c>
    </row>
    <row r="1194">
      <c r="A1194" t="n">
        <v>2025</v>
      </c>
      <c r="B1194" t="n">
        <v>9</v>
      </c>
      <c r="C1194" t="inlineStr">
        <is>
          <t>Muçarela Mozzalet 2 kg</t>
        </is>
      </c>
      <c r="D1194" t="inlineStr">
        <is>
          <t>Restaurante / Cantina</t>
        </is>
      </c>
      <c r="E1194" t="n">
        <v>40629</v>
      </c>
      <c r="F1194" t="n">
        <v>1830</v>
      </c>
      <c r="G1194" t="n">
        <v>915</v>
      </c>
      <c r="J1194" t="inlineStr">
        <is>
          <t>M</t>
        </is>
      </c>
      <c r="K1194" t="n">
        <v>2024</v>
      </c>
      <c r="L1194" t="n">
        <v>12</v>
      </c>
      <c r="M1194" t="inlineStr">
        <is>
          <t>Muçarela Mozzalet 2 kg</t>
        </is>
      </c>
      <c r="N1194" t="inlineStr">
        <is>
          <t>Cozinha Industrial</t>
        </is>
      </c>
      <c r="O1194" t="n">
        <v>1</v>
      </c>
      <c r="P1194" t="n">
        <v>3</v>
      </c>
      <c r="Q1194" t="n">
        <v>0</v>
      </c>
    </row>
    <row r="1195">
      <c r="A1195" t="n">
        <v>2025</v>
      </c>
      <c r="B1195" t="n">
        <v>9</v>
      </c>
      <c r="C1195" t="inlineStr">
        <is>
          <t>Muçarela Mozzalet 2 kg</t>
        </is>
      </c>
      <c r="D1195" t="inlineStr">
        <is>
          <t>Rotisserie</t>
        </is>
      </c>
      <c r="E1195" t="n">
        <v>1268.73</v>
      </c>
      <c r="F1195" t="n">
        <v>54</v>
      </c>
      <c r="G1195" t="n">
        <v>27</v>
      </c>
      <c r="J1195" t="inlineStr">
        <is>
          <t>A</t>
        </is>
      </c>
      <c r="K1195" t="n">
        <v>2024</v>
      </c>
      <c r="L1195" t="n">
        <v>3</v>
      </c>
      <c r="M1195" t="inlineStr">
        <is>
          <t>Muçarela Mozzalet 2 kg</t>
        </is>
      </c>
      <c r="N1195" t="inlineStr">
        <is>
          <t>Fábrica de Massas</t>
        </is>
      </c>
      <c r="O1195" t="n">
        <v>1</v>
      </c>
      <c r="P1195" t="n">
        <v>1</v>
      </c>
      <c r="Q1195" t="n">
        <v>1</v>
      </c>
    </row>
    <row r="1196">
      <c r="A1196" t="n">
        <v>2025</v>
      </c>
      <c r="B1196" t="n">
        <v>9</v>
      </c>
      <c r="C1196" t="inlineStr">
        <is>
          <t>Muçarela Mozzana 2 kg</t>
        </is>
      </c>
      <c r="D1196" t="inlineStr">
        <is>
          <t>Bar / Chopperia</t>
        </is>
      </c>
      <c r="E1196" t="n">
        <v>276</v>
      </c>
      <c r="F1196" t="n">
        <v>12.12</v>
      </c>
      <c r="G1196" t="n">
        <v>6</v>
      </c>
      <c r="J1196" t="inlineStr">
        <is>
          <t>M</t>
        </is>
      </c>
      <c r="K1196" t="n">
        <v>2024</v>
      </c>
      <c r="L1196" t="n">
        <v>3</v>
      </c>
      <c r="M1196" t="inlineStr">
        <is>
          <t>Muçarela Mozzalet 2 kg</t>
        </is>
      </c>
      <c r="N1196" t="inlineStr">
        <is>
          <t>Fábrica de Massas</t>
        </is>
      </c>
      <c r="O1196" t="n">
        <v>1</v>
      </c>
      <c r="P1196" t="n">
        <v>1</v>
      </c>
      <c r="Q1196" t="n">
        <v>0</v>
      </c>
    </row>
    <row r="1197">
      <c r="A1197" t="n">
        <v>2025</v>
      </c>
      <c r="B1197" t="n">
        <v>9</v>
      </c>
      <c r="C1197" t="inlineStr">
        <is>
          <t>Muçarela Mozzana 2 kg</t>
        </is>
      </c>
      <c r="D1197" t="inlineStr">
        <is>
          <t>Buffet</t>
        </is>
      </c>
      <c r="E1197" t="n">
        <v>1403.64</v>
      </c>
      <c r="F1197" t="n">
        <v>60.6</v>
      </c>
      <c r="G1197" t="n">
        <v>30</v>
      </c>
      <c r="J1197" t="inlineStr">
        <is>
          <t>A</t>
        </is>
      </c>
      <c r="K1197" t="n">
        <v>2024</v>
      </c>
      <c r="L1197" t="n">
        <v>4</v>
      </c>
      <c r="M1197" t="inlineStr">
        <is>
          <t>Muçarela Mozzalet 2 kg</t>
        </is>
      </c>
      <c r="N1197" t="inlineStr">
        <is>
          <t>Fábrica de Massas</t>
        </is>
      </c>
      <c r="O1197" t="n">
        <v>1</v>
      </c>
      <c r="P1197" t="n">
        <v>1</v>
      </c>
      <c r="Q1197" t="n">
        <v>1</v>
      </c>
    </row>
    <row r="1198">
      <c r="A1198" t="n">
        <v>2025</v>
      </c>
      <c r="B1198" t="n">
        <v>9</v>
      </c>
      <c r="C1198" t="inlineStr">
        <is>
          <t>Muçarela Mozzana 2 kg</t>
        </is>
      </c>
      <c r="D1198" t="inlineStr">
        <is>
          <t>Churrascaria</t>
        </is>
      </c>
      <c r="E1198" t="n">
        <v>92.95999999999999</v>
      </c>
      <c r="F1198" t="n">
        <v>4.04</v>
      </c>
      <c r="G1198" t="n">
        <v>2</v>
      </c>
      <c r="J1198" t="inlineStr">
        <is>
          <t>A</t>
        </is>
      </c>
      <c r="K1198" t="n">
        <v>2024</v>
      </c>
      <c r="L1198" t="n">
        <v>5</v>
      </c>
      <c r="M1198" t="inlineStr">
        <is>
          <t>Muçarela Mozzalet 2 kg</t>
        </is>
      </c>
      <c r="N1198" t="inlineStr">
        <is>
          <t>Fábrica de Massas</t>
        </is>
      </c>
      <c r="O1198" t="n">
        <v>2</v>
      </c>
      <c r="P1198" t="n">
        <v>2</v>
      </c>
      <c r="Q1198" t="n">
        <v>2</v>
      </c>
    </row>
    <row r="1199">
      <c r="A1199" t="n">
        <v>2025</v>
      </c>
      <c r="B1199" t="n">
        <v>9</v>
      </c>
      <c r="C1199" t="inlineStr">
        <is>
          <t>Muçarela Mozzana 2 kg</t>
        </is>
      </c>
      <c r="D1199" t="inlineStr">
        <is>
          <t>Confeitaria</t>
        </is>
      </c>
      <c r="E1199" t="n">
        <v>413.91</v>
      </c>
      <c r="F1199" t="n">
        <v>18.18</v>
      </c>
      <c r="G1199" t="n">
        <v>9</v>
      </c>
      <c r="J1199" t="inlineStr">
        <is>
          <t>M</t>
        </is>
      </c>
      <c r="K1199" t="n">
        <v>2024</v>
      </c>
      <c r="L1199" t="n">
        <v>5</v>
      </c>
      <c r="M1199" t="inlineStr">
        <is>
          <t>Muçarela Mozzalet 2 kg</t>
        </is>
      </c>
      <c r="N1199" t="inlineStr">
        <is>
          <t>Fábrica de Massas</t>
        </is>
      </c>
      <c r="O1199" t="n">
        <v>1</v>
      </c>
      <c r="P1199" t="n">
        <v>1</v>
      </c>
      <c r="Q1199" t="n">
        <v>0</v>
      </c>
    </row>
    <row r="1200">
      <c r="A1200" t="n">
        <v>2025</v>
      </c>
      <c r="B1200" t="n">
        <v>9</v>
      </c>
      <c r="C1200" t="inlineStr">
        <is>
          <t>Muçarela Mozzana 2 kg</t>
        </is>
      </c>
      <c r="D1200" t="inlineStr">
        <is>
          <t>Cozinha Industrial</t>
        </is>
      </c>
      <c r="E1200" t="n">
        <v>3209.06</v>
      </c>
      <c r="F1200" t="n">
        <v>141.4</v>
      </c>
      <c r="G1200" t="n">
        <v>70</v>
      </c>
      <c r="J1200" t="inlineStr">
        <is>
          <t>A</t>
        </is>
      </c>
      <c r="K1200" t="n">
        <v>2024</v>
      </c>
      <c r="L1200" t="n">
        <v>6</v>
      </c>
      <c r="M1200" t="inlineStr">
        <is>
          <t>Muçarela Mozzalet 2 kg</t>
        </is>
      </c>
      <c r="N1200" t="inlineStr">
        <is>
          <t>Fábrica de Massas</t>
        </is>
      </c>
      <c r="O1200" t="n">
        <v>3</v>
      </c>
      <c r="P1200" t="n">
        <v>4</v>
      </c>
      <c r="Q1200" t="n">
        <v>3</v>
      </c>
    </row>
    <row r="1201">
      <c r="A1201" t="n">
        <v>2025</v>
      </c>
      <c r="B1201" t="n">
        <v>9</v>
      </c>
      <c r="C1201" t="inlineStr">
        <is>
          <t>Muçarela Mozzana 2 kg</t>
        </is>
      </c>
      <c r="D1201" t="inlineStr">
        <is>
          <t>Esfiharia</t>
        </is>
      </c>
      <c r="E1201" t="n">
        <v>3431.5</v>
      </c>
      <c r="F1201" t="n">
        <v>151.5</v>
      </c>
      <c r="G1201" t="n">
        <v>75</v>
      </c>
      <c r="J1201" t="inlineStr">
        <is>
          <t>M</t>
        </is>
      </c>
      <c r="K1201" t="n">
        <v>2024</v>
      </c>
      <c r="L1201" t="n">
        <v>6</v>
      </c>
      <c r="M1201" t="inlineStr">
        <is>
          <t>Muçarela Mozzalet 2 kg</t>
        </is>
      </c>
      <c r="N1201" t="inlineStr">
        <is>
          <t>Fábrica de Massas</t>
        </is>
      </c>
      <c r="O1201" t="n">
        <v>1</v>
      </c>
      <c r="P1201" t="n">
        <v>2</v>
      </c>
      <c r="Q1201" t="n">
        <v>0</v>
      </c>
    </row>
    <row r="1202">
      <c r="A1202" t="n">
        <v>2025</v>
      </c>
      <c r="B1202" t="n">
        <v>9</v>
      </c>
      <c r="C1202" t="inlineStr">
        <is>
          <t>Muçarela Mozzana 2 kg</t>
        </is>
      </c>
      <c r="D1202" t="inlineStr">
        <is>
          <t>Fábrica de Massas</t>
        </is>
      </c>
      <c r="E1202" t="n">
        <v>10187.63</v>
      </c>
      <c r="F1202" t="n">
        <v>444.4</v>
      </c>
      <c r="G1202" t="n">
        <v>220</v>
      </c>
      <c r="J1202" t="inlineStr">
        <is>
          <t>A</t>
        </is>
      </c>
      <c r="K1202" t="n">
        <v>2024</v>
      </c>
      <c r="L1202" t="n">
        <v>7</v>
      </c>
      <c r="M1202" t="inlineStr">
        <is>
          <t>Muçarela Mozzalet 2 kg</t>
        </is>
      </c>
      <c r="N1202" t="inlineStr">
        <is>
          <t>Fábrica de Massas</t>
        </is>
      </c>
      <c r="O1202" t="n">
        <v>3</v>
      </c>
      <c r="P1202" t="n">
        <v>5</v>
      </c>
      <c r="Q1202" t="n">
        <v>3</v>
      </c>
    </row>
    <row r="1203">
      <c r="A1203" t="n">
        <v>2025</v>
      </c>
      <c r="B1203" t="n">
        <v>9</v>
      </c>
      <c r="C1203" t="inlineStr">
        <is>
          <t>Muçarela Mozzana 2 kg</t>
        </is>
      </c>
      <c r="D1203" t="inlineStr">
        <is>
          <t>Lanchonete / Cafeteria</t>
        </is>
      </c>
      <c r="E1203" t="n">
        <v>2740.72</v>
      </c>
      <c r="F1203" t="n">
        <v>123.22</v>
      </c>
      <c r="G1203" t="n">
        <v>61</v>
      </c>
      <c r="J1203" t="inlineStr">
        <is>
          <t>M</t>
        </is>
      </c>
      <c r="K1203" t="n">
        <v>2024</v>
      </c>
      <c r="L1203" t="n">
        <v>7</v>
      </c>
      <c r="M1203" t="inlineStr">
        <is>
          <t>Muçarela Mozzalet 2 kg</t>
        </is>
      </c>
      <c r="N1203" t="inlineStr">
        <is>
          <t>Fábrica de Massas</t>
        </is>
      </c>
      <c r="O1203" t="n">
        <v>1</v>
      </c>
      <c r="P1203" t="n">
        <v>1</v>
      </c>
      <c r="Q1203" t="n">
        <v>0</v>
      </c>
    </row>
    <row r="1204">
      <c r="A1204" t="n">
        <v>2025</v>
      </c>
      <c r="B1204" t="n">
        <v>9</v>
      </c>
      <c r="C1204" t="inlineStr">
        <is>
          <t>Muçarela Mozzana 2 kg</t>
        </is>
      </c>
      <c r="D1204" t="inlineStr">
        <is>
          <t>Loja de Conveniência</t>
        </is>
      </c>
      <c r="E1204" t="n">
        <v>185.92</v>
      </c>
      <c r="F1204" t="n">
        <v>8.08</v>
      </c>
      <c r="G1204" t="n">
        <v>4</v>
      </c>
      <c r="J1204" t="inlineStr">
        <is>
          <t>A</t>
        </is>
      </c>
      <c r="K1204" t="n">
        <v>2024</v>
      </c>
      <c r="L1204" t="n">
        <v>8</v>
      </c>
      <c r="M1204" t="inlineStr">
        <is>
          <t>Muçarela Mozzalet 2 kg</t>
        </is>
      </c>
      <c r="N1204" t="inlineStr">
        <is>
          <t>Fábrica de Massas</t>
        </is>
      </c>
      <c r="O1204" t="n">
        <v>3</v>
      </c>
      <c r="P1204" t="n">
        <v>5</v>
      </c>
      <c r="Q1204" t="n">
        <v>3</v>
      </c>
    </row>
    <row r="1205">
      <c r="A1205" t="n">
        <v>2025</v>
      </c>
      <c r="B1205" t="n">
        <v>9</v>
      </c>
      <c r="C1205" t="inlineStr">
        <is>
          <t>Muçarela Mozzana 2 kg</t>
        </is>
      </c>
      <c r="D1205" t="inlineStr">
        <is>
          <t>Não Selecionado</t>
        </is>
      </c>
      <c r="E1205" t="n">
        <v>920.4</v>
      </c>
      <c r="F1205" t="n">
        <v>40.4</v>
      </c>
      <c r="G1205" t="n">
        <v>20</v>
      </c>
      <c r="J1205" t="inlineStr">
        <is>
          <t>A</t>
        </is>
      </c>
      <c r="K1205" t="n">
        <v>2024</v>
      </c>
      <c r="L1205" t="n">
        <v>9</v>
      </c>
      <c r="M1205" t="inlineStr">
        <is>
          <t>Muçarela Mozzalet 2 kg</t>
        </is>
      </c>
      <c r="N1205" t="inlineStr">
        <is>
          <t>Fábrica de Massas</t>
        </is>
      </c>
      <c r="O1205" t="n">
        <v>3</v>
      </c>
      <c r="P1205" t="n">
        <v>5</v>
      </c>
      <c r="Q1205" t="n">
        <v>3</v>
      </c>
    </row>
    <row r="1206">
      <c r="A1206" t="n">
        <v>2025</v>
      </c>
      <c r="B1206" t="n">
        <v>9</v>
      </c>
      <c r="C1206" t="inlineStr">
        <is>
          <t>Muçarela Mozzana 2 kg</t>
        </is>
      </c>
      <c r="D1206" t="inlineStr">
        <is>
          <t>Outros</t>
        </is>
      </c>
      <c r="E1206" t="n">
        <v>19750.12</v>
      </c>
      <c r="F1206" t="n">
        <v>862.54</v>
      </c>
      <c r="G1206" t="n">
        <v>427</v>
      </c>
      <c r="J1206" t="inlineStr">
        <is>
          <t>A</t>
        </is>
      </c>
      <c r="K1206" t="n">
        <v>2024</v>
      </c>
      <c r="L1206" t="n">
        <v>10</v>
      </c>
      <c r="M1206" t="inlineStr">
        <is>
          <t>Muçarela Mozzalet 2 kg</t>
        </is>
      </c>
      <c r="N1206" t="inlineStr">
        <is>
          <t>Fábrica de Massas</t>
        </is>
      </c>
      <c r="O1206" t="n">
        <v>3</v>
      </c>
      <c r="P1206" t="n">
        <v>9</v>
      </c>
      <c r="Q1206" t="n">
        <v>3</v>
      </c>
    </row>
    <row r="1207">
      <c r="A1207" t="n">
        <v>2025</v>
      </c>
      <c r="B1207" t="n">
        <v>9</v>
      </c>
      <c r="C1207" t="inlineStr">
        <is>
          <t>Muçarela Mozzana 2 kg</t>
        </is>
      </c>
      <c r="D1207" t="inlineStr">
        <is>
          <t>Padaria</t>
        </is>
      </c>
      <c r="E1207" t="n">
        <v>1394.62</v>
      </c>
      <c r="F1207" t="n">
        <v>60.6</v>
      </c>
      <c r="G1207" t="n">
        <v>30</v>
      </c>
      <c r="J1207" t="inlineStr">
        <is>
          <t>M</t>
        </is>
      </c>
      <c r="K1207" t="n">
        <v>2024</v>
      </c>
      <c r="L1207" t="n">
        <v>10</v>
      </c>
      <c r="M1207" t="inlineStr">
        <is>
          <t>Muçarela Mozzalet 2 kg</t>
        </is>
      </c>
      <c r="N1207" t="inlineStr">
        <is>
          <t>Fábrica de Massas</t>
        </is>
      </c>
      <c r="O1207" t="n">
        <v>2</v>
      </c>
      <c r="P1207" t="n">
        <v>4</v>
      </c>
      <c r="Q1207" t="n">
        <v>0</v>
      </c>
    </row>
    <row r="1208">
      <c r="A1208" t="n">
        <v>2025</v>
      </c>
      <c r="B1208" t="n">
        <v>9</v>
      </c>
      <c r="C1208" t="inlineStr">
        <is>
          <t>Muçarela Mozzana 2 kg</t>
        </is>
      </c>
      <c r="D1208" t="inlineStr">
        <is>
          <t>Pastelaria</t>
        </is>
      </c>
      <c r="E1208" t="n">
        <v>2448</v>
      </c>
      <c r="F1208" t="n">
        <v>103.02</v>
      </c>
      <c r="G1208" t="n">
        <v>51</v>
      </c>
      <c r="J1208" t="inlineStr">
        <is>
          <t>A</t>
        </is>
      </c>
      <c r="K1208" t="n">
        <v>2024</v>
      </c>
      <c r="L1208" t="n">
        <v>11</v>
      </c>
      <c r="M1208" t="inlineStr">
        <is>
          <t>Muçarela Mozzalet 2 kg</t>
        </is>
      </c>
      <c r="N1208" t="inlineStr">
        <is>
          <t>Fábrica de Massas</t>
        </is>
      </c>
      <c r="O1208" t="n">
        <v>3</v>
      </c>
      <c r="P1208" t="n">
        <v>12</v>
      </c>
      <c r="Q1208" t="n">
        <v>3</v>
      </c>
    </row>
    <row r="1209">
      <c r="A1209" t="n">
        <v>2025</v>
      </c>
      <c r="B1209" t="n">
        <v>9</v>
      </c>
      <c r="C1209" t="inlineStr">
        <is>
          <t>Muçarela Mozzana 2 kg</t>
        </is>
      </c>
      <c r="D1209" t="inlineStr">
        <is>
          <t>Pessoa Física</t>
        </is>
      </c>
      <c r="E1209" t="n">
        <v>2651.76</v>
      </c>
      <c r="F1209" t="n">
        <v>115.14</v>
      </c>
      <c r="G1209" t="n">
        <v>57</v>
      </c>
      <c r="J1209" t="inlineStr">
        <is>
          <t>M</t>
        </is>
      </c>
      <c r="K1209" t="n">
        <v>2024</v>
      </c>
      <c r="L1209" t="n">
        <v>11</v>
      </c>
      <c r="M1209" t="inlineStr">
        <is>
          <t>Muçarela Mozzalet 2 kg</t>
        </is>
      </c>
      <c r="N1209" t="inlineStr">
        <is>
          <t>Fábrica de Massas</t>
        </is>
      </c>
      <c r="O1209" t="n">
        <v>1</v>
      </c>
      <c r="P1209" t="n">
        <v>3</v>
      </c>
      <c r="Q1209" t="n">
        <v>0</v>
      </c>
    </row>
    <row r="1210">
      <c r="A1210" t="n">
        <v>2025</v>
      </c>
      <c r="B1210" t="n">
        <v>9</v>
      </c>
      <c r="C1210" t="inlineStr">
        <is>
          <t>Muçarela Mozzana 2 kg</t>
        </is>
      </c>
      <c r="D1210" t="inlineStr">
        <is>
          <t>Pizzaria</t>
        </is>
      </c>
      <c r="E1210" t="n">
        <v>80923.14999999999</v>
      </c>
      <c r="F1210" t="n">
        <v>3545.1</v>
      </c>
      <c r="G1210" t="n">
        <v>1755</v>
      </c>
      <c r="J1210" t="inlineStr">
        <is>
          <t>A</t>
        </is>
      </c>
      <c r="K1210" t="n">
        <v>2024</v>
      </c>
      <c r="L1210" t="n">
        <v>12</v>
      </c>
      <c r="M1210" t="inlineStr">
        <is>
          <t>Muçarela Mozzalet 2 kg</t>
        </is>
      </c>
      <c r="N1210" t="inlineStr">
        <is>
          <t>Fábrica de Massas</t>
        </is>
      </c>
      <c r="O1210" t="n">
        <v>3</v>
      </c>
      <c r="P1210" t="n">
        <v>13</v>
      </c>
      <c r="Q1210" t="n">
        <v>3</v>
      </c>
    </row>
    <row r="1211">
      <c r="A1211" t="n">
        <v>2025</v>
      </c>
      <c r="B1211" t="n">
        <v>9</v>
      </c>
      <c r="C1211" t="inlineStr">
        <is>
          <t>Muçarela Mozzana 2 kg</t>
        </is>
      </c>
      <c r="D1211" t="inlineStr">
        <is>
          <t>Restaurante / Cantina</t>
        </is>
      </c>
      <c r="E1211" t="n">
        <v>12283.2</v>
      </c>
      <c r="F1211" t="n">
        <v>533.28</v>
      </c>
      <c r="G1211" t="n">
        <v>264</v>
      </c>
      <c r="J1211" t="inlineStr">
        <is>
          <t>M</t>
        </is>
      </c>
      <c r="K1211" t="n">
        <v>2024</v>
      </c>
      <c r="L1211" t="n">
        <v>12</v>
      </c>
      <c r="M1211" t="inlineStr">
        <is>
          <t>Muçarela Mozzalet 2 kg</t>
        </is>
      </c>
      <c r="N1211" t="inlineStr">
        <is>
          <t>Fábrica de Massas</t>
        </is>
      </c>
      <c r="O1211" t="n">
        <v>1</v>
      </c>
      <c r="P1211" t="n">
        <v>1</v>
      </c>
      <c r="Q1211" t="n">
        <v>0</v>
      </c>
    </row>
    <row r="1212">
      <c r="A1212" t="n">
        <v>2025</v>
      </c>
      <c r="B1212" t="n">
        <v>9</v>
      </c>
      <c r="C1212" t="inlineStr">
        <is>
          <t>Muçarela Mozzana 2 kg</t>
        </is>
      </c>
      <c r="D1212" t="inlineStr">
        <is>
          <t>Rotisserie</t>
        </is>
      </c>
      <c r="E1212" t="n">
        <v>184.56</v>
      </c>
      <c r="F1212" t="n">
        <v>8.08</v>
      </c>
      <c r="G1212" t="n">
        <v>4</v>
      </c>
      <c r="J1212" t="inlineStr">
        <is>
          <t>A</t>
        </is>
      </c>
      <c r="K1212" t="n">
        <v>2024</v>
      </c>
      <c r="L1212" t="n">
        <v>1</v>
      </c>
      <c r="M1212" t="inlineStr">
        <is>
          <t>Muçarela Mozzalet 2 kg</t>
        </is>
      </c>
      <c r="N1212" t="inlineStr">
        <is>
          <t>Outros</t>
        </is>
      </c>
      <c r="O1212" t="n">
        <v>1</v>
      </c>
      <c r="P1212" t="n">
        <v>1</v>
      </c>
      <c r="Q1212" t="n">
        <v>1</v>
      </c>
    </row>
    <row r="1213">
      <c r="A1213" t="n">
        <v>2025</v>
      </c>
      <c r="B1213" t="n">
        <v>9</v>
      </c>
      <c r="C1213" t="inlineStr">
        <is>
          <t>Muçarela Mozzana 2 kg</t>
        </is>
      </c>
      <c r="D1213" t="inlineStr">
        <is>
          <t>Supermercado</t>
        </is>
      </c>
      <c r="E1213" t="n">
        <v>4209.33</v>
      </c>
      <c r="F1213" t="n">
        <v>177.76</v>
      </c>
      <c r="G1213" t="n">
        <v>88</v>
      </c>
      <c r="J1213" t="inlineStr">
        <is>
          <t>M</t>
        </is>
      </c>
      <c r="K1213" t="n">
        <v>2024</v>
      </c>
      <c r="L1213" t="n">
        <v>1</v>
      </c>
      <c r="M1213" t="inlineStr">
        <is>
          <t>Muçarela Mozzalet 2 kg</t>
        </is>
      </c>
      <c r="N1213" t="inlineStr">
        <is>
          <t>Outros</t>
        </is>
      </c>
      <c r="O1213" t="n">
        <v>1</v>
      </c>
      <c r="P1213" t="n">
        <v>1</v>
      </c>
      <c r="Q1213" t="n">
        <v>0</v>
      </c>
    </row>
    <row r="1214">
      <c r="A1214" t="n">
        <v>2025</v>
      </c>
      <c r="B1214" t="n">
        <v>9</v>
      </c>
      <c r="C1214" t="inlineStr">
        <is>
          <t>Requeijão Pizzalet 1,8 kg</t>
        </is>
      </c>
      <c r="D1214" t="inlineStr">
        <is>
          <t>Bar / Chopperia</t>
        </is>
      </c>
      <c r="E1214" t="n">
        <v>270.13</v>
      </c>
      <c r="F1214" t="n">
        <v>31.28</v>
      </c>
      <c r="G1214" t="n">
        <v>17</v>
      </c>
      <c r="J1214" t="inlineStr">
        <is>
          <t>A</t>
        </is>
      </c>
      <c r="K1214" t="n">
        <v>2024</v>
      </c>
      <c r="L1214" t="n">
        <v>2</v>
      </c>
      <c r="M1214" t="inlineStr">
        <is>
          <t>Muçarela Mozzalet 2 kg</t>
        </is>
      </c>
      <c r="N1214" t="inlineStr">
        <is>
          <t>Outros</t>
        </is>
      </c>
      <c r="O1214" t="n">
        <v>1</v>
      </c>
      <c r="P1214" t="n">
        <v>1</v>
      </c>
      <c r="Q1214" t="n">
        <v>1</v>
      </c>
    </row>
    <row r="1215">
      <c r="A1215" t="n">
        <v>2025</v>
      </c>
      <c r="B1215" t="n">
        <v>9</v>
      </c>
      <c r="C1215" t="inlineStr">
        <is>
          <t>Requeijão Pizzalet 1,8 kg</t>
        </is>
      </c>
      <c r="D1215" t="inlineStr">
        <is>
          <t>Lanchonete / Cafeteria</t>
        </is>
      </c>
      <c r="E1215" t="n">
        <v>1162.75</v>
      </c>
      <c r="F1215" t="n">
        <v>134.32</v>
      </c>
      <c r="G1215" t="n">
        <v>73</v>
      </c>
      <c r="J1215" t="inlineStr">
        <is>
          <t>A</t>
        </is>
      </c>
      <c r="K1215" t="n">
        <v>2024</v>
      </c>
      <c r="L1215" t="n">
        <v>3</v>
      </c>
      <c r="M1215" t="inlineStr">
        <is>
          <t>Muçarela Mozzalet 2 kg</t>
        </is>
      </c>
      <c r="N1215" t="inlineStr">
        <is>
          <t>Outros</t>
        </is>
      </c>
      <c r="O1215" t="n">
        <v>1</v>
      </c>
      <c r="P1215" t="n">
        <v>1</v>
      </c>
      <c r="Q1215" t="n">
        <v>1</v>
      </c>
    </row>
    <row r="1216">
      <c r="A1216" t="n">
        <v>2025</v>
      </c>
      <c r="B1216" t="n">
        <v>9</v>
      </c>
      <c r="C1216" t="inlineStr">
        <is>
          <t>Requeijão Pizzalet 1,8 kg</t>
        </is>
      </c>
      <c r="D1216" t="inlineStr">
        <is>
          <t>Outros</t>
        </is>
      </c>
      <c r="E1216" t="n">
        <v>525.5</v>
      </c>
      <c r="F1216" t="n">
        <v>60.72</v>
      </c>
      <c r="G1216" t="n">
        <v>33</v>
      </c>
      <c r="J1216" t="inlineStr">
        <is>
          <t>A</t>
        </is>
      </c>
      <c r="K1216" t="n">
        <v>2024</v>
      </c>
      <c r="L1216" t="n">
        <v>4</v>
      </c>
      <c r="M1216" t="inlineStr">
        <is>
          <t>Muçarela Mozzalet 2 kg</t>
        </is>
      </c>
      <c r="N1216" t="inlineStr">
        <is>
          <t>Outros</t>
        </is>
      </c>
      <c r="O1216" t="n">
        <v>2</v>
      </c>
      <c r="P1216" t="n">
        <v>2</v>
      </c>
      <c r="Q1216" t="n">
        <v>2</v>
      </c>
    </row>
    <row r="1217">
      <c r="A1217" t="n">
        <v>2025</v>
      </c>
      <c r="B1217" t="n">
        <v>9</v>
      </c>
      <c r="C1217" t="inlineStr">
        <is>
          <t>Requeijão Pizzalet 1,8 kg</t>
        </is>
      </c>
      <c r="D1217" t="inlineStr">
        <is>
          <t>Pastelaria</t>
        </is>
      </c>
      <c r="E1217" t="n">
        <v>2163.12</v>
      </c>
      <c r="F1217" t="n">
        <v>250.24</v>
      </c>
      <c r="G1217" t="n">
        <v>136</v>
      </c>
      <c r="J1217" t="inlineStr">
        <is>
          <t>M</t>
        </is>
      </c>
      <c r="K1217" t="n">
        <v>2024</v>
      </c>
      <c r="L1217" t="n">
        <v>4</v>
      </c>
      <c r="M1217" t="inlineStr">
        <is>
          <t>Muçarela Mozzalet 2 kg</t>
        </is>
      </c>
      <c r="N1217" t="inlineStr">
        <is>
          <t>Outros</t>
        </is>
      </c>
      <c r="O1217" t="n">
        <v>1</v>
      </c>
      <c r="P1217" t="n">
        <v>1</v>
      </c>
      <c r="Q1217" t="n">
        <v>0</v>
      </c>
    </row>
    <row r="1218">
      <c r="A1218" t="n">
        <v>2025</v>
      </c>
      <c r="B1218" t="n">
        <v>9</v>
      </c>
      <c r="C1218" t="inlineStr">
        <is>
          <t>Requeijão Pizzalet 1,8 kg</t>
        </is>
      </c>
      <c r="D1218" t="inlineStr">
        <is>
          <t>Pizzaria</t>
        </is>
      </c>
      <c r="E1218" t="n">
        <v>2640.28</v>
      </c>
      <c r="F1218" t="n">
        <v>299.92</v>
      </c>
      <c r="G1218" t="n">
        <v>163</v>
      </c>
      <c r="J1218" t="inlineStr">
        <is>
          <t>A</t>
        </is>
      </c>
      <c r="K1218" t="n">
        <v>2024</v>
      </c>
      <c r="L1218" t="n">
        <v>5</v>
      </c>
      <c r="M1218" t="inlineStr">
        <is>
          <t>Muçarela Mozzalet 2 kg</t>
        </is>
      </c>
      <c r="N1218" t="inlineStr">
        <is>
          <t>Outros</t>
        </is>
      </c>
      <c r="O1218" t="n">
        <v>2</v>
      </c>
      <c r="P1218" t="n">
        <v>2</v>
      </c>
      <c r="Q1218" t="n">
        <v>2</v>
      </c>
    </row>
    <row r="1219">
      <c r="A1219" t="n">
        <v>2025</v>
      </c>
      <c r="B1219" t="n">
        <v>9</v>
      </c>
      <c r="C1219" t="inlineStr">
        <is>
          <t>Requeijão Pizzalet 1,8 kg</t>
        </is>
      </c>
      <c r="D1219" t="inlineStr">
        <is>
          <t>Restaurante / Cantina</t>
        </is>
      </c>
      <c r="E1219" t="n">
        <v>95.94</v>
      </c>
      <c r="F1219" t="n">
        <v>11.04</v>
      </c>
      <c r="G1219" t="n">
        <v>6</v>
      </c>
      <c r="J1219" t="inlineStr">
        <is>
          <t>A</t>
        </is>
      </c>
      <c r="K1219" t="n">
        <v>2024</v>
      </c>
      <c r="L1219" t="n">
        <v>6</v>
      </c>
      <c r="M1219" t="inlineStr">
        <is>
          <t>Muçarela Mozzalet 2 kg</t>
        </is>
      </c>
      <c r="N1219" t="inlineStr">
        <is>
          <t>Outros</t>
        </is>
      </c>
      <c r="O1219" t="n">
        <v>3</v>
      </c>
      <c r="P1219" t="n">
        <v>3</v>
      </c>
      <c r="Q1219" t="n">
        <v>3</v>
      </c>
    </row>
    <row r="1220">
      <c r="A1220" t="n">
        <v>2025</v>
      </c>
      <c r="B1220" t="n">
        <v>10</v>
      </c>
      <c r="C1220" t="inlineStr">
        <is>
          <t>Chocolate em pó 50% 1 kg</t>
        </is>
      </c>
      <c r="D1220" t="inlineStr">
        <is>
          <t>Bar / Chopperia</t>
        </is>
      </c>
      <c r="E1220" t="n">
        <v>41.96</v>
      </c>
      <c r="F1220" t="n">
        <v>1.02</v>
      </c>
      <c r="G1220" t="n">
        <v>1</v>
      </c>
      <c r="J1220" t="inlineStr">
        <is>
          <t>M</t>
        </is>
      </c>
      <c r="K1220" t="n">
        <v>2024</v>
      </c>
      <c r="L1220" t="n">
        <v>6</v>
      </c>
      <c r="M1220" t="inlineStr">
        <is>
          <t>Muçarela Mozzalet 2 kg</t>
        </is>
      </c>
      <c r="N1220" t="inlineStr">
        <is>
          <t>Outros</t>
        </is>
      </c>
      <c r="O1220" t="n">
        <v>1</v>
      </c>
      <c r="P1220" t="n">
        <v>1</v>
      </c>
      <c r="Q1220" t="n">
        <v>0</v>
      </c>
    </row>
    <row r="1221">
      <c r="A1221" t="n">
        <v>2025</v>
      </c>
      <c r="B1221" t="n">
        <v>10</v>
      </c>
      <c r="C1221" t="inlineStr">
        <is>
          <t>Chocolate em pó 50% 1 kg</t>
        </is>
      </c>
      <c r="D1221" t="inlineStr">
        <is>
          <t>Churrascaria</t>
        </is>
      </c>
      <c r="E1221" t="n">
        <v>208.06</v>
      </c>
      <c r="F1221" t="n">
        <v>5.1</v>
      </c>
      <c r="G1221" t="n">
        <v>5</v>
      </c>
      <c r="J1221" t="inlineStr">
        <is>
          <t>A</t>
        </is>
      </c>
      <c r="K1221" t="n">
        <v>2024</v>
      </c>
      <c r="L1221" t="n">
        <v>7</v>
      </c>
      <c r="M1221" t="inlineStr">
        <is>
          <t>Muçarela Mozzalet 2 kg</t>
        </is>
      </c>
      <c r="N1221" t="inlineStr">
        <is>
          <t>Outros</t>
        </is>
      </c>
      <c r="O1221" t="n">
        <v>3</v>
      </c>
      <c r="P1221" t="n">
        <v>3</v>
      </c>
      <c r="Q1221" t="n">
        <v>3</v>
      </c>
    </row>
    <row r="1222">
      <c r="A1222" t="n">
        <v>2025</v>
      </c>
      <c r="B1222" t="n">
        <v>10</v>
      </c>
      <c r="C1222" t="inlineStr">
        <is>
          <t>Chocolate em pó 50% 1 kg</t>
        </is>
      </c>
      <c r="D1222" t="inlineStr">
        <is>
          <t>Clube / Associação Desportiva</t>
        </is>
      </c>
      <c r="E1222" t="n">
        <v>696.62</v>
      </c>
      <c r="F1222" t="n">
        <v>17.34</v>
      </c>
      <c r="G1222" t="n">
        <v>17</v>
      </c>
      <c r="J1222" t="inlineStr">
        <is>
          <t>A</t>
        </is>
      </c>
      <c r="K1222" t="n">
        <v>2024</v>
      </c>
      <c r="L1222" t="n">
        <v>8</v>
      </c>
      <c r="M1222" t="inlineStr">
        <is>
          <t>Muçarela Mozzalet 2 kg</t>
        </is>
      </c>
      <c r="N1222" t="inlineStr">
        <is>
          <t>Outros</t>
        </is>
      </c>
      <c r="O1222" t="n">
        <v>4</v>
      </c>
      <c r="P1222" t="n">
        <v>4</v>
      </c>
      <c r="Q1222" t="n">
        <v>4</v>
      </c>
    </row>
    <row r="1223">
      <c r="A1223" t="n">
        <v>2025</v>
      </c>
      <c r="B1223" t="n">
        <v>10</v>
      </c>
      <c r="C1223" t="inlineStr">
        <is>
          <t>Chocolate em pó 50% 1 kg</t>
        </is>
      </c>
      <c r="D1223" t="inlineStr">
        <is>
          <t>Confeitaria</t>
        </is>
      </c>
      <c r="E1223" t="n">
        <v>296.18</v>
      </c>
      <c r="F1223" t="n">
        <v>7.14</v>
      </c>
      <c r="G1223" t="n">
        <v>7</v>
      </c>
      <c r="J1223" t="inlineStr">
        <is>
          <t>M</t>
        </is>
      </c>
      <c r="K1223" t="n">
        <v>2024</v>
      </c>
      <c r="L1223" t="n">
        <v>8</v>
      </c>
      <c r="M1223" t="inlineStr">
        <is>
          <t>Muçarela Mozzalet 2 kg</t>
        </is>
      </c>
      <c r="N1223" t="inlineStr">
        <is>
          <t>Outros</t>
        </is>
      </c>
      <c r="O1223" t="n">
        <v>1</v>
      </c>
      <c r="P1223" t="n">
        <v>1</v>
      </c>
      <c r="Q1223" t="n">
        <v>0</v>
      </c>
    </row>
    <row r="1224">
      <c r="A1224" t="n">
        <v>2025</v>
      </c>
      <c r="B1224" t="n">
        <v>10</v>
      </c>
      <c r="C1224" t="inlineStr">
        <is>
          <t>Chocolate em pó 50% 1 kg</t>
        </is>
      </c>
      <c r="D1224" t="inlineStr">
        <is>
          <t>Esfiharia</t>
        </is>
      </c>
      <c r="E1224" t="n">
        <v>124.62</v>
      </c>
      <c r="F1224" t="n">
        <v>3.06</v>
      </c>
      <c r="G1224" t="n">
        <v>3</v>
      </c>
      <c r="J1224" t="inlineStr">
        <is>
          <t>A</t>
        </is>
      </c>
      <c r="K1224" t="n">
        <v>2024</v>
      </c>
      <c r="L1224" t="n">
        <v>9</v>
      </c>
      <c r="M1224" t="inlineStr">
        <is>
          <t>Muçarela Mozzalet 2 kg</t>
        </is>
      </c>
      <c r="N1224" t="inlineStr">
        <is>
          <t>Outros</t>
        </is>
      </c>
      <c r="O1224" t="n">
        <v>6</v>
      </c>
      <c r="P1224" t="n">
        <v>8</v>
      </c>
      <c r="Q1224" t="n">
        <v>6</v>
      </c>
    </row>
    <row r="1225">
      <c r="A1225" t="n">
        <v>2025</v>
      </c>
      <c r="B1225" t="n">
        <v>10</v>
      </c>
      <c r="C1225" t="inlineStr">
        <is>
          <t>Chocolate em pó 50% 1 kg</t>
        </is>
      </c>
      <c r="D1225" t="inlineStr">
        <is>
          <t>Hotel / Motel / Pousada</t>
        </is>
      </c>
      <c r="E1225" t="n">
        <v>1991.78</v>
      </c>
      <c r="F1225" t="n">
        <v>48.96</v>
      </c>
      <c r="G1225" t="n">
        <v>48</v>
      </c>
      <c r="J1225" t="inlineStr">
        <is>
          <t>M</t>
        </is>
      </c>
      <c r="K1225" t="n">
        <v>2024</v>
      </c>
      <c r="L1225" t="n">
        <v>9</v>
      </c>
      <c r="M1225" t="inlineStr">
        <is>
          <t>Muçarela Mozzalet 2 kg</t>
        </is>
      </c>
      <c r="N1225" t="inlineStr">
        <is>
          <t>Outros</t>
        </is>
      </c>
      <c r="O1225" t="n">
        <v>3</v>
      </c>
      <c r="P1225" t="n">
        <v>4</v>
      </c>
      <c r="Q1225" t="n">
        <v>0</v>
      </c>
    </row>
    <row r="1226">
      <c r="A1226" t="n">
        <v>2025</v>
      </c>
      <c r="B1226" t="n">
        <v>10</v>
      </c>
      <c r="C1226" t="inlineStr">
        <is>
          <t>Chocolate em pó 50% 1 kg</t>
        </is>
      </c>
      <c r="D1226" t="inlineStr">
        <is>
          <t>Lanchonete / Cafeteria</t>
        </is>
      </c>
      <c r="E1226" t="n">
        <v>1334.46</v>
      </c>
      <c r="F1226" t="n">
        <v>32.64</v>
      </c>
      <c r="G1226" t="n">
        <v>32</v>
      </c>
      <c r="J1226" t="inlineStr">
        <is>
          <t>A</t>
        </is>
      </c>
      <c r="K1226" t="n">
        <v>2024</v>
      </c>
      <c r="L1226" t="n">
        <v>10</v>
      </c>
      <c r="M1226" t="inlineStr">
        <is>
          <t>Muçarela Mozzalet 2 kg</t>
        </is>
      </c>
      <c r="N1226" t="inlineStr">
        <is>
          <t>Outros</t>
        </is>
      </c>
      <c r="O1226" t="n">
        <v>10</v>
      </c>
      <c r="P1226" t="n">
        <v>17</v>
      </c>
      <c r="Q1226" t="n">
        <v>10</v>
      </c>
    </row>
    <row r="1227">
      <c r="A1227" t="n">
        <v>2025</v>
      </c>
      <c r="B1227" t="n">
        <v>10</v>
      </c>
      <c r="C1227" t="inlineStr">
        <is>
          <t>Chocolate em pó 50% 1 kg</t>
        </is>
      </c>
      <c r="D1227" t="inlineStr">
        <is>
          <t>Loja de Conveniência</t>
        </is>
      </c>
      <c r="E1227" t="n">
        <v>83.92</v>
      </c>
      <c r="F1227" t="n">
        <v>2.04</v>
      </c>
      <c r="G1227" t="n">
        <v>2</v>
      </c>
      <c r="J1227" t="inlineStr">
        <is>
          <t>M</t>
        </is>
      </c>
      <c r="K1227" t="n">
        <v>2024</v>
      </c>
      <c r="L1227" t="n">
        <v>10</v>
      </c>
      <c r="M1227" t="inlineStr">
        <is>
          <t>Muçarela Mozzalet 2 kg</t>
        </is>
      </c>
      <c r="N1227" t="inlineStr">
        <is>
          <t>Outros</t>
        </is>
      </c>
      <c r="O1227" t="n">
        <v>6</v>
      </c>
      <c r="P1227" t="n">
        <v>9</v>
      </c>
      <c r="Q1227" t="n">
        <v>0</v>
      </c>
    </row>
    <row r="1228">
      <c r="A1228" t="n">
        <v>2025</v>
      </c>
      <c r="B1228" t="n">
        <v>10</v>
      </c>
      <c r="C1228" t="inlineStr">
        <is>
          <t>Chocolate em pó 50% 1 kg</t>
        </is>
      </c>
      <c r="D1228" t="inlineStr">
        <is>
          <t>Não Selecionado</t>
        </is>
      </c>
      <c r="E1228" t="n">
        <v>40.5</v>
      </c>
      <c r="F1228" t="n">
        <v>1.02</v>
      </c>
      <c r="G1228" t="n">
        <v>1</v>
      </c>
      <c r="J1228" t="inlineStr">
        <is>
          <t>A</t>
        </is>
      </c>
      <c r="K1228" t="n">
        <v>2024</v>
      </c>
      <c r="L1228" t="n">
        <v>11</v>
      </c>
      <c r="M1228" t="inlineStr">
        <is>
          <t>Muçarela Mozzalet 2 kg</t>
        </is>
      </c>
      <c r="N1228" t="inlineStr">
        <is>
          <t>Outros</t>
        </is>
      </c>
      <c r="O1228" t="n">
        <v>10</v>
      </c>
      <c r="P1228" t="n">
        <v>23</v>
      </c>
      <c r="Q1228" t="n">
        <v>10</v>
      </c>
    </row>
    <row r="1229">
      <c r="A1229" t="n">
        <v>2025</v>
      </c>
      <c r="B1229" t="n">
        <v>10</v>
      </c>
      <c r="C1229" t="inlineStr">
        <is>
          <t>Chocolate em pó 50% 1 kg</t>
        </is>
      </c>
      <c r="D1229" t="inlineStr">
        <is>
          <t>Outros</t>
        </is>
      </c>
      <c r="E1229" t="n">
        <v>667.5599999999999</v>
      </c>
      <c r="F1229" t="n">
        <v>16.32</v>
      </c>
      <c r="G1229" t="n">
        <v>16</v>
      </c>
      <c r="J1229" t="inlineStr">
        <is>
          <t>M</t>
        </is>
      </c>
      <c r="K1229" t="n">
        <v>2024</v>
      </c>
      <c r="L1229" t="n">
        <v>11</v>
      </c>
      <c r="M1229" t="inlineStr">
        <is>
          <t>Muçarela Mozzalet 2 kg</t>
        </is>
      </c>
      <c r="N1229" t="inlineStr">
        <is>
          <t>Outros</t>
        </is>
      </c>
      <c r="O1229" t="n">
        <v>2</v>
      </c>
      <c r="P1229" t="n">
        <v>6</v>
      </c>
      <c r="Q1229" t="n">
        <v>0</v>
      </c>
    </row>
    <row r="1230">
      <c r="A1230" t="n">
        <v>2025</v>
      </c>
      <c r="B1230" t="n">
        <v>10</v>
      </c>
      <c r="C1230" t="inlineStr">
        <is>
          <t>Chocolate em pó 50% 1 kg</t>
        </is>
      </c>
      <c r="D1230" t="inlineStr">
        <is>
          <t>Padaria</t>
        </is>
      </c>
      <c r="E1230" t="n">
        <v>706.1799999999999</v>
      </c>
      <c r="F1230" t="n">
        <v>17.34</v>
      </c>
      <c r="G1230" t="n">
        <v>17</v>
      </c>
      <c r="J1230" t="inlineStr">
        <is>
          <t>A</t>
        </is>
      </c>
      <c r="K1230" t="n">
        <v>2024</v>
      </c>
      <c r="L1230" t="n">
        <v>12</v>
      </c>
      <c r="M1230" t="inlineStr">
        <is>
          <t>Muçarela Mozzalet 2 kg</t>
        </is>
      </c>
      <c r="N1230" t="inlineStr">
        <is>
          <t>Outros</t>
        </is>
      </c>
      <c r="O1230" t="n">
        <v>10</v>
      </c>
      <c r="P1230" t="n">
        <v>23</v>
      </c>
      <c r="Q1230" t="n">
        <v>10</v>
      </c>
    </row>
    <row r="1231">
      <c r="A1231" t="n">
        <v>2025</v>
      </c>
      <c r="B1231" t="n">
        <v>10</v>
      </c>
      <c r="C1231" t="inlineStr">
        <is>
          <t>Chocolate em pó 50% 1 kg</t>
        </is>
      </c>
      <c r="D1231" t="inlineStr">
        <is>
          <t>Pessoa Física</t>
        </is>
      </c>
      <c r="E1231" t="n">
        <v>83.59999999999999</v>
      </c>
      <c r="F1231" t="n">
        <v>2.04</v>
      </c>
      <c r="G1231" t="n">
        <v>2</v>
      </c>
      <c r="J1231" t="inlineStr">
        <is>
          <t>A</t>
        </is>
      </c>
      <c r="K1231" t="n">
        <v>2024</v>
      </c>
      <c r="L1231" t="n">
        <v>1</v>
      </c>
      <c r="M1231" t="inlineStr">
        <is>
          <t>Muçarela Mozzalet 2 kg</t>
        </is>
      </c>
      <c r="N1231" t="inlineStr">
        <is>
          <t>Pessoa Física</t>
        </is>
      </c>
      <c r="O1231" t="n">
        <v>1</v>
      </c>
      <c r="P1231" t="n">
        <v>2</v>
      </c>
      <c r="Q1231" t="n">
        <v>1</v>
      </c>
    </row>
    <row r="1232">
      <c r="A1232" t="n">
        <v>2025</v>
      </c>
      <c r="B1232" t="n">
        <v>10</v>
      </c>
      <c r="C1232" t="inlineStr">
        <is>
          <t>Chocolate em pó 50% 1 kg</t>
        </is>
      </c>
      <c r="D1232" t="inlineStr">
        <is>
          <t>Pizzaria</t>
        </is>
      </c>
      <c r="E1232" t="n">
        <v>2515.97</v>
      </c>
      <c r="F1232" t="n">
        <v>62.22</v>
      </c>
      <c r="G1232" t="n">
        <v>61</v>
      </c>
      <c r="J1232" t="inlineStr">
        <is>
          <t>M</t>
        </is>
      </c>
      <c r="K1232" t="n">
        <v>2024</v>
      </c>
      <c r="L1232" t="n">
        <v>1</v>
      </c>
      <c r="M1232" t="inlineStr">
        <is>
          <t>Muçarela Mozzalet 2 kg</t>
        </is>
      </c>
      <c r="N1232" t="inlineStr">
        <is>
          <t>Pessoa Física</t>
        </is>
      </c>
      <c r="O1232" t="n">
        <v>1</v>
      </c>
      <c r="P1232" t="n">
        <v>2</v>
      </c>
      <c r="Q1232" t="n">
        <v>0</v>
      </c>
    </row>
    <row r="1233">
      <c r="A1233" t="n">
        <v>2025</v>
      </c>
      <c r="B1233" t="n">
        <v>10</v>
      </c>
      <c r="C1233" t="inlineStr">
        <is>
          <t>Chocolate em pó 50% 1 kg</t>
        </is>
      </c>
      <c r="D1233" t="inlineStr">
        <is>
          <t>Restaurante / Cantina</t>
        </is>
      </c>
      <c r="E1233" t="n">
        <v>2253.15</v>
      </c>
      <c r="F1233" t="n">
        <v>55.08</v>
      </c>
      <c r="G1233" t="n">
        <v>54</v>
      </c>
      <c r="J1233" t="inlineStr">
        <is>
          <t>A</t>
        </is>
      </c>
      <c r="K1233" t="n">
        <v>2024</v>
      </c>
      <c r="L1233" t="n">
        <v>2</v>
      </c>
      <c r="M1233" t="inlineStr">
        <is>
          <t>Muçarela Mozzalet 2 kg</t>
        </is>
      </c>
      <c r="N1233" t="inlineStr">
        <is>
          <t>Pessoa Física</t>
        </is>
      </c>
      <c r="O1233" t="n">
        <v>2</v>
      </c>
      <c r="P1233" t="n">
        <v>4</v>
      </c>
      <c r="Q1233" t="n">
        <v>2</v>
      </c>
    </row>
    <row r="1234">
      <c r="A1234" t="n">
        <v>2025</v>
      </c>
      <c r="B1234" t="n">
        <v>10</v>
      </c>
      <c r="C1234" t="inlineStr">
        <is>
          <t>Composto lácteo Alibralac 1 kg</t>
        </is>
      </c>
      <c r="D1234" t="inlineStr">
        <is>
          <t>Cozinha Industrial</t>
        </is>
      </c>
      <c r="E1234" t="n">
        <v>1630.13</v>
      </c>
      <c r="F1234" t="n">
        <v>71.40000000000001</v>
      </c>
      <c r="G1234" t="n">
        <v>70</v>
      </c>
      <c r="J1234" t="inlineStr">
        <is>
          <t>M</t>
        </is>
      </c>
      <c r="K1234" t="n">
        <v>2024</v>
      </c>
      <c r="L1234" t="n">
        <v>2</v>
      </c>
      <c r="M1234" t="inlineStr">
        <is>
          <t>Muçarela Mozzalet 2 kg</t>
        </is>
      </c>
      <c r="N1234" t="inlineStr">
        <is>
          <t>Pessoa Física</t>
        </is>
      </c>
      <c r="O1234" t="n">
        <v>2</v>
      </c>
      <c r="P1234" t="n">
        <v>2</v>
      </c>
      <c r="Q1234" t="n">
        <v>0</v>
      </c>
    </row>
    <row r="1235">
      <c r="A1235" t="n">
        <v>2025</v>
      </c>
      <c r="B1235" t="n">
        <v>10</v>
      </c>
      <c r="C1235" t="inlineStr">
        <is>
          <t>Composto lácteo Alibralac 1 kg</t>
        </is>
      </c>
      <c r="D1235" t="inlineStr">
        <is>
          <t>Fábrica de Massas</t>
        </is>
      </c>
      <c r="E1235" t="n">
        <v>23.1</v>
      </c>
      <c r="F1235" t="n">
        <v>1.02</v>
      </c>
      <c r="G1235" t="n">
        <v>1</v>
      </c>
      <c r="J1235" t="inlineStr">
        <is>
          <t>A</t>
        </is>
      </c>
      <c r="K1235" t="n">
        <v>2024</v>
      </c>
      <c r="L1235" t="n">
        <v>3</v>
      </c>
      <c r="M1235" t="inlineStr">
        <is>
          <t>Muçarela Mozzalet 2 kg</t>
        </is>
      </c>
      <c r="N1235" t="inlineStr">
        <is>
          <t>Pessoa Física</t>
        </is>
      </c>
      <c r="O1235" t="n">
        <v>2</v>
      </c>
      <c r="P1235" t="n">
        <v>5</v>
      </c>
      <c r="Q1235" t="n">
        <v>2</v>
      </c>
    </row>
    <row r="1236">
      <c r="A1236" t="n">
        <v>2025</v>
      </c>
      <c r="B1236" t="n">
        <v>10</v>
      </c>
      <c r="C1236" t="inlineStr">
        <is>
          <t>Composto lácteo Alibralac 1 kg</t>
        </is>
      </c>
      <c r="D1236" t="inlineStr">
        <is>
          <t>Padaria</t>
        </is>
      </c>
      <c r="E1236" t="n">
        <v>231</v>
      </c>
      <c r="F1236" t="n">
        <v>10.2</v>
      </c>
      <c r="G1236" t="n">
        <v>10</v>
      </c>
      <c r="J1236" t="inlineStr">
        <is>
          <t>M</t>
        </is>
      </c>
      <c r="K1236" t="n">
        <v>2024</v>
      </c>
      <c r="L1236" t="n">
        <v>3</v>
      </c>
      <c r="M1236" t="inlineStr">
        <is>
          <t>Muçarela Mozzalet 2 kg</t>
        </is>
      </c>
      <c r="N1236" t="inlineStr">
        <is>
          <t>Pessoa Física</t>
        </is>
      </c>
      <c r="O1236" t="n">
        <v>1</v>
      </c>
      <c r="P1236" t="n">
        <v>1</v>
      </c>
      <c r="Q1236" t="n">
        <v>0</v>
      </c>
    </row>
    <row r="1237">
      <c r="A1237" t="n">
        <v>2025</v>
      </c>
      <c r="B1237" t="n">
        <v>10</v>
      </c>
      <c r="C1237" t="inlineStr">
        <is>
          <t>Composto lácteo Alibralac 1 kg</t>
        </is>
      </c>
      <c r="D1237" t="inlineStr">
        <is>
          <t>Pizzaria</t>
        </is>
      </c>
      <c r="E1237" t="n">
        <v>2180.33</v>
      </c>
      <c r="F1237" t="n">
        <v>97.92</v>
      </c>
      <c r="G1237" t="n">
        <v>96</v>
      </c>
      <c r="J1237" t="inlineStr">
        <is>
          <t>A</t>
        </is>
      </c>
      <c r="K1237" t="n">
        <v>2024</v>
      </c>
      <c r="L1237" t="n">
        <v>4</v>
      </c>
      <c r="M1237" t="inlineStr">
        <is>
          <t>Muçarela Mozzalet 2 kg</t>
        </is>
      </c>
      <c r="N1237" t="inlineStr">
        <is>
          <t>Pessoa Física</t>
        </is>
      </c>
      <c r="O1237" t="n">
        <v>2</v>
      </c>
      <c r="P1237" t="n">
        <v>7</v>
      </c>
      <c r="Q1237" t="n">
        <v>2</v>
      </c>
    </row>
    <row r="1238">
      <c r="A1238" t="n">
        <v>2025</v>
      </c>
      <c r="B1238" t="n">
        <v>10</v>
      </c>
      <c r="C1238" t="inlineStr">
        <is>
          <t>Composto lácteo Alibralac 1 kg</t>
        </is>
      </c>
      <c r="D1238" t="inlineStr">
        <is>
          <t>Restaurante / Cantina</t>
        </is>
      </c>
      <c r="E1238" t="n">
        <v>678</v>
      </c>
      <c r="F1238" t="n">
        <v>30.6</v>
      </c>
      <c r="G1238" t="n">
        <v>30</v>
      </c>
      <c r="J1238" t="inlineStr">
        <is>
          <t>M</t>
        </is>
      </c>
      <c r="K1238" t="n">
        <v>2024</v>
      </c>
      <c r="L1238" t="n">
        <v>4</v>
      </c>
      <c r="M1238" t="inlineStr">
        <is>
          <t>Muçarela Mozzalet 2 kg</t>
        </is>
      </c>
      <c r="N1238" t="inlineStr">
        <is>
          <t>Pessoa Física</t>
        </is>
      </c>
      <c r="O1238" t="n">
        <v>2</v>
      </c>
      <c r="P1238" t="n">
        <v>2</v>
      </c>
      <c r="Q1238" t="n">
        <v>0</v>
      </c>
    </row>
    <row r="1239">
      <c r="A1239" t="n">
        <v>2025</v>
      </c>
      <c r="B1239" t="n">
        <v>10</v>
      </c>
      <c r="C1239" t="inlineStr">
        <is>
          <t>Composto lácteo Merilú 400 g</t>
        </is>
      </c>
      <c r="D1239" t="inlineStr">
        <is>
          <t>Cozinha Industrial</t>
        </is>
      </c>
      <c r="E1239" t="n">
        <v>2176.15</v>
      </c>
      <c r="F1239" t="n">
        <v>126.42</v>
      </c>
      <c r="G1239" t="n">
        <v>301</v>
      </c>
      <c r="J1239" t="inlineStr">
        <is>
          <t>A</t>
        </is>
      </c>
      <c r="K1239" t="n">
        <v>2024</v>
      </c>
      <c r="L1239" t="n">
        <v>5</v>
      </c>
      <c r="M1239" t="inlineStr">
        <is>
          <t>Muçarela Mozzalet 2 kg</t>
        </is>
      </c>
      <c r="N1239" t="inlineStr">
        <is>
          <t>Pessoa Física</t>
        </is>
      </c>
      <c r="O1239" t="n">
        <v>3</v>
      </c>
      <c r="P1239" t="n">
        <v>8</v>
      </c>
      <c r="Q1239" t="n">
        <v>3</v>
      </c>
    </row>
    <row r="1240">
      <c r="A1240" t="n">
        <v>2025</v>
      </c>
      <c r="B1240" t="n">
        <v>10</v>
      </c>
      <c r="C1240" t="inlineStr">
        <is>
          <t>Composto lácteo Merilú 400 g</t>
        </is>
      </c>
      <c r="D1240" t="inlineStr">
        <is>
          <t>Fábrica de Massas</t>
        </is>
      </c>
      <c r="E1240" t="n">
        <v>73</v>
      </c>
      <c r="F1240" t="n">
        <v>4.2</v>
      </c>
      <c r="G1240" t="n">
        <v>10</v>
      </c>
      <c r="J1240" t="inlineStr">
        <is>
          <t>M</t>
        </is>
      </c>
      <c r="K1240" t="n">
        <v>2024</v>
      </c>
      <c r="L1240" t="n">
        <v>5</v>
      </c>
      <c r="M1240" t="inlineStr">
        <is>
          <t>Muçarela Mozzalet 2 kg</t>
        </is>
      </c>
      <c r="N1240" t="inlineStr">
        <is>
          <t>Pessoa Física</t>
        </is>
      </c>
      <c r="O1240" t="n">
        <v>1</v>
      </c>
      <c r="P1240" t="n">
        <v>1</v>
      </c>
      <c r="Q1240" t="n">
        <v>0</v>
      </c>
    </row>
    <row r="1241">
      <c r="A1241" t="n">
        <v>2025</v>
      </c>
      <c r="B1241" t="n">
        <v>10</v>
      </c>
      <c r="C1241" t="inlineStr">
        <is>
          <t>Composto lácteo Merilú 400 g</t>
        </is>
      </c>
      <c r="D1241" t="inlineStr">
        <is>
          <t>Laticínios / Distribuidor</t>
        </is>
      </c>
      <c r="E1241" t="n">
        <v>22.11</v>
      </c>
      <c r="F1241" t="n">
        <v>1.26</v>
      </c>
      <c r="G1241" t="n">
        <v>3</v>
      </c>
      <c r="J1241" t="inlineStr">
        <is>
          <t>A</t>
        </is>
      </c>
      <c r="K1241" t="n">
        <v>2024</v>
      </c>
      <c r="L1241" t="n">
        <v>6</v>
      </c>
      <c r="M1241" t="inlineStr">
        <is>
          <t>Muçarela Mozzalet 2 kg</t>
        </is>
      </c>
      <c r="N1241" t="inlineStr">
        <is>
          <t>Pessoa Física</t>
        </is>
      </c>
      <c r="O1241" t="n">
        <v>3</v>
      </c>
      <c r="P1241" t="n">
        <v>8</v>
      </c>
      <c r="Q1241" t="n">
        <v>3</v>
      </c>
    </row>
    <row r="1242">
      <c r="A1242" t="n">
        <v>2025</v>
      </c>
      <c r="B1242" t="n">
        <v>10</v>
      </c>
      <c r="C1242" t="inlineStr">
        <is>
          <t>Composto lácteo Merilú 400 g</t>
        </is>
      </c>
      <c r="D1242" t="inlineStr">
        <is>
          <t>Outros</t>
        </is>
      </c>
      <c r="E1242" t="n">
        <v>325.35</v>
      </c>
      <c r="F1242" t="n">
        <v>18.9</v>
      </c>
      <c r="G1242" t="n">
        <v>45</v>
      </c>
      <c r="J1242" t="inlineStr">
        <is>
          <t>A</t>
        </is>
      </c>
      <c r="K1242" t="n">
        <v>2024</v>
      </c>
      <c r="L1242" t="n">
        <v>7</v>
      </c>
      <c r="M1242" t="inlineStr">
        <is>
          <t>Muçarela Mozzalet 2 kg</t>
        </is>
      </c>
      <c r="N1242" t="inlineStr">
        <is>
          <t>Pessoa Física</t>
        </is>
      </c>
      <c r="O1242" t="n">
        <v>4</v>
      </c>
      <c r="P1242" t="n">
        <v>9</v>
      </c>
      <c r="Q1242" t="n">
        <v>4</v>
      </c>
    </row>
    <row r="1243">
      <c r="A1243" t="n">
        <v>2025</v>
      </c>
      <c r="B1243" t="n">
        <v>10</v>
      </c>
      <c r="C1243" t="inlineStr">
        <is>
          <t>Composto lácteo Merilú 400 g</t>
        </is>
      </c>
      <c r="D1243" t="inlineStr">
        <is>
          <t>Pizzaria</t>
        </is>
      </c>
      <c r="E1243" t="n">
        <v>65.09999999999999</v>
      </c>
      <c r="F1243" t="n">
        <v>3.78</v>
      </c>
      <c r="G1243" t="n">
        <v>9</v>
      </c>
      <c r="J1243" t="inlineStr">
        <is>
          <t>M</t>
        </is>
      </c>
      <c r="K1243" t="n">
        <v>2024</v>
      </c>
      <c r="L1243" t="n">
        <v>7</v>
      </c>
      <c r="M1243" t="inlineStr">
        <is>
          <t>Muçarela Mozzalet 2 kg</t>
        </is>
      </c>
      <c r="N1243" t="inlineStr">
        <is>
          <t>Pessoa Física</t>
        </is>
      </c>
      <c r="O1243" t="n">
        <v>1</v>
      </c>
      <c r="P1243" t="n">
        <v>1</v>
      </c>
      <c r="Q1243" t="n">
        <v>0</v>
      </c>
    </row>
    <row r="1244">
      <c r="A1244" t="n">
        <v>2025</v>
      </c>
      <c r="B1244" t="n">
        <v>10</v>
      </c>
      <c r="C1244" t="inlineStr">
        <is>
          <t>Composto lácteo Merilú 400 g</t>
        </is>
      </c>
      <c r="D1244" t="inlineStr">
        <is>
          <t>Restaurante / Cantina</t>
        </is>
      </c>
      <c r="E1244" t="n">
        <v>1158.24</v>
      </c>
      <c r="F1244" t="n">
        <v>66.78</v>
      </c>
      <c r="G1244" t="n">
        <v>159</v>
      </c>
      <c r="J1244" t="inlineStr">
        <is>
          <t>A</t>
        </is>
      </c>
      <c r="K1244" t="n">
        <v>2024</v>
      </c>
      <c r="L1244" t="n">
        <v>8</v>
      </c>
      <c r="M1244" t="inlineStr">
        <is>
          <t>Muçarela Mozzalet 2 kg</t>
        </is>
      </c>
      <c r="N1244" t="inlineStr">
        <is>
          <t>Pessoa Física</t>
        </is>
      </c>
      <c r="O1244" t="n">
        <v>5</v>
      </c>
      <c r="P1244" t="n">
        <v>12</v>
      </c>
      <c r="Q1244" t="n">
        <v>5</v>
      </c>
    </row>
    <row r="1245">
      <c r="A1245" t="n">
        <v>2025</v>
      </c>
      <c r="B1245" t="n">
        <v>10</v>
      </c>
      <c r="C1245" t="inlineStr">
        <is>
          <t>Composto lácteo Merilú 400 g</t>
        </is>
      </c>
      <c r="D1245" t="inlineStr">
        <is>
          <t>Supermercado</t>
        </is>
      </c>
      <c r="E1245" t="n">
        <v>437.3</v>
      </c>
      <c r="F1245" t="n">
        <v>25.2</v>
      </c>
      <c r="G1245" t="n">
        <v>60</v>
      </c>
      <c r="J1245" t="inlineStr">
        <is>
          <t>M</t>
        </is>
      </c>
      <c r="K1245" t="n">
        <v>2024</v>
      </c>
      <c r="L1245" t="n">
        <v>8</v>
      </c>
      <c r="M1245" t="inlineStr">
        <is>
          <t>Muçarela Mozzalet 2 kg</t>
        </is>
      </c>
      <c r="N1245" t="inlineStr">
        <is>
          <t>Pessoa Física</t>
        </is>
      </c>
      <c r="O1245" t="n">
        <v>1</v>
      </c>
      <c r="P1245" t="n">
        <v>3</v>
      </c>
      <c r="Q1245" t="n">
        <v>0</v>
      </c>
    </row>
    <row r="1246">
      <c r="A1246" t="n">
        <v>2025</v>
      </c>
      <c r="B1246" t="n">
        <v>10</v>
      </c>
      <c r="C1246" t="inlineStr">
        <is>
          <t>Muçarela Mozzalet 2 kg</t>
        </is>
      </c>
      <c r="D1246" t="inlineStr">
        <is>
          <t>Cozinha Industrial</t>
        </is>
      </c>
      <c r="E1246" t="n">
        <v>27984.09</v>
      </c>
      <c r="F1246" t="n">
        <v>1254</v>
      </c>
      <c r="G1246" t="n">
        <v>627</v>
      </c>
      <c r="J1246" t="inlineStr">
        <is>
          <t>A</t>
        </is>
      </c>
      <c r="K1246" t="n">
        <v>2024</v>
      </c>
      <c r="L1246" t="n">
        <v>9</v>
      </c>
      <c r="M1246" t="inlineStr">
        <is>
          <t>Muçarela Mozzalet 2 kg</t>
        </is>
      </c>
      <c r="N1246" t="inlineStr">
        <is>
          <t>Pessoa Física</t>
        </is>
      </c>
      <c r="O1246" t="n">
        <v>5</v>
      </c>
      <c r="P1246" t="n">
        <v>13</v>
      </c>
      <c r="Q1246" t="n">
        <v>5</v>
      </c>
    </row>
    <row r="1247">
      <c r="A1247" t="n">
        <v>2025</v>
      </c>
      <c r="B1247" t="n">
        <v>10</v>
      </c>
      <c r="C1247" t="inlineStr">
        <is>
          <t>Muçarela Mozzalet 2 kg</t>
        </is>
      </c>
      <c r="D1247" t="inlineStr">
        <is>
          <t>Esfiharia</t>
        </is>
      </c>
      <c r="E1247" t="n">
        <v>1688.4</v>
      </c>
      <c r="F1247" t="n">
        <v>72</v>
      </c>
      <c r="G1247" t="n">
        <v>36</v>
      </c>
      <c r="J1247" t="inlineStr">
        <is>
          <t>M</t>
        </is>
      </c>
      <c r="K1247" t="n">
        <v>2024</v>
      </c>
      <c r="L1247" t="n">
        <v>9</v>
      </c>
      <c r="M1247" t="inlineStr">
        <is>
          <t>Muçarela Mozzalet 2 kg</t>
        </is>
      </c>
      <c r="N1247" t="inlineStr">
        <is>
          <t>Pessoa Física</t>
        </is>
      </c>
      <c r="O1247" t="n">
        <v>1</v>
      </c>
      <c r="P1247" t="n">
        <v>1</v>
      </c>
      <c r="Q1247" t="n">
        <v>0</v>
      </c>
    </row>
    <row r="1248">
      <c r="A1248" t="n">
        <v>2025</v>
      </c>
      <c r="B1248" t="n">
        <v>10</v>
      </c>
      <c r="C1248" t="inlineStr">
        <is>
          <t>Muçarela Mozzalet 2 kg</t>
        </is>
      </c>
      <c r="D1248" t="inlineStr">
        <is>
          <t>Fábrica de Massas</t>
        </is>
      </c>
      <c r="E1248" t="n">
        <v>7084.14</v>
      </c>
      <c r="F1248" t="n">
        <v>312</v>
      </c>
      <c r="G1248" t="n">
        <v>156</v>
      </c>
      <c r="J1248" t="inlineStr">
        <is>
          <t>A</t>
        </is>
      </c>
      <c r="K1248" t="n">
        <v>2024</v>
      </c>
      <c r="L1248" t="n">
        <v>10</v>
      </c>
      <c r="M1248" t="inlineStr">
        <is>
          <t>Muçarela Mozzalet 2 kg</t>
        </is>
      </c>
      <c r="N1248" t="inlineStr">
        <is>
          <t>Pessoa Física</t>
        </is>
      </c>
      <c r="O1248" t="n">
        <v>5</v>
      </c>
      <c r="P1248" t="n">
        <v>14</v>
      </c>
      <c r="Q1248" t="n">
        <v>5</v>
      </c>
    </row>
    <row r="1249">
      <c r="A1249" t="n">
        <v>2025</v>
      </c>
      <c r="B1249" t="n">
        <v>10</v>
      </c>
      <c r="C1249" t="inlineStr">
        <is>
          <t>Muçarela Mozzalet 2 kg</t>
        </is>
      </c>
      <c r="D1249" t="inlineStr">
        <is>
          <t>Lanchonete / Cafeteria</t>
        </is>
      </c>
      <c r="E1249" t="n">
        <v>2237.18</v>
      </c>
      <c r="F1249" t="n">
        <v>98</v>
      </c>
      <c r="G1249" t="n">
        <v>49</v>
      </c>
      <c r="J1249" t="inlineStr">
        <is>
          <t>M</t>
        </is>
      </c>
      <c r="K1249" t="n">
        <v>2024</v>
      </c>
      <c r="L1249" t="n">
        <v>10</v>
      </c>
      <c r="M1249" t="inlineStr">
        <is>
          <t>Muçarela Mozzalet 2 kg</t>
        </is>
      </c>
      <c r="N1249" t="inlineStr">
        <is>
          <t>Pessoa Física</t>
        </is>
      </c>
      <c r="O1249" t="n">
        <v>1</v>
      </c>
      <c r="P1249" t="n">
        <v>1</v>
      </c>
      <c r="Q1249" t="n">
        <v>0</v>
      </c>
    </row>
    <row r="1250">
      <c r="A1250" t="n">
        <v>2025</v>
      </c>
      <c r="B1250" t="n">
        <v>10</v>
      </c>
      <c r="C1250" t="inlineStr">
        <is>
          <t>Muçarela Mozzalet 2 kg</t>
        </is>
      </c>
      <c r="D1250" t="inlineStr">
        <is>
          <t>Outros</t>
        </is>
      </c>
      <c r="E1250" t="n">
        <v>1234.62</v>
      </c>
      <c r="F1250" t="n">
        <v>54</v>
      </c>
      <c r="G1250" t="n">
        <v>27</v>
      </c>
      <c r="J1250" t="inlineStr">
        <is>
          <t>A</t>
        </is>
      </c>
      <c r="K1250" t="n">
        <v>2024</v>
      </c>
      <c r="L1250" t="n">
        <v>11</v>
      </c>
      <c r="M1250" t="inlineStr">
        <is>
          <t>Muçarela Mozzalet 2 kg</t>
        </is>
      </c>
      <c r="N1250" t="inlineStr">
        <is>
          <t>Pessoa Física</t>
        </is>
      </c>
      <c r="O1250" t="n">
        <v>8</v>
      </c>
      <c r="P1250" t="n">
        <v>20</v>
      </c>
      <c r="Q1250" t="n">
        <v>8</v>
      </c>
    </row>
    <row r="1251">
      <c r="A1251" t="n">
        <v>2025</v>
      </c>
      <c r="B1251" t="n">
        <v>10</v>
      </c>
      <c r="C1251" t="inlineStr">
        <is>
          <t>Muçarela Mozzalet 2 kg</t>
        </is>
      </c>
      <c r="D1251" t="inlineStr">
        <is>
          <t>Padaria</t>
        </is>
      </c>
      <c r="E1251" t="n">
        <v>1286.39</v>
      </c>
      <c r="F1251" t="n">
        <v>56</v>
      </c>
      <c r="G1251" t="n">
        <v>28</v>
      </c>
      <c r="J1251" t="inlineStr">
        <is>
          <t>M</t>
        </is>
      </c>
      <c r="K1251" t="n">
        <v>2024</v>
      </c>
      <c r="L1251" t="n">
        <v>11</v>
      </c>
      <c r="M1251" t="inlineStr">
        <is>
          <t>Muçarela Mozzalet 2 kg</t>
        </is>
      </c>
      <c r="N1251" t="inlineStr">
        <is>
          <t>Pessoa Física</t>
        </is>
      </c>
      <c r="O1251" t="n">
        <v>4</v>
      </c>
      <c r="P1251" t="n">
        <v>6</v>
      </c>
      <c r="Q1251" t="n">
        <v>0</v>
      </c>
    </row>
    <row r="1252">
      <c r="A1252" t="n">
        <v>2025</v>
      </c>
      <c r="B1252" t="n">
        <v>10</v>
      </c>
      <c r="C1252" t="inlineStr">
        <is>
          <t>Muçarela Mozzalet 2 kg</t>
        </is>
      </c>
      <c r="D1252" t="inlineStr">
        <is>
          <t>Pastelaria</t>
        </is>
      </c>
      <c r="E1252" t="n">
        <v>449</v>
      </c>
      <c r="F1252" t="n">
        <v>20</v>
      </c>
      <c r="G1252" t="n">
        <v>10</v>
      </c>
      <c r="J1252" t="inlineStr">
        <is>
          <t>A</t>
        </is>
      </c>
      <c r="K1252" t="n">
        <v>2024</v>
      </c>
      <c r="L1252" t="n">
        <v>12</v>
      </c>
      <c r="M1252" t="inlineStr">
        <is>
          <t>Muçarela Mozzalet 2 kg</t>
        </is>
      </c>
      <c r="N1252" t="inlineStr">
        <is>
          <t>Pessoa Física</t>
        </is>
      </c>
      <c r="O1252" t="n">
        <v>8</v>
      </c>
      <c r="P1252" t="n">
        <v>21</v>
      </c>
      <c r="Q1252" t="n">
        <v>8</v>
      </c>
    </row>
    <row r="1253">
      <c r="A1253" t="n">
        <v>2025</v>
      </c>
      <c r="B1253" t="n">
        <v>10</v>
      </c>
      <c r="C1253" t="inlineStr">
        <is>
          <t>Muçarela Mozzalet 2 kg</t>
        </is>
      </c>
      <c r="D1253" t="inlineStr">
        <is>
          <t>Pessoa Física</t>
        </is>
      </c>
      <c r="E1253" t="n">
        <v>4041</v>
      </c>
      <c r="F1253" t="n">
        <v>180</v>
      </c>
      <c r="G1253" t="n">
        <v>90</v>
      </c>
      <c r="J1253" t="inlineStr">
        <is>
          <t>M</t>
        </is>
      </c>
      <c r="K1253" t="n">
        <v>2024</v>
      </c>
      <c r="L1253" t="n">
        <v>12</v>
      </c>
      <c r="M1253" t="inlineStr">
        <is>
          <t>Muçarela Mozzalet 2 kg</t>
        </is>
      </c>
      <c r="N1253" t="inlineStr">
        <is>
          <t>Pessoa Física</t>
        </is>
      </c>
      <c r="O1253" t="n">
        <v>1</v>
      </c>
      <c r="P1253" t="n">
        <v>1</v>
      </c>
      <c r="Q1253" t="n">
        <v>0</v>
      </c>
    </row>
    <row r="1254">
      <c r="A1254" t="n">
        <v>2025</v>
      </c>
      <c r="B1254" t="n">
        <v>10</v>
      </c>
      <c r="C1254" t="inlineStr">
        <is>
          <t>Muçarela Mozzalet 2 kg</t>
        </is>
      </c>
      <c r="D1254" t="inlineStr">
        <is>
          <t>Pizzaria</t>
        </is>
      </c>
      <c r="E1254" t="n">
        <v>24433.95</v>
      </c>
      <c r="F1254" t="n">
        <v>1078</v>
      </c>
      <c r="G1254" t="n">
        <v>539</v>
      </c>
      <c r="J1254" t="inlineStr">
        <is>
          <t>A</t>
        </is>
      </c>
      <c r="K1254" t="n">
        <v>2024</v>
      </c>
      <c r="L1254" t="n">
        <v>7</v>
      </c>
      <c r="M1254" t="inlineStr">
        <is>
          <t>Muçarela Mozzalet 2 kg</t>
        </is>
      </c>
      <c r="N1254" t="inlineStr">
        <is>
          <t>Pastelaria</t>
        </is>
      </c>
      <c r="O1254" t="n">
        <v>1</v>
      </c>
      <c r="P1254" t="n">
        <v>1</v>
      </c>
      <c r="Q1254" t="n">
        <v>1</v>
      </c>
    </row>
    <row r="1255">
      <c r="A1255" t="n">
        <v>2025</v>
      </c>
      <c r="B1255" t="n">
        <v>10</v>
      </c>
      <c r="C1255" t="inlineStr">
        <is>
          <t>Muçarela Mozzalet 2 kg</t>
        </is>
      </c>
      <c r="D1255" t="inlineStr">
        <is>
          <t>Restaurante / Cantina</t>
        </is>
      </c>
      <c r="E1255" t="n">
        <v>45592.94</v>
      </c>
      <c r="F1255" t="n">
        <v>2052</v>
      </c>
      <c r="G1255" t="n">
        <v>1026</v>
      </c>
      <c r="J1255" t="inlineStr">
        <is>
          <t>M</t>
        </is>
      </c>
      <c r="K1255" t="n">
        <v>2024</v>
      </c>
      <c r="L1255" t="n">
        <v>7</v>
      </c>
      <c r="M1255" t="inlineStr">
        <is>
          <t>Muçarela Mozzalet 2 kg</t>
        </is>
      </c>
      <c r="N1255" t="inlineStr">
        <is>
          <t>Pastelaria</t>
        </is>
      </c>
      <c r="O1255" t="n">
        <v>1</v>
      </c>
      <c r="P1255" t="n">
        <v>1</v>
      </c>
      <c r="Q1255" t="n">
        <v>0</v>
      </c>
    </row>
    <row r="1256">
      <c r="A1256" t="n">
        <v>2025</v>
      </c>
      <c r="B1256" t="n">
        <v>10</v>
      </c>
      <c r="C1256" t="inlineStr">
        <is>
          <t>Muçarela Mozzalet 2 kg</t>
        </is>
      </c>
      <c r="D1256" t="inlineStr">
        <is>
          <t>Rotisserie</t>
        </is>
      </c>
      <c r="E1256" t="n">
        <v>501.42</v>
      </c>
      <c r="F1256" t="n">
        <v>22</v>
      </c>
      <c r="G1256" t="n">
        <v>11</v>
      </c>
      <c r="J1256" t="inlineStr">
        <is>
          <t>A</t>
        </is>
      </c>
      <c r="K1256" t="n">
        <v>2024</v>
      </c>
      <c r="L1256" t="n">
        <v>8</v>
      </c>
      <c r="M1256" t="inlineStr">
        <is>
          <t>Muçarela Mozzalet 2 kg</t>
        </is>
      </c>
      <c r="N1256" t="inlineStr">
        <is>
          <t>Pastelaria</t>
        </is>
      </c>
      <c r="O1256" t="n">
        <v>2</v>
      </c>
      <c r="P1256" t="n">
        <v>2</v>
      </c>
      <c r="Q1256" t="n">
        <v>2</v>
      </c>
    </row>
    <row r="1257">
      <c r="A1257" t="n">
        <v>2025</v>
      </c>
      <c r="B1257" t="n">
        <v>10</v>
      </c>
      <c r="C1257" t="inlineStr">
        <is>
          <t>Muçarela Mozzana 2 kg</t>
        </is>
      </c>
      <c r="D1257" t="inlineStr">
        <is>
          <t>Buffet</t>
        </is>
      </c>
      <c r="E1257" t="n">
        <v>619.78</v>
      </c>
      <c r="F1257" t="n">
        <v>28.28</v>
      </c>
      <c r="G1257" t="n">
        <v>14</v>
      </c>
      <c r="J1257" t="inlineStr">
        <is>
          <t>M</t>
        </is>
      </c>
      <c r="K1257" t="n">
        <v>2024</v>
      </c>
      <c r="L1257" t="n">
        <v>8</v>
      </c>
      <c r="M1257" t="inlineStr">
        <is>
          <t>Muçarela Mozzalet 2 kg</t>
        </is>
      </c>
      <c r="N1257" t="inlineStr">
        <is>
          <t>Pastelaria</t>
        </is>
      </c>
      <c r="O1257" t="n">
        <v>1</v>
      </c>
      <c r="P1257" t="n">
        <v>1</v>
      </c>
      <c r="Q1257" t="n">
        <v>0</v>
      </c>
    </row>
    <row r="1258">
      <c r="A1258" t="n">
        <v>2025</v>
      </c>
      <c r="B1258" t="n">
        <v>10</v>
      </c>
      <c r="C1258" t="inlineStr">
        <is>
          <t>Muçarela Mozzana 2 kg</t>
        </is>
      </c>
      <c r="D1258" t="inlineStr">
        <is>
          <t>Churrascaria</t>
        </is>
      </c>
      <c r="E1258" t="n">
        <v>174.67</v>
      </c>
      <c r="F1258" t="n">
        <v>8.08</v>
      </c>
      <c r="G1258" t="n">
        <v>4</v>
      </c>
      <c r="J1258" t="inlineStr">
        <is>
          <t>A</t>
        </is>
      </c>
      <c r="K1258" t="n">
        <v>2024</v>
      </c>
      <c r="L1258" t="n">
        <v>9</v>
      </c>
      <c r="M1258" t="inlineStr">
        <is>
          <t>Muçarela Mozzalet 2 kg</t>
        </is>
      </c>
      <c r="N1258" t="inlineStr">
        <is>
          <t>Pastelaria</t>
        </is>
      </c>
      <c r="O1258" t="n">
        <v>3</v>
      </c>
      <c r="P1258" t="n">
        <v>3</v>
      </c>
      <c r="Q1258" t="n">
        <v>3</v>
      </c>
    </row>
    <row r="1259">
      <c r="A1259" t="n">
        <v>2025</v>
      </c>
      <c r="B1259" t="n">
        <v>10</v>
      </c>
      <c r="C1259" t="inlineStr">
        <is>
          <t>Muçarela Mozzana 2 kg</t>
        </is>
      </c>
      <c r="D1259" t="inlineStr">
        <is>
          <t>Cozinha Industrial</t>
        </is>
      </c>
      <c r="E1259" t="n">
        <v>2221.07</v>
      </c>
      <c r="F1259" t="n">
        <v>105.04</v>
      </c>
      <c r="G1259" t="n">
        <v>52</v>
      </c>
      <c r="J1259" t="inlineStr">
        <is>
          <t>M</t>
        </is>
      </c>
      <c r="K1259" t="n">
        <v>2024</v>
      </c>
      <c r="L1259" t="n">
        <v>9</v>
      </c>
      <c r="M1259" t="inlineStr">
        <is>
          <t>Muçarela Mozzalet 2 kg</t>
        </is>
      </c>
      <c r="N1259" t="inlineStr">
        <is>
          <t>Pastelaria</t>
        </is>
      </c>
      <c r="O1259" t="n">
        <v>1</v>
      </c>
      <c r="P1259" t="n">
        <v>1</v>
      </c>
      <c r="Q1259" t="n">
        <v>0</v>
      </c>
    </row>
    <row r="1260">
      <c r="A1260" t="n">
        <v>2025</v>
      </c>
      <c r="B1260" t="n">
        <v>10</v>
      </c>
      <c r="C1260" t="inlineStr">
        <is>
          <t>Muçarela Mozzana 2 kg</t>
        </is>
      </c>
      <c r="D1260" t="inlineStr">
        <is>
          <t>Esfiharia</t>
        </is>
      </c>
      <c r="E1260" t="n">
        <v>5721.18</v>
      </c>
      <c r="F1260" t="n">
        <v>262.6</v>
      </c>
      <c r="G1260" t="n">
        <v>130</v>
      </c>
      <c r="J1260" t="inlineStr">
        <is>
          <t>A</t>
        </is>
      </c>
      <c r="K1260" t="n">
        <v>2024</v>
      </c>
      <c r="L1260" t="n">
        <v>10</v>
      </c>
      <c r="M1260" t="inlineStr">
        <is>
          <t>Muçarela Mozzalet 2 kg</t>
        </is>
      </c>
      <c r="N1260" t="inlineStr">
        <is>
          <t>Pastelaria</t>
        </is>
      </c>
      <c r="O1260" t="n">
        <v>3</v>
      </c>
      <c r="P1260" t="n">
        <v>4</v>
      </c>
      <c r="Q1260" t="n">
        <v>3</v>
      </c>
    </row>
    <row r="1261">
      <c r="A1261" t="n">
        <v>2025</v>
      </c>
      <c r="B1261" t="n">
        <v>10</v>
      </c>
      <c r="C1261" t="inlineStr">
        <is>
          <t>Muçarela Mozzana 2 kg</t>
        </is>
      </c>
      <c r="D1261" t="inlineStr">
        <is>
          <t>Fábrica de Massas</t>
        </is>
      </c>
      <c r="E1261" t="n">
        <v>785.88</v>
      </c>
      <c r="F1261" t="n">
        <v>36.36</v>
      </c>
      <c r="G1261" t="n">
        <v>18</v>
      </c>
      <c r="J1261" t="inlineStr">
        <is>
          <t>M</t>
        </is>
      </c>
      <c r="K1261" t="n">
        <v>2024</v>
      </c>
      <c r="L1261" t="n">
        <v>10</v>
      </c>
      <c r="M1261" t="inlineStr">
        <is>
          <t>Muçarela Mozzalet 2 kg</t>
        </is>
      </c>
      <c r="N1261" t="inlineStr">
        <is>
          <t>Pastelaria</t>
        </is>
      </c>
      <c r="O1261" t="n">
        <v>1</v>
      </c>
      <c r="P1261" t="n">
        <v>1</v>
      </c>
      <c r="Q1261" t="n">
        <v>0</v>
      </c>
    </row>
    <row r="1262">
      <c r="A1262" t="n">
        <v>2025</v>
      </c>
      <c r="B1262" t="n">
        <v>10</v>
      </c>
      <c r="C1262" t="inlineStr">
        <is>
          <t>Muçarela Mozzana 2 kg</t>
        </is>
      </c>
      <c r="D1262" t="inlineStr">
        <is>
          <t>Lanchonete / Cafeteria</t>
        </is>
      </c>
      <c r="E1262" t="n">
        <v>218.74</v>
      </c>
      <c r="F1262" t="n">
        <v>10.1</v>
      </c>
      <c r="G1262" t="n">
        <v>5</v>
      </c>
      <c r="J1262" t="inlineStr">
        <is>
          <t>A</t>
        </is>
      </c>
      <c r="K1262" t="n">
        <v>2024</v>
      </c>
      <c r="L1262" t="n">
        <v>11</v>
      </c>
      <c r="M1262" t="inlineStr">
        <is>
          <t>Muçarela Mozzalet 2 kg</t>
        </is>
      </c>
      <c r="N1262" t="inlineStr">
        <is>
          <t>Pastelaria</t>
        </is>
      </c>
      <c r="O1262" t="n">
        <v>3</v>
      </c>
      <c r="P1262" t="n">
        <v>4</v>
      </c>
      <c r="Q1262" t="n">
        <v>3</v>
      </c>
    </row>
    <row r="1263">
      <c r="A1263" t="n">
        <v>2025</v>
      </c>
      <c r="B1263" t="n">
        <v>10</v>
      </c>
      <c r="C1263" t="inlineStr">
        <is>
          <t>Muçarela Mozzana 2 kg</t>
        </is>
      </c>
      <c r="D1263" t="inlineStr">
        <is>
          <t>Laticínios / Distribuidor</t>
        </is>
      </c>
      <c r="E1263" t="n">
        <v>179.6</v>
      </c>
      <c r="F1263" t="n">
        <v>8.08</v>
      </c>
      <c r="G1263" t="n">
        <v>4</v>
      </c>
      <c r="J1263" t="inlineStr">
        <is>
          <t>A</t>
        </is>
      </c>
      <c r="K1263" t="n">
        <v>2024</v>
      </c>
      <c r="L1263" t="n">
        <v>12</v>
      </c>
      <c r="M1263" t="inlineStr">
        <is>
          <t>Muçarela Mozzalet 2 kg</t>
        </is>
      </c>
      <c r="N1263" t="inlineStr">
        <is>
          <t>Pastelaria</t>
        </is>
      </c>
      <c r="O1263" t="n">
        <v>3</v>
      </c>
      <c r="P1263" t="n">
        <v>4</v>
      </c>
      <c r="Q1263" t="n">
        <v>3</v>
      </c>
    </row>
    <row r="1264">
      <c r="A1264" t="n">
        <v>2025</v>
      </c>
      <c r="B1264" t="n">
        <v>10</v>
      </c>
      <c r="C1264" t="inlineStr">
        <is>
          <t>Muçarela Mozzana 2 kg</t>
        </is>
      </c>
      <c r="D1264" t="inlineStr">
        <is>
          <t>Loja de Conveniência</t>
        </is>
      </c>
      <c r="E1264" t="n">
        <v>300.48</v>
      </c>
      <c r="F1264" t="n">
        <v>14.14</v>
      </c>
      <c r="G1264" t="n">
        <v>7</v>
      </c>
      <c r="J1264" t="inlineStr">
        <is>
          <t>A</t>
        </is>
      </c>
      <c r="K1264" t="n">
        <v>2024</v>
      </c>
      <c r="L1264" t="n">
        <v>5</v>
      </c>
      <c r="M1264" t="inlineStr">
        <is>
          <t>Muçarela Mozzalet 2 kg</t>
        </is>
      </c>
      <c r="N1264" t="inlineStr">
        <is>
          <t>Esfiharia</t>
        </is>
      </c>
      <c r="O1264" t="n">
        <v>1</v>
      </c>
      <c r="P1264" t="n">
        <v>1</v>
      </c>
      <c r="Q1264" t="n">
        <v>1</v>
      </c>
    </row>
    <row r="1265">
      <c r="A1265" t="n">
        <v>2025</v>
      </c>
      <c r="B1265" t="n">
        <v>10</v>
      </c>
      <c r="C1265" t="inlineStr">
        <is>
          <t>Muçarela Mozzana 2 kg</t>
        </is>
      </c>
      <c r="D1265" t="inlineStr">
        <is>
          <t>Outros</t>
        </is>
      </c>
      <c r="E1265" t="n">
        <v>20766.64</v>
      </c>
      <c r="F1265" t="n">
        <v>967.58</v>
      </c>
      <c r="G1265" t="n">
        <v>479</v>
      </c>
      <c r="J1265" t="inlineStr">
        <is>
          <t>M</t>
        </is>
      </c>
      <c r="K1265" t="n">
        <v>2024</v>
      </c>
      <c r="L1265" t="n">
        <v>5</v>
      </c>
      <c r="M1265" t="inlineStr">
        <is>
          <t>Muçarela Mozzalet 2 kg</t>
        </is>
      </c>
      <c r="N1265" t="inlineStr">
        <is>
          <t>Esfiharia</t>
        </is>
      </c>
      <c r="O1265" t="n">
        <v>1</v>
      </c>
      <c r="P1265" t="n">
        <v>1</v>
      </c>
      <c r="Q1265" t="n">
        <v>0</v>
      </c>
    </row>
    <row r="1266">
      <c r="A1266" t="n">
        <v>2025</v>
      </c>
      <c r="B1266" t="n">
        <v>10</v>
      </c>
      <c r="C1266" t="inlineStr">
        <is>
          <t>Muçarela Mozzana 2 kg</t>
        </is>
      </c>
      <c r="D1266" t="inlineStr">
        <is>
          <t>Padaria</t>
        </is>
      </c>
      <c r="E1266" t="n">
        <v>3441.58</v>
      </c>
      <c r="F1266" t="n">
        <v>157.56</v>
      </c>
      <c r="G1266" t="n">
        <v>78</v>
      </c>
      <c r="J1266" t="inlineStr">
        <is>
          <t>A</t>
        </is>
      </c>
      <c r="K1266" t="n">
        <v>2024</v>
      </c>
      <c r="L1266" t="n">
        <v>6</v>
      </c>
      <c r="M1266" t="inlineStr">
        <is>
          <t>Muçarela Mozzalet 2 kg</t>
        </is>
      </c>
      <c r="N1266" t="inlineStr">
        <is>
          <t>Esfiharia</t>
        </is>
      </c>
      <c r="O1266" t="n">
        <v>1</v>
      </c>
      <c r="P1266" t="n">
        <v>2</v>
      </c>
      <c r="Q1266" t="n">
        <v>1</v>
      </c>
    </row>
    <row r="1267">
      <c r="A1267" t="n">
        <v>2025</v>
      </c>
      <c r="B1267" t="n">
        <v>10</v>
      </c>
      <c r="C1267" t="inlineStr">
        <is>
          <t>Muçarela Mozzana 2 kg</t>
        </is>
      </c>
      <c r="D1267" t="inlineStr">
        <is>
          <t>Pastelaria</t>
        </is>
      </c>
      <c r="E1267" t="n">
        <v>2311.28</v>
      </c>
      <c r="F1267" t="n">
        <v>105.04</v>
      </c>
      <c r="G1267" t="n">
        <v>52</v>
      </c>
      <c r="J1267" t="inlineStr">
        <is>
          <t>M</t>
        </is>
      </c>
      <c r="K1267" t="n">
        <v>2024</v>
      </c>
      <c r="L1267" t="n">
        <v>6</v>
      </c>
      <c r="M1267" t="inlineStr">
        <is>
          <t>Muçarela Mozzalet 2 kg</t>
        </is>
      </c>
      <c r="N1267" t="inlineStr">
        <is>
          <t>Esfiharia</t>
        </is>
      </c>
      <c r="O1267" t="n">
        <v>1</v>
      </c>
      <c r="P1267" t="n">
        <v>1</v>
      </c>
      <c r="Q1267" t="n">
        <v>0</v>
      </c>
    </row>
    <row r="1268">
      <c r="A1268" t="n">
        <v>2025</v>
      </c>
      <c r="B1268" t="n">
        <v>10</v>
      </c>
      <c r="C1268" t="inlineStr">
        <is>
          <t>Muçarela Mozzana 2 kg</t>
        </is>
      </c>
      <c r="D1268" t="inlineStr">
        <is>
          <t>Pizzaria</t>
        </is>
      </c>
      <c r="E1268" t="n">
        <v>70570.92999999999</v>
      </c>
      <c r="F1268" t="n">
        <v>3238.06</v>
      </c>
      <c r="G1268" t="n">
        <v>1603</v>
      </c>
      <c r="J1268" t="inlineStr">
        <is>
          <t>A</t>
        </is>
      </c>
      <c r="K1268" t="n">
        <v>2024</v>
      </c>
      <c r="L1268" t="n">
        <v>7</v>
      </c>
      <c r="M1268" t="inlineStr">
        <is>
          <t>Muçarela Mozzalet 2 kg</t>
        </is>
      </c>
      <c r="N1268" t="inlineStr">
        <is>
          <t>Esfiharia</t>
        </is>
      </c>
      <c r="O1268" t="n">
        <v>1</v>
      </c>
      <c r="P1268" t="n">
        <v>2</v>
      </c>
      <c r="Q1268" t="n">
        <v>1</v>
      </c>
    </row>
    <row r="1269">
      <c r="A1269" t="n">
        <v>2025</v>
      </c>
      <c r="B1269" t="n">
        <v>10</v>
      </c>
      <c r="C1269" t="inlineStr">
        <is>
          <t>Muçarela Mozzana 2 kg</t>
        </is>
      </c>
      <c r="D1269" t="inlineStr">
        <is>
          <t>Restaurante / Cantina</t>
        </is>
      </c>
      <c r="E1269" t="n">
        <v>12645.32</v>
      </c>
      <c r="F1269" t="n">
        <v>599.9400000000001</v>
      </c>
      <c r="G1269" t="n">
        <v>297</v>
      </c>
      <c r="J1269" t="inlineStr">
        <is>
          <t>A</t>
        </is>
      </c>
      <c r="K1269" t="n">
        <v>2024</v>
      </c>
      <c r="L1269" t="n">
        <v>8</v>
      </c>
      <c r="M1269" t="inlineStr">
        <is>
          <t>Muçarela Mozzalet 2 kg</t>
        </is>
      </c>
      <c r="N1269" t="inlineStr">
        <is>
          <t>Esfiharia</t>
        </is>
      </c>
      <c r="O1269" t="n">
        <v>1</v>
      </c>
      <c r="P1269" t="n">
        <v>3</v>
      </c>
      <c r="Q1269" t="n">
        <v>1</v>
      </c>
    </row>
    <row r="1270">
      <c r="A1270" t="n">
        <v>2025</v>
      </c>
      <c r="B1270" t="n">
        <v>10</v>
      </c>
      <c r="C1270" t="inlineStr">
        <is>
          <t>Muçarela Mozzana 2 kg</t>
        </is>
      </c>
      <c r="D1270" t="inlineStr">
        <is>
          <t>Rotisserie</t>
        </is>
      </c>
      <c r="E1270" t="n">
        <v>176.4</v>
      </c>
      <c r="F1270" t="n">
        <v>8.08</v>
      </c>
      <c r="G1270" t="n">
        <v>4</v>
      </c>
      <c r="J1270" t="inlineStr">
        <is>
          <t>M</t>
        </is>
      </c>
      <c r="K1270" t="n">
        <v>2024</v>
      </c>
      <c r="L1270" t="n">
        <v>8</v>
      </c>
      <c r="M1270" t="inlineStr">
        <is>
          <t>Muçarela Mozzalet 2 kg</t>
        </is>
      </c>
      <c r="N1270" t="inlineStr">
        <is>
          <t>Esfiharia</t>
        </is>
      </c>
      <c r="O1270" t="n">
        <v>1</v>
      </c>
      <c r="P1270" t="n">
        <v>1</v>
      </c>
      <c r="Q1270" t="n">
        <v>0</v>
      </c>
    </row>
    <row r="1271">
      <c r="A1271" t="n">
        <v>2025</v>
      </c>
      <c r="B1271" t="n">
        <v>10</v>
      </c>
      <c r="C1271" t="inlineStr">
        <is>
          <t>Muçarela Mozzana 2 kg</t>
        </is>
      </c>
      <c r="D1271" t="inlineStr">
        <is>
          <t>Supermercado</t>
        </is>
      </c>
      <c r="E1271" t="n">
        <v>3367.64</v>
      </c>
      <c r="F1271" t="n">
        <v>143.42</v>
      </c>
      <c r="G1271" t="n">
        <v>71</v>
      </c>
      <c r="J1271" t="inlineStr">
        <is>
          <t>A</t>
        </is>
      </c>
      <c r="K1271" t="n">
        <v>2024</v>
      </c>
      <c r="L1271" t="n">
        <v>9</v>
      </c>
      <c r="M1271" t="inlineStr">
        <is>
          <t>Muçarela Mozzalet 2 kg</t>
        </is>
      </c>
      <c r="N1271" t="inlineStr">
        <is>
          <t>Esfiharia</t>
        </is>
      </c>
      <c r="O1271" t="n">
        <v>1</v>
      </c>
      <c r="P1271" t="n">
        <v>3</v>
      </c>
      <c r="Q1271" t="n">
        <v>1</v>
      </c>
    </row>
    <row r="1272">
      <c r="A1272" t="n">
        <v>2025</v>
      </c>
      <c r="B1272" t="n">
        <v>10</v>
      </c>
      <c r="C1272" t="inlineStr">
        <is>
          <t>Requeijão Pizzalet 1,8 kg</t>
        </is>
      </c>
      <c r="D1272" t="inlineStr">
        <is>
          <t>Bar / Chopperia</t>
        </is>
      </c>
      <c r="E1272" t="n">
        <v>491.57</v>
      </c>
      <c r="F1272" t="n">
        <v>57.04</v>
      </c>
      <c r="G1272" t="n">
        <v>31</v>
      </c>
      <c r="J1272" t="inlineStr">
        <is>
          <t>A</t>
        </is>
      </c>
      <c r="K1272" t="n">
        <v>2024</v>
      </c>
      <c r="L1272" t="n">
        <v>10</v>
      </c>
      <c r="M1272" t="inlineStr">
        <is>
          <t>Muçarela Mozzalet 2 kg</t>
        </is>
      </c>
      <c r="N1272" t="inlineStr">
        <is>
          <t>Esfiharia</t>
        </is>
      </c>
      <c r="O1272" t="n">
        <v>1</v>
      </c>
      <c r="P1272" t="n">
        <v>3</v>
      </c>
      <c r="Q1272" t="n">
        <v>1</v>
      </c>
    </row>
    <row r="1273">
      <c r="A1273" t="n">
        <v>2025</v>
      </c>
      <c r="B1273" t="n">
        <v>10</v>
      </c>
      <c r="C1273" t="inlineStr">
        <is>
          <t>Requeijão Pizzalet 1,8 kg</t>
        </is>
      </c>
      <c r="D1273" t="inlineStr">
        <is>
          <t>Lanchonete / Cafeteria</t>
        </is>
      </c>
      <c r="E1273" t="n">
        <v>1322.01</v>
      </c>
      <c r="F1273" t="n">
        <v>152.72</v>
      </c>
      <c r="G1273" t="n">
        <v>83</v>
      </c>
      <c r="J1273" t="inlineStr">
        <is>
          <t>A</t>
        </is>
      </c>
      <c r="K1273" t="n">
        <v>2024</v>
      </c>
      <c r="L1273" t="n">
        <v>11</v>
      </c>
      <c r="M1273" t="inlineStr">
        <is>
          <t>Muçarela Mozzalet 2 kg</t>
        </is>
      </c>
      <c r="N1273" t="inlineStr">
        <is>
          <t>Esfiharia</t>
        </is>
      </c>
      <c r="O1273" t="n">
        <v>1</v>
      </c>
      <c r="P1273" t="n">
        <v>3</v>
      </c>
      <c r="Q1273" t="n">
        <v>1</v>
      </c>
    </row>
    <row r="1274">
      <c r="A1274" t="n">
        <v>2025</v>
      </c>
      <c r="B1274" t="n">
        <v>10</v>
      </c>
      <c r="C1274" t="inlineStr">
        <is>
          <t>Requeijão Pizzalet 1,8 kg</t>
        </is>
      </c>
      <c r="D1274" t="inlineStr">
        <is>
          <t>Outros</t>
        </is>
      </c>
      <c r="E1274" t="n">
        <v>479.7</v>
      </c>
      <c r="F1274" t="n">
        <v>55.2</v>
      </c>
      <c r="G1274" t="n">
        <v>30</v>
      </c>
      <c r="J1274" t="inlineStr">
        <is>
          <t>A</t>
        </is>
      </c>
      <c r="K1274" t="n">
        <v>2024</v>
      </c>
      <c r="L1274" t="n">
        <v>12</v>
      </c>
      <c r="M1274" t="inlineStr">
        <is>
          <t>Muçarela Mozzalet 2 kg</t>
        </is>
      </c>
      <c r="N1274" t="inlineStr">
        <is>
          <t>Esfiharia</t>
        </is>
      </c>
      <c r="O1274" t="n">
        <v>1</v>
      </c>
      <c r="P1274" t="n">
        <v>3</v>
      </c>
      <c r="Q1274" t="n">
        <v>1</v>
      </c>
    </row>
    <row r="1275">
      <c r="A1275" t="n">
        <v>2025</v>
      </c>
      <c r="B1275" t="n">
        <v>10</v>
      </c>
      <c r="C1275" t="inlineStr">
        <is>
          <t>Requeijão Pizzalet 1,8 kg</t>
        </is>
      </c>
      <c r="D1275" t="inlineStr">
        <is>
          <t>Pastelaria</t>
        </is>
      </c>
      <c r="E1275" t="n">
        <v>2473.16</v>
      </c>
      <c r="F1275" t="n">
        <v>287.04</v>
      </c>
      <c r="G1275" t="n">
        <v>156</v>
      </c>
      <c r="J1275" t="inlineStr">
        <is>
          <t>A</t>
        </is>
      </c>
      <c r="K1275" t="n">
        <v>2024</v>
      </c>
      <c r="L1275" t="n">
        <v>2</v>
      </c>
      <c r="M1275" t="inlineStr">
        <is>
          <t>Muçarela Mozzalet 2 kg</t>
        </is>
      </c>
      <c r="N1275" t="inlineStr">
        <is>
          <t>Lanchonete / Cafeteria</t>
        </is>
      </c>
      <c r="O1275" t="n">
        <v>1</v>
      </c>
      <c r="P1275" t="n">
        <v>1</v>
      </c>
      <c r="Q1275" t="n">
        <v>1</v>
      </c>
    </row>
    <row r="1276">
      <c r="A1276" t="n">
        <v>2025</v>
      </c>
      <c r="B1276" t="n">
        <v>10</v>
      </c>
      <c r="C1276" t="inlineStr">
        <is>
          <t>Requeijão Pizzalet 1,8 kg</t>
        </is>
      </c>
      <c r="D1276" t="inlineStr">
        <is>
          <t>Pizzaria</t>
        </is>
      </c>
      <c r="E1276" t="n">
        <v>3572.82</v>
      </c>
      <c r="F1276" t="n">
        <v>408.48</v>
      </c>
      <c r="G1276" t="n">
        <v>222</v>
      </c>
      <c r="J1276" t="inlineStr">
        <is>
          <t>M</t>
        </is>
      </c>
      <c r="K1276" t="n">
        <v>2024</v>
      </c>
      <c r="L1276" t="n">
        <v>2</v>
      </c>
      <c r="M1276" t="inlineStr">
        <is>
          <t>Muçarela Mozzalet 2 kg</t>
        </is>
      </c>
      <c r="N1276" t="inlineStr">
        <is>
          <t>Lanchonete / Cafeteria</t>
        </is>
      </c>
      <c r="O1276" t="n">
        <v>1</v>
      </c>
      <c r="P1276" t="n">
        <v>1</v>
      </c>
      <c r="Q1276" t="n">
        <v>0</v>
      </c>
    </row>
    <row r="1277">
      <c r="A1277" t="n">
        <v>2025</v>
      </c>
      <c r="B1277" t="n">
        <v>10</v>
      </c>
      <c r="C1277" t="inlineStr">
        <is>
          <t>Requeijão Pizzalet 1,8 kg</t>
        </is>
      </c>
      <c r="D1277" t="inlineStr">
        <is>
          <t>Restaurante / Cantina</t>
        </is>
      </c>
      <c r="E1277" t="n">
        <v>79.15000000000001</v>
      </c>
      <c r="F1277" t="n">
        <v>9.199999999999999</v>
      </c>
      <c r="G1277" t="n">
        <v>5</v>
      </c>
      <c r="J1277" t="inlineStr">
        <is>
          <t>A</t>
        </is>
      </c>
      <c r="K1277" t="n">
        <v>2024</v>
      </c>
      <c r="L1277" t="n">
        <v>3</v>
      </c>
      <c r="M1277" t="inlineStr">
        <is>
          <t>Muçarela Mozzalet 2 kg</t>
        </is>
      </c>
      <c r="N1277" t="inlineStr">
        <is>
          <t>Lanchonete / Cafeteria</t>
        </is>
      </c>
      <c r="O1277" t="n">
        <v>1</v>
      </c>
      <c r="P1277" t="n">
        <v>1</v>
      </c>
      <c r="Q1277" t="n">
        <v>1</v>
      </c>
    </row>
    <row r="1278">
      <c r="A1278" t="n">
        <v>2025</v>
      </c>
      <c r="B1278" t="n">
        <v>11</v>
      </c>
      <c r="C1278" t="inlineStr">
        <is>
          <t>Chocolate em pó 50% 1 kg</t>
        </is>
      </c>
      <c r="D1278" t="inlineStr">
        <is>
          <t>Bar / Chopperia</t>
        </is>
      </c>
      <c r="E1278" t="n">
        <v>83.5</v>
      </c>
      <c r="F1278" t="n">
        <v>2.04</v>
      </c>
      <c r="G1278" t="n">
        <v>2</v>
      </c>
      <c r="J1278" t="inlineStr">
        <is>
          <t>A</t>
        </is>
      </c>
      <c r="K1278" t="n">
        <v>2024</v>
      </c>
      <c r="L1278" t="n">
        <v>4</v>
      </c>
      <c r="M1278" t="inlineStr">
        <is>
          <t>Muçarela Mozzalet 2 kg</t>
        </is>
      </c>
      <c r="N1278" t="inlineStr">
        <is>
          <t>Lanchonete / Cafeteria</t>
        </is>
      </c>
      <c r="O1278" t="n">
        <v>1</v>
      </c>
      <c r="P1278" t="n">
        <v>1</v>
      </c>
      <c r="Q1278" t="n">
        <v>1</v>
      </c>
    </row>
    <row r="1279">
      <c r="A1279" t="n">
        <v>2025</v>
      </c>
      <c r="B1279" t="n">
        <v>11</v>
      </c>
      <c r="C1279" t="inlineStr">
        <is>
          <t>Chocolate em pó 50% 1 kg</t>
        </is>
      </c>
      <c r="D1279" t="inlineStr">
        <is>
          <t>Buffet</t>
        </is>
      </c>
      <c r="E1279" t="n">
        <v>249.24</v>
      </c>
      <c r="F1279" t="n">
        <v>6.12</v>
      </c>
      <c r="G1279" t="n">
        <v>6</v>
      </c>
      <c r="J1279" t="inlineStr">
        <is>
          <t>A</t>
        </is>
      </c>
      <c r="K1279" t="n">
        <v>2024</v>
      </c>
      <c r="L1279" t="n">
        <v>5</v>
      </c>
      <c r="M1279" t="inlineStr">
        <is>
          <t>Muçarela Mozzalet 2 kg</t>
        </is>
      </c>
      <c r="N1279" t="inlineStr">
        <is>
          <t>Lanchonete / Cafeteria</t>
        </is>
      </c>
      <c r="O1279" t="n">
        <v>1</v>
      </c>
      <c r="P1279" t="n">
        <v>1</v>
      </c>
      <c r="Q1279" t="n">
        <v>1</v>
      </c>
    </row>
    <row r="1280">
      <c r="A1280" t="n">
        <v>2025</v>
      </c>
      <c r="B1280" t="n">
        <v>11</v>
      </c>
      <c r="C1280" t="inlineStr">
        <is>
          <t>Chocolate em pó 50% 1 kg</t>
        </is>
      </c>
      <c r="D1280" t="inlineStr">
        <is>
          <t>Casa Noturna</t>
        </is>
      </c>
      <c r="E1280" t="n">
        <v>40.3</v>
      </c>
      <c r="F1280" t="n">
        <v>1.02</v>
      </c>
      <c r="G1280" t="n">
        <v>1</v>
      </c>
      <c r="J1280" t="inlineStr">
        <is>
          <t>A</t>
        </is>
      </c>
      <c r="K1280" t="n">
        <v>2024</v>
      </c>
      <c r="L1280" t="n">
        <v>6</v>
      </c>
      <c r="M1280" t="inlineStr">
        <is>
          <t>Muçarela Mozzalet 2 kg</t>
        </is>
      </c>
      <c r="N1280" t="inlineStr">
        <is>
          <t>Lanchonete / Cafeteria</t>
        </is>
      </c>
      <c r="O1280" t="n">
        <v>3</v>
      </c>
      <c r="P1280" t="n">
        <v>3</v>
      </c>
      <c r="Q1280" t="n">
        <v>3</v>
      </c>
    </row>
    <row r="1281">
      <c r="A1281" t="n">
        <v>2025</v>
      </c>
      <c r="B1281" t="n">
        <v>11</v>
      </c>
      <c r="C1281" t="inlineStr">
        <is>
          <t>Chocolate em pó 50% 1 kg</t>
        </is>
      </c>
      <c r="D1281" t="inlineStr">
        <is>
          <t>Churrascaria</t>
        </is>
      </c>
      <c r="E1281" t="n">
        <v>332.64</v>
      </c>
      <c r="F1281" t="n">
        <v>8.16</v>
      </c>
      <c r="G1281" t="n">
        <v>8</v>
      </c>
      <c r="J1281" t="inlineStr">
        <is>
          <t>M</t>
        </is>
      </c>
      <c r="K1281" t="n">
        <v>2024</v>
      </c>
      <c r="L1281" t="n">
        <v>6</v>
      </c>
      <c r="M1281" t="inlineStr">
        <is>
          <t>Muçarela Mozzalet 2 kg</t>
        </is>
      </c>
      <c r="N1281" t="inlineStr">
        <is>
          <t>Lanchonete / Cafeteria</t>
        </is>
      </c>
      <c r="O1281" t="n">
        <v>2</v>
      </c>
      <c r="P1281" t="n">
        <v>2</v>
      </c>
      <c r="Q1281" t="n">
        <v>0</v>
      </c>
    </row>
    <row r="1282">
      <c r="A1282" t="n">
        <v>2025</v>
      </c>
      <c r="B1282" t="n">
        <v>11</v>
      </c>
      <c r="C1282" t="inlineStr">
        <is>
          <t>Chocolate em pó 50% 1 kg</t>
        </is>
      </c>
      <c r="D1282" t="inlineStr">
        <is>
          <t>Confeitaria</t>
        </is>
      </c>
      <c r="E1282" t="n">
        <v>249.28</v>
      </c>
      <c r="F1282" t="n">
        <v>6.12</v>
      </c>
      <c r="G1282" t="n">
        <v>6</v>
      </c>
      <c r="J1282" t="inlineStr">
        <is>
          <t>A</t>
        </is>
      </c>
      <c r="K1282" t="n">
        <v>2024</v>
      </c>
      <c r="L1282" t="n">
        <v>7</v>
      </c>
      <c r="M1282" t="inlineStr">
        <is>
          <t>Muçarela Mozzalet 2 kg</t>
        </is>
      </c>
      <c r="N1282" t="inlineStr">
        <is>
          <t>Lanchonete / Cafeteria</t>
        </is>
      </c>
      <c r="O1282" t="n">
        <v>3</v>
      </c>
      <c r="P1282" t="n">
        <v>6</v>
      </c>
      <c r="Q1282" t="n">
        <v>3</v>
      </c>
    </row>
    <row r="1283">
      <c r="A1283" t="n">
        <v>2025</v>
      </c>
      <c r="B1283" t="n">
        <v>11</v>
      </c>
      <c r="C1283" t="inlineStr">
        <is>
          <t>Chocolate em pó 50% 1 kg</t>
        </is>
      </c>
      <c r="D1283" t="inlineStr">
        <is>
          <t>Cozinha Industrial</t>
        </is>
      </c>
      <c r="E1283" t="n">
        <v>41.96</v>
      </c>
      <c r="F1283" t="n">
        <v>1.02</v>
      </c>
      <c r="G1283" t="n">
        <v>1</v>
      </c>
      <c r="J1283" t="inlineStr">
        <is>
          <t>M</t>
        </is>
      </c>
      <c r="K1283" t="n">
        <v>2024</v>
      </c>
      <c r="L1283" t="n">
        <v>7</v>
      </c>
      <c r="M1283" t="inlineStr">
        <is>
          <t>Muçarela Mozzalet 2 kg</t>
        </is>
      </c>
      <c r="N1283" t="inlineStr">
        <is>
          <t>Lanchonete / Cafeteria</t>
        </is>
      </c>
      <c r="O1283" t="n">
        <v>2</v>
      </c>
      <c r="P1283" t="n">
        <v>3</v>
      </c>
      <c r="Q1283" t="n">
        <v>0</v>
      </c>
    </row>
    <row r="1284">
      <c r="A1284" t="n">
        <v>2025</v>
      </c>
      <c r="B1284" t="n">
        <v>11</v>
      </c>
      <c r="C1284" t="inlineStr">
        <is>
          <t>Chocolate em pó 50% 1 kg</t>
        </is>
      </c>
      <c r="D1284" t="inlineStr">
        <is>
          <t>Hotel / Motel / Pousada</t>
        </is>
      </c>
      <c r="E1284" t="n">
        <v>125.98</v>
      </c>
      <c r="F1284" t="n">
        <v>3.06</v>
      </c>
      <c r="G1284" t="n">
        <v>3</v>
      </c>
      <c r="J1284" t="inlineStr">
        <is>
          <t>A</t>
        </is>
      </c>
      <c r="K1284" t="n">
        <v>2024</v>
      </c>
      <c r="L1284" t="n">
        <v>8</v>
      </c>
      <c r="M1284" t="inlineStr">
        <is>
          <t>Muçarela Mozzalet 2 kg</t>
        </is>
      </c>
      <c r="N1284" t="inlineStr">
        <is>
          <t>Lanchonete / Cafeteria</t>
        </is>
      </c>
      <c r="O1284" t="n">
        <v>3</v>
      </c>
      <c r="P1284" t="n">
        <v>9</v>
      </c>
      <c r="Q1284" t="n">
        <v>3</v>
      </c>
    </row>
    <row r="1285">
      <c r="A1285" t="n">
        <v>2025</v>
      </c>
      <c r="B1285" t="n">
        <v>11</v>
      </c>
      <c r="C1285" t="inlineStr">
        <is>
          <t>Chocolate em pó 50% 1 kg</t>
        </is>
      </c>
      <c r="D1285" t="inlineStr">
        <is>
          <t>Lanchonete / Cafeteria</t>
        </is>
      </c>
      <c r="E1285" t="n">
        <v>483.53</v>
      </c>
      <c r="F1285" t="n">
        <v>12.24</v>
      </c>
      <c r="G1285" t="n">
        <v>12</v>
      </c>
      <c r="J1285" t="inlineStr">
        <is>
          <t>M</t>
        </is>
      </c>
      <c r="K1285" t="n">
        <v>2024</v>
      </c>
      <c r="L1285" t="n">
        <v>8</v>
      </c>
      <c r="M1285" t="inlineStr">
        <is>
          <t>Muçarela Mozzalet 2 kg</t>
        </is>
      </c>
      <c r="N1285" t="inlineStr">
        <is>
          <t>Lanchonete / Cafeteria</t>
        </is>
      </c>
      <c r="O1285" t="n">
        <v>2</v>
      </c>
      <c r="P1285" t="n">
        <v>3</v>
      </c>
      <c r="Q1285" t="n">
        <v>0</v>
      </c>
    </row>
    <row r="1286">
      <c r="A1286" t="n">
        <v>2025</v>
      </c>
      <c r="B1286" t="n">
        <v>11</v>
      </c>
      <c r="C1286" t="inlineStr">
        <is>
          <t>Chocolate em pó 50% 1 kg</t>
        </is>
      </c>
      <c r="D1286" t="inlineStr">
        <is>
          <t>Loja de Conveniência</t>
        </is>
      </c>
      <c r="E1286" t="n">
        <v>83.92</v>
      </c>
      <c r="F1286" t="n">
        <v>2.04</v>
      </c>
      <c r="G1286" t="n">
        <v>2</v>
      </c>
      <c r="J1286" t="inlineStr">
        <is>
          <t>A</t>
        </is>
      </c>
      <c r="K1286" t="n">
        <v>2024</v>
      </c>
      <c r="L1286" t="n">
        <v>9</v>
      </c>
      <c r="M1286" t="inlineStr">
        <is>
          <t>Muçarela Mozzalet 2 kg</t>
        </is>
      </c>
      <c r="N1286" t="inlineStr">
        <is>
          <t>Lanchonete / Cafeteria</t>
        </is>
      </c>
      <c r="O1286" t="n">
        <v>3</v>
      </c>
      <c r="P1286" t="n">
        <v>11</v>
      </c>
      <c r="Q1286" t="n">
        <v>3</v>
      </c>
    </row>
    <row r="1287">
      <c r="A1287" t="n">
        <v>2025</v>
      </c>
      <c r="B1287" t="n">
        <v>11</v>
      </c>
      <c r="C1287" t="inlineStr">
        <is>
          <t>Chocolate em pó 50% 1 kg</t>
        </is>
      </c>
      <c r="D1287" t="inlineStr">
        <is>
          <t>Outros</t>
        </is>
      </c>
      <c r="E1287" t="n">
        <v>333.98</v>
      </c>
      <c r="F1287" t="n">
        <v>8.16</v>
      </c>
      <c r="G1287" t="n">
        <v>8</v>
      </c>
      <c r="J1287" t="inlineStr">
        <is>
          <t>M</t>
        </is>
      </c>
      <c r="K1287" t="n">
        <v>2024</v>
      </c>
      <c r="L1287" t="n">
        <v>9</v>
      </c>
      <c r="M1287" t="inlineStr">
        <is>
          <t>Muçarela Mozzalet 2 kg</t>
        </is>
      </c>
      <c r="N1287" t="inlineStr">
        <is>
          <t>Lanchonete / Cafeteria</t>
        </is>
      </c>
      <c r="O1287" t="n">
        <v>2</v>
      </c>
      <c r="P1287" t="n">
        <v>2</v>
      </c>
      <c r="Q1287" t="n">
        <v>0</v>
      </c>
    </row>
    <row r="1288">
      <c r="A1288" t="n">
        <v>2025</v>
      </c>
      <c r="B1288" t="n">
        <v>11</v>
      </c>
      <c r="C1288" t="inlineStr">
        <is>
          <t>Chocolate em pó 50% 1 kg</t>
        </is>
      </c>
      <c r="D1288" t="inlineStr">
        <is>
          <t>Padaria</t>
        </is>
      </c>
      <c r="E1288" t="n">
        <v>788.22</v>
      </c>
      <c r="F1288" t="n">
        <v>19.38</v>
      </c>
      <c r="G1288" t="n">
        <v>19</v>
      </c>
      <c r="J1288" t="inlineStr">
        <is>
          <t>A</t>
        </is>
      </c>
      <c r="K1288" t="n">
        <v>2024</v>
      </c>
      <c r="L1288" t="n">
        <v>10</v>
      </c>
      <c r="M1288" t="inlineStr">
        <is>
          <t>Muçarela Mozzalet 2 kg</t>
        </is>
      </c>
      <c r="N1288" t="inlineStr">
        <is>
          <t>Lanchonete / Cafeteria</t>
        </is>
      </c>
      <c r="O1288" t="n">
        <v>3</v>
      </c>
      <c r="P1288" t="n">
        <v>14</v>
      </c>
      <c r="Q1288" t="n">
        <v>3</v>
      </c>
    </row>
    <row r="1289">
      <c r="A1289" t="n">
        <v>2025</v>
      </c>
      <c r="B1289" t="n">
        <v>11</v>
      </c>
      <c r="C1289" t="inlineStr">
        <is>
          <t>Chocolate em pó 50% 1 kg</t>
        </is>
      </c>
      <c r="D1289" t="inlineStr">
        <is>
          <t>Pizzaria</t>
        </is>
      </c>
      <c r="E1289" t="n">
        <v>1618.98</v>
      </c>
      <c r="F1289" t="n">
        <v>39.78</v>
      </c>
      <c r="G1289" t="n">
        <v>39</v>
      </c>
      <c r="J1289" t="inlineStr">
        <is>
          <t>M</t>
        </is>
      </c>
      <c r="K1289" t="n">
        <v>2024</v>
      </c>
      <c r="L1289" t="n">
        <v>10</v>
      </c>
      <c r="M1289" t="inlineStr">
        <is>
          <t>Muçarela Mozzalet 2 kg</t>
        </is>
      </c>
      <c r="N1289" t="inlineStr">
        <is>
          <t>Lanchonete / Cafeteria</t>
        </is>
      </c>
      <c r="O1289" t="n">
        <v>1</v>
      </c>
      <c r="P1289" t="n">
        <v>3</v>
      </c>
      <c r="Q1289" t="n">
        <v>0</v>
      </c>
    </row>
    <row r="1290">
      <c r="A1290" t="n">
        <v>2025</v>
      </c>
      <c r="B1290" t="n">
        <v>11</v>
      </c>
      <c r="C1290" t="inlineStr">
        <is>
          <t>Chocolate em pó 50% 1 kg</t>
        </is>
      </c>
      <c r="D1290" t="inlineStr">
        <is>
          <t>Restaurante / Cantina</t>
        </is>
      </c>
      <c r="E1290" t="n">
        <v>1743.25</v>
      </c>
      <c r="F1290" t="n">
        <v>42.84</v>
      </c>
      <c r="G1290" t="n">
        <v>42</v>
      </c>
      <c r="J1290" t="inlineStr">
        <is>
          <t>A</t>
        </is>
      </c>
      <c r="K1290" t="n">
        <v>2024</v>
      </c>
      <c r="L1290" t="n">
        <v>11</v>
      </c>
      <c r="M1290" t="inlineStr">
        <is>
          <t>Muçarela Mozzalet 2 kg</t>
        </is>
      </c>
      <c r="N1290" t="inlineStr">
        <is>
          <t>Lanchonete / Cafeteria</t>
        </is>
      </c>
      <c r="O1290" t="n">
        <v>4</v>
      </c>
      <c r="P1290" t="n">
        <v>17</v>
      </c>
      <c r="Q1290" t="n">
        <v>4</v>
      </c>
    </row>
    <row r="1291">
      <c r="A1291" t="n">
        <v>2025</v>
      </c>
      <c r="B1291" t="n">
        <v>11</v>
      </c>
      <c r="C1291" t="inlineStr">
        <is>
          <t>Composto lácteo Alibralac 1 kg</t>
        </is>
      </c>
      <c r="D1291" t="inlineStr">
        <is>
          <t>Cozinha Industrial</t>
        </is>
      </c>
      <c r="E1291" t="n">
        <v>1189.83</v>
      </c>
      <c r="F1291" t="n">
        <v>52.02</v>
      </c>
      <c r="G1291" t="n">
        <v>51</v>
      </c>
      <c r="J1291" t="inlineStr">
        <is>
          <t>M</t>
        </is>
      </c>
      <c r="K1291" t="n">
        <v>2024</v>
      </c>
      <c r="L1291" t="n">
        <v>11</v>
      </c>
      <c r="M1291" t="inlineStr">
        <is>
          <t>Muçarela Mozzalet 2 kg</t>
        </is>
      </c>
      <c r="N1291" t="inlineStr">
        <is>
          <t>Lanchonete / Cafeteria</t>
        </is>
      </c>
      <c r="O1291" t="n">
        <v>2</v>
      </c>
      <c r="P1291" t="n">
        <v>3</v>
      </c>
      <c r="Q1291" t="n">
        <v>0</v>
      </c>
    </row>
    <row r="1292">
      <c r="A1292" t="n">
        <v>2025</v>
      </c>
      <c r="B1292" t="n">
        <v>11</v>
      </c>
      <c r="C1292" t="inlineStr">
        <is>
          <t>Composto lácteo Alibralac 1 kg</t>
        </is>
      </c>
      <c r="D1292" t="inlineStr">
        <is>
          <t>Hotel / Motel / Pousada</t>
        </is>
      </c>
      <c r="E1292" t="n">
        <v>561.6</v>
      </c>
      <c r="F1292" t="n">
        <v>24.48</v>
      </c>
      <c r="G1292" t="n">
        <v>24</v>
      </c>
      <c r="J1292" t="inlineStr">
        <is>
          <t>A</t>
        </is>
      </c>
      <c r="K1292" t="n">
        <v>2024</v>
      </c>
      <c r="L1292" t="n">
        <v>12</v>
      </c>
      <c r="M1292" t="inlineStr">
        <is>
          <t>Muçarela Mozzalet 2 kg</t>
        </is>
      </c>
      <c r="N1292" t="inlineStr">
        <is>
          <t>Lanchonete / Cafeteria</t>
        </is>
      </c>
      <c r="O1292" t="n">
        <v>4</v>
      </c>
      <c r="P1292" t="n">
        <v>19</v>
      </c>
      <c r="Q1292" t="n">
        <v>4</v>
      </c>
    </row>
    <row r="1293">
      <c r="A1293" t="n">
        <v>2025</v>
      </c>
      <c r="B1293" t="n">
        <v>11</v>
      </c>
      <c r="C1293" t="inlineStr">
        <is>
          <t>Composto lácteo Alibralac 1 kg</t>
        </is>
      </c>
      <c r="D1293" t="inlineStr">
        <is>
          <t>Lanchonete / Cafeteria</t>
        </is>
      </c>
      <c r="E1293" t="n">
        <v>46.78</v>
      </c>
      <c r="F1293" t="n">
        <v>2.04</v>
      </c>
      <c r="G1293" t="n">
        <v>2</v>
      </c>
      <c r="J1293" t="inlineStr">
        <is>
          <t>M</t>
        </is>
      </c>
      <c r="K1293" t="n">
        <v>2024</v>
      </c>
      <c r="L1293" t="n">
        <v>12</v>
      </c>
      <c r="M1293" t="inlineStr">
        <is>
          <t>Muçarela Mozzalet 2 kg</t>
        </is>
      </c>
      <c r="N1293" t="inlineStr">
        <is>
          <t>Lanchonete / Cafeteria</t>
        </is>
      </c>
      <c r="O1293" t="n">
        <v>2</v>
      </c>
      <c r="P1293" t="n">
        <v>2</v>
      </c>
      <c r="Q1293" t="n">
        <v>0</v>
      </c>
    </row>
    <row r="1294">
      <c r="A1294" t="n">
        <v>2025</v>
      </c>
      <c r="B1294" t="n">
        <v>11</v>
      </c>
      <c r="C1294" t="inlineStr">
        <is>
          <t>Composto lácteo Alibralac 1 kg</t>
        </is>
      </c>
      <c r="D1294" t="inlineStr">
        <is>
          <t>Pizzaria</t>
        </is>
      </c>
      <c r="E1294" t="n">
        <v>1056.03</v>
      </c>
      <c r="F1294" t="n">
        <v>46.92</v>
      </c>
      <c r="G1294" t="n">
        <v>46</v>
      </c>
      <c r="J1294" t="inlineStr">
        <is>
          <t>A</t>
        </is>
      </c>
      <c r="K1294" t="n">
        <v>2024</v>
      </c>
      <c r="L1294" t="n">
        <v>6</v>
      </c>
      <c r="M1294" t="inlineStr">
        <is>
          <t>Muçarela Mozzalet 2 kg</t>
        </is>
      </c>
      <c r="N1294" t="inlineStr">
        <is>
          <t>Padaria</t>
        </is>
      </c>
      <c r="O1294" t="n">
        <v>1</v>
      </c>
      <c r="P1294" t="n">
        <v>1</v>
      </c>
      <c r="Q1294" t="n">
        <v>1</v>
      </c>
    </row>
    <row r="1295">
      <c r="A1295" t="n">
        <v>2025</v>
      </c>
      <c r="B1295" t="n">
        <v>11</v>
      </c>
      <c r="C1295" t="inlineStr">
        <is>
          <t>Composto lácteo Alibralac 1 kg</t>
        </is>
      </c>
      <c r="D1295" t="inlineStr">
        <is>
          <t>Restaurante / Cantina</t>
        </is>
      </c>
      <c r="E1295" t="n">
        <v>115.5</v>
      </c>
      <c r="F1295" t="n">
        <v>5.1</v>
      </c>
      <c r="G1295" t="n">
        <v>5</v>
      </c>
      <c r="J1295" t="inlineStr">
        <is>
          <t>M</t>
        </is>
      </c>
      <c r="K1295" t="n">
        <v>2024</v>
      </c>
      <c r="L1295" t="n">
        <v>6</v>
      </c>
      <c r="M1295" t="inlineStr">
        <is>
          <t>Muçarela Mozzalet 2 kg</t>
        </is>
      </c>
      <c r="N1295" t="inlineStr">
        <is>
          <t>Padaria</t>
        </is>
      </c>
      <c r="O1295" t="n">
        <v>1</v>
      </c>
      <c r="P1295" t="n">
        <v>1</v>
      </c>
      <c r="Q1295" t="n">
        <v>0</v>
      </c>
    </row>
    <row r="1296">
      <c r="A1296" t="n">
        <v>2025</v>
      </c>
      <c r="B1296" t="n">
        <v>11</v>
      </c>
      <c r="C1296" t="inlineStr">
        <is>
          <t>Composto lácteo Merilú 400 g</t>
        </is>
      </c>
      <c r="D1296" t="inlineStr">
        <is>
          <t>Cozinha Industrial</t>
        </is>
      </c>
      <c r="E1296" t="n">
        <v>1189.9</v>
      </c>
      <c r="F1296" t="n">
        <v>68.45999999999999</v>
      </c>
      <c r="G1296" t="n">
        <v>163</v>
      </c>
      <c r="J1296" t="inlineStr">
        <is>
          <t>A</t>
        </is>
      </c>
      <c r="K1296" t="n">
        <v>2024</v>
      </c>
      <c r="L1296" t="n">
        <v>7</v>
      </c>
      <c r="M1296" t="inlineStr">
        <is>
          <t>Muçarela Mozzalet 2 kg</t>
        </is>
      </c>
      <c r="N1296" t="inlineStr">
        <is>
          <t>Padaria</t>
        </is>
      </c>
      <c r="O1296" t="n">
        <v>1</v>
      </c>
      <c r="P1296" t="n">
        <v>1</v>
      </c>
      <c r="Q1296" t="n">
        <v>1</v>
      </c>
    </row>
    <row r="1297">
      <c r="A1297" t="n">
        <v>2025</v>
      </c>
      <c r="B1297" t="n">
        <v>11</v>
      </c>
      <c r="C1297" t="inlineStr">
        <is>
          <t>Composto lácteo Merilú 400 g</t>
        </is>
      </c>
      <c r="D1297" t="inlineStr">
        <is>
          <t>Fábrica de Massas</t>
        </is>
      </c>
      <c r="E1297" t="n">
        <v>86.28</v>
      </c>
      <c r="F1297" t="n">
        <v>5.04</v>
      </c>
      <c r="G1297" t="n">
        <v>12</v>
      </c>
      <c r="J1297" t="inlineStr">
        <is>
          <t>A</t>
        </is>
      </c>
      <c r="K1297" t="n">
        <v>2024</v>
      </c>
      <c r="L1297" t="n">
        <v>8</v>
      </c>
      <c r="M1297" t="inlineStr">
        <is>
          <t>Muçarela Mozzalet 2 kg</t>
        </is>
      </c>
      <c r="N1297" t="inlineStr">
        <is>
          <t>Padaria</t>
        </is>
      </c>
      <c r="O1297" t="n">
        <v>2</v>
      </c>
      <c r="P1297" t="n">
        <v>2</v>
      </c>
      <c r="Q1297" t="n">
        <v>2</v>
      </c>
    </row>
    <row r="1298">
      <c r="A1298" t="n">
        <v>2025</v>
      </c>
      <c r="B1298" t="n">
        <v>11</v>
      </c>
      <c r="C1298" t="inlineStr">
        <is>
          <t>Composto lácteo Merilú 400 g</t>
        </is>
      </c>
      <c r="D1298" t="inlineStr">
        <is>
          <t>Lanchonete / Cafeteria</t>
        </is>
      </c>
      <c r="E1298" t="n">
        <v>552.75</v>
      </c>
      <c r="F1298" t="n">
        <v>31.5</v>
      </c>
      <c r="G1298" t="n">
        <v>75</v>
      </c>
      <c r="J1298" t="inlineStr">
        <is>
          <t>M</t>
        </is>
      </c>
      <c r="K1298" t="n">
        <v>2024</v>
      </c>
      <c r="L1298" t="n">
        <v>8</v>
      </c>
      <c r="M1298" t="inlineStr">
        <is>
          <t>Muçarela Mozzalet 2 kg</t>
        </is>
      </c>
      <c r="N1298" t="inlineStr">
        <is>
          <t>Padaria</t>
        </is>
      </c>
      <c r="O1298" t="n">
        <v>1</v>
      </c>
      <c r="P1298" t="n">
        <v>1</v>
      </c>
      <c r="Q1298" t="n">
        <v>0</v>
      </c>
    </row>
    <row r="1299">
      <c r="A1299" t="n">
        <v>2025</v>
      </c>
      <c r="B1299" t="n">
        <v>11</v>
      </c>
      <c r="C1299" t="inlineStr">
        <is>
          <t>Composto lácteo Merilú 400 g</t>
        </is>
      </c>
      <c r="D1299" t="inlineStr">
        <is>
          <t>Outros</t>
        </is>
      </c>
      <c r="E1299" t="n">
        <v>216.9</v>
      </c>
      <c r="F1299" t="n">
        <v>12.6</v>
      </c>
      <c r="G1299" t="n">
        <v>30</v>
      </c>
      <c r="J1299" t="inlineStr">
        <is>
          <t>A</t>
        </is>
      </c>
      <c r="K1299" t="n">
        <v>2024</v>
      </c>
      <c r="L1299" t="n">
        <v>9</v>
      </c>
      <c r="M1299" t="inlineStr">
        <is>
          <t>Muçarela Mozzalet 2 kg</t>
        </is>
      </c>
      <c r="N1299" t="inlineStr">
        <is>
          <t>Padaria</t>
        </is>
      </c>
      <c r="O1299" t="n">
        <v>4</v>
      </c>
      <c r="P1299" t="n">
        <v>4</v>
      </c>
      <c r="Q1299" t="n">
        <v>4</v>
      </c>
    </row>
    <row r="1300">
      <c r="A1300" t="n">
        <v>2025</v>
      </c>
      <c r="B1300" t="n">
        <v>11</v>
      </c>
      <c r="C1300" t="inlineStr">
        <is>
          <t>Composto lácteo Merilú 400 g</t>
        </is>
      </c>
      <c r="D1300" t="inlineStr">
        <is>
          <t>Padaria</t>
        </is>
      </c>
      <c r="E1300" t="n">
        <v>195.01</v>
      </c>
      <c r="F1300" t="n">
        <v>11.34</v>
      </c>
      <c r="G1300" t="n">
        <v>27</v>
      </c>
      <c r="J1300" t="inlineStr">
        <is>
          <t>M</t>
        </is>
      </c>
      <c r="K1300" t="n">
        <v>2024</v>
      </c>
      <c r="L1300" t="n">
        <v>9</v>
      </c>
      <c r="M1300" t="inlineStr">
        <is>
          <t>Muçarela Mozzalet 2 kg</t>
        </is>
      </c>
      <c r="N1300" t="inlineStr">
        <is>
          <t>Padaria</t>
        </is>
      </c>
      <c r="O1300" t="n">
        <v>2</v>
      </c>
      <c r="P1300" t="n">
        <v>2</v>
      </c>
      <c r="Q1300" t="n">
        <v>0</v>
      </c>
    </row>
    <row r="1301">
      <c r="A1301" t="n">
        <v>2025</v>
      </c>
      <c r="B1301" t="n">
        <v>11</v>
      </c>
      <c r="C1301" t="inlineStr">
        <is>
          <t>Composto lácteo Merilú 400 g</t>
        </is>
      </c>
      <c r="D1301" t="inlineStr">
        <is>
          <t>Pizzaria</t>
        </is>
      </c>
      <c r="E1301" t="n">
        <v>426.8</v>
      </c>
      <c r="F1301" t="n">
        <v>25.2</v>
      </c>
      <c r="G1301" t="n">
        <v>60</v>
      </c>
      <c r="J1301" t="inlineStr">
        <is>
          <t>A</t>
        </is>
      </c>
      <c r="K1301" t="n">
        <v>2024</v>
      </c>
      <c r="L1301" t="n">
        <v>10</v>
      </c>
      <c r="M1301" t="inlineStr">
        <is>
          <t>Muçarela Mozzalet 2 kg</t>
        </is>
      </c>
      <c r="N1301" t="inlineStr">
        <is>
          <t>Padaria</t>
        </is>
      </c>
      <c r="O1301" t="n">
        <v>4</v>
      </c>
      <c r="P1301" t="n">
        <v>7</v>
      </c>
      <c r="Q1301" t="n">
        <v>4</v>
      </c>
    </row>
    <row r="1302">
      <c r="A1302" t="n">
        <v>2025</v>
      </c>
      <c r="B1302" t="n">
        <v>11</v>
      </c>
      <c r="C1302" t="inlineStr">
        <is>
          <t>Composto lácteo Merilú 400 g</t>
        </is>
      </c>
      <c r="D1302" t="inlineStr">
        <is>
          <t>Restaurante / Cantina</t>
        </is>
      </c>
      <c r="E1302" t="n">
        <v>720.49</v>
      </c>
      <c r="F1302" t="n">
        <v>41.58</v>
      </c>
      <c r="G1302" t="n">
        <v>99</v>
      </c>
      <c r="J1302" t="inlineStr">
        <is>
          <t>M</t>
        </is>
      </c>
      <c r="K1302" t="n">
        <v>2024</v>
      </c>
      <c r="L1302" t="n">
        <v>10</v>
      </c>
      <c r="M1302" t="inlineStr">
        <is>
          <t>Muçarela Mozzalet 2 kg</t>
        </is>
      </c>
      <c r="N1302" t="inlineStr">
        <is>
          <t>Padaria</t>
        </is>
      </c>
      <c r="O1302" t="n">
        <v>2</v>
      </c>
      <c r="P1302" t="n">
        <v>3</v>
      </c>
      <c r="Q1302" t="n">
        <v>0</v>
      </c>
    </row>
    <row r="1303">
      <c r="A1303" t="n">
        <v>2025</v>
      </c>
      <c r="B1303" t="n">
        <v>11</v>
      </c>
      <c r="C1303" t="inlineStr">
        <is>
          <t>Composto lácteo Merilú 400 g</t>
        </is>
      </c>
      <c r="D1303" t="inlineStr">
        <is>
          <t>Supermercado</t>
        </is>
      </c>
      <c r="E1303" t="n">
        <v>219</v>
      </c>
      <c r="F1303" t="n">
        <v>12.6</v>
      </c>
      <c r="G1303" t="n">
        <v>30</v>
      </c>
      <c r="J1303" t="inlineStr">
        <is>
          <t>A</t>
        </is>
      </c>
      <c r="K1303" t="n">
        <v>2024</v>
      </c>
      <c r="L1303" t="n">
        <v>11</v>
      </c>
      <c r="M1303" t="inlineStr">
        <is>
          <t>Muçarela Mozzalet 2 kg</t>
        </is>
      </c>
      <c r="N1303" t="inlineStr">
        <is>
          <t>Padaria</t>
        </is>
      </c>
      <c r="O1303" t="n">
        <v>5</v>
      </c>
      <c r="P1303" t="n">
        <v>9</v>
      </c>
      <c r="Q1303" t="n">
        <v>5</v>
      </c>
    </row>
    <row r="1304">
      <c r="A1304" t="n">
        <v>2025</v>
      </c>
      <c r="B1304" t="n">
        <v>11</v>
      </c>
      <c r="C1304" t="inlineStr">
        <is>
          <t>Muçarela Mozzalet 2 kg</t>
        </is>
      </c>
      <c r="D1304" t="inlineStr">
        <is>
          <t>Cozinha Industrial</t>
        </is>
      </c>
      <c r="E1304" t="n">
        <v>23024.85</v>
      </c>
      <c r="F1304" t="n">
        <v>1032</v>
      </c>
      <c r="G1304" t="n">
        <v>516</v>
      </c>
      <c r="J1304" t="inlineStr">
        <is>
          <t>M</t>
        </is>
      </c>
      <c r="K1304" t="n">
        <v>2024</v>
      </c>
      <c r="L1304" t="n">
        <v>11</v>
      </c>
      <c r="M1304" t="inlineStr">
        <is>
          <t>Muçarela Mozzalet 2 kg</t>
        </is>
      </c>
      <c r="N1304" t="inlineStr">
        <is>
          <t>Padaria</t>
        </is>
      </c>
      <c r="O1304" t="n">
        <v>2</v>
      </c>
      <c r="P1304" t="n">
        <v>2</v>
      </c>
      <c r="Q1304" t="n">
        <v>0</v>
      </c>
    </row>
    <row r="1305">
      <c r="A1305" t="n">
        <v>2025</v>
      </c>
      <c r="B1305" t="n">
        <v>11</v>
      </c>
      <c r="C1305" t="inlineStr">
        <is>
          <t>Muçarela Mozzalet 2 kg</t>
        </is>
      </c>
      <c r="D1305" t="inlineStr">
        <is>
          <t>Esfiharia</t>
        </is>
      </c>
      <c r="E1305" t="n">
        <v>1266.3</v>
      </c>
      <c r="F1305" t="n">
        <v>54</v>
      </c>
      <c r="G1305" t="n">
        <v>27</v>
      </c>
      <c r="J1305" t="inlineStr">
        <is>
          <t>A</t>
        </is>
      </c>
      <c r="K1305" t="n">
        <v>2024</v>
      </c>
      <c r="L1305" t="n">
        <v>12</v>
      </c>
      <c r="M1305" t="inlineStr">
        <is>
          <t>Muçarela Mozzalet 2 kg</t>
        </is>
      </c>
      <c r="N1305" t="inlineStr">
        <is>
          <t>Padaria</t>
        </is>
      </c>
      <c r="O1305" t="n">
        <v>5</v>
      </c>
      <c r="P1305" t="n">
        <v>9</v>
      </c>
      <c r="Q1305" t="n">
        <v>5</v>
      </c>
    </row>
    <row r="1306">
      <c r="A1306" t="n">
        <v>2025</v>
      </c>
      <c r="B1306" t="n">
        <v>11</v>
      </c>
      <c r="C1306" t="inlineStr">
        <is>
          <t>Muçarela Mozzalet 2 kg</t>
        </is>
      </c>
      <c r="D1306" t="inlineStr">
        <is>
          <t>Fábrica de Massas</t>
        </is>
      </c>
      <c r="E1306" t="n">
        <v>9120</v>
      </c>
      <c r="F1306" t="n">
        <v>400</v>
      </c>
      <c r="G1306" t="n">
        <v>200</v>
      </c>
      <c r="J1306" t="inlineStr">
        <is>
          <t>A</t>
        </is>
      </c>
      <c r="K1306" t="n">
        <v>2024</v>
      </c>
      <c r="L1306" t="n">
        <v>6</v>
      </c>
      <c r="M1306" t="inlineStr">
        <is>
          <t>Muçarela Mozzalet 2 kg</t>
        </is>
      </c>
      <c r="N1306" t="inlineStr">
        <is>
          <t>Mercearia / Sacolão</t>
        </is>
      </c>
      <c r="O1306" t="n">
        <v>1</v>
      </c>
      <c r="P1306" t="n">
        <v>1</v>
      </c>
      <c r="Q1306" t="n">
        <v>1</v>
      </c>
    </row>
    <row r="1307">
      <c r="A1307" t="n">
        <v>2025</v>
      </c>
      <c r="B1307" t="n">
        <v>11</v>
      </c>
      <c r="C1307" t="inlineStr">
        <is>
          <t>Muçarela Mozzalet 2 kg</t>
        </is>
      </c>
      <c r="D1307" t="inlineStr">
        <is>
          <t>Lanchonete / Cafeteria</t>
        </is>
      </c>
      <c r="E1307" t="n">
        <v>1002.98</v>
      </c>
      <c r="F1307" t="n">
        <v>44</v>
      </c>
      <c r="G1307" t="n">
        <v>22</v>
      </c>
      <c r="J1307" t="inlineStr">
        <is>
          <t>M</t>
        </is>
      </c>
      <c r="K1307" t="n">
        <v>2024</v>
      </c>
      <c r="L1307" t="n">
        <v>6</v>
      </c>
      <c r="M1307" t="inlineStr">
        <is>
          <t>Muçarela Mozzalet 2 kg</t>
        </is>
      </c>
      <c r="N1307" t="inlineStr">
        <is>
          <t>Mercearia / Sacolão</t>
        </is>
      </c>
      <c r="O1307" t="n">
        <v>1</v>
      </c>
      <c r="P1307" t="n">
        <v>1</v>
      </c>
      <c r="Q1307" t="n">
        <v>0</v>
      </c>
    </row>
    <row r="1308">
      <c r="A1308" t="n">
        <v>2025</v>
      </c>
      <c r="B1308" t="n">
        <v>11</v>
      </c>
      <c r="C1308" t="inlineStr">
        <is>
          <t>Muçarela Mozzalet 2 kg</t>
        </is>
      </c>
      <c r="D1308" t="inlineStr">
        <is>
          <t>Padaria</t>
        </is>
      </c>
      <c r="E1308" t="n">
        <v>415.62</v>
      </c>
      <c r="F1308" t="n">
        <v>18</v>
      </c>
      <c r="G1308" t="n">
        <v>9</v>
      </c>
      <c r="J1308" t="inlineStr">
        <is>
          <t>A</t>
        </is>
      </c>
      <c r="K1308" t="n">
        <v>2024</v>
      </c>
      <c r="L1308" t="n">
        <v>7</v>
      </c>
      <c r="M1308" t="inlineStr">
        <is>
          <t>Muçarela Mozzalet 2 kg</t>
        </is>
      </c>
      <c r="N1308" t="inlineStr">
        <is>
          <t>Mercearia / Sacolão</t>
        </is>
      </c>
      <c r="O1308" t="n">
        <v>1</v>
      </c>
      <c r="P1308" t="n">
        <v>1</v>
      </c>
      <c r="Q1308" t="n">
        <v>1</v>
      </c>
    </row>
    <row r="1309">
      <c r="A1309" t="n">
        <v>2025</v>
      </c>
      <c r="B1309" t="n">
        <v>11</v>
      </c>
      <c r="C1309" t="inlineStr">
        <is>
          <t>Muçarela Mozzalet 2 kg</t>
        </is>
      </c>
      <c r="D1309" t="inlineStr">
        <is>
          <t>Pastelaria</t>
        </is>
      </c>
      <c r="E1309" t="n">
        <v>89.98</v>
      </c>
      <c r="F1309" t="n">
        <v>4</v>
      </c>
      <c r="G1309" t="n">
        <v>2</v>
      </c>
      <c r="J1309" t="inlineStr">
        <is>
          <t>A</t>
        </is>
      </c>
      <c r="K1309" t="n">
        <v>2024</v>
      </c>
      <c r="L1309" t="n">
        <v>8</v>
      </c>
      <c r="M1309" t="inlineStr">
        <is>
          <t>Muçarela Mozzalet 2 kg</t>
        </is>
      </c>
      <c r="N1309" t="inlineStr">
        <is>
          <t>Mercearia / Sacolão</t>
        </is>
      </c>
      <c r="O1309" t="n">
        <v>1</v>
      </c>
      <c r="P1309" t="n">
        <v>1</v>
      </c>
      <c r="Q1309" t="n">
        <v>1</v>
      </c>
    </row>
    <row r="1310">
      <c r="A1310" t="n">
        <v>2025</v>
      </c>
      <c r="B1310" t="n">
        <v>11</v>
      </c>
      <c r="C1310" t="inlineStr">
        <is>
          <t>Muçarela Mozzalet 2 kg</t>
        </is>
      </c>
      <c r="D1310" t="inlineStr">
        <is>
          <t>Pessoa Física</t>
        </is>
      </c>
      <c r="E1310" t="n">
        <v>1616.4</v>
      </c>
      <c r="F1310" t="n">
        <v>72</v>
      </c>
      <c r="G1310" t="n">
        <v>36</v>
      </c>
      <c r="J1310" t="inlineStr">
        <is>
          <t>A</t>
        </is>
      </c>
      <c r="K1310" t="n">
        <v>2024</v>
      </c>
      <c r="L1310" t="n">
        <v>9</v>
      </c>
      <c r="M1310" t="inlineStr">
        <is>
          <t>Muçarela Mozzalet 2 kg</t>
        </is>
      </c>
      <c r="N1310" t="inlineStr">
        <is>
          <t>Mercearia / Sacolão</t>
        </is>
      </c>
      <c r="O1310" t="n">
        <v>1</v>
      </c>
      <c r="P1310" t="n">
        <v>1</v>
      </c>
      <c r="Q1310" t="n">
        <v>1</v>
      </c>
    </row>
    <row r="1311">
      <c r="A1311" t="n">
        <v>2025</v>
      </c>
      <c r="B1311" t="n">
        <v>11</v>
      </c>
      <c r="C1311" t="inlineStr">
        <is>
          <t>Muçarela Mozzalet 2 kg</t>
        </is>
      </c>
      <c r="D1311" t="inlineStr">
        <is>
          <t>Pizzaria</t>
        </is>
      </c>
      <c r="E1311" t="n">
        <v>7569.24</v>
      </c>
      <c r="F1311" t="n">
        <v>332</v>
      </c>
      <c r="G1311" t="n">
        <v>166</v>
      </c>
      <c r="J1311" t="inlineStr">
        <is>
          <t>A</t>
        </is>
      </c>
      <c r="K1311" t="n">
        <v>2024</v>
      </c>
      <c r="L1311" t="n">
        <v>10</v>
      </c>
      <c r="M1311" t="inlineStr">
        <is>
          <t>Muçarela Mozzalet 2 kg</t>
        </is>
      </c>
      <c r="N1311" t="inlineStr">
        <is>
          <t>Mercearia / Sacolão</t>
        </is>
      </c>
      <c r="O1311" t="n">
        <v>1</v>
      </c>
      <c r="P1311" t="n">
        <v>1</v>
      </c>
      <c r="Q1311" t="n">
        <v>1</v>
      </c>
    </row>
    <row r="1312">
      <c r="A1312" t="n">
        <v>2025</v>
      </c>
      <c r="B1312" t="n">
        <v>11</v>
      </c>
      <c r="C1312" t="inlineStr">
        <is>
          <t>Muçarela Mozzalet 2 kg</t>
        </is>
      </c>
      <c r="D1312" t="inlineStr">
        <is>
          <t>Restaurante / Cantina</t>
        </is>
      </c>
      <c r="E1312" t="n">
        <v>45865.2</v>
      </c>
      <c r="F1312" t="n">
        <v>2066</v>
      </c>
      <c r="G1312" t="n">
        <v>1033</v>
      </c>
      <c r="J1312" t="inlineStr">
        <is>
          <t>A</t>
        </is>
      </c>
      <c r="K1312" t="n">
        <v>2024</v>
      </c>
      <c r="L1312" t="n">
        <v>11</v>
      </c>
      <c r="M1312" t="inlineStr">
        <is>
          <t>Muçarela Mozzalet 2 kg</t>
        </is>
      </c>
      <c r="N1312" t="inlineStr">
        <is>
          <t>Mercearia / Sacolão</t>
        </is>
      </c>
      <c r="O1312" t="n">
        <v>1</v>
      </c>
      <c r="P1312" t="n">
        <v>1</v>
      </c>
      <c r="Q1312" t="n">
        <v>1</v>
      </c>
    </row>
    <row r="1313">
      <c r="A1313" t="n">
        <v>2025</v>
      </c>
      <c r="B1313" t="n">
        <v>11</v>
      </c>
      <c r="C1313" t="inlineStr">
        <is>
          <t>Muçarela Mozzana 2 kg</t>
        </is>
      </c>
      <c r="D1313" t="inlineStr">
        <is>
          <t>Buffet</t>
        </is>
      </c>
      <c r="E1313" t="n">
        <v>970.2</v>
      </c>
      <c r="F1313" t="n">
        <v>44.44</v>
      </c>
      <c r="G1313" t="n">
        <v>22</v>
      </c>
      <c r="J1313" t="inlineStr">
        <is>
          <t>A</t>
        </is>
      </c>
      <c r="K1313" t="n">
        <v>2024</v>
      </c>
      <c r="L1313" t="n">
        <v>12</v>
      </c>
      <c r="M1313" t="inlineStr">
        <is>
          <t>Muçarela Mozzalet 2 kg</t>
        </is>
      </c>
      <c r="N1313" t="inlineStr">
        <is>
          <t>Mercearia / Sacolão</t>
        </is>
      </c>
      <c r="O1313" t="n">
        <v>1</v>
      </c>
      <c r="P1313" t="n">
        <v>1</v>
      </c>
      <c r="Q1313" t="n">
        <v>1</v>
      </c>
    </row>
    <row r="1314">
      <c r="A1314" t="n">
        <v>2025</v>
      </c>
      <c r="B1314" t="n">
        <v>11</v>
      </c>
      <c r="C1314" t="inlineStr">
        <is>
          <t>Muçarela Mozzana 2 kg</t>
        </is>
      </c>
      <c r="D1314" t="inlineStr">
        <is>
          <t>Churrascaria</t>
        </is>
      </c>
      <c r="E1314" t="n">
        <v>213.08</v>
      </c>
      <c r="F1314" t="n">
        <v>10.1</v>
      </c>
      <c r="G1314" t="n">
        <v>5</v>
      </c>
      <c r="J1314" t="inlineStr">
        <is>
          <t>A</t>
        </is>
      </c>
      <c r="K1314" t="n">
        <v>2024</v>
      </c>
      <c r="L1314" t="n">
        <v>6</v>
      </c>
      <c r="M1314" t="inlineStr">
        <is>
          <t>Muçarela Mozzalet 2 kg</t>
        </is>
      </c>
      <c r="N1314" t="inlineStr">
        <is>
          <t>Buffet</t>
        </is>
      </c>
      <c r="O1314" t="n">
        <v>1</v>
      </c>
      <c r="P1314" t="n">
        <v>1</v>
      </c>
      <c r="Q1314" t="n">
        <v>1</v>
      </c>
    </row>
    <row r="1315">
      <c r="A1315" t="n">
        <v>2025</v>
      </c>
      <c r="B1315" t="n">
        <v>11</v>
      </c>
      <c r="C1315" t="inlineStr">
        <is>
          <t>Muçarela Mozzana 2 kg</t>
        </is>
      </c>
      <c r="D1315" t="inlineStr">
        <is>
          <t>Confeitaria</t>
        </is>
      </c>
      <c r="E1315" t="n">
        <v>359.91</v>
      </c>
      <c r="F1315" t="n">
        <v>18.18</v>
      </c>
      <c r="G1315" t="n">
        <v>9</v>
      </c>
      <c r="J1315" t="inlineStr">
        <is>
          <t>M</t>
        </is>
      </c>
      <c r="K1315" t="n">
        <v>2024</v>
      </c>
      <c r="L1315" t="n">
        <v>6</v>
      </c>
      <c r="M1315" t="inlineStr">
        <is>
          <t>Muçarela Mozzalet 2 kg</t>
        </is>
      </c>
      <c r="N1315" t="inlineStr">
        <is>
          <t>Buffet</t>
        </is>
      </c>
      <c r="O1315" t="n">
        <v>1</v>
      </c>
      <c r="P1315" t="n">
        <v>1</v>
      </c>
      <c r="Q1315" t="n">
        <v>0</v>
      </c>
    </row>
    <row r="1316">
      <c r="A1316" t="n">
        <v>2025</v>
      </c>
      <c r="B1316" t="n">
        <v>11</v>
      </c>
      <c r="C1316" t="inlineStr">
        <is>
          <t>Muçarela Mozzana 2 kg</t>
        </is>
      </c>
      <c r="D1316" t="inlineStr">
        <is>
          <t>Cozinha Industrial</t>
        </is>
      </c>
      <c r="E1316" t="n">
        <v>6804.49</v>
      </c>
      <c r="F1316" t="n">
        <v>335.32</v>
      </c>
      <c r="G1316" t="n">
        <v>166</v>
      </c>
      <c r="J1316" t="inlineStr">
        <is>
          <t>A</t>
        </is>
      </c>
      <c r="K1316" t="n">
        <v>2024</v>
      </c>
      <c r="L1316" t="n">
        <v>7</v>
      </c>
      <c r="M1316" t="inlineStr">
        <is>
          <t>Muçarela Mozzalet 2 kg</t>
        </is>
      </c>
      <c r="N1316" t="inlineStr">
        <is>
          <t>Buffet</t>
        </is>
      </c>
      <c r="O1316" t="n">
        <v>1</v>
      </c>
      <c r="P1316" t="n">
        <v>1</v>
      </c>
      <c r="Q1316" t="n">
        <v>1</v>
      </c>
    </row>
    <row r="1317">
      <c r="A1317" t="n">
        <v>2025</v>
      </c>
      <c r="B1317" t="n">
        <v>11</v>
      </c>
      <c r="C1317" t="inlineStr">
        <is>
          <t>Muçarela Mozzana 2 kg</t>
        </is>
      </c>
      <c r="D1317" t="inlineStr">
        <is>
          <t>Esfiharia</t>
        </is>
      </c>
      <c r="E1317" t="n">
        <v>5022.07</v>
      </c>
      <c r="F1317" t="n">
        <v>228.26</v>
      </c>
      <c r="G1317" t="n">
        <v>113</v>
      </c>
      <c r="J1317" t="inlineStr">
        <is>
          <t>A</t>
        </is>
      </c>
      <c r="K1317" t="n">
        <v>2024</v>
      </c>
      <c r="L1317" t="n">
        <v>8</v>
      </c>
      <c r="M1317" t="inlineStr">
        <is>
          <t>Muçarela Mozzalet 2 kg</t>
        </is>
      </c>
      <c r="N1317" t="inlineStr">
        <is>
          <t>Buffet</t>
        </is>
      </c>
      <c r="O1317" t="n">
        <v>1</v>
      </c>
      <c r="P1317" t="n">
        <v>1</v>
      </c>
      <c r="Q1317" t="n">
        <v>1</v>
      </c>
    </row>
    <row r="1318">
      <c r="A1318" t="n">
        <v>2025</v>
      </c>
      <c r="B1318" t="n">
        <v>11</v>
      </c>
      <c r="C1318" t="inlineStr">
        <is>
          <t>Muçarela Mozzana 2 kg</t>
        </is>
      </c>
      <c r="D1318" t="inlineStr">
        <is>
          <t>Fábrica de Massas</t>
        </is>
      </c>
      <c r="E1318" t="n">
        <v>2254.11</v>
      </c>
      <c r="F1318" t="n">
        <v>105.04</v>
      </c>
      <c r="G1318" t="n">
        <v>52</v>
      </c>
      <c r="J1318" t="inlineStr">
        <is>
          <t>A</t>
        </is>
      </c>
      <c r="K1318" t="n">
        <v>2024</v>
      </c>
      <c r="L1318" t="n">
        <v>9</v>
      </c>
      <c r="M1318" t="inlineStr">
        <is>
          <t>Muçarela Mozzalet 2 kg</t>
        </is>
      </c>
      <c r="N1318" t="inlineStr">
        <is>
          <t>Buffet</t>
        </is>
      </c>
      <c r="O1318" t="n">
        <v>1</v>
      </c>
      <c r="P1318" t="n">
        <v>1</v>
      </c>
      <c r="Q1318" t="n">
        <v>1</v>
      </c>
    </row>
    <row r="1319">
      <c r="A1319" t="n">
        <v>2025</v>
      </c>
      <c r="B1319" t="n">
        <v>11</v>
      </c>
      <c r="C1319" t="inlineStr">
        <is>
          <t>Muçarela Mozzana 2 kg</t>
        </is>
      </c>
      <c r="D1319" t="inlineStr">
        <is>
          <t>Lanchonete / Cafeteria</t>
        </is>
      </c>
      <c r="E1319" t="n">
        <v>207.29</v>
      </c>
      <c r="F1319" t="n">
        <v>10.1</v>
      </c>
      <c r="G1319" t="n">
        <v>5</v>
      </c>
      <c r="J1319" t="inlineStr">
        <is>
          <t>A</t>
        </is>
      </c>
      <c r="K1319" t="n">
        <v>2024</v>
      </c>
      <c r="L1319" t="n">
        <v>10</v>
      </c>
      <c r="M1319" t="inlineStr">
        <is>
          <t>Muçarela Mozzalet 2 kg</t>
        </is>
      </c>
      <c r="N1319" t="inlineStr">
        <is>
          <t>Buffet</t>
        </is>
      </c>
      <c r="O1319" t="n">
        <v>1</v>
      </c>
      <c r="P1319" t="n">
        <v>1</v>
      </c>
      <c r="Q1319" t="n">
        <v>1</v>
      </c>
    </row>
    <row r="1320">
      <c r="A1320" t="n">
        <v>2025</v>
      </c>
      <c r="B1320" t="n">
        <v>11</v>
      </c>
      <c r="C1320" t="inlineStr">
        <is>
          <t>Muçarela Mozzana 2 kg</t>
        </is>
      </c>
      <c r="D1320" t="inlineStr">
        <is>
          <t>Loja de Conveniência</t>
        </is>
      </c>
      <c r="E1320" t="n">
        <v>132.3</v>
      </c>
      <c r="F1320" t="n">
        <v>6.06</v>
      </c>
      <c r="G1320" t="n">
        <v>3</v>
      </c>
      <c r="J1320" t="inlineStr">
        <is>
          <t>A</t>
        </is>
      </c>
      <c r="K1320" t="n">
        <v>2024</v>
      </c>
      <c r="L1320" t="n">
        <v>11</v>
      </c>
      <c r="M1320" t="inlineStr">
        <is>
          <t>Muçarela Mozzalet 2 kg</t>
        </is>
      </c>
      <c r="N1320" t="inlineStr">
        <is>
          <t>Buffet</t>
        </is>
      </c>
      <c r="O1320" t="n">
        <v>1</v>
      </c>
      <c r="P1320" t="n">
        <v>3</v>
      </c>
      <c r="Q1320" t="n">
        <v>1</v>
      </c>
    </row>
    <row r="1321">
      <c r="A1321" t="n">
        <v>2025</v>
      </c>
      <c r="B1321" t="n">
        <v>11</v>
      </c>
      <c r="C1321" t="inlineStr">
        <is>
          <t>Muçarela Mozzana 2 kg</t>
        </is>
      </c>
      <c r="D1321" t="inlineStr">
        <is>
          <t>Mercearia / Sacolão</t>
        </is>
      </c>
      <c r="E1321" t="n">
        <v>1160.73</v>
      </c>
      <c r="F1321" t="n">
        <v>54.54</v>
      </c>
      <c r="G1321" t="n">
        <v>27</v>
      </c>
      <c r="J1321" t="inlineStr">
        <is>
          <t>M</t>
        </is>
      </c>
      <c r="K1321" t="n">
        <v>2024</v>
      </c>
      <c r="L1321" t="n">
        <v>11</v>
      </c>
      <c r="M1321" t="inlineStr">
        <is>
          <t>Muçarela Mozzalet 2 kg</t>
        </is>
      </c>
      <c r="N1321" t="inlineStr">
        <is>
          <t>Buffet</t>
        </is>
      </c>
      <c r="O1321" t="n">
        <v>1</v>
      </c>
      <c r="P1321" t="n">
        <v>2</v>
      </c>
      <c r="Q1321" t="n">
        <v>0</v>
      </c>
    </row>
    <row r="1322">
      <c r="A1322" t="n">
        <v>2025</v>
      </c>
      <c r="B1322" t="n">
        <v>11</v>
      </c>
      <c r="C1322" t="inlineStr">
        <is>
          <t>Muçarela Mozzana 2 kg</t>
        </is>
      </c>
      <c r="D1322" t="inlineStr">
        <is>
          <t>Não Selecionado</t>
        </is>
      </c>
      <c r="E1322" t="n">
        <v>119.97</v>
      </c>
      <c r="F1322" t="n">
        <v>6.06</v>
      </c>
      <c r="G1322" t="n">
        <v>3</v>
      </c>
      <c r="J1322" t="inlineStr">
        <is>
          <t>A</t>
        </is>
      </c>
      <c r="K1322" t="n">
        <v>2024</v>
      </c>
      <c r="L1322" t="n">
        <v>12</v>
      </c>
      <c r="M1322" t="inlineStr">
        <is>
          <t>Muçarela Mozzalet 2 kg</t>
        </is>
      </c>
      <c r="N1322" t="inlineStr">
        <is>
          <t>Buffet</t>
        </is>
      </c>
      <c r="O1322" t="n">
        <v>1</v>
      </c>
      <c r="P1322" t="n">
        <v>3</v>
      </c>
      <c r="Q1322" t="n">
        <v>1</v>
      </c>
    </row>
    <row r="1323">
      <c r="A1323" t="n">
        <v>2025</v>
      </c>
      <c r="B1323" t="n">
        <v>11</v>
      </c>
      <c r="C1323" t="inlineStr">
        <is>
          <t>Muçarela Mozzana 2 kg</t>
        </is>
      </c>
      <c r="D1323" t="inlineStr">
        <is>
          <t>Outros</t>
        </is>
      </c>
      <c r="E1323" t="n">
        <v>16263</v>
      </c>
      <c r="F1323" t="n">
        <v>759.52</v>
      </c>
      <c r="G1323" t="n">
        <v>376</v>
      </c>
      <c r="J1323" t="inlineStr">
        <is>
          <t>A</t>
        </is>
      </c>
      <c r="K1323" t="n">
        <v>2024</v>
      </c>
      <c r="L1323" t="n">
        <v>3</v>
      </c>
      <c r="M1323" t="inlineStr">
        <is>
          <t>Muçarela Mozzalet 2 kg</t>
        </is>
      </c>
      <c r="N1323" t="inlineStr">
        <is>
          <t>Hamburgueria</t>
        </is>
      </c>
      <c r="O1323" t="n">
        <v>1</v>
      </c>
      <c r="P1323" t="n">
        <v>1</v>
      </c>
      <c r="Q1323" t="n">
        <v>1</v>
      </c>
    </row>
    <row r="1324">
      <c r="A1324" t="n">
        <v>2025</v>
      </c>
      <c r="B1324" t="n">
        <v>11</v>
      </c>
      <c r="C1324" t="inlineStr">
        <is>
          <t>Muçarela Mozzana 2 kg</t>
        </is>
      </c>
      <c r="D1324" t="inlineStr">
        <is>
          <t>Padaria</t>
        </is>
      </c>
      <c r="E1324" t="n">
        <v>3355.88</v>
      </c>
      <c r="F1324" t="n">
        <v>155.54</v>
      </c>
      <c r="G1324" t="n">
        <v>77</v>
      </c>
      <c r="J1324" t="inlineStr">
        <is>
          <t>M</t>
        </is>
      </c>
      <c r="K1324" t="n">
        <v>2024</v>
      </c>
      <c r="L1324" t="n">
        <v>3</v>
      </c>
      <c r="M1324" t="inlineStr">
        <is>
          <t>Muçarela Mozzalet 2 kg</t>
        </is>
      </c>
      <c r="N1324" t="inlineStr">
        <is>
          <t>Hamburgueria</t>
        </is>
      </c>
      <c r="O1324" t="n">
        <v>1</v>
      </c>
      <c r="P1324" t="n">
        <v>1</v>
      </c>
      <c r="Q1324" t="n">
        <v>0</v>
      </c>
    </row>
    <row r="1325">
      <c r="A1325" t="n">
        <v>2025</v>
      </c>
      <c r="B1325" t="n">
        <v>11</v>
      </c>
      <c r="C1325" t="inlineStr">
        <is>
          <t>Muçarela Mozzana 2 kg</t>
        </is>
      </c>
      <c r="D1325" t="inlineStr">
        <is>
          <t>Pastelaria</t>
        </is>
      </c>
      <c r="E1325" t="n">
        <v>2626.66</v>
      </c>
      <c r="F1325" t="n">
        <v>123.22</v>
      </c>
      <c r="G1325" t="n">
        <v>61</v>
      </c>
      <c r="J1325" t="inlineStr">
        <is>
          <t>A</t>
        </is>
      </c>
      <c r="K1325" t="n">
        <v>2024</v>
      </c>
      <c r="L1325" t="n">
        <v>4</v>
      </c>
      <c r="M1325" t="inlineStr">
        <is>
          <t>Muçarela Mozzalet 2 kg</t>
        </is>
      </c>
      <c r="N1325" t="inlineStr">
        <is>
          <t>Hamburgueria</t>
        </is>
      </c>
      <c r="O1325" t="n">
        <v>1</v>
      </c>
      <c r="P1325" t="n">
        <v>1</v>
      </c>
      <c r="Q1325" t="n">
        <v>1</v>
      </c>
    </row>
    <row r="1326">
      <c r="A1326" t="n">
        <v>2025</v>
      </c>
      <c r="B1326" t="n">
        <v>11</v>
      </c>
      <c r="C1326" t="inlineStr">
        <is>
          <t>Muçarela Mozzana 2 kg</t>
        </is>
      </c>
      <c r="D1326" t="inlineStr">
        <is>
          <t>Pessoa Física</t>
        </is>
      </c>
      <c r="E1326" t="n">
        <v>2158.92</v>
      </c>
      <c r="F1326" t="n">
        <v>109.08</v>
      </c>
      <c r="G1326" t="n">
        <v>54</v>
      </c>
      <c r="J1326" t="inlineStr">
        <is>
          <t>A</t>
        </is>
      </c>
      <c r="K1326" t="n">
        <v>2024</v>
      </c>
      <c r="L1326" t="n">
        <v>5</v>
      </c>
      <c r="M1326" t="inlineStr">
        <is>
          <t>Muçarela Mozzalet 2 kg</t>
        </is>
      </c>
      <c r="N1326" t="inlineStr">
        <is>
          <t>Hamburgueria</t>
        </is>
      </c>
      <c r="O1326" t="n">
        <v>1</v>
      </c>
      <c r="P1326" t="n">
        <v>1</v>
      </c>
      <c r="Q1326" t="n">
        <v>1</v>
      </c>
    </row>
    <row r="1327">
      <c r="A1327" t="n">
        <v>2025</v>
      </c>
      <c r="B1327" t="n">
        <v>11</v>
      </c>
      <c r="C1327" t="inlineStr">
        <is>
          <t>Muçarela Mozzana 2 kg</t>
        </is>
      </c>
      <c r="D1327" t="inlineStr">
        <is>
          <t>Pizzaria</t>
        </is>
      </c>
      <c r="E1327" t="n">
        <v>56501.13</v>
      </c>
      <c r="F1327" t="n">
        <v>2630.04</v>
      </c>
      <c r="G1327" t="n">
        <v>1302</v>
      </c>
      <c r="J1327" t="inlineStr">
        <is>
          <t>A</t>
        </is>
      </c>
      <c r="K1327" t="n">
        <v>2024</v>
      </c>
      <c r="L1327" t="n">
        <v>6</v>
      </c>
      <c r="M1327" t="inlineStr">
        <is>
          <t>Muçarela Mozzalet 2 kg</t>
        </is>
      </c>
      <c r="N1327" t="inlineStr">
        <is>
          <t>Hamburgueria</t>
        </is>
      </c>
      <c r="O1327" t="n">
        <v>1</v>
      </c>
      <c r="P1327" t="n">
        <v>1</v>
      </c>
      <c r="Q1327" t="n">
        <v>1</v>
      </c>
    </row>
    <row r="1328">
      <c r="A1328" t="n">
        <v>2025</v>
      </c>
      <c r="B1328" t="n">
        <v>11</v>
      </c>
      <c r="C1328" t="inlineStr">
        <is>
          <t>Muçarela Mozzana 2 kg</t>
        </is>
      </c>
      <c r="D1328" t="inlineStr">
        <is>
          <t>Restaurante / Cantina</t>
        </is>
      </c>
      <c r="E1328" t="n">
        <v>6972.62</v>
      </c>
      <c r="F1328" t="n">
        <v>337.34</v>
      </c>
      <c r="G1328" t="n">
        <v>167</v>
      </c>
      <c r="J1328" t="inlineStr">
        <is>
          <t>A</t>
        </is>
      </c>
      <c r="K1328" t="n">
        <v>2024</v>
      </c>
      <c r="L1328" t="n">
        <v>7</v>
      </c>
      <c r="M1328" t="inlineStr">
        <is>
          <t>Muçarela Mozzalet 2 kg</t>
        </is>
      </c>
      <c r="N1328" t="inlineStr">
        <is>
          <t>Hamburgueria</t>
        </is>
      </c>
      <c r="O1328" t="n">
        <v>1</v>
      </c>
      <c r="P1328" t="n">
        <v>1</v>
      </c>
      <c r="Q1328" t="n">
        <v>1</v>
      </c>
    </row>
    <row r="1329">
      <c r="A1329" t="n">
        <v>2025</v>
      </c>
      <c r="B1329" t="n">
        <v>11</v>
      </c>
      <c r="C1329" t="inlineStr">
        <is>
          <t>Muçarela Mozzana 2 kg</t>
        </is>
      </c>
      <c r="D1329" t="inlineStr">
        <is>
          <t>Rotisserie</t>
        </is>
      </c>
      <c r="E1329" t="n">
        <v>216.79</v>
      </c>
      <c r="F1329" t="n">
        <v>10.1</v>
      </c>
      <c r="G1329" t="n">
        <v>5</v>
      </c>
      <c r="J1329" t="inlineStr">
        <is>
          <t>A</t>
        </is>
      </c>
      <c r="K1329" t="n">
        <v>2024</v>
      </c>
      <c r="L1329" t="n">
        <v>8</v>
      </c>
      <c r="M1329" t="inlineStr">
        <is>
          <t>Muçarela Mozzalet 2 kg</t>
        </is>
      </c>
      <c r="N1329" t="inlineStr">
        <is>
          <t>Hamburgueria</t>
        </is>
      </c>
      <c r="O1329" t="n">
        <v>1</v>
      </c>
      <c r="P1329" t="n">
        <v>1</v>
      </c>
      <c r="Q1329" t="n">
        <v>1</v>
      </c>
    </row>
    <row r="1330">
      <c r="A1330" t="n">
        <v>2025</v>
      </c>
      <c r="B1330" t="n">
        <v>11</v>
      </c>
      <c r="C1330" t="inlineStr">
        <is>
          <t>Muçarela Mozzana 2 kg</t>
        </is>
      </c>
      <c r="D1330" t="inlineStr">
        <is>
          <t>Supermercado</t>
        </is>
      </c>
      <c r="E1330" t="n">
        <v>4961.97</v>
      </c>
      <c r="F1330" t="n">
        <v>210.08</v>
      </c>
      <c r="G1330" t="n">
        <v>104</v>
      </c>
      <c r="J1330" t="inlineStr">
        <is>
          <t>A</t>
        </is>
      </c>
      <c r="K1330" t="n">
        <v>2024</v>
      </c>
      <c r="L1330" t="n">
        <v>9</v>
      </c>
      <c r="M1330" t="inlineStr">
        <is>
          <t>Muçarela Mozzalet 2 kg</t>
        </is>
      </c>
      <c r="N1330" t="inlineStr">
        <is>
          <t>Hamburgueria</t>
        </is>
      </c>
      <c r="O1330" t="n">
        <v>1</v>
      </c>
      <c r="P1330" t="n">
        <v>1</v>
      </c>
      <c r="Q1330" t="n">
        <v>1</v>
      </c>
    </row>
    <row r="1331">
      <c r="A1331" t="n">
        <v>2025</v>
      </c>
      <c r="B1331" t="n">
        <v>11</v>
      </c>
      <c r="C1331" t="inlineStr">
        <is>
          <t>Requeijão Pizzalet 1,8 kg</t>
        </is>
      </c>
      <c r="D1331" t="inlineStr">
        <is>
          <t>Bar / Chopperia</t>
        </is>
      </c>
      <c r="E1331" t="n">
        <v>527.89</v>
      </c>
      <c r="F1331" t="n">
        <v>60.72</v>
      </c>
      <c r="G1331" t="n">
        <v>33</v>
      </c>
      <c r="J1331" t="inlineStr">
        <is>
          <t>A</t>
        </is>
      </c>
      <c r="K1331" t="n">
        <v>2024</v>
      </c>
      <c r="L1331" t="n">
        <v>10</v>
      </c>
      <c r="M1331" t="inlineStr">
        <is>
          <t>Muçarela Mozzalet 2 kg</t>
        </is>
      </c>
      <c r="N1331" t="inlineStr">
        <is>
          <t>Hamburgueria</t>
        </is>
      </c>
      <c r="O1331" t="n">
        <v>1</v>
      </c>
      <c r="P1331" t="n">
        <v>1</v>
      </c>
      <c r="Q1331" t="n">
        <v>1</v>
      </c>
    </row>
    <row r="1332">
      <c r="A1332" t="n">
        <v>2025</v>
      </c>
      <c r="B1332" t="n">
        <v>11</v>
      </c>
      <c r="C1332" t="inlineStr">
        <is>
          <t>Requeijão Pizzalet 1,8 kg</t>
        </is>
      </c>
      <c r="D1332" t="inlineStr">
        <is>
          <t>Lanchonete / Cafeteria</t>
        </is>
      </c>
      <c r="E1332" t="n">
        <v>1426.32</v>
      </c>
      <c r="F1332" t="n">
        <v>165.6</v>
      </c>
      <c r="G1332" t="n">
        <v>90</v>
      </c>
      <c r="J1332" t="inlineStr">
        <is>
          <t>A</t>
        </is>
      </c>
      <c r="K1332" t="n">
        <v>2024</v>
      </c>
      <c r="L1332" t="n">
        <v>11</v>
      </c>
      <c r="M1332" t="inlineStr">
        <is>
          <t>Muçarela Mozzalet 2 kg</t>
        </is>
      </c>
      <c r="N1332" t="inlineStr">
        <is>
          <t>Hamburgueria</t>
        </is>
      </c>
      <c r="O1332" t="n">
        <v>1</v>
      </c>
      <c r="P1332" t="n">
        <v>1</v>
      </c>
      <c r="Q1332" t="n">
        <v>1</v>
      </c>
    </row>
    <row r="1333">
      <c r="A1333" t="n">
        <v>2025</v>
      </c>
      <c r="B1333" t="n">
        <v>11</v>
      </c>
      <c r="C1333" t="inlineStr">
        <is>
          <t>Requeijão Pizzalet 1,8 kg</t>
        </is>
      </c>
      <c r="D1333" t="inlineStr">
        <is>
          <t>Mercearia / Sacolão</t>
        </is>
      </c>
      <c r="E1333" t="n">
        <v>16.11</v>
      </c>
      <c r="F1333" t="n">
        <v>1.84</v>
      </c>
      <c r="G1333" t="n">
        <v>1</v>
      </c>
      <c r="J1333" t="inlineStr">
        <is>
          <t>A</t>
        </is>
      </c>
      <c r="K1333" t="n">
        <v>2024</v>
      </c>
      <c r="L1333" t="n">
        <v>12</v>
      </c>
      <c r="M1333" t="inlineStr">
        <is>
          <t>Muçarela Mozzalet 2 kg</t>
        </is>
      </c>
      <c r="N1333" t="inlineStr">
        <is>
          <t>Hamburgueria</t>
        </is>
      </c>
      <c r="O1333" t="n">
        <v>1</v>
      </c>
      <c r="P1333" t="n">
        <v>1</v>
      </c>
      <c r="Q1333" t="n">
        <v>1</v>
      </c>
    </row>
    <row r="1334">
      <c r="A1334" t="n">
        <v>2025</v>
      </c>
      <c r="B1334" t="n">
        <v>11</v>
      </c>
      <c r="C1334" t="inlineStr">
        <is>
          <t>Requeijão Pizzalet 1,8 kg</t>
        </is>
      </c>
      <c r="D1334" t="inlineStr">
        <is>
          <t>Outros</t>
        </is>
      </c>
      <c r="E1334" t="n">
        <v>223.86</v>
      </c>
      <c r="F1334" t="n">
        <v>25.76</v>
      </c>
      <c r="G1334" t="n">
        <v>14</v>
      </c>
      <c r="J1334" t="inlineStr">
        <is>
          <t>A</t>
        </is>
      </c>
      <c r="K1334" t="n">
        <v>2024</v>
      </c>
      <c r="L1334" t="n">
        <v>4</v>
      </c>
      <c r="M1334" t="inlineStr">
        <is>
          <t>Muçarela Mozzalet 2 kg</t>
        </is>
      </c>
      <c r="N1334" t="inlineStr">
        <is>
          <t>Laticínios / Distribuidor</t>
        </is>
      </c>
      <c r="O1334" t="n">
        <v>1</v>
      </c>
      <c r="P1334" t="n">
        <v>1</v>
      </c>
      <c r="Q1334" t="n">
        <v>1</v>
      </c>
    </row>
    <row r="1335">
      <c r="A1335" t="n">
        <v>2025</v>
      </c>
      <c r="B1335" t="n">
        <v>11</v>
      </c>
      <c r="C1335" t="inlineStr">
        <is>
          <t>Requeijão Pizzalet 1,8 kg</t>
        </is>
      </c>
      <c r="D1335" t="inlineStr">
        <is>
          <t>Pastelaria</t>
        </is>
      </c>
      <c r="E1335" t="n">
        <v>2349.84</v>
      </c>
      <c r="F1335" t="n">
        <v>270.48</v>
      </c>
      <c r="G1335" t="n">
        <v>147</v>
      </c>
      <c r="J1335" t="inlineStr">
        <is>
          <t>M</t>
        </is>
      </c>
      <c r="K1335" t="n">
        <v>2024</v>
      </c>
      <c r="L1335" t="n">
        <v>4</v>
      </c>
      <c r="M1335" t="inlineStr">
        <is>
          <t>Muçarela Mozzalet 2 kg</t>
        </is>
      </c>
      <c r="N1335" t="inlineStr">
        <is>
          <t>Laticínios / Distribuidor</t>
        </is>
      </c>
      <c r="O1335" t="n">
        <v>1</v>
      </c>
      <c r="P1335" t="n">
        <v>1</v>
      </c>
      <c r="Q1335" t="n">
        <v>0</v>
      </c>
    </row>
    <row r="1336">
      <c r="A1336" t="n">
        <v>2025</v>
      </c>
      <c r="B1336" t="n">
        <v>11</v>
      </c>
      <c r="C1336" t="inlineStr">
        <is>
          <t>Requeijão Pizzalet 1,8 kg</t>
        </is>
      </c>
      <c r="D1336" t="inlineStr">
        <is>
          <t>Pizzaria</t>
        </is>
      </c>
      <c r="E1336" t="n">
        <v>4170.69</v>
      </c>
      <c r="F1336" t="n">
        <v>474.72</v>
      </c>
      <c r="G1336" t="n">
        <v>258</v>
      </c>
      <c r="J1336" t="inlineStr">
        <is>
          <t>A</t>
        </is>
      </c>
      <c r="K1336" t="n">
        <v>2024</v>
      </c>
      <c r="L1336" t="n">
        <v>5</v>
      </c>
      <c r="M1336" t="inlineStr">
        <is>
          <t>Muçarela Mozzalet 2 kg</t>
        </is>
      </c>
      <c r="N1336" t="inlineStr">
        <is>
          <t>Laticínios / Distribuidor</t>
        </is>
      </c>
      <c r="O1336" t="n">
        <v>1</v>
      </c>
      <c r="P1336" t="n">
        <v>1</v>
      </c>
      <c r="Q1336" t="n">
        <v>1</v>
      </c>
    </row>
    <row r="1337">
      <c r="A1337" t="n">
        <v>2025</v>
      </c>
      <c r="B1337" t="n">
        <v>11</v>
      </c>
      <c r="C1337" t="inlineStr">
        <is>
          <t>Requeijão Pizzalet 1,8 kg</t>
        </is>
      </c>
      <c r="D1337" t="inlineStr">
        <is>
          <t>Restaurante / Cantina</t>
        </is>
      </c>
      <c r="E1337" t="n">
        <v>79.15000000000001</v>
      </c>
      <c r="F1337" t="n">
        <v>9.199999999999999</v>
      </c>
      <c r="G1337" t="n">
        <v>5</v>
      </c>
      <c r="J1337" t="inlineStr">
        <is>
          <t>A</t>
        </is>
      </c>
      <c r="K1337" t="n">
        <v>2024</v>
      </c>
      <c r="L1337" t="n">
        <v>6</v>
      </c>
      <c r="M1337" t="inlineStr">
        <is>
          <t>Muçarela Mozzalet 2 kg</t>
        </is>
      </c>
      <c r="N1337" t="inlineStr">
        <is>
          <t>Laticínios / Distribuidor</t>
        </is>
      </c>
      <c r="O1337" t="n">
        <v>1</v>
      </c>
      <c r="P1337" t="n">
        <v>1</v>
      </c>
      <c r="Q1337" t="n">
        <v>1</v>
      </c>
    </row>
    <row r="1338">
      <c r="A1338" t="n">
        <v>2025</v>
      </c>
      <c r="B1338" t="n">
        <v>12</v>
      </c>
      <c r="C1338" t="inlineStr">
        <is>
          <t>Chocolate em pó 50% 1 kg</t>
        </is>
      </c>
      <c r="D1338" t="inlineStr">
        <is>
          <t>Buffet</t>
        </is>
      </c>
      <c r="E1338" t="n">
        <v>679.6900000000001</v>
      </c>
      <c r="F1338" t="n">
        <v>16.32</v>
      </c>
      <c r="G1338" t="n">
        <v>16</v>
      </c>
      <c r="J1338" t="inlineStr">
        <is>
          <t>A</t>
        </is>
      </c>
      <c r="K1338" t="n">
        <v>2024</v>
      </c>
      <c r="L1338" t="n">
        <v>7</v>
      </c>
      <c r="M1338" t="inlineStr">
        <is>
          <t>Muçarela Mozzalet 2 kg</t>
        </is>
      </c>
      <c r="N1338" t="inlineStr">
        <is>
          <t>Laticínios / Distribuidor</t>
        </is>
      </c>
      <c r="O1338" t="n">
        <v>1</v>
      </c>
      <c r="P1338" t="n">
        <v>1</v>
      </c>
      <c r="Q1338" t="n">
        <v>1</v>
      </c>
    </row>
    <row r="1339">
      <c r="A1339" t="n">
        <v>2025</v>
      </c>
      <c r="B1339" t="n">
        <v>12</v>
      </c>
      <c r="C1339" t="inlineStr">
        <is>
          <t>Chocolate em pó 50% 1 kg</t>
        </is>
      </c>
      <c r="D1339" t="inlineStr">
        <is>
          <t>Churrascaria</t>
        </is>
      </c>
      <c r="E1339" t="n">
        <v>537.16</v>
      </c>
      <c r="F1339" t="n">
        <v>13.26</v>
      </c>
      <c r="G1339" t="n">
        <v>13</v>
      </c>
      <c r="J1339" t="inlineStr">
        <is>
          <t>A</t>
        </is>
      </c>
      <c r="K1339" t="n">
        <v>2024</v>
      </c>
      <c r="L1339" t="n">
        <v>8</v>
      </c>
      <c r="M1339" t="inlineStr">
        <is>
          <t>Muçarela Mozzalet 2 kg</t>
        </is>
      </c>
      <c r="N1339" t="inlineStr">
        <is>
          <t>Laticínios / Distribuidor</t>
        </is>
      </c>
      <c r="O1339" t="n">
        <v>1</v>
      </c>
      <c r="P1339" t="n">
        <v>1</v>
      </c>
      <c r="Q1339" t="n">
        <v>1</v>
      </c>
    </row>
    <row r="1340">
      <c r="A1340" t="n">
        <v>2025</v>
      </c>
      <c r="B1340" t="n">
        <v>12</v>
      </c>
      <c r="C1340" t="inlineStr">
        <is>
          <t>Chocolate em pó 50% 1 kg</t>
        </is>
      </c>
      <c r="D1340" t="inlineStr">
        <is>
          <t>Clube / Associação Desportiva</t>
        </is>
      </c>
      <c r="E1340" t="n">
        <v>671.36</v>
      </c>
      <c r="F1340" t="n">
        <v>16.32</v>
      </c>
      <c r="G1340" t="n">
        <v>16</v>
      </c>
      <c r="J1340" t="inlineStr">
        <is>
          <t>A</t>
        </is>
      </c>
      <c r="K1340" t="n">
        <v>2024</v>
      </c>
      <c r="L1340" t="n">
        <v>9</v>
      </c>
      <c r="M1340" t="inlineStr">
        <is>
          <t>Muçarela Mozzalet 2 kg</t>
        </is>
      </c>
      <c r="N1340" t="inlineStr">
        <is>
          <t>Laticínios / Distribuidor</t>
        </is>
      </c>
      <c r="O1340" t="n">
        <v>1</v>
      </c>
      <c r="P1340" t="n">
        <v>1</v>
      </c>
      <c r="Q1340" t="n">
        <v>1</v>
      </c>
    </row>
    <row r="1341">
      <c r="A1341" t="n">
        <v>2025</v>
      </c>
      <c r="B1341" t="n">
        <v>12</v>
      </c>
      <c r="C1341" t="inlineStr">
        <is>
          <t>Chocolate em pó 50% 1 kg</t>
        </is>
      </c>
      <c r="D1341" t="inlineStr">
        <is>
          <t>Confeitaria</t>
        </is>
      </c>
      <c r="E1341" t="n">
        <v>423.7</v>
      </c>
      <c r="F1341" t="n">
        <v>10.2</v>
      </c>
      <c r="G1341" t="n">
        <v>10</v>
      </c>
      <c r="J1341" t="inlineStr">
        <is>
          <t>A</t>
        </is>
      </c>
      <c r="K1341" t="n">
        <v>2024</v>
      </c>
      <c r="L1341" t="n">
        <v>10</v>
      </c>
      <c r="M1341" t="inlineStr">
        <is>
          <t>Muçarela Mozzalet 2 kg</t>
        </is>
      </c>
      <c r="N1341" t="inlineStr">
        <is>
          <t>Laticínios / Distribuidor</t>
        </is>
      </c>
      <c r="O1341" t="n">
        <v>1</v>
      </c>
      <c r="P1341" t="n">
        <v>1</v>
      </c>
      <c r="Q1341" t="n">
        <v>1</v>
      </c>
    </row>
    <row r="1342">
      <c r="A1342" t="n">
        <v>2025</v>
      </c>
      <c r="B1342" t="n">
        <v>12</v>
      </c>
      <c r="C1342" t="inlineStr">
        <is>
          <t>Chocolate em pó 50% 1 kg</t>
        </is>
      </c>
      <c r="D1342" t="inlineStr">
        <is>
          <t>Cozinha Industrial</t>
        </is>
      </c>
      <c r="E1342" t="n">
        <v>41.96</v>
      </c>
      <c r="F1342" t="n">
        <v>1.02</v>
      </c>
      <c r="G1342" t="n">
        <v>1</v>
      </c>
      <c r="J1342" t="inlineStr">
        <is>
          <t>A</t>
        </is>
      </c>
      <c r="K1342" t="n">
        <v>2024</v>
      </c>
      <c r="L1342" t="n">
        <v>11</v>
      </c>
      <c r="M1342" t="inlineStr">
        <is>
          <t>Muçarela Mozzalet 2 kg</t>
        </is>
      </c>
      <c r="N1342" t="inlineStr">
        <is>
          <t>Laticínios / Distribuidor</t>
        </is>
      </c>
      <c r="O1342" t="n">
        <v>1</v>
      </c>
      <c r="P1342" t="n">
        <v>1</v>
      </c>
      <c r="Q1342" t="n">
        <v>1</v>
      </c>
    </row>
    <row r="1343">
      <c r="A1343" t="n">
        <v>2025</v>
      </c>
      <c r="B1343" t="n">
        <v>12</v>
      </c>
      <c r="C1343" t="inlineStr">
        <is>
          <t>Chocolate em pó 50% 1 kg</t>
        </is>
      </c>
      <c r="D1343" t="inlineStr">
        <is>
          <t>Hotel / Motel / Pousada</t>
        </is>
      </c>
      <c r="E1343" t="n">
        <v>2320.64</v>
      </c>
      <c r="F1343" t="n">
        <v>57.12</v>
      </c>
      <c r="G1343" t="n">
        <v>56</v>
      </c>
      <c r="J1343" t="inlineStr">
        <is>
          <t>A</t>
        </is>
      </c>
      <c r="K1343" t="n">
        <v>2024</v>
      </c>
      <c r="L1343" t="n">
        <v>12</v>
      </c>
      <c r="M1343" t="inlineStr">
        <is>
          <t>Muçarela Mozzalet 2 kg</t>
        </is>
      </c>
      <c r="N1343" t="inlineStr">
        <is>
          <t>Laticínios / Distribuidor</t>
        </is>
      </c>
      <c r="O1343" t="n">
        <v>1</v>
      </c>
      <c r="P1343" t="n">
        <v>1</v>
      </c>
      <c r="Q1343" t="n">
        <v>1</v>
      </c>
    </row>
    <row r="1344">
      <c r="A1344" t="n">
        <v>2025</v>
      </c>
      <c r="B1344" t="n">
        <v>12</v>
      </c>
      <c r="C1344" t="inlineStr">
        <is>
          <t>Chocolate em pó 50% 1 kg</t>
        </is>
      </c>
      <c r="D1344" t="inlineStr">
        <is>
          <t>Lanchonete / Cafeteria</t>
        </is>
      </c>
      <c r="E1344" t="n">
        <v>582.28</v>
      </c>
      <c r="F1344" t="n">
        <v>14.28</v>
      </c>
      <c r="G1344" t="n">
        <v>14</v>
      </c>
      <c r="J1344" t="inlineStr">
        <is>
          <t>A</t>
        </is>
      </c>
      <c r="K1344" t="n">
        <v>2024</v>
      </c>
      <c r="L1344" t="n">
        <v>2</v>
      </c>
      <c r="M1344" t="inlineStr">
        <is>
          <t>Muçarela Mozzalet 2 kg</t>
        </is>
      </c>
      <c r="N1344" t="inlineStr">
        <is>
          <t>Não Selecionado</t>
        </is>
      </c>
      <c r="O1344" t="n">
        <v>1</v>
      </c>
      <c r="P1344" t="n">
        <v>1</v>
      </c>
      <c r="Q1344" t="n">
        <v>1</v>
      </c>
    </row>
    <row r="1345">
      <c r="A1345" t="n">
        <v>2025</v>
      </c>
      <c r="B1345" t="n">
        <v>12</v>
      </c>
      <c r="C1345" t="inlineStr">
        <is>
          <t>Chocolate em pó 50% 1 kg</t>
        </is>
      </c>
      <c r="D1345" t="inlineStr">
        <is>
          <t>Não Selecionado</t>
        </is>
      </c>
      <c r="E1345" t="n">
        <v>207.7</v>
      </c>
      <c r="F1345" t="n">
        <v>5.1</v>
      </c>
      <c r="G1345" t="n">
        <v>5</v>
      </c>
      <c r="J1345" t="inlineStr">
        <is>
          <t>M</t>
        </is>
      </c>
      <c r="K1345" t="n">
        <v>2024</v>
      </c>
      <c r="L1345" t="n">
        <v>2</v>
      </c>
      <c r="M1345" t="inlineStr">
        <is>
          <t>Muçarela Mozzalet 2 kg</t>
        </is>
      </c>
      <c r="N1345" t="inlineStr">
        <is>
          <t>Não Selecionado</t>
        </is>
      </c>
      <c r="O1345" t="n">
        <v>1</v>
      </c>
      <c r="P1345" t="n">
        <v>1</v>
      </c>
      <c r="Q1345" t="n">
        <v>0</v>
      </c>
    </row>
    <row r="1346">
      <c r="A1346" t="n">
        <v>2025</v>
      </c>
      <c r="B1346" t="n">
        <v>12</v>
      </c>
      <c r="C1346" t="inlineStr">
        <is>
          <t>Chocolate em pó 50% 1 kg</t>
        </is>
      </c>
      <c r="D1346" t="inlineStr">
        <is>
          <t>Outros</t>
        </is>
      </c>
      <c r="E1346" t="n">
        <v>500.28</v>
      </c>
      <c r="F1346" t="n">
        <v>12.24</v>
      </c>
      <c r="G1346" t="n">
        <v>12</v>
      </c>
      <c r="J1346" t="inlineStr">
        <is>
          <t>A</t>
        </is>
      </c>
      <c r="K1346" t="n">
        <v>2024</v>
      </c>
      <c r="L1346" t="n">
        <v>3</v>
      </c>
      <c r="M1346" t="inlineStr">
        <is>
          <t>Muçarela Mozzalet 2 kg</t>
        </is>
      </c>
      <c r="N1346" t="inlineStr">
        <is>
          <t>Não Selecionado</t>
        </is>
      </c>
      <c r="O1346" t="n">
        <v>1</v>
      </c>
      <c r="P1346" t="n">
        <v>1</v>
      </c>
      <c r="Q1346" t="n">
        <v>1</v>
      </c>
    </row>
    <row r="1347">
      <c r="A1347" t="n">
        <v>2025</v>
      </c>
      <c r="B1347" t="n">
        <v>12</v>
      </c>
      <c r="C1347" t="inlineStr">
        <is>
          <t>Chocolate em pó 50% 1 kg</t>
        </is>
      </c>
      <c r="D1347" t="inlineStr">
        <is>
          <t>Padaria</t>
        </is>
      </c>
      <c r="E1347" t="n">
        <v>1046.71</v>
      </c>
      <c r="F1347" t="n">
        <v>25.5</v>
      </c>
      <c r="G1347" t="n">
        <v>25</v>
      </c>
      <c r="J1347" t="inlineStr">
        <is>
          <t>A</t>
        </is>
      </c>
      <c r="K1347" t="n">
        <v>2024</v>
      </c>
      <c r="L1347" t="n">
        <v>4</v>
      </c>
      <c r="M1347" t="inlineStr">
        <is>
          <t>Muçarela Mozzalet 2 kg</t>
        </is>
      </c>
      <c r="N1347" t="inlineStr">
        <is>
          <t>Não Selecionado</t>
        </is>
      </c>
      <c r="O1347" t="n">
        <v>1</v>
      </c>
      <c r="P1347" t="n">
        <v>1</v>
      </c>
      <c r="Q1347" t="n">
        <v>1</v>
      </c>
    </row>
    <row r="1348">
      <c r="A1348" t="n">
        <v>2025</v>
      </c>
      <c r="B1348" t="n">
        <v>12</v>
      </c>
      <c r="C1348" t="inlineStr">
        <is>
          <t>Chocolate em pó 50% 1 kg</t>
        </is>
      </c>
      <c r="D1348" t="inlineStr">
        <is>
          <t>Pessoa Física</t>
        </is>
      </c>
      <c r="E1348" t="n">
        <v>41.96</v>
      </c>
      <c r="F1348" t="n">
        <v>1.02</v>
      </c>
      <c r="G1348" t="n">
        <v>1</v>
      </c>
      <c r="J1348" t="inlineStr">
        <is>
          <t>A</t>
        </is>
      </c>
      <c r="K1348" t="n">
        <v>2024</v>
      </c>
      <c r="L1348" t="n">
        <v>5</v>
      </c>
      <c r="M1348" t="inlineStr">
        <is>
          <t>Muçarela Mozzalet 2 kg</t>
        </is>
      </c>
      <c r="N1348" t="inlineStr">
        <is>
          <t>Não Selecionado</t>
        </is>
      </c>
      <c r="O1348" t="n">
        <v>1</v>
      </c>
      <c r="P1348" t="n">
        <v>1</v>
      </c>
      <c r="Q1348" t="n">
        <v>1</v>
      </c>
    </row>
    <row r="1349">
      <c r="A1349" t="n">
        <v>2025</v>
      </c>
      <c r="B1349" t="n">
        <v>12</v>
      </c>
      <c r="C1349" t="inlineStr">
        <is>
          <t>Chocolate em pó 50% 1 kg</t>
        </is>
      </c>
      <c r="D1349" t="inlineStr">
        <is>
          <t>Pizzaria</t>
        </is>
      </c>
      <c r="E1349" t="n">
        <v>536.4</v>
      </c>
      <c r="F1349" t="n">
        <v>13.26</v>
      </c>
      <c r="G1349" t="n">
        <v>13</v>
      </c>
      <c r="J1349" t="inlineStr">
        <is>
          <t>A</t>
        </is>
      </c>
      <c r="K1349" t="n">
        <v>2024</v>
      </c>
      <c r="L1349" t="n">
        <v>6</v>
      </c>
      <c r="M1349" t="inlineStr">
        <is>
          <t>Muçarela Mozzalet 2 kg</t>
        </is>
      </c>
      <c r="N1349" t="inlineStr">
        <is>
          <t>Não Selecionado</t>
        </is>
      </c>
      <c r="O1349" t="n">
        <v>1</v>
      </c>
      <c r="P1349" t="n">
        <v>1</v>
      </c>
      <c r="Q1349" t="n">
        <v>1</v>
      </c>
    </row>
    <row r="1350">
      <c r="A1350" t="n">
        <v>2025</v>
      </c>
      <c r="B1350" t="n">
        <v>12</v>
      </c>
      <c r="C1350" t="inlineStr">
        <is>
          <t>Chocolate em pó 50% 1 kg</t>
        </is>
      </c>
      <c r="D1350" t="inlineStr">
        <is>
          <t>Restaurante / Cantina</t>
        </is>
      </c>
      <c r="E1350" t="n">
        <v>914.84</v>
      </c>
      <c r="F1350" t="n">
        <v>22.44</v>
      </c>
      <c r="G1350" t="n">
        <v>22</v>
      </c>
      <c r="J1350" t="inlineStr">
        <is>
          <t>A</t>
        </is>
      </c>
      <c r="K1350" t="n">
        <v>2024</v>
      </c>
      <c r="L1350" t="n">
        <v>7</v>
      </c>
      <c r="M1350" t="inlineStr">
        <is>
          <t>Muçarela Mozzalet 2 kg</t>
        </is>
      </c>
      <c r="N1350" t="inlineStr">
        <is>
          <t>Não Selecionado</t>
        </is>
      </c>
      <c r="O1350" t="n">
        <v>1</v>
      </c>
      <c r="P1350" t="n">
        <v>1</v>
      </c>
      <c r="Q1350" t="n">
        <v>1</v>
      </c>
    </row>
    <row r="1351">
      <c r="A1351" t="n">
        <v>2025</v>
      </c>
      <c r="B1351" t="n">
        <v>12</v>
      </c>
      <c r="C1351" t="inlineStr">
        <is>
          <t>Composto lácteo Alibralac 1 kg</t>
        </is>
      </c>
      <c r="D1351" t="inlineStr">
        <is>
          <t>Hotel / Motel / Pousada</t>
        </is>
      </c>
      <c r="E1351" t="n">
        <v>233.9</v>
      </c>
      <c r="F1351" t="n">
        <v>10.2</v>
      </c>
      <c r="G1351" t="n">
        <v>10</v>
      </c>
      <c r="J1351" t="inlineStr">
        <is>
          <t>A</t>
        </is>
      </c>
      <c r="K1351" t="n">
        <v>2024</v>
      </c>
      <c r="L1351" t="n">
        <v>8</v>
      </c>
      <c r="M1351" t="inlineStr">
        <is>
          <t>Muçarela Mozzalet 2 kg</t>
        </is>
      </c>
      <c r="N1351" t="inlineStr">
        <is>
          <t>Não Selecionado</t>
        </is>
      </c>
      <c r="O1351" t="n">
        <v>1</v>
      </c>
      <c r="P1351" t="n">
        <v>1</v>
      </c>
      <c r="Q1351" t="n">
        <v>1</v>
      </c>
    </row>
    <row r="1352">
      <c r="A1352" t="n">
        <v>2025</v>
      </c>
      <c r="B1352" t="n">
        <v>12</v>
      </c>
      <c r="C1352" t="inlineStr">
        <is>
          <t>Composto lácteo Alibralac 1 kg</t>
        </is>
      </c>
      <c r="D1352" t="inlineStr">
        <is>
          <t>Padaria</t>
        </is>
      </c>
      <c r="E1352" t="n">
        <v>231</v>
      </c>
      <c r="F1352" t="n">
        <v>10.2</v>
      </c>
      <c r="G1352" t="n">
        <v>10</v>
      </c>
      <c r="J1352" t="inlineStr">
        <is>
          <t>A</t>
        </is>
      </c>
      <c r="K1352" t="n">
        <v>2024</v>
      </c>
      <c r="L1352" t="n">
        <v>9</v>
      </c>
      <c r="M1352" t="inlineStr">
        <is>
          <t>Muçarela Mozzalet 2 kg</t>
        </is>
      </c>
      <c r="N1352" t="inlineStr">
        <is>
          <t>Não Selecionado</t>
        </is>
      </c>
      <c r="O1352" t="n">
        <v>1</v>
      </c>
      <c r="P1352" t="n">
        <v>1</v>
      </c>
      <c r="Q1352" t="n">
        <v>1</v>
      </c>
    </row>
    <row r="1353">
      <c r="A1353" t="n">
        <v>2025</v>
      </c>
      <c r="B1353" t="n">
        <v>12</v>
      </c>
      <c r="C1353" t="inlineStr">
        <is>
          <t>Composto lácteo Alibralac 1 kg</t>
        </is>
      </c>
      <c r="D1353" t="inlineStr">
        <is>
          <t>Pizzaria</t>
        </is>
      </c>
      <c r="E1353" t="n">
        <v>994.7</v>
      </c>
      <c r="F1353" t="n">
        <v>44.88</v>
      </c>
      <c r="G1353" t="n">
        <v>44</v>
      </c>
      <c r="J1353" t="inlineStr">
        <is>
          <t>A</t>
        </is>
      </c>
      <c r="K1353" t="n">
        <v>2024</v>
      </c>
      <c r="L1353" t="n">
        <v>10</v>
      </c>
      <c r="M1353" t="inlineStr">
        <is>
          <t>Muçarela Mozzalet 2 kg</t>
        </is>
      </c>
      <c r="N1353" t="inlineStr">
        <is>
          <t>Não Selecionado</t>
        </is>
      </c>
      <c r="O1353" t="n">
        <v>1</v>
      </c>
      <c r="P1353" t="n">
        <v>1</v>
      </c>
      <c r="Q1353" t="n">
        <v>1</v>
      </c>
    </row>
    <row r="1354">
      <c r="A1354" t="n">
        <v>2025</v>
      </c>
      <c r="B1354" t="n">
        <v>12</v>
      </c>
      <c r="C1354" t="inlineStr">
        <is>
          <t>Composto lácteo Alibralac 1 kg</t>
        </is>
      </c>
      <c r="D1354" t="inlineStr">
        <is>
          <t>Restaurante / Cantina</t>
        </is>
      </c>
      <c r="E1354" t="n">
        <v>1604.9</v>
      </c>
      <c r="F1354" t="n">
        <v>71.40000000000001</v>
      </c>
      <c r="G1354" t="n">
        <v>70</v>
      </c>
      <c r="J1354" t="inlineStr">
        <is>
          <t>A</t>
        </is>
      </c>
      <c r="K1354" t="n">
        <v>2024</v>
      </c>
      <c r="L1354" t="n">
        <v>11</v>
      </c>
      <c r="M1354" t="inlineStr">
        <is>
          <t>Muçarela Mozzalet 2 kg</t>
        </is>
      </c>
      <c r="N1354" t="inlineStr">
        <is>
          <t>Não Selecionado</t>
        </is>
      </c>
      <c r="O1354" t="n">
        <v>1</v>
      </c>
      <c r="P1354" t="n">
        <v>1</v>
      </c>
      <c r="Q1354" t="n">
        <v>1</v>
      </c>
    </row>
    <row r="1355">
      <c r="A1355" t="n">
        <v>2025</v>
      </c>
      <c r="B1355" t="n">
        <v>12</v>
      </c>
      <c r="C1355" t="inlineStr">
        <is>
          <t>Composto lácteo Merilú 400 g</t>
        </is>
      </c>
      <c r="D1355" t="inlineStr">
        <is>
          <t>Cozinha Industrial</t>
        </is>
      </c>
      <c r="E1355" t="n">
        <v>817.6</v>
      </c>
      <c r="F1355" t="n">
        <v>47.04</v>
      </c>
      <c r="G1355" t="n">
        <v>112</v>
      </c>
      <c r="J1355" t="inlineStr">
        <is>
          <t>A</t>
        </is>
      </c>
      <c r="K1355" t="n">
        <v>2024</v>
      </c>
      <c r="L1355" t="n">
        <v>12</v>
      </c>
      <c r="M1355" t="inlineStr">
        <is>
          <t>Muçarela Mozzalet 2 kg</t>
        </is>
      </c>
      <c r="N1355" t="inlineStr">
        <is>
          <t>Não Selecionado</t>
        </is>
      </c>
      <c r="O1355" t="n">
        <v>1</v>
      </c>
      <c r="P1355" t="n">
        <v>1</v>
      </c>
      <c r="Q1355" t="n">
        <v>1</v>
      </c>
    </row>
    <row r="1356">
      <c r="A1356" t="n">
        <v>2025</v>
      </c>
      <c r="B1356" t="n">
        <v>12</v>
      </c>
      <c r="C1356" t="inlineStr">
        <is>
          <t>Composto lácteo Merilú 400 g</t>
        </is>
      </c>
      <c r="D1356" t="inlineStr">
        <is>
          <t>Lanchonete / Cafeteria</t>
        </is>
      </c>
      <c r="E1356" t="n">
        <v>625.75</v>
      </c>
      <c r="F1356" t="n">
        <v>35.7</v>
      </c>
      <c r="G1356" t="n">
        <v>85</v>
      </c>
      <c r="J1356" t="inlineStr">
        <is>
          <t>A</t>
        </is>
      </c>
      <c r="K1356" t="n">
        <v>2024</v>
      </c>
      <c r="L1356" t="n">
        <v>10</v>
      </c>
      <c r="M1356" t="inlineStr">
        <is>
          <t>Muçarela Mozzalet 2 kg</t>
        </is>
      </c>
      <c r="N1356" t="inlineStr">
        <is>
          <t>Loja de Conveniência</t>
        </is>
      </c>
      <c r="O1356" t="n">
        <v>1</v>
      </c>
      <c r="P1356" t="n">
        <v>1</v>
      </c>
      <c r="Q1356" t="n">
        <v>1</v>
      </c>
    </row>
    <row r="1357">
      <c r="A1357" t="n">
        <v>2025</v>
      </c>
      <c r="B1357" t="n">
        <v>12</v>
      </c>
      <c r="C1357" t="inlineStr">
        <is>
          <t>Composto lácteo Merilú 400 g</t>
        </is>
      </c>
      <c r="D1357" t="inlineStr">
        <is>
          <t>Pizzaria</t>
        </is>
      </c>
      <c r="E1357" t="n">
        <v>182.5</v>
      </c>
      <c r="F1357" t="n">
        <v>10.5</v>
      </c>
      <c r="G1357" t="n">
        <v>25</v>
      </c>
      <c r="J1357" t="inlineStr">
        <is>
          <t>M</t>
        </is>
      </c>
      <c r="K1357" t="n">
        <v>2024</v>
      </c>
      <c r="L1357" t="n">
        <v>10</v>
      </c>
      <c r="M1357" t="inlineStr">
        <is>
          <t>Muçarela Mozzalet 2 kg</t>
        </is>
      </c>
      <c r="N1357" t="inlineStr">
        <is>
          <t>Loja de Conveniência</t>
        </is>
      </c>
      <c r="O1357" t="n">
        <v>1</v>
      </c>
      <c r="P1357" t="n">
        <v>1</v>
      </c>
      <c r="Q1357" t="n">
        <v>0</v>
      </c>
    </row>
    <row r="1358">
      <c r="A1358" t="n">
        <v>2025</v>
      </c>
      <c r="B1358" t="n">
        <v>12</v>
      </c>
      <c r="C1358" t="inlineStr">
        <is>
          <t>Composto lácteo Merilú 400 g</t>
        </is>
      </c>
      <c r="D1358" t="inlineStr">
        <is>
          <t>Restaurante / Cantina</t>
        </is>
      </c>
      <c r="E1358" t="n">
        <v>1421.98</v>
      </c>
      <c r="F1358" t="n">
        <v>82.31999999999999</v>
      </c>
      <c r="G1358" t="n">
        <v>196</v>
      </c>
      <c r="J1358" t="inlineStr">
        <is>
          <t>A</t>
        </is>
      </c>
      <c r="K1358" t="n">
        <v>2024</v>
      </c>
      <c r="L1358" t="n">
        <v>11</v>
      </c>
      <c r="M1358" t="inlineStr">
        <is>
          <t>Muçarela Mozzalet 2 kg</t>
        </is>
      </c>
      <c r="N1358" t="inlineStr">
        <is>
          <t>Loja de Conveniência</t>
        </is>
      </c>
      <c r="O1358" t="n">
        <v>1</v>
      </c>
      <c r="P1358" t="n">
        <v>1</v>
      </c>
      <c r="Q1358" t="n">
        <v>1</v>
      </c>
    </row>
    <row r="1359">
      <c r="A1359" t="n">
        <v>2025</v>
      </c>
      <c r="B1359" t="n">
        <v>12</v>
      </c>
      <c r="C1359" t="inlineStr">
        <is>
          <t>Composto lácteo Merilú 400 g</t>
        </is>
      </c>
      <c r="D1359" t="inlineStr">
        <is>
          <t>Supermercado</t>
        </is>
      </c>
      <c r="E1359" t="n">
        <v>897.9</v>
      </c>
      <c r="F1359" t="n">
        <v>51.66</v>
      </c>
      <c r="G1359" t="n">
        <v>123</v>
      </c>
      <c r="J1359" t="inlineStr">
        <is>
          <t>A</t>
        </is>
      </c>
      <c r="K1359" t="n">
        <v>2024</v>
      </c>
      <c r="L1359" t="n">
        <v>12</v>
      </c>
      <c r="M1359" t="inlineStr">
        <is>
          <t>Muçarela Mozzalet 2 kg</t>
        </is>
      </c>
      <c r="N1359" t="inlineStr">
        <is>
          <t>Loja de Conveniência</t>
        </is>
      </c>
      <c r="O1359" t="n">
        <v>1</v>
      </c>
      <c r="P1359" t="n">
        <v>1</v>
      </c>
      <c r="Q1359" t="n">
        <v>1</v>
      </c>
    </row>
    <row r="1360">
      <c r="A1360" t="n">
        <v>2025</v>
      </c>
      <c r="B1360" t="n">
        <v>12</v>
      </c>
      <c r="C1360" t="inlineStr">
        <is>
          <t>Muçarela Mozzalet 2 kg</t>
        </is>
      </c>
      <c r="D1360" t="inlineStr">
        <is>
          <t>Cozinha Industrial</t>
        </is>
      </c>
      <c r="E1360" t="n">
        <v>4518.6</v>
      </c>
      <c r="F1360" t="n">
        <v>204</v>
      </c>
      <c r="G1360" t="n">
        <v>102</v>
      </c>
      <c r="J1360" t="inlineStr">
        <is>
          <t>A</t>
        </is>
      </c>
      <c r="K1360" t="n">
        <v>2024</v>
      </c>
      <c r="L1360" t="n">
        <v>1</v>
      </c>
      <c r="M1360" t="inlineStr">
        <is>
          <t>Requeijão Pizzalet 1,8 kg</t>
        </is>
      </c>
      <c r="N1360" t="inlineStr">
        <is>
          <t>Todos</t>
        </is>
      </c>
      <c r="O1360" t="n">
        <v>18</v>
      </c>
      <c r="P1360" t="n">
        <v>49</v>
      </c>
      <c r="Q1360" t="n">
        <v>18</v>
      </c>
    </row>
    <row r="1361">
      <c r="A1361" t="n">
        <v>2025</v>
      </c>
      <c r="B1361" t="n">
        <v>12</v>
      </c>
      <c r="C1361" t="inlineStr">
        <is>
          <t>Muçarela Mozzalet 2 kg</t>
        </is>
      </c>
      <c r="D1361" t="inlineStr">
        <is>
          <t>Lanchonete / Cafeteria</t>
        </is>
      </c>
      <c r="E1361" t="n">
        <v>1595.65</v>
      </c>
      <c r="F1361" t="n">
        <v>70</v>
      </c>
      <c r="G1361" t="n">
        <v>35</v>
      </c>
      <c r="J1361" t="inlineStr">
        <is>
          <t>M</t>
        </is>
      </c>
      <c r="K1361" t="n">
        <v>2024</v>
      </c>
      <c r="L1361" t="n">
        <v>1</v>
      </c>
      <c r="M1361" t="inlineStr">
        <is>
          <t>Requeijão Pizzalet 1,8 kg</t>
        </is>
      </c>
      <c r="N1361" t="inlineStr">
        <is>
          <t>Todos</t>
        </is>
      </c>
      <c r="O1361" t="n">
        <v>18</v>
      </c>
      <c r="P1361" t="n">
        <v>49</v>
      </c>
      <c r="Q1361" t="n">
        <v>0</v>
      </c>
    </row>
    <row r="1362">
      <c r="A1362" t="n">
        <v>2025</v>
      </c>
      <c r="B1362" t="n">
        <v>12</v>
      </c>
      <c r="C1362" t="inlineStr">
        <is>
          <t>Muçarela Mozzalet 2 kg</t>
        </is>
      </c>
      <c r="D1362" t="inlineStr">
        <is>
          <t>Padaria</t>
        </is>
      </c>
      <c r="E1362" t="n">
        <v>923.6</v>
      </c>
      <c r="F1362" t="n">
        <v>40</v>
      </c>
      <c r="G1362" t="n">
        <v>20</v>
      </c>
      <c r="J1362" t="inlineStr">
        <is>
          <t>A</t>
        </is>
      </c>
      <c r="K1362" t="n">
        <v>2024</v>
      </c>
      <c r="L1362" t="n">
        <v>2</v>
      </c>
      <c r="M1362" t="inlineStr">
        <is>
          <t>Requeijão Pizzalet 1,8 kg</t>
        </is>
      </c>
      <c r="N1362" t="inlineStr">
        <is>
          <t>Todos</t>
        </is>
      </c>
      <c r="O1362" t="n">
        <v>20</v>
      </c>
      <c r="P1362" t="n">
        <v>93</v>
      </c>
      <c r="Q1362" t="n">
        <v>20</v>
      </c>
    </row>
    <row r="1363">
      <c r="A1363" t="n">
        <v>2025</v>
      </c>
      <c r="B1363" t="n">
        <v>12</v>
      </c>
      <c r="C1363" t="inlineStr">
        <is>
          <t>Muçarela Mozzalet 2 kg</t>
        </is>
      </c>
      <c r="D1363" t="inlineStr">
        <is>
          <t>Pessoa Física</t>
        </is>
      </c>
      <c r="E1363" t="n">
        <v>827.28</v>
      </c>
      <c r="F1363" t="n">
        <v>36</v>
      </c>
      <c r="G1363" t="n">
        <v>18</v>
      </c>
      <c r="J1363" t="inlineStr">
        <is>
          <t>M</t>
        </is>
      </c>
      <c r="K1363" t="n">
        <v>2024</v>
      </c>
      <c r="L1363" t="n">
        <v>2</v>
      </c>
      <c r="M1363" t="inlineStr">
        <is>
          <t>Requeijão Pizzalet 1,8 kg</t>
        </is>
      </c>
      <c r="N1363" t="inlineStr">
        <is>
          <t>Todos</t>
        </is>
      </c>
      <c r="O1363" t="n">
        <v>14</v>
      </c>
      <c r="P1363" t="n">
        <v>44</v>
      </c>
      <c r="Q1363" t="n">
        <v>0</v>
      </c>
    </row>
    <row r="1364">
      <c r="A1364" t="n">
        <v>2025</v>
      </c>
      <c r="B1364" t="n">
        <v>12</v>
      </c>
      <c r="C1364" t="inlineStr">
        <is>
          <t>Muçarela Mozzalet 2 kg</t>
        </is>
      </c>
      <c r="D1364" t="inlineStr">
        <is>
          <t>Pizzaria</t>
        </is>
      </c>
      <c r="E1364" t="n">
        <v>1001.92</v>
      </c>
      <c r="F1364" t="n">
        <v>44</v>
      </c>
      <c r="G1364" t="n">
        <v>22</v>
      </c>
      <c r="J1364" t="inlineStr">
        <is>
          <t>A</t>
        </is>
      </c>
      <c r="K1364" t="n">
        <v>2024</v>
      </c>
      <c r="L1364" t="n">
        <v>3</v>
      </c>
      <c r="M1364" t="inlineStr">
        <is>
          <t>Requeijão Pizzalet 1,8 kg</t>
        </is>
      </c>
      <c r="N1364" t="inlineStr">
        <is>
          <t>Todos</t>
        </is>
      </c>
      <c r="O1364" t="n">
        <v>22</v>
      </c>
      <c r="P1364" t="n">
        <v>133</v>
      </c>
      <c r="Q1364" t="n">
        <v>22</v>
      </c>
    </row>
    <row r="1365">
      <c r="A1365" t="n">
        <v>2025</v>
      </c>
      <c r="B1365" t="n">
        <v>12</v>
      </c>
      <c r="C1365" t="inlineStr">
        <is>
          <t>Muçarela Mozzalet 2 kg</t>
        </is>
      </c>
      <c r="D1365" t="inlineStr">
        <is>
          <t>Restaurante / Cantina</t>
        </is>
      </c>
      <c r="E1365" t="n">
        <v>26640</v>
      </c>
      <c r="F1365" t="n">
        <v>1200</v>
      </c>
      <c r="G1365" t="n">
        <v>600</v>
      </c>
      <c r="J1365" t="inlineStr">
        <is>
          <t>M</t>
        </is>
      </c>
      <c r="K1365" t="n">
        <v>2024</v>
      </c>
      <c r="L1365" t="n">
        <v>3</v>
      </c>
      <c r="M1365" t="inlineStr">
        <is>
          <t>Requeijão Pizzalet 1,8 kg</t>
        </is>
      </c>
      <c r="N1365" t="inlineStr">
        <is>
          <t>Todos</t>
        </is>
      </c>
      <c r="O1365" t="n">
        <v>16</v>
      </c>
      <c r="P1365" t="n">
        <v>40</v>
      </c>
      <c r="Q1365" t="n">
        <v>0</v>
      </c>
    </row>
    <row r="1366">
      <c r="A1366" t="n">
        <v>2025</v>
      </c>
      <c r="B1366" t="n">
        <v>12</v>
      </c>
      <c r="C1366" t="inlineStr">
        <is>
          <t>Muçarela Mozzana 2 kg</t>
        </is>
      </c>
      <c r="D1366" t="inlineStr">
        <is>
          <t>Buffet</t>
        </is>
      </c>
      <c r="E1366" t="n">
        <v>1102.5</v>
      </c>
      <c r="F1366" t="n">
        <v>50.5</v>
      </c>
      <c r="G1366" t="n">
        <v>25</v>
      </c>
      <c r="J1366" t="inlineStr">
        <is>
          <t>A</t>
        </is>
      </c>
      <c r="K1366" t="n">
        <v>2024</v>
      </c>
      <c r="L1366" t="n">
        <v>4</v>
      </c>
      <c r="M1366" t="inlineStr">
        <is>
          <t>Requeijão Pizzalet 1,8 kg</t>
        </is>
      </c>
      <c r="N1366" t="inlineStr">
        <is>
          <t>Todos</t>
        </is>
      </c>
      <c r="O1366" t="n">
        <v>26</v>
      </c>
      <c r="P1366" t="n">
        <v>190</v>
      </c>
      <c r="Q1366" t="n">
        <v>26</v>
      </c>
    </row>
    <row r="1367">
      <c r="A1367" t="n">
        <v>2025</v>
      </c>
      <c r="B1367" t="n">
        <v>12</v>
      </c>
      <c r="C1367" t="inlineStr">
        <is>
          <t>Muçarela Mozzana 2 kg</t>
        </is>
      </c>
      <c r="D1367" t="inlineStr">
        <is>
          <t>Confeitaria</t>
        </is>
      </c>
      <c r="E1367" t="n">
        <v>377.91</v>
      </c>
      <c r="F1367" t="n">
        <v>18.18</v>
      </c>
      <c r="G1367" t="n">
        <v>9</v>
      </c>
      <c r="J1367" t="inlineStr">
        <is>
          <t>M</t>
        </is>
      </c>
      <c r="K1367" t="n">
        <v>2024</v>
      </c>
      <c r="L1367" t="n">
        <v>4</v>
      </c>
      <c r="M1367" t="inlineStr">
        <is>
          <t>Requeijão Pizzalet 1,8 kg</t>
        </is>
      </c>
      <c r="N1367" t="inlineStr">
        <is>
          <t>Todos</t>
        </is>
      </c>
      <c r="O1367" t="n">
        <v>20</v>
      </c>
      <c r="P1367" t="n">
        <v>57</v>
      </c>
      <c r="Q1367" t="n">
        <v>0</v>
      </c>
    </row>
    <row r="1368">
      <c r="A1368" t="n">
        <v>2025</v>
      </c>
      <c r="B1368" t="n">
        <v>12</v>
      </c>
      <c r="C1368" t="inlineStr">
        <is>
          <t>Muçarela Mozzana 2 kg</t>
        </is>
      </c>
      <c r="D1368" t="inlineStr">
        <is>
          <t>Cozinha Industrial</t>
        </is>
      </c>
      <c r="E1368" t="n">
        <v>20781.27</v>
      </c>
      <c r="F1368" t="n">
        <v>977.6799999999999</v>
      </c>
      <c r="G1368" t="n">
        <v>484</v>
      </c>
      <c r="J1368" t="inlineStr">
        <is>
          <t>A</t>
        </is>
      </c>
      <c r="K1368" t="n">
        <v>2024</v>
      </c>
      <c r="L1368" t="n">
        <v>5</v>
      </c>
      <c r="M1368" t="inlineStr">
        <is>
          <t>Requeijão Pizzalet 1,8 kg</t>
        </is>
      </c>
      <c r="N1368" t="inlineStr">
        <is>
          <t>Todos</t>
        </is>
      </c>
      <c r="O1368" t="n">
        <v>29</v>
      </c>
      <c r="P1368" t="n">
        <v>243</v>
      </c>
      <c r="Q1368" t="n">
        <v>29</v>
      </c>
    </row>
    <row r="1369">
      <c r="A1369" t="n">
        <v>2025</v>
      </c>
      <c r="B1369" t="n">
        <v>12</v>
      </c>
      <c r="C1369" t="inlineStr">
        <is>
          <t>Muçarela Mozzana 2 kg</t>
        </is>
      </c>
      <c r="D1369" t="inlineStr">
        <is>
          <t>Esfiharia</t>
        </is>
      </c>
      <c r="E1369" t="n">
        <v>5554.8</v>
      </c>
      <c r="F1369" t="n">
        <v>246.44</v>
      </c>
      <c r="G1369" t="n">
        <v>122</v>
      </c>
      <c r="J1369" t="inlineStr">
        <is>
          <t>M</t>
        </is>
      </c>
      <c r="K1369" t="n">
        <v>2024</v>
      </c>
      <c r="L1369" t="n">
        <v>5</v>
      </c>
      <c r="M1369" t="inlineStr">
        <is>
          <t>Requeijão Pizzalet 1,8 kg</t>
        </is>
      </c>
      <c r="N1369" t="inlineStr">
        <is>
          <t>Todos</t>
        </is>
      </c>
      <c r="O1369" t="n">
        <v>19</v>
      </c>
      <c r="P1369" t="n">
        <v>53</v>
      </c>
      <c r="Q1369" t="n">
        <v>0</v>
      </c>
    </row>
    <row r="1370">
      <c r="A1370" t="n">
        <v>2025</v>
      </c>
      <c r="B1370" t="n">
        <v>12</v>
      </c>
      <c r="C1370" t="inlineStr">
        <is>
          <t>Muçarela Mozzana 2 kg</t>
        </is>
      </c>
      <c r="D1370" t="inlineStr">
        <is>
          <t>Fábrica de Massas</t>
        </is>
      </c>
      <c r="E1370" t="n">
        <v>4726.51</v>
      </c>
      <c r="F1370" t="n">
        <v>222.2</v>
      </c>
      <c r="G1370" t="n">
        <v>110</v>
      </c>
      <c r="J1370" t="inlineStr">
        <is>
          <t>A</t>
        </is>
      </c>
      <c r="K1370" t="n">
        <v>2024</v>
      </c>
      <c r="L1370" t="n">
        <v>6</v>
      </c>
      <c r="M1370" t="inlineStr">
        <is>
          <t>Requeijão Pizzalet 1,8 kg</t>
        </is>
      </c>
      <c r="N1370" t="inlineStr">
        <is>
          <t>Todos</t>
        </is>
      </c>
      <c r="O1370" t="n">
        <v>31</v>
      </c>
      <c r="P1370" t="n">
        <v>292</v>
      </c>
      <c r="Q1370" t="n">
        <v>31</v>
      </c>
    </row>
    <row r="1371">
      <c r="A1371" t="n">
        <v>2025</v>
      </c>
      <c r="B1371" t="n">
        <v>12</v>
      </c>
      <c r="C1371" t="inlineStr">
        <is>
          <t>Muçarela Mozzana 2 kg</t>
        </is>
      </c>
      <c r="D1371" t="inlineStr">
        <is>
          <t>Lanchonete / Cafeteria</t>
        </is>
      </c>
      <c r="E1371" t="n">
        <v>1072.76</v>
      </c>
      <c r="F1371" t="n">
        <v>50.5</v>
      </c>
      <c r="G1371" t="n">
        <v>25</v>
      </c>
      <c r="J1371" t="inlineStr">
        <is>
          <t>M</t>
        </is>
      </c>
      <c r="K1371" t="n">
        <v>2024</v>
      </c>
      <c r="L1371" t="n">
        <v>6</v>
      </c>
      <c r="M1371" t="inlineStr">
        <is>
          <t>Requeijão Pizzalet 1,8 kg</t>
        </is>
      </c>
      <c r="N1371" t="inlineStr">
        <is>
          <t>Todos</t>
        </is>
      </c>
      <c r="O1371" t="n">
        <v>20</v>
      </c>
      <c r="P1371" t="n">
        <v>49</v>
      </c>
      <c r="Q1371" t="n">
        <v>0</v>
      </c>
    </row>
    <row r="1372">
      <c r="A1372" t="n">
        <v>2025</v>
      </c>
      <c r="B1372" t="n">
        <v>12</v>
      </c>
      <c r="C1372" t="inlineStr">
        <is>
          <t>Muçarela Mozzana 2 kg</t>
        </is>
      </c>
      <c r="D1372" t="inlineStr">
        <is>
          <t>Mercearia / Sacolão</t>
        </is>
      </c>
      <c r="E1372" t="n">
        <v>377.91</v>
      </c>
      <c r="F1372" t="n">
        <v>18.18</v>
      </c>
      <c r="G1372" t="n">
        <v>9</v>
      </c>
      <c r="J1372" t="inlineStr">
        <is>
          <t>A</t>
        </is>
      </c>
      <c r="K1372" t="n">
        <v>2024</v>
      </c>
      <c r="L1372" t="n">
        <v>7</v>
      </c>
      <c r="M1372" t="inlineStr">
        <is>
          <t>Requeijão Pizzalet 1,8 kg</t>
        </is>
      </c>
      <c r="N1372" t="inlineStr">
        <is>
          <t>Todos</t>
        </is>
      </c>
      <c r="O1372" t="n">
        <v>32</v>
      </c>
      <c r="P1372" t="n">
        <v>336</v>
      </c>
      <c r="Q1372" t="n">
        <v>32</v>
      </c>
    </row>
    <row r="1373">
      <c r="A1373" t="n">
        <v>2025</v>
      </c>
      <c r="B1373" t="n">
        <v>12</v>
      </c>
      <c r="C1373" t="inlineStr">
        <is>
          <t>Muçarela Mozzana 2 kg</t>
        </is>
      </c>
      <c r="D1373" t="inlineStr">
        <is>
          <t>Outros</t>
        </is>
      </c>
      <c r="E1373" t="n">
        <v>13245.5</v>
      </c>
      <c r="F1373" t="n">
        <v>612.0599999999999</v>
      </c>
      <c r="G1373" t="n">
        <v>303</v>
      </c>
      <c r="J1373" t="inlineStr">
        <is>
          <t>M</t>
        </is>
      </c>
      <c r="K1373" t="n">
        <v>2024</v>
      </c>
      <c r="L1373" t="n">
        <v>7</v>
      </c>
      <c r="M1373" t="inlineStr">
        <is>
          <t>Requeijão Pizzalet 1,8 kg</t>
        </is>
      </c>
      <c r="N1373" t="inlineStr">
        <is>
          <t>Todos</t>
        </is>
      </c>
      <c r="O1373" t="n">
        <v>17</v>
      </c>
      <c r="P1373" t="n">
        <v>44</v>
      </c>
      <c r="Q1373" t="n">
        <v>0</v>
      </c>
    </row>
    <row r="1374">
      <c r="A1374" t="n">
        <v>2025</v>
      </c>
      <c r="B1374" t="n">
        <v>12</v>
      </c>
      <c r="C1374" t="inlineStr">
        <is>
          <t>Muçarela Mozzana 2 kg</t>
        </is>
      </c>
      <c r="D1374" t="inlineStr">
        <is>
          <t>Padaria</t>
        </is>
      </c>
      <c r="E1374" t="n">
        <v>1015.19</v>
      </c>
      <c r="F1374" t="n">
        <v>46.46</v>
      </c>
      <c r="G1374" t="n">
        <v>23</v>
      </c>
      <c r="J1374" t="inlineStr">
        <is>
          <t>A</t>
        </is>
      </c>
      <c r="K1374" t="n">
        <v>2024</v>
      </c>
      <c r="L1374" t="n">
        <v>8</v>
      </c>
      <c r="M1374" t="inlineStr">
        <is>
          <t>Requeijão Pizzalet 1,8 kg</t>
        </is>
      </c>
      <c r="N1374" t="inlineStr">
        <is>
          <t>Todos</t>
        </is>
      </c>
      <c r="O1374" t="n">
        <v>35</v>
      </c>
      <c r="P1374" t="n">
        <v>381</v>
      </c>
      <c r="Q1374" t="n">
        <v>35</v>
      </c>
    </row>
    <row r="1375">
      <c r="A1375" t="n">
        <v>2025</v>
      </c>
      <c r="B1375" t="n">
        <v>12</v>
      </c>
      <c r="C1375" t="inlineStr">
        <is>
          <t>Muçarela Mozzana 2 kg</t>
        </is>
      </c>
      <c r="D1375" t="inlineStr">
        <is>
          <t>Pastelaria</t>
        </is>
      </c>
      <c r="E1375" t="n">
        <v>1961.51</v>
      </c>
      <c r="F1375" t="n">
        <v>90.90000000000001</v>
      </c>
      <c r="G1375" t="n">
        <v>45</v>
      </c>
      <c r="J1375" t="inlineStr">
        <is>
          <t>M</t>
        </is>
      </c>
      <c r="K1375" t="n">
        <v>2024</v>
      </c>
      <c r="L1375" t="n">
        <v>8</v>
      </c>
      <c r="M1375" t="inlineStr">
        <is>
          <t>Requeijão Pizzalet 1,8 kg</t>
        </is>
      </c>
      <c r="N1375" t="inlineStr">
        <is>
          <t>Todos</t>
        </is>
      </c>
      <c r="O1375" t="n">
        <v>18</v>
      </c>
      <c r="P1375" t="n">
        <v>45</v>
      </c>
      <c r="Q1375" t="n">
        <v>0</v>
      </c>
    </row>
    <row r="1376">
      <c r="A1376" t="n">
        <v>2025</v>
      </c>
      <c r="B1376" t="n">
        <v>12</v>
      </c>
      <c r="C1376" t="inlineStr">
        <is>
          <t>Muçarela Mozzana 2 kg</t>
        </is>
      </c>
      <c r="D1376" t="inlineStr">
        <is>
          <t>Pessoa Física</t>
        </is>
      </c>
      <c r="E1376" t="n">
        <v>428.78</v>
      </c>
      <c r="F1376" t="n">
        <v>20.2</v>
      </c>
      <c r="G1376" t="n">
        <v>10</v>
      </c>
      <c r="J1376" t="inlineStr">
        <is>
          <t>A</t>
        </is>
      </c>
      <c r="K1376" t="n">
        <v>2024</v>
      </c>
      <c r="L1376" t="n">
        <v>9</v>
      </c>
      <c r="M1376" t="inlineStr">
        <is>
          <t>Requeijão Pizzalet 1,8 kg</t>
        </is>
      </c>
      <c r="N1376" t="inlineStr">
        <is>
          <t>Todos</t>
        </is>
      </c>
      <c r="O1376" t="n">
        <v>38</v>
      </c>
      <c r="P1376" t="n">
        <v>433</v>
      </c>
      <c r="Q1376" t="n">
        <v>38</v>
      </c>
    </row>
    <row r="1377">
      <c r="A1377" t="n">
        <v>2025</v>
      </c>
      <c r="B1377" t="n">
        <v>12</v>
      </c>
      <c r="C1377" t="inlineStr">
        <is>
          <t>Muçarela Mozzana 2 kg</t>
        </is>
      </c>
      <c r="D1377" t="inlineStr">
        <is>
          <t>Pizzaria</t>
        </is>
      </c>
      <c r="E1377" t="n">
        <v>59247.52</v>
      </c>
      <c r="F1377" t="n">
        <v>2731.04</v>
      </c>
      <c r="G1377" t="n">
        <v>1352</v>
      </c>
      <c r="J1377" t="inlineStr">
        <is>
          <t>M</t>
        </is>
      </c>
      <c r="K1377" t="n">
        <v>2024</v>
      </c>
      <c r="L1377" t="n">
        <v>9</v>
      </c>
      <c r="M1377" t="inlineStr">
        <is>
          <t>Requeijão Pizzalet 1,8 kg</t>
        </is>
      </c>
      <c r="N1377" t="inlineStr">
        <is>
          <t>Todos</t>
        </is>
      </c>
      <c r="O1377" t="n">
        <v>20</v>
      </c>
      <c r="P1377" t="n">
        <v>52</v>
      </c>
      <c r="Q1377" t="n">
        <v>0</v>
      </c>
    </row>
    <row r="1378">
      <c r="A1378" t="n">
        <v>2025</v>
      </c>
      <c r="B1378" t="n">
        <v>12</v>
      </c>
      <c r="C1378" t="inlineStr">
        <is>
          <t>Muçarela Mozzana 2 kg</t>
        </is>
      </c>
      <c r="D1378" t="inlineStr">
        <is>
          <t>Restaurante / Cantina</t>
        </is>
      </c>
      <c r="E1378" t="n">
        <v>14522.91</v>
      </c>
      <c r="F1378" t="n">
        <v>678.72</v>
      </c>
      <c r="G1378" t="n">
        <v>336</v>
      </c>
      <c r="J1378" t="inlineStr">
        <is>
          <t>A</t>
        </is>
      </c>
      <c r="K1378" t="n">
        <v>2024</v>
      </c>
      <c r="L1378" t="n">
        <v>10</v>
      </c>
      <c r="M1378" t="inlineStr">
        <is>
          <t>Requeijão Pizzalet 1,8 kg</t>
        </is>
      </c>
      <c r="N1378" t="inlineStr">
        <is>
          <t>Todos</t>
        </is>
      </c>
      <c r="O1378" t="n">
        <v>40</v>
      </c>
      <c r="P1378" t="n">
        <v>484</v>
      </c>
      <c r="Q1378" t="n">
        <v>40</v>
      </c>
    </row>
    <row r="1379">
      <c r="A1379" t="n">
        <v>2025</v>
      </c>
      <c r="B1379" t="n">
        <v>12</v>
      </c>
      <c r="C1379" t="inlineStr">
        <is>
          <t>Muçarela Mozzana 2 kg</t>
        </is>
      </c>
      <c r="D1379" t="inlineStr">
        <is>
          <t>Rotisserie</t>
        </is>
      </c>
      <c r="E1379" t="n">
        <v>88.2</v>
      </c>
      <c r="F1379" t="n">
        <v>4.04</v>
      </c>
      <c r="G1379" t="n">
        <v>2</v>
      </c>
      <c r="J1379" t="inlineStr">
        <is>
          <t>M</t>
        </is>
      </c>
      <c r="K1379" t="n">
        <v>2024</v>
      </c>
      <c r="L1379" t="n">
        <v>10</v>
      </c>
      <c r="M1379" t="inlineStr">
        <is>
          <t>Requeijão Pizzalet 1,8 kg</t>
        </is>
      </c>
      <c r="N1379" t="inlineStr">
        <is>
          <t>Todos</t>
        </is>
      </c>
      <c r="O1379" t="n">
        <v>16</v>
      </c>
      <c r="P1379" t="n">
        <v>51</v>
      </c>
      <c r="Q1379" t="n">
        <v>0</v>
      </c>
    </row>
    <row r="1380">
      <c r="A1380" t="n">
        <v>2025</v>
      </c>
      <c r="B1380" t="n">
        <v>12</v>
      </c>
      <c r="C1380" t="inlineStr">
        <is>
          <t>Muçarela Mozzana 2 kg</t>
        </is>
      </c>
      <c r="D1380" t="inlineStr">
        <is>
          <t>Supermercado</t>
        </is>
      </c>
      <c r="E1380" t="n">
        <v>4060.65</v>
      </c>
      <c r="F1380" t="n">
        <v>171.7</v>
      </c>
      <c r="G1380" t="n">
        <v>85</v>
      </c>
      <c r="J1380" t="inlineStr">
        <is>
          <t>A</t>
        </is>
      </c>
      <c r="K1380" t="n">
        <v>2024</v>
      </c>
      <c r="L1380" t="n">
        <v>11</v>
      </c>
      <c r="M1380" t="inlineStr">
        <is>
          <t>Requeijão Pizzalet 1,8 kg</t>
        </is>
      </c>
      <c r="N1380" t="inlineStr">
        <is>
          <t>Todos</t>
        </is>
      </c>
      <c r="O1380" t="n">
        <v>44</v>
      </c>
      <c r="P1380" t="n">
        <v>539</v>
      </c>
      <c r="Q1380" t="n">
        <v>44</v>
      </c>
    </row>
    <row r="1381">
      <c r="A1381" t="n">
        <v>2025</v>
      </c>
      <c r="B1381" t="n">
        <v>12</v>
      </c>
      <c r="C1381" t="inlineStr">
        <is>
          <t>Requeijão Pizzalet 1,8 kg</t>
        </is>
      </c>
      <c r="D1381" t="inlineStr">
        <is>
          <t>Bar / Chopperia</t>
        </is>
      </c>
      <c r="E1381" t="n">
        <v>384</v>
      </c>
      <c r="F1381" t="n">
        <v>44.16</v>
      </c>
      <c r="G1381" t="n">
        <v>24</v>
      </c>
      <c r="J1381" t="inlineStr">
        <is>
          <t>M</t>
        </is>
      </c>
      <c r="K1381" t="n">
        <v>2024</v>
      </c>
      <c r="L1381" t="n">
        <v>11</v>
      </c>
      <c r="M1381" t="inlineStr">
        <is>
          <t>Requeijão Pizzalet 1,8 kg</t>
        </is>
      </c>
      <c r="N1381" t="inlineStr">
        <is>
          <t>Todos</t>
        </is>
      </c>
      <c r="O1381" t="n">
        <v>20</v>
      </c>
      <c r="P1381" t="n">
        <v>55</v>
      </c>
      <c r="Q1381" t="n">
        <v>0</v>
      </c>
    </row>
    <row r="1382">
      <c r="A1382" t="n">
        <v>2025</v>
      </c>
      <c r="B1382" t="n">
        <v>12</v>
      </c>
      <c r="C1382" t="inlineStr">
        <is>
          <t>Requeijão Pizzalet 1,8 kg</t>
        </is>
      </c>
      <c r="D1382" t="inlineStr">
        <is>
          <t>Lanchonete / Cafeteria</t>
        </is>
      </c>
      <c r="E1382" t="n">
        <v>1080.72</v>
      </c>
      <c r="F1382" t="n">
        <v>125.12</v>
      </c>
      <c r="G1382" t="n">
        <v>68</v>
      </c>
      <c r="J1382" t="inlineStr">
        <is>
          <t>A</t>
        </is>
      </c>
      <c r="K1382" t="n">
        <v>2024</v>
      </c>
      <c r="L1382" t="n">
        <v>12</v>
      </c>
      <c r="M1382" t="inlineStr">
        <is>
          <t>Requeijão Pizzalet 1,8 kg</t>
        </is>
      </c>
      <c r="N1382" t="inlineStr">
        <is>
          <t>Todos</t>
        </is>
      </c>
      <c r="O1382" t="n">
        <v>46</v>
      </c>
      <c r="P1382" t="n">
        <v>591</v>
      </c>
      <c r="Q1382" t="n">
        <v>46</v>
      </c>
    </row>
    <row r="1383">
      <c r="A1383" t="n">
        <v>2025</v>
      </c>
      <c r="B1383" t="n">
        <v>12</v>
      </c>
      <c r="C1383" t="inlineStr">
        <is>
          <t>Requeijão Pizzalet 1,8 kg</t>
        </is>
      </c>
      <c r="D1383" t="inlineStr">
        <is>
          <t>Outros</t>
        </is>
      </c>
      <c r="E1383" t="n">
        <v>95.94</v>
      </c>
      <c r="F1383" t="n">
        <v>11.04</v>
      </c>
      <c r="G1383" t="n">
        <v>6</v>
      </c>
      <c r="J1383" t="inlineStr">
        <is>
          <t>M</t>
        </is>
      </c>
      <c r="K1383" t="n">
        <v>2024</v>
      </c>
      <c r="L1383" t="n">
        <v>12</v>
      </c>
      <c r="M1383" t="inlineStr">
        <is>
          <t>Requeijão Pizzalet 1,8 kg</t>
        </is>
      </c>
      <c r="N1383" t="inlineStr">
        <is>
          <t>Todos</t>
        </is>
      </c>
      <c r="O1383" t="n">
        <v>19</v>
      </c>
      <c r="P1383" t="n">
        <v>52</v>
      </c>
      <c r="Q1383" t="n">
        <v>0</v>
      </c>
    </row>
    <row r="1384">
      <c r="A1384" t="n">
        <v>2025</v>
      </c>
      <c r="B1384" t="n">
        <v>12</v>
      </c>
      <c r="C1384" t="inlineStr">
        <is>
          <t>Requeijão Pizzalet 1,8 kg</t>
        </is>
      </c>
      <c r="D1384" t="inlineStr">
        <is>
          <t>Pastelaria</t>
        </is>
      </c>
      <c r="E1384" t="n">
        <v>2392.6</v>
      </c>
      <c r="F1384" t="n">
        <v>272.32</v>
      </c>
      <c r="G1384" t="n">
        <v>148</v>
      </c>
      <c r="J1384" t="inlineStr">
        <is>
          <t>A</t>
        </is>
      </c>
      <c r="K1384" t="n">
        <v>2024</v>
      </c>
      <c r="L1384" t="n">
        <v>1</v>
      </c>
      <c r="M1384" t="inlineStr">
        <is>
          <t>Requeijão Pizzalet 1,8 kg</t>
        </is>
      </c>
      <c r="N1384" t="inlineStr">
        <is>
          <t>Pizzaria</t>
        </is>
      </c>
      <c r="O1384" t="n">
        <v>7</v>
      </c>
      <c r="P1384" t="n">
        <v>23</v>
      </c>
      <c r="Q1384" t="n">
        <v>7</v>
      </c>
    </row>
    <row r="1385">
      <c r="A1385" t="n">
        <v>2025</v>
      </c>
      <c r="B1385" t="n">
        <v>12</v>
      </c>
      <c r="C1385" t="inlineStr">
        <is>
          <t>Requeijão Pizzalet 1,8 kg</t>
        </is>
      </c>
      <c r="D1385" t="inlineStr">
        <is>
          <t>Pizzaria</t>
        </is>
      </c>
      <c r="E1385" t="n">
        <v>3733.67</v>
      </c>
      <c r="F1385" t="n">
        <v>423.2</v>
      </c>
      <c r="G1385" t="n">
        <v>230</v>
      </c>
      <c r="J1385" t="inlineStr">
        <is>
          <t>M</t>
        </is>
      </c>
      <c r="K1385" t="n">
        <v>2024</v>
      </c>
      <c r="L1385" t="n">
        <v>1</v>
      </c>
      <c r="M1385" t="inlineStr">
        <is>
          <t>Requeijão Pizzalet 1,8 kg</t>
        </is>
      </c>
      <c r="N1385" t="inlineStr">
        <is>
          <t>Pizzaria</t>
        </is>
      </c>
      <c r="O1385" t="n">
        <v>7</v>
      </c>
      <c r="P1385" t="n">
        <v>23</v>
      </c>
      <c r="Q1385" t="n">
        <v>0</v>
      </c>
    </row>
    <row r="1386">
      <c r="A1386" t="n">
        <v>2025</v>
      </c>
      <c r="B1386" t="n">
        <v>12</v>
      </c>
      <c r="C1386" t="inlineStr">
        <is>
          <t>Requeijão Pizzalet 1,8 kg</t>
        </is>
      </c>
      <c r="D1386" t="inlineStr">
        <is>
          <t>Restaurante / Cantina</t>
        </is>
      </c>
      <c r="E1386" t="n">
        <v>127.12</v>
      </c>
      <c r="F1386" t="n">
        <v>14.72</v>
      </c>
      <c r="G1386" t="n">
        <v>8</v>
      </c>
      <c r="J1386" t="inlineStr">
        <is>
          <t>A</t>
        </is>
      </c>
      <c r="K1386" t="n">
        <v>2024</v>
      </c>
      <c r="L1386" t="n">
        <v>2</v>
      </c>
      <c r="M1386" t="inlineStr">
        <is>
          <t>Requeijão Pizzalet 1,8 kg</t>
        </is>
      </c>
      <c r="N1386" t="inlineStr">
        <is>
          <t>Pizzaria</t>
        </is>
      </c>
      <c r="O1386" t="n">
        <v>7</v>
      </c>
      <c r="P1386" t="n">
        <v>42</v>
      </c>
      <c r="Q1386" t="n">
        <v>7</v>
      </c>
    </row>
    <row r="1387">
      <c r="A1387" t="n">
        <v>2026</v>
      </c>
      <c r="B1387" t="n">
        <v>1</v>
      </c>
      <c r="C1387" t="inlineStr">
        <is>
          <t>Chocolate em pó 50% 1 kg</t>
        </is>
      </c>
      <c r="D1387" t="inlineStr">
        <is>
          <t>Bar / Chopperia</t>
        </is>
      </c>
      <c r="E1387" t="n">
        <v>47.88</v>
      </c>
      <c r="F1387" t="n">
        <v>1.02</v>
      </c>
      <c r="G1387" t="n">
        <v>1</v>
      </c>
      <c r="J1387" t="inlineStr">
        <is>
          <t>M</t>
        </is>
      </c>
      <c r="K1387" t="n">
        <v>2024</v>
      </c>
      <c r="L1387" t="n">
        <v>2</v>
      </c>
      <c r="M1387" t="inlineStr">
        <is>
          <t>Requeijão Pizzalet 1,8 kg</t>
        </is>
      </c>
      <c r="N1387" t="inlineStr">
        <is>
          <t>Pizzaria</t>
        </is>
      </c>
      <c r="O1387" t="n">
        <v>5</v>
      </c>
      <c r="P1387" t="n">
        <v>19</v>
      </c>
      <c r="Q1387" t="n">
        <v>0</v>
      </c>
    </row>
    <row r="1388">
      <c r="A1388" t="n">
        <v>2026</v>
      </c>
      <c r="B1388" t="n">
        <v>1</v>
      </c>
      <c r="C1388" t="inlineStr">
        <is>
          <t>Chocolate em pó 50% 1 kg</t>
        </is>
      </c>
      <c r="D1388" t="inlineStr">
        <is>
          <t>Buffet</t>
        </is>
      </c>
      <c r="E1388" t="n">
        <v>166.99</v>
      </c>
      <c r="F1388" t="n">
        <v>4.08</v>
      </c>
      <c r="G1388" t="n">
        <v>4</v>
      </c>
      <c r="J1388" t="inlineStr">
        <is>
          <t>A</t>
        </is>
      </c>
      <c r="K1388" t="n">
        <v>2024</v>
      </c>
      <c r="L1388" t="n">
        <v>3</v>
      </c>
      <c r="M1388" t="inlineStr">
        <is>
          <t>Requeijão Pizzalet 1,8 kg</t>
        </is>
      </c>
      <c r="N1388" t="inlineStr">
        <is>
          <t>Pizzaria</t>
        </is>
      </c>
      <c r="O1388" t="n">
        <v>7</v>
      </c>
      <c r="P1388" t="n">
        <v>61</v>
      </c>
      <c r="Q1388" t="n">
        <v>7</v>
      </c>
    </row>
    <row r="1389">
      <c r="A1389" t="n">
        <v>2026</v>
      </c>
      <c r="B1389" t="n">
        <v>1</v>
      </c>
      <c r="C1389" t="inlineStr">
        <is>
          <t>Chocolate em pó 50% 1 kg</t>
        </is>
      </c>
      <c r="D1389" t="inlineStr">
        <is>
          <t>Churrascaria</t>
        </is>
      </c>
      <c r="E1389" t="n">
        <v>125.14</v>
      </c>
      <c r="F1389" t="n">
        <v>3.06</v>
      </c>
      <c r="G1389" t="n">
        <v>3</v>
      </c>
      <c r="J1389" t="inlineStr">
        <is>
          <t>M</t>
        </is>
      </c>
      <c r="K1389" t="n">
        <v>2024</v>
      </c>
      <c r="L1389" t="n">
        <v>3</v>
      </c>
      <c r="M1389" t="inlineStr">
        <is>
          <t>Requeijão Pizzalet 1,8 kg</t>
        </is>
      </c>
      <c r="N1389" t="inlineStr">
        <is>
          <t>Pizzaria</t>
        </is>
      </c>
      <c r="O1389" t="n">
        <v>6</v>
      </c>
      <c r="P1389" t="n">
        <v>19</v>
      </c>
      <c r="Q1389" t="n">
        <v>0</v>
      </c>
    </row>
    <row r="1390">
      <c r="A1390" t="n">
        <v>2026</v>
      </c>
      <c r="B1390" t="n">
        <v>1</v>
      </c>
      <c r="C1390" t="inlineStr">
        <is>
          <t>Chocolate em pó 50% 1 kg</t>
        </is>
      </c>
      <c r="D1390" t="inlineStr">
        <is>
          <t>Clube / Associação Desportiva</t>
        </is>
      </c>
      <c r="E1390" t="n">
        <v>81.12</v>
      </c>
      <c r="F1390" t="n">
        <v>2.04</v>
      </c>
      <c r="G1390" t="n">
        <v>2</v>
      </c>
      <c r="J1390" t="inlineStr">
        <is>
          <t>A</t>
        </is>
      </c>
      <c r="K1390" t="n">
        <v>2024</v>
      </c>
      <c r="L1390" t="n">
        <v>4</v>
      </c>
      <c r="M1390" t="inlineStr">
        <is>
          <t>Requeijão Pizzalet 1,8 kg</t>
        </is>
      </c>
      <c r="N1390" t="inlineStr">
        <is>
          <t>Pizzaria</t>
        </is>
      </c>
      <c r="O1390" t="n">
        <v>8</v>
      </c>
      <c r="P1390" t="n">
        <v>85</v>
      </c>
      <c r="Q1390" t="n">
        <v>8</v>
      </c>
    </row>
    <row r="1391">
      <c r="A1391" t="n">
        <v>2026</v>
      </c>
      <c r="B1391" t="n">
        <v>1</v>
      </c>
      <c r="C1391" t="inlineStr">
        <is>
          <t>Chocolate em pó 50% 1 kg</t>
        </is>
      </c>
      <c r="D1391" t="inlineStr">
        <is>
          <t>Confeitaria</t>
        </is>
      </c>
      <c r="E1391" t="n">
        <v>711.99</v>
      </c>
      <c r="F1391" t="n">
        <v>17.34</v>
      </c>
      <c r="G1391" t="n">
        <v>17</v>
      </c>
      <c r="J1391" t="inlineStr">
        <is>
          <t>M</t>
        </is>
      </c>
      <c r="K1391" t="n">
        <v>2024</v>
      </c>
      <c r="L1391" t="n">
        <v>4</v>
      </c>
      <c r="M1391" t="inlineStr">
        <is>
          <t>Requeijão Pizzalet 1,8 kg</t>
        </is>
      </c>
      <c r="N1391" t="inlineStr">
        <is>
          <t>Pizzaria</t>
        </is>
      </c>
      <c r="O1391" t="n">
        <v>8</v>
      </c>
      <c r="P1391" t="n">
        <v>24</v>
      </c>
      <c r="Q1391" t="n">
        <v>0</v>
      </c>
    </row>
    <row r="1392">
      <c r="A1392" t="n">
        <v>2026</v>
      </c>
      <c r="B1392" t="n">
        <v>1</v>
      </c>
      <c r="C1392" t="inlineStr">
        <is>
          <t>Chocolate em pó 50% 1 kg</t>
        </is>
      </c>
      <c r="D1392" t="inlineStr">
        <is>
          <t>Cozinha Industrial</t>
        </is>
      </c>
      <c r="E1392" t="n">
        <v>210</v>
      </c>
      <c r="F1392" t="n">
        <v>5.1</v>
      </c>
      <c r="G1392" t="n">
        <v>5</v>
      </c>
      <c r="J1392" t="inlineStr">
        <is>
          <t>A</t>
        </is>
      </c>
      <c r="K1392" t="n">
        <v>2024</v>
      </c>
      <c r="L1392" t="n">
        <v>5</v>
      </c>
      <c r="M1392" t="inlineStr">
        <is>
          <t>Requeijão Pizzalet 1,8 kg</t>
        </is>
      </c>
      <c r="N1392" t="inlineStr">
        <is>
          <t>Pizzaria</t>
        </is>
      </c>
      <c r="O1392" t="n">
        <v>10</v>
      </c>
      <c r="P1392" t="n">
        <v>113</v>
      </c>
      <c r="Q1392" t="n">
        <v>10</v>
      </c>
    </row>
    <row r="1393">
      <c r="A1393" t="n">
        <v>2026</v>
      </c>
      <c r="B1393" t="n">
        <v>1</v>
      </c>
      <c r="C1393" t="inlineStr">
        <is>
          <t>Chocolate em pó 50% 1 kg</t>
        </is>
      </c>
      <c r="D1393" t="inlineStr">
        <is>
          <t>Fábrica de Massas</t>
        </is>
      </c>
      <c r="E1393" t="n">
        <v>207.5</v>
      </c>
      <c r="F1393" t="n">
        <v>5.1</v>
      </c>
      <c r="G1393" t="n">
        <v>5</v>
      </c>
      <c r="J1393" t="inlineStr">
        <is>
          <t>M</t>
        </is>
      </c>
      <c r="K1393" t="n">
        <v>2024</v>
      </c>
      <c r="L1393" t="n">
        <v>5</v>
      </c>
      <c r="M1393" t="inlineStr">
        <is>
          <t>Requeijão Pizzalet 1,8 kg</t>
        </is>
      </c>
      <c r="N1393" t="inlineStr">
        <is>
          <t>Pizzaria</t>
        </is>
      </c>
      <c r="O1393" t="n">
        <v>9</v>
      </c>
      <c r="P1393" t="n">
        <v>28</v>
      </c>
      <c r="Q1393" t="n">
        <v>0</v>
      </c>
    </row>
    <row r="1394">
      <c r="A1394" t="n">
        <v>2026</v>
      </c>
      <c r="B1394" t="n">
        <v>1</v>
      </c>
      <c r="C1394" t="inlineStr">
        <is>
          <t>Chocolate em pó 50% 1 kg</t>
        </is>
      </c>
      <c r="D1394" t="inlineStr">
        <is>
          <t>Hamburgueria</t>
        </is>
      </c>
      <c r="E1394" t="n">
        <v>83.92</v>
      </c>
      <c r="F1394" t="n">
        <v>2.04</v>
      </c>
      <c r="G1394" t="n">
        <v>2</v>
      </c>
      <c r="J1394" t="inlineStr">
        <is>
          <t>A</t>
        </is>
      </c>
      <c r="K1394" t="n">
        <v>2024</v>
      </c>
      <c r="L1394" t="n">
        <v>6</v>
      </c>
      <c r="M1394" t="inlineStr">
        <is>
          <t>Requeijão Pizzalet 1,8 kg</t>
        </is>
      </c>
      <c r="N1394" t="inlineStr">
        <is>
          <t>Pizzaria</t>
        </is>
      </c>
      <c r="O1394" t="n">
        <v>10</v>
      </c>
      <c r="P1394" t="n">
        <v>129</v>
      </c>
      <c r="Q1394" t="n">
        <v>10</v>
      </c>
    </row>
    <row r="1395">
      <c r="A1395" t="n">
        <v>2026</v>
      </c>
      <c r="B1395" t="n">
        <v>1</v>
      </c>
      <c r="C1395" t="inlineStr">
        <is>
          <t>Chocolate em pó 50% 1 kg</t>
        </is>
      </c>
      <c r="D1395" t="inlineStr">
        <is>
          <t>Hotel / Motel / Pousada</t>
        </is>
      </c>
      <c r="E1395" t="n">
        <v>1330.52</v>
      </c>
      <c r="F1395" t="n">
        <v>32.64</v>
      </c>
      <c r="G1395" t="n">
        <v>32</v>
      </c>
      <c r="J1395" t="inlineStr">
        <is>
          <t>M</t>
        </is>
      </c>
      <c r="K1395" t="n">
        <v>2024</v>
      </c>
      <c r="L1395" t="n">
        <v>6</v>
      </c>
      <c r="M1395" t="inlineStr">
        <is>
          <t>Requeijão Pizzalet 1,8 kg</t>
        </is>
      </c>
      <c r="N1395" t="inlineStr">
        <is>
          <t>Pizzaria</t>
        </is>
      </c>
      <c r="O1395" t="n">
        <v>7</v>
      </c>
      <c r="P1395" t="n">
        <v>16</v>
      </c>
      <c r="Q1395" t="n">
        <v>0</v>
      </c>
    </row>
    <row r="1396">
      <c r="A1396" t="n">
        <v>2026</v>
      </c>
      <c r="B1396" t="n">
        <v>1</v>
      </c>
      <c r="C1396" t="inlineStr">
        <is>
          <t>Chocolate em pó 50% 1 kg</t>
        </is>
      </c>
      <c r="D1396" t="inlineStr">
        <is>
          <t>Lanchonete / Cafeteria</t>
        </is>
      </c>
      <c r="E1396" t="n">
        <v>459.5</v>
      </c>
      <c r="F1396" t="n">
        <v>11.22</v>
      </c>
      <c r="G1396" t="n">
        <v>11</v>
      </c>
      <c r="J1396" t="inlineStr">
        <is>
          <t>A</t>
        </is>
      </c>
      <c r="K1396" t="n">
        <v>2024</v>
      </c>
      <c r="L1396" t="n">
        <v>7</v>
      </c>
      <c r="M1396" t="inlineStr">
        <is>
          <t>Requeijão Pizzalet 1,8 kg</t>
        </is>
      </c>
      <c r="N1396" t="inlineStr">
        <is>
          <t>Pizzaria</t>
        </is>
      </c>
      <c r="O1396" t="n">
        <v>10</v>
      </c>
      <c r="P1396" t="n">
        <v>144</v>
      </c>
      <c r="Q1396" t="n">
        <v>10</v>
      </c>
    </row>
    <row r="1397">
      <c r="A1397" t="n">
        <v>2026</v>
      </c>
      <c r="B1397" t="n">
        <v>1</v>
      </c>
      <c r="C1397" t="inlineStr">
        <is>
          <t>Chocolate em pó 50% 1 kg</t>
        </is>
      </c>
      <c r="D1397" t="inlineStr">
        <is>
          <t>Mercearia / Sacolão</t>
        </is>
      </c>
      <c r="E1397" t="n">
        <v>41.54</v>
      </c>
      <c r="F1397" t="n">
        <v>1.02</v>
      </c>
      <c r="G1397" t="n">
        <v>1</v>
      </c>
      <c r="J1397" t="inlineStr">
        <is>
          <t>M</t>
        </is>
      </c>
      <c r="K1397" t="n">
        <v>2024</v>
      </c>
      <c r="L1397" t="n">
        <v>7</v>
      </c>
      <c r="M1397" t="inlineStr">
        <is>
          <t>Requeijão Pizzalet 1,8 kg</t>
        </is>
      </c>
      <c r="N1397" t="inlineStr">
        <is>
          <t>Pizzaria</t>
        </is>
      </c>
      <c r="O1397" t="n">
        <v>5</v>
      </c>
      <c r="P1397" t="n">
        <v>15</v>
      </c>
      <c r="Q1397" t="n">
        <v>0</v>
      </c>
    </row>
    <row r="1398">
      <c r="A1398" t="n">
        <v>2026</v>
      </c>
      <c r="B1398" t="n">
        <v>1</v>
      </c>
      <c r="C1398" t="inlineStr">
        <is>
          <t>Chocolate em pó 50% 1 kg</t>
        </is>
      </c>
      <c r="D1398" t="inlineStr">
        <is>
          <t>Não Selecionado</t>
        </is>
      </c>
      <c r="E1398" t="n">
        <v>124.62</v>
      </c>
      <c r="F1398" t="n">
        <v>3.06</v>
      </c>
      <c r="G1398" t="n">
        <v>3</v>
      </c>
      <c r="J1398" t="inlineStr">
        <is>
          <t>A</t>
        </is>
      </c>
      <c r="K1398" t="n">
        <v>2024</v>
      </c>
      <c r="L1398" t="n">
        <v>8</v>
      </c>
      <c r="M1398" t="inlineStr">
        <is>
          <t>Requeijão Pizzalet 1,8 kg</t>
        </is>
      </c>
      <c r="N1398" t="inlineStr">
        <is>
          <t>Pizzaria</t>
        </is>
      </c>
      <c r="O1398" t="n">
        <v>12</v>
      </c>
      <c r="P1398" t="n">
        <v>162</v>
      </c>
      <c r="Q1398" t="n">
        <v>12</v>
      </c>
    </row>
    <row r="1399">
      <c r="A1399" t="n">
        <v>2026</v>
      </c>
      <c r="B1399" t="n">
        <v>1</v>
      </c>
      <c r="C1399" t="inlineStr">
        <is>
          <t>Chocolate em pó 50% 1 kg</t>
        </is>
      </c>
      <c r="D1399" t="inlineStr">
        <is>
          <t>Outros</t>
        </is>
      </c>
      <c r="E1399" t="n">
        <v>905.66</v>
      </c>
      <c r="F1399" t="n">
        <v>22.44</v>
      </c>
      <c r="G1399" t="n">
        <v>22</v>
      </c>
      <c r="J1399" t="inlineStr">
        <is>
          <t>M</t>
        </is>
      </c>
      <c r="K1399" t="n">
        <v>2024</v>
      </c>
      <c r="L1399" t="n">
        <v>8</v>
      </c>
      <c r="M1399" t="inlineStr">
        <is>
          <t>Requeijão Pizzalet 1,8 kg</t>
        </is>
      </c>
      <c r="N1399" t="inlineStr">
        <is>
          <t>Pizzaria</t>
        </is>
      </c>
      <c r="O1399" t="n">
        <v>7</v>
      </c>
      <c r="P1399" t="n">
        <v>18</v>
      </c>
      <c r="Q1399" t="n">
        <v>0</v>
      </c>
    </row>
    <row r="1400">
      <c r="A1400" t="n">
        <v>2026</v>
      </c>
      <c r="B1400" t="n">
        <v>1</v>
      </c>
      <c r="C1400" t="inlineStr">
        <is>
          <t>Chocolate em pó 50% 1 kg</t>
        </is>
      </c>
      <c r="D1400" t="inlineStr">
        <is>
          <t>Padaria</t>
        </is>
      </c>
      <c r="E1400" t="n">
        <v>872.34</v>
      </c>
      <c r="F1400" t="n">
        <v>21.42</v>
      </c>
      <c r="G1400" t="n">
        <v>21</v>
      </c>
      <c r="J1400" t="inlineStr">
        <is>
          <t>A</t>
        </is>
      </c>
      <c r="K1400" t="n">
        <v>2024</v>
      </c>
      <c r="L1400" t="n">
        <v>9</v>
      </c>
      <c r="M1400" t="inlineStr">
        <is>
          <t>Requeijão Pizzalet 1,8 kg</t>
        </is>
      </c>
      <c r="N1400" t="inlineStr">
        <is>
          <t>Pizzaria</t>
        </is>
      </c>
      <c r="O1400" t="n">
        <v>12</v>
      </c>
      <c r="P1400" t="n">
        <v>184</v>
      </c>
      <c r="Q1400" t="n">
        <v>12</v>
      </c>
    </row>
    <row r="1401">
      <c r="A1401" t="n">
        <v>2026</v>
      </c>
      <c r="B1401" t="n">
        <v>1</v>
      </c>
      <c r="C1401" t="inlineStr">
        <is>
          <t>Chocolate em pó 50% 1 kg</t>
        </is>
      </c>
      <c r="D1401" t="inlineStr">
        <is>
          <t>Pessoa Física</t>
        </is>
      </c>
      <c r="E1401" t="n">
        <v>42.06</v>
      </c>
      <c r="F1401" t="n">
        <v>1.02</v>
      </c>
      <c r="G1401" t="n">
        <v>1</v>
      </c>
      <c r="J1401" t="inlineStr">
        <is>
          <t>M</t>
        </is>
      </c>
      <c r="K1401" t="n">
        <v>2024</v>
      </c>
      <c r="L1401" t="n">
        <v>9</v>
      </c>
      <c r="M1401" t="inlineStr">
        <is>
          <t>Requeijão Pizzalet 1,8 kg</t>
        </is>
      </c>
      <c r="N1401" t="inlineStr">
        <is>
          <t>Pizzaria</t>
        </is>
      </c>
      <c r="O1401" t="n">
        <v>6</v>
      </c>
      <c r="P1401" t="n">
        <v>22</v>
      </c>
      <c r="Q1401" t="n">
        <v>0</v>
      </c>
    </row>
    <row r="1402">
      <c r="A1402" t="n">
        <v>2026</v>
      </c>
      <c r="B1402" t="n">
        <v>1</v>
      </c>
      <c r="C1402" t="inlineStr">
        <is>
          <t>Chocolate em pó 50% 1 kg</t>
        </is>
      </c>
      <c r="D1402" t="inlineStr">
        <is>
          <t>Pizzaria</t>
        </is>
      </c>
      <c r="E1402" t="n">
        <v>1536.55</v>
      </c>
      <c r="F1402" t="n">
        <v>37.74</v>
      </c>
      <c r="G1402" t="n">
        <v>37</v>
      </c>
      <c r="J1402" t="inlineStr">
        <is>
          <t>A</t>
        </is>
      </c>
      <c r="K1402" t="n">
        <v>2024</v>
      </c>
      <c r="L1402" t="n">
        <v>10</v>
      </c>
      <c r="M1402" t="inlineStr">
        <is>
          <t>Requeijão Pizzalet 1,8 kg</t>
        </is>
      </c>
      <c r="N1402" t="inlineStr">
        <is>
          <t>Pizzaria</t>
        </is>
      </c>
      <c r="O1402" t="n">
        <v>13</v>
      </c>
      <c r="P1402" t="n">
        <v>207</v>
      </c>
      <c r="Q1402" t="n">
        <v>13</v>
      </c>
    </row>
    <row r="1403">
      <c r="A1403" t="n">
        <v>2026</v>
      </c>
      <c r="B1403" t="n">
        <v>1</v>
      </c>
      <c r="C1403" t="inlineStr">
        <is>
          <t>Chocolate em pó 50% 1 kg</t>
        </is>
      </c>
      <c r="D1403" t="inlineStr">
        <is>
          <t>Restaurante / Cantina</t>
        </is>
      </c>
      <c r="E1403" t="n">
        <v>1498.8</v>
      </c>
      <c r="F1403" t="n">
        <v>36.72</v>
      </c>
      <c r="G1403" t="n">
        <v>36</v>
      </c>
      <c r="J1403" t="inlineStr">
        <is>
          <t>M</t>
        </is>
      </c>
      <c r="K1403" t="n">
        <v>2024</v>
      </c>
      <c r="L1403" t="n">
        <v>10</v>
      </c>
      <c r="M1403" t="inlineStr">
        <is>
          <t>Requeijão Pizzalet 1,8 kg</t>
        </is>
      </c>
      <c r="N1403" t="inlineStr">
        <is>
          <t>Pizzaria</t>
        </is>
      </c>
      <c r="O1403" t="n">
        <v>6</v>
      </c>
      <c r="P1403" t="n">
        <v>23</v>
      </c>
      <c r="Q1403" t="n">
        <v>0</v>
      </c>
    </row>
    <row r="1404">
      <c r="A1404" t="n">
        <v>2026</v>
      </c>
      <c r="B1404" t="n">
        <v>1</v>
      </c>
      <c r="C1404" t="inlineStr">
        <is>
          <t>Chocolate em pó 50% 1 kg</t>
        </is>
      </c>
      <c r="D1404" t="inlineStr">
        <is>
          <t>Supermercado</t>
        </is>
      </c>
      <c r="E1404" t="n">
        <v>42.16</v>
      </c>
      <c r="F1404" t="n">
        <v>1.02</v>
      </c>
      <c r="G1404" t="n">
        <v>1</v>
      </c>
      <c r="J1404" t="inlineStr">
        <is>
          <t>A</t>
        </is>
      </c>
      <c r="K1404" t="n">
        <v>2024</v>
      </c>
      <c r="L1404" t="n">
        <v>11</v>
      </c>
      <c r="M1404" t="inlineStr">
        <is>
          <t>Requeijão Pizzalet 1,8 kg</t>
        </is>
      </c>
      <c r="N1404" t="inlineStr">
        <is>
          <t>Pizzaria</t>
        </is>
      </c>
      <c r="O1404" t="n">
        <v>16</v>
      </c>
      <c r="P1404" t="n">
        <v>226</v>
      </c>
      <c r="Q1404" t="n">
        <v>16</v>
      </c>
    </row>
    <row r="1405">
      <c r="A1405" t="n">
        <v>2026</v>
      </c>
      <c r="B1405" t="n">
        <v>1</v>
      </c>
      <c r="C1405" t="inlineStr">
        <is>
          <t>Composto lácteo Alibralac 1 kg</t>
        </is>
      </c>
      <c r="D1405" t="inlineStr">
        <is>
          <t>Fábrica de Massas</t>
        </is>
      </c>
      <c r="E1405" t="n">
        <v>46.2</v>
      </c>
      <c r="F1405" t="n">
        <v>2.04</v>
      </c>
      <c r="G1405" t="n">
        <v>2</v>
      </c>
      <c r="J1405" t="inlineStr">
        <is>
          <t>M</t>
        </is>
      </c>
      <c r="K1405" t="n">
        <v>2024</v>
      </c>
      <c r="L1405" t="n">
        <v>11</v>
      </c>
      <c r="M1405" t="inlineStr">
        <is>
          <t>Requeijão Pizzalet 1,8 kg</t>
        </is>
      </c>
      <c r="N1405" t="inlineStr">
        <is>
          <t>Pizzaria</t>
        </is>
      </c>
      <c r="O1405" t="n">
        <v>8</v>
      </c>
      <c r="P1405" t="n">
        <v>19</v>
      </c>
      <c r="Q1405" t="n">
        <v>0</v>
      </c>
    </row>
    <row r="1406">
      <c r="A1406" t="n">
        <v>2026</v>
      </c>
      <c r="B1406" t="n">
        <v>1</v>
      </c>
      <c r="C1406" t="inlineStr">
        <is>
          <t>Composto lácteo Alibralac 1 kg</t>
        </is>
      </c>
      <c r="D1406" t="inlineStr">
        <is>
          <t>Hotel / Motel / Pousada</t>
        </is>
      </c>
      <c r="E1406" t="n">
        <v>233.9</v>
      </c>
      <c r="F1406" t="n">
        <v>10.2</v>
      </c>
      <c r="G1406" t="n">
        <v>10</v>
      </c>
      <c r="J1406" t="inlineStr">
        <is>
          <t>A</t>
        </is>
      </c>
      <c r="K1406" t="n">
        <v>2024</v>
      </c>
      <c r="L1406" t="n">
        <v>12</v>
      </c>
      <c r="M1406" t="inlineStr">
        <is>
          <t>Requeijão Pizzalet 1,8 kg</t>
        </is>
      </c>
      <c r="N1406" t="inlineStr">
        <is>
          <t>Pizzaria</t>
        </is>
      </c>
      <c r="O1406" t="n">
        <v>17</v>
      </c>
      <c r="P1406" t="n">
        <v>247</v>
      </c>
      <c r="Q1406" t="n">
        <v>17</v>
      </c>
    </row>
    <row r="1407">
      <c r="A1407" t="n">
        <v>2026</v>
      </c>
      <c r="B1407" t="n">
        <v>1</v>
      </c>
      <c r="C1407" t="inlineStr">
        <is>
          <t>Composto lácteo Alibralac 1 kg</t>
        </is>
      </c>
      <c r="D1407" t="inlineStr">
        <is>
          <t>Outros</t>
        </is>
      </c>
      <c r="E1407" t="n">
        <v>47.12</v>
      </c>
      <c r="F1407" t="n">
        <v>2.04</v>
      </c>
      <c r="G1407" t="n">
        <v>2</v>
      </c>
      <c r="J1407" t="inlineStr">
        <is>
          <t>M</t>
        </is>
      </c>
      <c r="K1407" t="n">
        <v>2024</v>
      </c>
      <c r="L1407" t="n">
        <v>12</v>
      </c>
      <c r="M1407" t="inlineStr">
        <is>
          <t>Requeijão Pizzalet 1,8 kg</t>
        </is>
      </c>
      <c r="N1407" t="inlineStr">
        <is>
          <t>Pizzaria</t>
        </is>
      </c>
      <c r="O1407" t="n">
        <v>10</v>
      </c>
      <c r="P1407" t="n">
        <v>21</v>
      </c>
      <c r="Q1407" t="n">
        <v>0</v>
      </c>
    </row>
    <row r="1408">
      <c r="A1408" t="n">
        <v>2026</v>
      </c>
      <c r="B1408" t="n">
        <v>1</v>
      </c>
      <c r="C1408" t="inlineStr">
        <is>
          <t>Composto lácteo Alibralac 1 kg</t>
        </is>
      </c>
      <c r="D1408" t="inlineStr">
        <is>
          <t>Pizzaria</t>
        </is>
      </c>
      <c r="E1408" t="n">
        <v>1617</v>
      </c>
      <c r="F1408" t="n">
        <v>71.40000000000001</v>
      </c>
      <c r="G1408" t="n">
        <v>70</v>
      </c>
      <c r="J1408" t="inlineStr">
        <is>
          <t>A</t>
        </is>
      </c>
      <c r="K1408" t="n">
        <v>2024</v>
      </c>
      <c r="L1408" t="n">
        <v>1</v>
      </c>
      <c r="M1408" t="inlineStr">
        <is>
          <t>Requeijão Pizzalet 1,8 kg</t>
        </is>
      </c>
      <c r="N1408" t="inlineStr">
        <is>
          <t>Restaurante / Cantina</t>
        </is>
      </c>
      <c r="O1408" t="n">
        <v>1</v>
      </c>
      <c r="P1408" t="n">
        <v>2</v>
      </c>
      <c r="Q1408" t="n">
        <v>1</v>
      </c>
    </row>
    <row r="1409">
      <c r="A1409" t="n">
        <v>2026</v>
      </c>
      <c r="B1409" t="n">
        <v>1</v>
      </c>
      <c r="C1409" t="inlineStr">
        <is>
          <t>Composto lácteo Alibralac 1 kg</t>
        </is>
      </c>
      <c r="D1409" t="inlineStr">
        <is>
          <t>Restaurante / Cantina</t>
        </is>
      </c>
      <c r="E1409" t="n">
        <v>1432.4</v>
      </c>
      <c r="F1409" t="n">
        <v>63.24</v>
      </c>
      <c r="G1409" t="n">
        <v>62</v>
      </c>
      <c r="J1409" t="inlineStr">
        <is>
          <t>M</t>
        </is>
      </c>
      <c r="K1409" t="n">
        <v>2024</v>
      </c>
      <c r="L1409" t="n">
        <v>1</v>
      </c>
      <c r="M1409" t="inlineStr">
        <is>
          <t>Requeijão Pizzalet 1,8 kg</t>
        </is>
      </c>
      <c r="N1409" t="inlineStr">
        <is>
          <t>Restaurante / Cantina</t>
        </is>
      </c>
      <c r="O1409" t="n">
        <v>1</v>
      </c>
      <c r="P1409" t="n">
        <v>2</v>
      </c>
      <c r="Q1409" t="n">
        <v>0</v>
      </c>
    </row>
    <row r="1410">
      <c r="A1410" t="n">
        <v>2026</v>
      </c>
      <c r="B1410" t="n">
        <v>1</v>
      </c>
      <c r="C1410" t="inlineStr">
        <is>
          <t>Composto lácteo Merilú 400 g</t>
        </is>
      </c>
      <c r="D1410" t="inlineStr">
        <is>
          <t>Esfiharia</t>
        </is>
      </c>
      <c r="E1410" t="n">
        <v>14.6</v>
      </c>
      <c r="F1410" t="n">
        <v>0.84</v>
      </c>
      <c r="G1410" t="n">
        <v>2</v>
      </c>
      <c r="J1410" t="inlineStr">
        <is>
          <t>A</t>
        </is>
      </c>
      <c r="K1410" t="n">
        <v>2024</v>
      </c>
      <c r="L1410" t="n">
        <v>2</v>
      </c>
      <c r="M1410" t="inlineStr">
        <is>
          <t>Requeijão Pizzalet 1,8 kg</t>
        </is>
      </c>
      <c r="N1410" t="inlineStr">
        <is>
          <t>Restaurante / Cantina</t>
        </is>
      </c>
      <c r="O1410" t="n">
        <v>1</v>
      </c>
      <c r="P1410" t="n">
        <v>6</v>
      </c>
      <c r="Q1410" t="n">
        <v>1</v>
      </c>
    </row>
    <row r="1411">
      <c r="A1411" t="n">
        <v>2026</v>
      </c>
      <c r="B1411" t="n">
        <v>1</v>
      </c>
      <c r="C1411" t="inlineStr">
        <is>
          <t>Composto lácteo Merilú 400 g</t>
        </is>
      </c>
      <c r="D1411" t="inlineStr">
        <is>
          <t>Lanchonete / Cafeteria</t>
        </is>
      </c>
      <c r="E1411" t="n">
        <v>73</v>
      </c>
      <c r="F1411" t="n">
        <v>4.2</v>
      </c>
      <c r="G1411" t="n">
        <v>10</v>
      </c>
      <c r="J1411" t="inlineStr">
        <is>
          <t>M</t>
        </is>
      </c>
      <c r="K1411" t="n">
        <v>2024</v>
      </c>
      <c r="L1411" t="n">
        <v>2</v>
      </c>
      <c r="M1411" t="inlineStr">
        <is>
          <t>Requeijão Pizzalet 1,8 kg</t>
        </is>
      </c>
      <c r="N1411" t="inlineStr">
        <is>
          <t>Restaurante / Cantina</t>
        </is>
      </c>
      <c r="O1411" t="n">
        <v>1</v>
      </c>
      <c r="P1411" t="n">
        <v>4</v>
      </c>
      <c r="Q1411" t="n">
        <v>0</v>
      </c>
    </row>
    <row r="1412">
      <c r="A1412" t="n">
        <v>2026</v>
      </c>
      <c r="B1412" t="n">
        <v>1</v>
      </c>
      <c r="C1412" t="inlineStr">
        <is>
          <t>Composto lácteo Merilú 400 g</t>
        </is>
      </c>
      <c r="D1412" t="inlineStr">
        <is>
          <t>Padaria</t>
        </is>
      </c>
      <c r="E1412" t="n">
        <v>542.25</v>
      </c>
      <c r="F1412" t="n">
        <v>31.5</v>
      </c>
      <c r="G1412" t="n">
        <v>75</v>
      </c>
      <c r="J1412" t="inlineStr">
        <is>
          <t>A</t>
        </is>
      </c>
      <c r="K1412" t="n">
        <v>2024</v>
      </c>
      <c r="L1412" t="n">
        <v>3</v>
      </c>
      <c r="M1412" t="inlineStr">
        <is>
          <t>Requeijão Pizzalet 1,8 kg</t>
        </is>
      </c>
      <c r="N1412" t="inlineStr">
        <is>
          <t>Restaurante / Cantina</t>
        </is>
      </c>
      <c r="O1412" t="n">
        <v>1</v>
      </c>
      <c r="P1412" t="n">
        <v>8</v>
      </c>
      <c r="Q1412" t="n">
        <v>1</v>
      </c>
    </row>
    <row r="1413">
      <c r="A1413" t="n">
        <v>2026</v>
      </c>
      <c r="B1413" t="n">
        <v>1</v>
      </c>
      <c r="C1413" t="inlineStr">
        <is>
          <t>Composto lácteo Merilú 400 g</t>
        </is>
      </c>
      <c r="D1413" t="inlineStr">
        <is>
          <t>Restaurante / Cantina</t>
        </is>
      </c>
      <c r="E1413" t="n">
        <v>625.98</v>
      </c>
      <c r="F1413" t="n">
        <v>36.12</v>
      </c>
      <c r="G1413" t="n">
        <v>86</v>
      </c>
      <c r="J1413" t="inlineStr">
        <is>
          <t>M</t>
        </is>
      </c>
      <c r="K1413" t="n">
        <v>2024</v>
      </c>
      <c r="L1413" t="n">
        <v>3</v>
      </c>
      <c r="M1413" t="inlineStr">
        <is>
          <t>Requeijão Pizzalet 1,8 kg</t>
        </is>
      </c>
      <c r="N1413" t="inlineStr">
        <is>
          <t>Restaurante / Cantina</t>
        </is>
      </c>
      <c r="O1413" t="n">
        <v>1</v>
      </c>
      <c r="P1413" t="n">
        <v>2</v>
      </c>
      <c r="Q1413" t="n">
        <v>0</v>
      </c>
    </row>
    <row r="1414">
      <c r="A1414" t="n">
        <v>2026</v>
      </c>
      <c r="B1414" t="n">
        <v>1</v>
      </c>
      <c r="C1414" t="inlineStr">
        <is>
          <t>Composto lácteo Merilú 400 g</t>
        </is>
      </c>
      <c r="D1414" t="inlineStr">
        <is>
          <t>Supermercado</t>
        </is>
      </c>
      <c r="E1414" t="n">
        <v>365</v>
      </c>
      <c r="F1414" t="n">
        <v>21</v>
      </c>
      <c r="G1414" t="n">
        <v>50</v>
      </c>
      <c r="J1414" t="inlineStr">
        <is>
          <t>A</t>
        </is>
      </c>
      <c r="K1414" t="n">
        <v>2024</v>
      </c>
      <c r="L1414" t="n">
        <v>4</v>
      </c>
      <c r="M1414" t="inlineStr">
        <is>
          <t>Requeijão Pizzalet 1,8 kg</t>
        </is>
      </c>
      <c r="N1414" t="inlineStr">
        <is>
          <t>Restaurante / Cantina</t>
        </is>
      </c>
      <c r="O1414" t="n">
        <v>2</v>
      </c>
      <c r="P1414" t="n">
        <v>14</v>
      </c>
      <c r="Q1414" t="n">
        <v>2</v>
      </c>
    </row>
    <row r="1415">
      <c r="A1415" t="n">
        <v>2026</v>
      </c>
      <c r="B1415" t="n">
        <v>1</v>
      </c>
      <c r="C1415" t="inlineStr">
        <is>
          <t>Muçarela Mozzalet 2 kg</t>
        </is>
      </c>
      <c r="D1415" t="inlineStr">
        <is>
          <t>Cozinha Industrial</t>
        </is>
      </c>
      <c r="E1415" t="n">
        <v>2081.6</v>
      </c>
      <c r="F1415" t="n">
        <v>92</v>
      </c>
      <c r="G1415" t="n">
        <v>46</v>
      </c>
      <c r="J1415" t="inlineStr">
        <is>
          <t>M</t>
        </is>
      </c>
      <c r="K1415" t="n">
        <v>2024</v>
      </c>
      <c r="L1415" t="n">
        <v>4</v>
      </c>
      <c r="M1415" t="inlineStr">
        <is>
          <t>Requeijão Pizzalet 1,8 kg</t>
        </is>
      </c>
      <c r="N1415" t="inlineStr">
        <is>
          <t>Restaurante / Cantina</t>
        </is>
      </c>
      <c r="O1415" t="n">
        <v>2</v>
      </c>
      <c r="P1415" t="n">
        <v>6</v>
      </c>
      <c r="Q1415" t="n">
        <v>0</v>
      </c>
    </row>
    <row r="1416">
      <c r="A1416" t="n">
        <v>2026</v>
      </c>
      <c r="B1416" t="n">
        <v>1</v>
      </c>
      <c r="C1416" t="inlineStr">
        <is>
          <t>Muçarela Mozzalet 2 kg</t>
        </is>
      </c>
      <c r="D1416" t="inlineStr">
        <is>
          <t>Fábrica de Massas</t>
        </is>
      </c>
      <c r="E1416" t="n">
        <v>5050.5</v>
      </c>
      <c r="F1416" t="n">
        <v>222</v>
      </c>
      <c r="G1416" t="n">
        <v>111</v>
      </c>
      <c r="J1416" t="inlineStr">
        <is>
          <t>A</t>
        </is>
      </c>
      <c r="K1416" t="n">
        <v>2024</v>
      </c>
      <c r="L1416" t="n">
        <v>5</v>
      </c>
      <c r="M1416" t="inlineStr">
        <is>
          <t>Requeijão Pizzalet 1,8 kg</t>
        </is>
      </c>
      <c r="N1416" t="inlineStr">
        <is>
          <t>Restaurante / Cantina</t>
        </is>
      </c>
      <c r="O1416" t="n">
        <v>3</v>
      </c>
      <c r="P1416" t="n">
        <v>18</v>
      </c>
      <c r="Q1416" t="n">
        <v>3</v>
      </c>
    </row>
    <row r="1417">
      <c r="A1417" t="n">
        <v>2026</v>
      </c>
      <c r="B1417" t="n">
        <v>1</v>
      </c>
      <c r="C1417" t="inlineStr">
        <is>
          <t>Muçarela Mozzalet 2 kg</t>
        </is>
      </c>
      <c r="D1417" t="inlineStr">
        <is>
          <t>Lanchonete / Cafeteria</t>
        </is>
      </c>
      <c r="E1417" t="n">
        <v>45.96</v>
      </c>
      <c r="F1417" t="n">
        <v>2</v>
      </c>
      <c r="G1417" t="n">
        <v>1</v>
      </c>
      <c r="J1417" t="inlineStr">
        <is>
          <t>M</t>
        </is>
      </c>
      <c r="K1417" t="n">
        <v>2024</v>
      </c>
      <c r="L1417" t="n">
        <v>5</v>
      </c>
      <c r="M1417" t="inlineStr">
        <is>
          <t>Requeijão Pizzalet 1,8 kg</t>
        </is>
      </c>
      <c r="N1417" t="inlineStr">
        <is>
          <t>Restaurante / Cantina</t>
        </is>
      </c>
      <c r="O1417" t="n">
        <v>2</v>
      </c>
      <c r="P1417" t="n">
        <v>4</v>
      </c>
      <c r="Q1417" t="n">
        <v>0</v>
      </c>
    </row>
    <row r="1418">
      <c r="A1418" t="n">
        <v>2026</v>
      </c>
      <c r="B1418" t="n">
        <v>1</v>
      </c>
      <c r="C1418" t="inlineStr">
        <is>
          <t>Muçarela Mozzalet 2 kg</t>
        </is>
      </c>
      <c r="D1418" t="inlineStr">
        <is>
          <t>Mercearia / Sacolão</t>
        </is>
      </c>
      <c r="E1418" t="n">
        <v>809.8200000000001</v>
      </c>
      <c r="F1418" t="n">
        <v>36</v>
      </c>
      <c r="G1418" t="n">
        <v>18</v>
      </c>
      <c r="J1418" t="inlineStr">
        <is>
          <t>A</t>
        </is>
      </c>
      <c r="K1418" t="n">
        <v>2024</v>
      </c>
      <c r="L1418" t="n">
        <v>6</v>
      </c>
      <c r="M1418" t="inlineStr">
        <is>
          <t>Requeijão Pizzalet 1,8 kg</t>
        </is>
      </c>
      <c r="N1418" t="inlineStr">
        <is>
          <t>Restaurante / Cantina</t>
        </is>
      </c>
      <c r="O1418" t="n">
        <v>3</v>
      </c>
      <c r="P1418" t="n">
        <v>20</v>
      </c>
      <c r="Q1418" t="n">
        <v>3</v>
      </c>
    </row>
    <row r="1419">
      <c r="A1419" t="n">
        <v>2026</v>
      </c>
      <c r="B1419" t="n">
        <v>1</v>
      </c>
      <c r="C1419" t="inlineStr">
        <is>
          <t>Muçarela Mozzalet 2 kg</t>
        </is>
      </c>
      <c r="D1419" t="inlineStr">
        <is>
          <t>Outros</t>
        </is>
      </c>
      <c r="E1419" t="n">
        <v>413.64</v>
      </c>
      <c r="F1419" t="n">
        <v>18</v>
      </c>
      <c r="G1419" t="n">
        <v>9</v>
      </c>
      <c r="J1419" t="inlineStr">
        <is>
          <t>M</t>
        </is>
      </c>
      <c r="K1419" t="n">
        <v>2024</v>
      </c>
      <c r="L1419" t="n">
        <v>6</v>
      </c>
      <c r="M1419" t="inlineStr">
        <is>
          <t>Requeijão Pizzalet 1,8 kg</t>
        </is>
      </c>
      <c r="N1419" t="inlineStr">
        <is>
          <t>Restaurante / Cantina</t>
        </is>
      </c>
      <c r="O1419" t="n">
        <v>1</v>
      </c>
      <c r="P1419" t="n">
        <v>2</v>
      </c>
      <c r="Q1419" t="n">
        <v>0</v>
      </c>
    </row>
    <row r="1420">
      <c r="A1420" t="n">
        <v>2026</v>
      </c>
      <c r="B1420" t="n">
        <v>1</v>
      </c>
      <c r="C1420" t="inlineStr">
        <is>
          <t>Muçarela Mozzalet 2 kg</t>
        </is>
      </c>
      <c r="D1420" t="inlineStr">
        <is>
          <t>Padaria</t>
        </is>
      </c>
      <c r="E1420" t="n">
        <v>229.8</v>
      </c>
      <c r="F1420" t="n">
        <v>10</v>
      </c>
      <c r="G1420" t="n">
        <v>5</v>
      </c>
      <c r="J1420" t="inlineStr">
        <is>
          <t>A</t>
        </is>
      </c>
      <c r="K1420" t="n">
        <v>2024</v>
      </c>
      <c r="L1420" t="n">
        <v>7</v>
      </c>
      <c r="M1420" t="inlineStr">
        <is>
          <t>Requeijão Pizzalet 1,8 kg</t>
        </is>
      </c>
      <c r="N1420" t="inlineStr">
        <is>
          <t>Restaurante / Cantina</t>
        </is>
      </c>
      <c r="O1420" t="n">
        <v>3</v>
      </c>
      <c r="P1420" t="n">
        <v>23</v>
      </c>
      <c r="Q1420" t="n">
        <v>3</v>
      </c>
    </row>
    <row r="1421">
      <c r="A1421" t="n">
        <v>2026</v>
      </c>
      <c r="B1421" t="n">
        <v>1</v>
      </c>
      <c r="C1421" t="inlineStr">
        <is>
          <t>Muçarela Mozzalet 2 kg</t>
        </is>
      </c>
      <c r="D1421" t="inlineStr">
        <is>
          <t>Pessoa Física</t>
        </is>
      </c>
      <c r="E1421" t="n">
        <v>919.2</v>
      </c>
      <c r="F1421" t="n">
        <v>40</v>
      </c>
      <c r="G1421" t="n">
        <v>20</v>
      </c>
      <c r="J1421" t="inlineStr">
        <is>
          <t>M</t>
        </is>
      </c>
      <c r="K1421" t="n">
        <v>2024</v>
      </c>
      <c r="L1421" t="n">
        <v>7</v>
      </c>
      <c r="M1421" t="inlineStr">
        <is>
          <t>Requeijão Pizzalet 1,8 kg</t>
        </is>
      </c>
      <c r="N1421" t="inlineStr">
        <is>
          <t>Restaurante / Cantina</t>
        </is>
      </c>
      <c r="O1421" t="n">
        <v>1</v>
      </c>
      <c r="P1421" t="n">
        <v>3</v>
      </c>
      <c r="Q1421" t="n">
        <v>0</v>
      </c>
    </row>
    <row r="1422">
      <c r="A1422" t="n">
        <v>2026</v>
      </c>
      <c r="B1422" t="n">
        <v>1</v>
      </c>
      <c r="C1422" t="inlineStr">
        <is>
          <t>Muçarela Mozzalet 2 kg</t>
        </is>
      </c>
      <c r="D1422" t="inlineStr">
        <is>
          <t>Pizzaria</t>
        </is>
      </c>
      <c r="E1422" t="n">
        <v>6671.26</v>
      </c>
      <c r="F1422" t="n">
        <v>292</v>
      </c>
      <c r="G1422" t="n">
        <v>146</v>
      </c>
      <c r="J1422" t="inlineStr">
        <is>
          <t>A</t>
        </is>
      </c>
      <c r="K1422" t="n">
        <v>2024</v>
      </c>
      <c r="L1422" t="n">
        <v>8</v>
      </c>
      <c r="M1422" t="inlineStr">
        <is>
          <t>Requeijão Pizzalet 1,8 kg</t>
        </is>
      </c>
      <c r="N1422" t="inlineStr">
        <is>
          <t>Restaurante / Cantina</t>
        </is>
      </c>
      <c r="O1422" t="n">
        <v>3</v>
      </c>
      <c r="P1422" t="n">
        <v>27</v>
      </c>
      <c r="Q1422" t="n">
        <v>3</v>
      </c>
    </row>
    <row r="1423">
      <c r="A1423" t="n">
        <v>2026</v>
      </c>
      <c r="B1423" t="n">
        <v>1</v>
      </c>
      <c r="C1423" t="inlineStr">
        <is>
          <t>Muçarela Mozzalet 2 kg</t>
        </is>
      </c>
      <c r="D1423" t="inlineStr">
        <is>
          <t>Restaurante / Cantina</t>
        </is>
      </c>
      <c r="E1423" t="n">
        <v>45288</v>
      </c>
      <c r="F1423" t="n">
        <v>2040</v>
      </c>
      <c r="G1423" t="n">
        <v>1020</v>
      </c>
      <c r="J1423" t="inlineStr">
        <is>
          <t>M</t>
        </is>
      </c>
      <c r="K1423" t="n">
        <v>2024</v>
      </c>
      <c r="L1423" t="n">
        <v>8</v>
      </c>
      <c r="M1423" t="inlineStr">
        <is>
          <t>Requeijão Pizzalet 1,8 kg</t>
        </is>
      </c>
      <c r="N1423" t="inlineStr">
        <is>
          <t>Restaurante / Cantina</t>
        </is>
      </c>
      <c r="O1423" t="n">
        <v>1</v>
      </c>
      <c r="P1423" t="n">
        <v>4</v>
      </c>
      <c r="Q1423" t="n">
        <v>0</v>
      </c>
    </row>
    <row r="1424">
      <c r="A1424" t="n">
        <v>2026</v>
      </c>
      <c r="B1424" t="n">
        <v>1</v>
      </c>
      <c r="C1424" t="inlineStr">
        <is>
          <t>Muçarela Mozzana 2 kg</t>
        </is>
      </c>
      <c r="D1424" t="inlineStr">
        <is>
          <t>Buffet</t>
        </is>
      </c>
      <c r="E1424" t="n">
        <v>343.2</v>
      </c>
      <c r="F1424" t="n">
        <v>16.16</v>
      </c>
      <c r="G1424" t="n">
        <v>8</v>
      </c>
      <c r="J1424" t="inlineStr">
        <is>
          <t>A</t>
        </is>
      </c>
      <c r="K1424" t="n">
        <v>2024</v>
      </c>
      <c r="L1424" t="n">
        <v>9</v>
      </c>
      <c r="M1424" t="inlineStr">
        <is>
          <t>Requeijão Pizzalet 1,8 kg</t>
        </is>
      </c>
      <c r="N1424" t="inlineStr">
        <is>
          <t>Restaurante / Cantina</t>
        </is>
      </c>
      <c r="O1424" t="n">
        <v>3</v>
      </c>
      <c r="P1424" t="n">
        <v>29</v>
      </c>
      <c r="Q1424" t="n">
        <v>3</v>
      </c>
    </row>
    <row r="1425">
      <c r="A1425" t="n">
        <v>2026</v>
      </c>
      <c r="B1425" t="n">
        <v>1</v>
      </c>
      <c r="C1425" t="inlineStr">
        <is>
          <t>Muçarela Mozzana 2 kg</t>
        </is>
      </c>
      <c r="D1425" t="inlineStr">
        <is>
          <t>Confeitaria</t>
        </is>
      </c>
      <c r="E1425" t="n">
        <v>377.91</v>
      </c>
      <c r="F1425" t="n">
        <v>18.18</v>
      </c>
      <c r="G1425" t="n">
        <v>9</v>
      </c>
      <c r="J1425" t="inlineStr">
        <is>
          <t>M</t>
        </is>
      </c>
      <c r="K1425" t="n">
        <v>2024</v>
      </c>
      <c r="L1425" t="n">
        <v>9</v>
      </c>
      <c r="M1425" t="inlineStr">
        <is>
          <t>Requeijão Pizzalet 1,8 kg</t>
        </is>
      </c>
      <c r="N1425" t="inlineStr">
        <is>
          <t>Restaurante / Cantina</t>
        </is>
      </c>
      <c r="O1425" t="n">
        <v>1</v>
      </c>
      <c r="P1425" t="n">
        <v>2</v>
      </c>
      <c r="Q1425" t="n">
        <v>0</v>
      </c>
    </row>
    <row r="1426">
      <c r="A1426" t="n">
        <v>2026</v>
      </c>
      <c r="B1426" t="n">
        <v>1</v>
      </c>
      <c r="C1426" t="inlineStr">
        <is>
          <t>Muçarela Mozzana 2 kg</t>
        </is>
      </c>
      <c r="D1426" t="inlineStr">
        <is>
          <t>Cozinha Industrial</t>
        </is>
      </c>
      <c r="E1426" t="n">
        <v>34974.73</v>
      </c>
      <c r="F1426" t="n">
        <v>1668.52</v>
      </c>
      <c r="G1426" t="n">
        <v>826</v>
      </c>
      <c r="J1426" t="inlineStr">
        <is>
          <t>A</t>
        </is>
      </c>
      <c r="K1426" t="n">
        <v>2024</v>
      </c>
      <c r="L1426" t="n">
        <v>10</v>
      </c>
      <c r="M1426" t="inlineStr">
        <is>
          <t>Requeijão Pizzalet 1,8 kg</t>
        </is>
      </c>
      <c r="N1426" t="inlineStr">
        <is>
          <t>Restaurante / Cantina</t>
        </is>
      </c>
      <c r="O1426" t="n">
        <v>3</v>
      </c>
      <c r="P1426" t="n">
        <v>31</v>
      </c>
      <c r="Q1426" t="n">
        <v>3</v>
      </c>
    </row>
    <row r="1427">
      <c r="A1427" t="n">
        <v>2026</v>
      </c>
      <c r="B1427" t="n">
        <v>1</v>
      </c>
      <c r="C1427" t="inlineStr">
        <is>
          <t>Muçarela Mozzana 2 kg</t>
        </is>
      </c>
      <c r="D1427" t="inlineStr">
        <is>
          <t>Esfiharia</t>
        </is>
      </c>
      <c r="E1427" t="n">
        <v>6182.9</v>
      </c>
      <c r="F1427" t="n">
        <v>280.78</v>
      </c>
      <c r="G1427" t="n">
        <v>139</v>
      </c>
      <c r="J1427" t="inlineStr">
        <is>
          <t>M</t>
        </is>
      </c>
      <c r="K1427" t="n">
        <v>2024</v>
      </c>
      <c r="L1427" t="n">
        <v>10</v>
      </c>
      <c r="M1427" t="inlineStr">
        <is>
          <t>Requeijão Pizzalet 1,8 kg</t>
        </is>
      </c>
      <c r="N1427" t="inlineStr">
        <is>
          <t>Restaurante / Cantina</t>
        </is>
      </c>
      <c r="O1427" t="n">
        <v>1</v>
      </c>
      <c r="P1427" t="n">
        <v>2</v>
      </c>
      <c r="Q1427" t="n">
        <v>0</v>
      </c>
    </row>
    <row r="1428">
      <c r="A1428" t="n">
        <v>2026</v>
      </c>
      <c r="B1428" t="n">
        <v>1</v>
      </c>
      <c r="C1428" t="inlineStr">
        <is>
          <t>Muçarela Mozzana 2 kg</t>
        </is>
      </c>
      <c r="D1428" t="inlineStr">
        <is>
          <t>Fábrica de Massas</t>
        </is>
      </c>
      <c r="E1428" t="n">
        <v>7189.64</v>
      </c>
      <c r="F1428" t="n">
        <v>345.42</v>
      </c>
      <c r="G1428" t="n">
        <v>171</v>
      </c>
      <c r="J1428" t="inlineStr">
        <is>
          <t>A</t>
        </is>
      </c>
      <c r="K1428" t="n">
        <v>2024</v>
      </c>
      <c r="L1428" t="n">
        <v>11</v>
      </c>
      <c r="M1428" t="inlineStr">
        <is>
          <t>Requeijão Pizzalet 1,8 kg</t>
        </is>
      </c>
      <c r="N1428" t="inlineStr">
        <is>
          <t>Restaurante / Cantina</t>
        </is>
      </c>
      <c r="O1428" t="n">
        <v>3</v>
      </c>
      <c r="P1428" t="n">
        <v>34</v>
      </c>
      <c r="Q1428" t="n">
        <v>3</v>
      </c>
    </row>
    <row r="1429">
      <c r="A1429" t="n">
        <v>2026</v>
      </c>
      <c r="B1429" t="n">
        <v>1</v>
      </c>
      <c r="C1429" t="inlineStr">
        <is>
          <t>Muçarela Mozzana 2 kg</t>
        </is>
      </c>
      <c r="D1429" t="inlineStr">
        <is>
          <t>Lanchonete / Cafeteria</t>
        </is>
      </c>
      <c r="E1429" t="n">
        <v>2046.39</v>
      </c>
      <c r="F1429" t="n">
        <v>96.95999999999999</v>
      </c>
      <c r="G1429" t="n">
        <v>48</v>
      </c>
      <c r="J1429" t="inlineStr">
        <is>
          <t>M</t>
        </is>
      </c>
      <c r="K1429" t="n">
        <v>2024</v>
      </c>
      <c r="L1429" t="n">
        <v>11</v>
      </c>
      <c r="M1429" t="inlineStr">
        <is>
          <t>Requeijão Pizzalet 1,8 kg</t>
        </is>
      </c>
      <c r="N1429" t="inlineStr">
        <is>
          <t>Restaurante / Cantina</t>
        </is>
      </c>
      <c r="O1429" t="n">
        <v>1</v>
      </c>
      <c r="P1429" t="n">
        <v>3</v>
      </c>
      <c r="Q1429" t="n">
        <v>0</v>
      </c>
    </row>
    <row r="1430">
      <c r="A1430" t="n">
        <v>2026</v>
      </c>
      <c r="B1430" t="n">
        <v>1</v>
      </c>
      <c r="C1430" t="inlineStr">
        <is>
          <t>Muçarela Mozzana 2 kg</t>
        </is>
      </c>
      <c r="D1430" t="inlineStr">
        <is>
          <t>Mercearia / Sacolão</t>
        </is>
      </c>
      <c r="E1430" t="n">
        <v>1079.73</v>
      </c>
      <c r="F1430" t="n">
        <v>54.54</v>
      </c>
      <c r="G1430" t="n">
        <v>27</v>
      </c>
      <c r="J1430" t="inlineStr">
        <is>
          <t>A</t>
        </is>
      </c>
      <c r="K1430" t="n">
        <v>2024</v>
      </c>
      <c r="L1430" t="n">
        <v>12</v>
      </c>
      <c r="M1430" t="inlineStr">
        <is>
          <t>Requeijão Pizzalet 1,8 kg</t>
        </is>
      </c>
      <c r="N1430" t="inlineStr">
        <is>
          <t>Restaurante / Cantina</t>
        </is>
      </c>
      <c r="O1430" t="n">
        <v>3</v>
      </c>
      <c r="P1430" t="n">
        <v>36</v>
      </c>
      <c r="Q1430" t="n">
        <v>3</v>
      </c>
    </row>
    <row r="1431">
      <c r="A1431" t="n">
        <v>2026</v>
      </c>
      <c r="B1431" t="n">
        <v>1</v>
      </c>
      <c r="C1431" t="inlineStr">
        <is>
          <t>Muçarela Mozzana 2 kg</t>
        </is>
      </c>
      <c r="D1431" t="inlineStr">
        <is>
          <t>Não Selecionado</t>
        </is>
      </c>
      <c r="E1431" t="n">
        <v>83.8</v>
      </c>
      <c r="F1431" t="n">
        <v>4.04</v>
      </c>
      <c r="G1431" t="n">
        <v>2</v>
      </c>
      <c r="J1431" t="inlineStr">
        <is>
          <t>M</t>
        </is>
      </c>
      <c r="K1431" t="n">
        <v>2024</v>
      </c>
      <c r="L1431" t="n">
        <v>12</v>
      </c>
      <c r="M1431" t="inlineStr">
        <is>
          <t>Requeijão Pizzalet 1,8 kg</t>
        </is>
      </c>
      <c r="N1431" t="inlineStr">
        <is>
          <t>Restaurante / Cantina</t>
        </is>
      </c>
      <c r="O1431" t="n">
        <v>1</v>
      </c>
      <c r="P1431" t="n">
        <v>2</v>
      </c>
      <c r="Q1431" t="n">
        <v>0</v>
      </c>
    </row>
    <row r="1432">
      <c r="A1432" t="n">
        <v>2026</v>
      </c>
      <c r="B1432" t="n">
        <v>1</v>
      </c>
      <c r="C1432" t="inlineStr">
        <is>
          <t>Muçarela Mozzana 2 kg</t>
        </is>
      </c>
      <c r="D1432" t="inlineStr">
        <is>
          <t>Outros</t>
        </is>
      </c>
      <c r="E1432" t="n">
        <v>20270.31</v>
      </c>
      <c r="F1432" t="n">
        <v>959.5</v>
      </c>
      <c r="G1432" t="n">
        <v>475</v>
      </c>
      <c r="J1432" t="inlineStr">
        <is>
          <t>A</t>
        </is>
      </c>
      <c r="K1432" t="n">
        <v>2024</v>
      </c>
      <c r="L1432" t="n">
        <v>2</v>
      </c>
      <c r="M1432" t="inlineStr">
        <is>
          <t>Requeijão Pizzalet 1,8 kg</t>
        </is>
      </c>
      <c r="N1432" t="inlineStr">
        <is>
          <t>Cozinha Industrial</t>
        </is>
      </c>
      <c r="O1432" t="n">
        <v>1</v>
      </c>
      <c r="P1432" t="n">
        <v>1</v>
      </c>
      <c r="Q1432" t="n">
        <v>1</v>
      </c>
    </row>
    <row r="1433">
      <c r="A1433" t="n">
        <v>2026</v>
      </c>
      <c r="B1433" t="n">
        <v>1</v>
      </c>
      <c r="C1433" t="inlineStr">
        <is>
          <t>Muçarela Mozzana 2 kg</t>
        </is>
      </c>
      <c r="D1433" t="inlineStr">
        <is>
          <t>Padaria</t>
        </is>
      </c>
      <c r="E1433" t="n">
        <v>3771.36</v>
      </c>
      <c r="F1433" t="n">
        <v>177.76</v>
      </c>
      <c r="G1433" t="n">
        <v>88</v>
      </c>
      <c r="J1433" t="inlineStr">
        <is>
          <t>M</t>
        </is>
      </c>
      <c r="K1433" t="n">
        <v>2024</v>
      </c>
      <c r="L1433" t="n">
        <v>2</v>
      </c>
      <c r="M1433" t="inlineStr">
        <is>
          <t>Requeijão Pizzalet 1,8 kg</t>
        </is>
      </c>
      <c r="N1433" t="inlineStr">
        <is>
          <t>Cozinha Industrial</t>
        </is>
      </c>
      <c r="O1433" t="n">
        <v>1</v>
      </c>
      <c r="P1433" t="n">
        <v>1</v>
      </c>
      <c r="Q1433" t="n">
        <v>0</v>
      </c>
    </row>
    <row r="1434">
      <c r="A1434" t="n">
        <v>2026</v>
      </c>
      <c r="B1434" t="n">
        <v>1</v>
      </c>
      <c r="C1434" t="inlineStr">
        <is>
          <t>Muçarela Mozzana 2 kg</t>
        </is>
      </c>
      <c r="D1434" t="inlineStr">
        <is>
          <t>Pastelaria</t>
        </is>
      </c>
      <c r="E1434" t="n">
        <v>2395.93</v>
      </c>
      <c r="F1434" t="n">
        <v>115.14</v>
      </c>
      <c r="G1434" t="n">
        <v>57</v>
      </c>
      <c r="J1434" t="inlineStr">
        <is>
          <t>A</t>
        </is>
      </c>
      <c r="K1434" t="n">
        <v>2024</v>
      </c>
      <c r="L1434" t="n">
        <v>3</v>
      </c>
      <c r="M1434" t="inlineStr">
        <is>
          <t>Requeijão Pizzalet 1,8 kg</t>
        </is>
      </c>
      <c r="N1434" t="inlineStr">
        <is>
          <t>Cozinha Industrial</t>
        </is>
      </c>
      <c r="O1434" t="n">
        <v>1</v>
      </c>
      <c r="P1434" t="n">
        <v>3</v>
      </c>
      <c r="Q1434" t="n">
        <v>1</v>
      </c>
    </row>
    <row r="1435">
      <c r="A1435" t="n">
        <v>2026</v>
      </c>
      <c r="B1435" t="n">
        <v>1</v>
      </c>
      <c r="C1435" t="inlineStr">
        <is>
          <t>Muçarela Mozzana 2 kg</t>
        </is>
      </c>
      <c r="D1435" t="inlineStr">
        <is>
          <t>Pessoa Física</t>
        </is>
      </c>
      <c r="E1435" t="n">
        <v>2652.3</v>
      </c>
      <c r="F1435" t="n">
        <v>127.26</v>
      </c>
      <c r="G1435" t="n">
        <v>63</v>
      </c>
      <c r="J1435" t="inlineStr">
        <is>
          <t>M</t>
        </is>
      </c>
      <c r="K1435" t="n">
        <v>2024</v>
      </c>
      <c r="L1435" t="n">
        <v>3</v>
      </c>
      <c r="M1435" t="inlineStr">
        <is>
          <t>Requeijão Pizzalet 1,8 kg</t>
        </is>
      </c>
      <c r="N1435" t="inlineStr">
        <is>
          <t>Cozinha Industrial</t>
        </is>
      </c>
      <c r="O1435" t="n">
        <v>1</v>
      </c>
      <c r="P1435" t="n">
        <v>2</v>
      </c>
      <c r="Q1435" t="n">
        <v>0</v>
      </c>
    </row>
    <row r="1436">
      <c r="A1436" t="n">
        <v>2026</v>
      </c>
      <c r="B1436" t="n">
        <v>1</v>
      </c>
      <c r="C1436" t="inlineStr">
        <is>
          <t>Muçarela Mozzana 2 kg</t>
        </is>
      </c>
      <c r="D1436" t="inlineStr">
        <is>
          <t>Pizzaria</t>
        </is>
      </c>
      <c r="E1436" t="n">
        <v>41413.58</v>
      </c>
      <c r="F1436" t="n">
        <v>1965.46</v>
      </c>
      <c r="G1436" t="n">
        <v>973</v>
      </c>
      <c r="J1436" t="inlineStr">
        <is>
          <t>A</t>
        </is>
      </c>
      <c r="K1436" t="n">
        <v>2024</v>
      </c>
      <c r="L1436" t="n">
        <v>4</v>
      </c>
      <c r="M1436" t="inlineStr">
        <is>
          <t>Requeijão Pizzalet 1,8 kg</t>
        </is>
      </c>
      <c r="N1436" t="inlineStr">
        <is>
          <t>Cozinha Industrial</t>
        </is>
      </c>
      <c r="O1436" t="n">
        <v>1</v>
      </c>
      <c r="P1436" t="n">
        <v>3</v>
      </c>
      <c r="Q1436" t="n">
        <v>1</v>
      </c>
    </row>
    <row r="1437">
      <c r="A1437" t="n">
        <v>2026</v>
      </c>
      <c r="B1437" t="n">
        <v>1</v>
      </c>
      <c r="C1437" t="inlineStr">
        <is>
          <t>Muçarela Mozzana 2 kg</t>
        </is>
      </c>
      <c r="D1437" t="inlineStr">
        <is>
          <t>Restaurante / Cantina</t>
        </is>
      </c>
      <c r="E1437" t="n">
        <v>11223.18</v>
      </c>
      <c r="F1437" t="n">
        <v>531.26</v>
      </c>
      <c r="G1437" t="n">
        <v>263</v>
      </c>
      <c r="J1437" t="inlineStr">
        <is>
          <t>A</t>
        </is>
      </c>
      <c r="K1437" t="n">
        <v>2024</v>
      </c>
      <c r="L1437" t="n">
        <v>5</v>
      </c>
      <c r="M1437" t="inlineStr">
        <is>
          <t>Requeijão Pizzalet 1,8 kg</t>
        </is>
      </c>
      <c r="N1437" t="inlineStr">
        <is>
          <t>Cozinha Industrial</t>
        </is>
      </c>
      <c r="O1437" t="n">
        <v>1</v>
      </c>
      <c r="P1437" t="n">
        <v>3</v>
      </c>
      <c r="Q1437" t="n">
        <v>1</v>
      </c>
    </row>
    <row r="1438">
      <c r="A1438" t="n">
        <v>2026</v>
      </c>
      <c r="B1438" t="n">
        <v>1</v>
      </c>
      <c r="C1438" t="inlineStr">
        <is>
          <t>Muçarela Mozzana 2 kg</t>
        </is>
      </c>
      <c r="D1438" t="inlineStr">
        <is>
          <t>Rotisserie</t>
        </is>
      </c>
      <c r="E1438" t="n">
        <v>171.6</v>
      </c>
      <c r="F1438" t="n">
        <v>8.08</v>
      </c>
      <c r="G1438" t="n">
        <v>4</v>
      </c>
      <c r="J1438" t="inlineStr">
        <is>
          <t>A</t>
        </is>
      </c>
      <c r="K1438" t="n">
        <v>2024</v>
      </c>
      <c r="L1438" t="n">
        <v>6</v>
      </c>
      <c r="M1438" t="inlineStr">
        <is>
          <t>Requeijão Pizzalet 1,8 kg</t>
        </is>
      </c>
      <c r="N1438" t="inlineStr">
        <is>
          <t>Cozinha Industrial</t>
        </is>
      </c>
      <c r="O1438" t="n">
        <v>1</v>
      </c>
      <c r="P1438" t="n">
        <v>6</v>
      </c>
      <c r="Q1438" t="n">
        <v>1</v>
      </c>
    </row>
    <row r="1439">
      <c r="A1439" t="n">
        <v>2026</v>
      </c>
      <c r="B1439" t="n">
        <v>1</v>
      </c>
      <c r="C1439" t="inlineStr">
        <is>
          <t>Muçarela Mozzana 2 kg</t>
        </is>
      </c>
      <c r="D1439" t="inlineStr">
        <is>
          <t>Supermercado</t>
        </is>
      </c>
      <c r="E1439" t="n">
        <v>3698.16</v>
      </c>
      <c r="F1439" t="n">
        <v>165.64</v>
      </c>
      <c r="G1439" t="n">
        <v>82</v>
      </c>
      <c r="J1439" t="inlineStr">
        <is>
          <t>M</t>
        </is>
      </c>
      <c r="K1439" t="n">
        <v>2024</v>
      </c>
      <c r="L1439" t="n">
        <v>6</v>
      </c>
      <c r="M1439" t="inlineStr">
        <is>
          <t>Requeijão Pizzalet 1,8 kg</t>
        </is>
      </c>
      <c r="N1439" t="inlineStr">
        <is>
          <t>Cozinha Industrial</t>
        </is>
      </c>
      <c r="O1439" t="n">
        <v>1</v>
      </c>
      <c r="P1439" t="n">
        <v>3</v>
      </c>
      <c r="Q1439" t="n">
        <v>0</v>
      </c>
    </row>
    <row r="1440">
      <c r="A1440" t="n">
        <v>2026</v>
      </c>
      <c r="B1440" t="n">
        <v>1</v>
      </c>
      <c r="C1440" t="inlineStr">
        <is>
          <t>Requeijão Pizzalet 1,8 kg</t>
        </is>
      </c>
      <c r="D1440" t="inlineStr">
        <is>
          <t>Lanchonete / Cafeteria</t>
        </is>
      </c>
      <c r="E1440" t="n">
        <v>794.71</v>
      </c>
      <c r="F1440" t="n">
        <v>92</v>
      </c>
      <c r="G1440" t="n">
        <v>50</v>
      </c>
      <c r="J1440" t="inlineStr">
        <is>
          <t>A</t>
        </is>
      </c>
      <c r="K1440" t="n">
        <v>2024</v>
      </c>
      <c r="L1440" t="n">
        <v>7</v>
      </c>
      <c r="M1440" t="inlineStr">
        <is>
          <t>Requeijão Pizzalet 1,8 kg</t>
        </is>
      </c>
      <c r="N1440" t="inlineStr">
        <is>
          <t>Cozinha Industrial</t>
        </is>
      </c>
      <c r="O1440" t="n">
        <v>1</v>
      </c>
      <c r="P1440" t="n">
        <v>6</v>
      </c>
      <c r="Q1440" t="n">
        <v>1</v>
      </c>
    </row>
    <row r="1441">
      <c r="A1441" t="n">
        <v>2026</v>
      </c>
      <c r="B1441" t="n">
        <v>1</v>
      </c>
      <c r="C1441" t="inlineStr">
        <is>
          <t>Requeijão Pizzalet 1,8 kg</t>
        </is>
      </c>
      <c r="D1441" t="inlineStr">
        <is>
          <t>Pastelaria</t>
        </is>
      </c>
      <c r="E1441" t="n">
        <v>1745.96</v>
      </c>
      <c r="F1441" t="n">
        <v>198.72</v>
      </c>
      <c r="G1441" t="n">
        <v>108</v>
      </c>
      <c r="J1441" t="inlineStr">
        <is>
          <t>A</t>
        </is>
      </c>
      <c r="K1441" t="n">
        <v>2024</v>
      </c>
      <c r="L1441" t="n">
        <v>8</v>
      </c>
      <c r="M1441" t="inlineStr">
        <is>
          <t>Requeijão Pizzalet 1,8 kg</t>
        </is>
      </c>
      <c r="N1441" t="inlineStr">
        <is>
          <t>Cozinha Industrial</t>
        </is>
      </c>
      <c r="O1441" t="n">
        <v>1</v>
      </c>
      <c r="P1441" t="n">
        <v>6</v>
      </c>
      <c r="Q1441" t="n">
        <v>1</v>
      </c>
    </row>
    <row r="1442">
      <c r="A1442" t="n">
        <v>2026</v>
      </c>
      <c r="B1442" t="n">
        <v>1</v>
      </c>
      <c r="C1442" t="inlineStr">
        <is>
          <t>Requeijão Pizzalet 1,8 kg</t>
        </is>
      </c>
      <c r="D1442" t="inlineStr">
        <is>
          <t>Pizzaria</t>
        </is>
      </c>
      <c r="E1442" t="n">
        <v>3975.45</v>
      </c>
      <c r="F1442" t="n">
        <v>450.8</v>
      </c>
      <c r="G1442" t="n">
        <v>245</v>
      </c>
      <c r="J1442" t="inlineStr">
        <is>
          <t>A</t>
        </is>
      </c>
      <c r="K1442" t="n">
        <v>2024</v>
      </c>
      <c r="L1442" t="n">
        <v>9</v>
      </c>
      <c r="M1442" t="inlineStr">
        <is>
          <t>Requeijão Pizzalet 1,8 kg</t>
        </is>
      </c>
      <c r="N1442" t="inlineStr">
        <is>
          <t>Cozinha Industrial</t>
        </is>
      </c>
      <c r="O1442" t="n">
        <v>2</v>
      </c>
      <c r="P1442" t="n">
        <v>8</v>
      </c>
      <c r="Q1442" t="n">
        <v>2</v>
      </c>
    </row>
    <row r="1443">
      <c r="A1443" t="n">
        <v>2026</v>
      </c>
      <c r="B1443" t="n">
        <v>1</v>
      </c>
      <c r="C1443" t="inlineStr">
        <is>
          <t>Requeijão Pizzalet 1,8 kg</t>
        </is>
      </c>
      <c r="D1443" t="inlineStr">
        <is>
          <t>Restaurante / Cantina</t>
        </is>
      </c>
      <c r="E1443" t="n">
        <v>158.9</v>
      </c>
      <c r="F1443" t="n">
        <v>18.4</v>
      </c>
      <c r="G1443" t="n">
        <v>10</v>
      </c>
      <c r="J1443" t="inlineStr">
        <is>
          <t>M</t>
        </is>
      </c>
      <c r="K1443" t="n">
        <v>2024</v>
      </c>
      <c r="L1443" t="n">
        <v>9</v>
      </c>
      <c r="M1443" t="inlineStr">
        <is>
          <t>Requeijão Pizzalet 1,8 kg</t>
        </is>
      </c>
      <c r="N1443" t="inlineStr">
        <is>
          <t>Cozinha Industrial</t>
        </is>
      </c>
      <c r="O1443" t="n">
        <v>2</v>
      </c>
      <c r="P1443" t="n">
        <v>2</v>
      </c>
      <c r="Q1443" t="n">
        <v>0</v>
      </c>
    </row>
    <row r="1444">
      <c r="A1444" t="n">
        <v>2026</v>
      </c>
      <c r="B1444" t="n">
        <v>2</v>
      </c>
      <c r="C1444" t="inlineStr">
        <is>
          <t>Chocolate em pó 50% 1 kg</t>
        </is>
      </c>
      <c r="D1444" t="inlineStr">
        <is>
          <t>Bar / Chopperia</t>
        </is>
      </c>
      <c r="E1444" t="n">
        <v>124.8</v>
      </c>
      <c r="F1444" t="n">
        <v>3.06</v>
      </c>
      <c r="G1444" t="n">
        <v>3</v>
      </c>
      <c r="J1444" t="inlineStr">
        <is>
          <t>A</t>
        </is>
      </c>
      <c r="K1444" t="n">
        <v>2024</v>
      </c>
      <c r="L1444" t="n">
        <v>10</v>
      </c>
      <c r="M1444" t="inlineStr">
        <is>
          <t>Requeijão Pizzalet 1,8 kg</t>
        </is>
      </c>
      <c r="N1444" t="inlineStr">
        <is>
          <t>Cozinha Industrial</t>
        </is>
      </c>
      <c r="O1444" t="n">
        <v>2</v>
      </c>
      <c r="P1444" t="n">
        <v>8</v>
      </c>
      <c r="Q1444" t="n">
        <v>2</v>
      </c>
    </row>
    <row r="1445">
      <c r="A1445" t="n">
        <v>2026</v>
      </c>
      <c r="B1445" t="n">
        <v>2</v>
      </c>
      <c r="C1445" t="inlineStr">
        <is>
          <t>Chocolate em pó 50% 1 kg</t>
        </is>
      </c>
      <c r="D1445" t="inlineStr">
        <is>
          <t>Buffet</t>
        </is>
      </c>
      <c r="E1445" t="n">
        <v>375.21</v>
      </c>
      <c r="F1445" t="n">
        <v>9.18</v>
      </c>
      <c r="G1445" t="n">
        <v>9</v>
      </c>
      <c r="J1445" t="inlineStr">
        <is>
          <t>A</t>
        </is>
      </c>
      <c r="K1445" t="n">
        <v>2024</v>
      </c>
      <c r="L1445" t="n">
        <v>11</v>
      </c>
      <c r="M1445" t="inlineStr">
        <is>
          <t>Requeijão Pizzalet 1,8 kg</t>
        </is>
      </c>
      <c r="N1445" t="inlineStr">
        <is>
          <t>Cozinha Industrial</t>
        </is>
      </c>
      <c r="O1445" t="n">
        <v>2</v>
      </c>
      <c r="P1445" t="n">
        <v>10</v>
      </c>
      <c r="Q1445" t="n">
        <v>2</v>
      </c>
    </row>
    <row r="1446">
      <c r="A1446" t="n">
        <v>2026</v>
      </c>
      <c r="B1446" t="n">
        <v>2</v>
      </c>
      <c r="C1446" t="inlineStr">
        <is>
          <t>Chocolate em pó 50% 1 kg</t>
        </is>
      </c>
      <c r="D1446" t="inlineStr">
        <is>
          <t>Churrascaria</t>
        </is>
      </c>
      <c r="E1446" t="n">
        <v>663.22</v>
      </c>
      <c r="F1446" t="n">
        <v>16.32</v>
      </c>
      <c r="G1446" t="n">
        <v>16</v>
      </c>
      <c r="J1446" t="inlineStr">
        <is>
          <t>M</t>
        </is>
      </c>
      <c r="K1446" t="n">
        <v>2024</v>
      </c>
      <c r="L1446" t="n">
        <v>11</v>
      </c>
      <c r="M1446" t="inlineStr">
        <is>
          <t>Requeijão Pizzalet 1,8 kg</t>
        </is>
      </c>
      <c r="N1446" t="inlineStr">
        <is>
          <t>Cozinha Industrial</t>
        </is>
      </c>
      <c r="O1446" t="n">
        <v>1</v>
      </c>
      <c r="P1446" t="n">
        <v>2</v>
      </c>
      <c r="Q1446" t="n">
        <v>0</v>
      </c>
    </row>
    <row r="1447">
      <c r="A1447" t="n">
        <v>2026</v>
      </c>
      <c r="B1447" t="n">
        <v>2</v>
      </c>
      <c r="C1447" t="inlineStr">
        <is>
          <t>Chocolate em pó 50% 1 kg</t>
        </is>
      </c>
      <c r="D1447" t="inlineStr">
        <is>
          <t>Clube / Associação Desportiva</t>
        </is>
      </c>
      <c r="E1447" t="n">
        <v>122.96</v>
      </c>
      <c r="F1447" t="n">
        <v>3.06</v>
      </c>
      <c r="G1447" t="n">
        <v>3</v>
      </c>
      <c r="J1447" t="inlineStr">
        <is>
          <t>A</t>
        </is>
      </c>
      <c r="K1447" t="n">
        <v>2024</v>
      </c>
      <c r="L1447" t="n">
        <v>12</v>
      </c>
      <c r="M1447" t="inlineStr">
        <is>
          <t>Requeijão Pizzalet 1,8 kg</t>
        </is>
      </c>
      <c r="N1447" t="inlineStr">
        <is>
          <t>Cozinha Industrial</t>
        </is>
      </c>
      <c r="O1447" t="n">
        <v>2</v>
      </c>
      <c r="P1447" t="n">
        <v>11</v>
      </c>
      <c r="Q1447" t="n">
        <v>2</v>
      </c>
    </row>
    <row r="1448">
      <c r="A1448" t="n">
        <v>2026</v>
      </c>
      <c r="B1448" t="n">
        <v>2</v>
      </c>
      <c r="C1448" t="inlineStr">
        <is>
          <t>Chocolate em pó 50% 1 kg</t>
        </is>
      </c>
      <c r="D1448" t="inlineStr">
        <is>
          <t>Confeitaria</t>
        </is>
      </c>
      <c r="E1448" t="n">
        <v>415.4</v>
      </c>
      <c r="F1448" t="n">
        <v>10.2</v>
      </c>
      <c r="G1448" t="n">
        <v>10</v>
      </c>
      <c r="J1448" t="inlineStr">
        <is>
          <t>M</t>
        </is>
      </c>
      <c r="K1448" t="n">
        <v>2024</v>
      </c>
      <c r="L1448" t="n">
        <v>12</v>
      </c>
      <c r="M1448" t="inlineStr">
        <is>
          <t>Requeijão Pizzalet 1,8 kg</t>
        </is>
      </c>
      <c r="N1448" t="inlineStr">
        <is>
          <t>Cozinha Industrial</t>
        </is>
      </c>
      <c r="O1448" t="n">
        <v>1</v>
      </c>
      <c r="P1448" t="n">
        <v>1</v>
      </c>
      <c r="Q1448" t="n">
        <v>0</v>
      </c>
    </row>
    <row r="1449">
      <c r="A1449" t="n">
        <v>2026</v>
      </c>
      <c r="B1449" t="n">
        <v>2</v>
      </c>
      <c r="C1449" t="inlineStr">
        <is>
          <t>Chocolate em pó 50% 1 kg</t>
        </is>
      </c>
      <c r="D1449" t="inlineStr">
        <is>
          <t>Cozinha Industrial</t>
        </is>
      </c>
      <c r="E1449" t="n">
        <v>166.82</v>
      </c>
      <c r="F1449" t="n">
        <v>4.08</v>
      </c>
      <c r="G1449" t="n">
        <v>4</v>
      </c>
      <c r="J1449" t="inlineStr">
        <is>
          <t>A</t>
        </is>
      </c>
      <c r="K1449" t="n">
        <v>2024</v>
      </c>
      <c r="L1449" t="n">
        <v>2</v>
      </c>
      <c r="M1449" t="inlineStr">
        <is>
          <t>Requeijão Pizzalet 1,8 kg</t>
        </is>
      </c>
      <c r="N1449" t="inlineStr">
        <is>
          <t>Fábrica de Massas</t>
        </is>
      </c>
      <c r="O1449" t="n">
        <v>1</v>
      </c>
      <c r="P1449" t="n">
        <v>1</v>
      </c>
      <c r="Q1449" t="n">
        <v>1</v>
      </c>
    </row>
    <row r="1450">
      <c r="A1450" t="n">
        <v>2026</v>
      </c>
      <c r="B1450" t="n">
        <v>2</v>
      </c>
      <c r="C1450" t="inlineStr">
        <is>
          <t>Chocolate em pó 50% 1 kg</t>
        </is>
      </c>
      <c r="D1450" t="inlineStr">
        <is>
          <t>Hamburgueria</t>
        </is>
      </c>
      <c r="E1450" t="n">
        <v>41.96</v>
      </c>
      <c r="F1450" t="n">
        <v>1.02</v>
      </c>
      <c r="G1450" t="n">
        <v>1</v>
      </c>
      <c r="J1450" t="inlineStr">
        <is>
          <t>M</t>
        </is>
      </c>
      <c r="K1450" t="n">
        <v>2024</v>
      </c>
      <c r="L1450" t="n">
        <v>2</v>
      </c>
      <c r="M1450" t="inlineStr">
        <is>
          <t>Requeijão Pizzalet 1,8 kg</t>
        </is>
      </c>
      <c r="N1450" t="inlineStr">
        <is>
          <t>Fábrica de Massas</t>
        </is>
      </c>
      <c r="O1450" t="n">
        <v>1</v>
      </c>
      <c r="P1450" t="n">
        <v>1</v>
      </c>
      <c r="Q1450" t="n">
        <v>0</v>
      </c>
    </row>
    <row r="1451">
      <c r="A1451" t="n">
        <v>2026</v>
      </c>
      <c r="B1451" t="n">
        <v>2</v>
      </c>
      <c r="C1451" t="inlineStr">
        <is>
          <t>Chocolate em pó 50% 1 kg</t>
        </is>
      </c>
      <c r="D1451" t="inlineStr">
        <is>
          <t>Hotel / Motel / Pousada</t>
        </is>
      </c>
      <c r="E1451" t="n">
        <v>1077.74</v>
      </c>
      <c r="F1451" t="n">
        <v>26.52</v>
      </c>
      <c r="G1451" t="n">
        <v>26</v>
      </c>
      <c r="J1451" t="inlineStr">
        <is>
          <t>A</t>
        </is>
      </c>
      <c r="K1451" t="n">
        <v>2024</v>
      </c>
      <c r="L1451" t="n">
        <v>3</v>
      </c>
      <c r="M1451" t="inlineStr">
        <is>
          <t>Requeijão Pizzalet 1,8 kg</t>
        </is>
      </c>
      <c r="N1451" t="inlineStr">
        <is>
          <t>Fábrica de Massas</t>
        </is>
      </c>
      <c r="O1451" t="n">
        <v>1</v>
      </c>
      <c r="P1451" t="n">
        <v>1</v>
      </c>
      <c r="Q1451" t="n">
        <v>1</v>
      </c>
    </row>
    <row r="1452">
      <c r="A1452" t="n">
        <v>2026</v>
      </c>
      <c r="B1452" t="n">
        <v>2</v>
      </c>
      <c r="C1452" t="inlineStr">
        <is>
          <t>Chocolate em pó 50% 1 kg</t>
        </is>
      </c>
      <c r="D1452" t="inlineStr">
        <is>
          <t>Lanchonete / Cafeteria</t>
        </is>
      </c>
      <c r="E1452" t="n">
        <v>459.83</v>
      </c>
      <c r="F1452" t="n">
        <v>11.22</v>
      </c>
      <c r="G1452" t="n">
        <v>11</v>
      </c>
      <c r="J1452" t="inlineStr">
        <is>
          <t>A</t>
        </is>
      </c>
      <c r="K1452" t="n">
        <v>2024</v>
      </c>
      <c r="L1452" t="n">
        <v>4</v>
      </c>
      <c r="M1452" t="inlineStr">
        <is>
          <t>Requeijão Pizzalet 1,8 kg</t>
        </is>
      </c>
      <c r="N1452" t="inlineStr">
        <is>
          <t>Fábrica de Massas</t>
        </is>
      </c>
      <c r="O1452" t="n">
        <v>1</v>
      </c>
      <c r="P1452" t="n">
        <v>1</v>
      </c>
      <c r="Q1452" t="n">
        <v>1</v>
      </c>
    </row>
    <row r="1453">
      <c r="A1453" t="n">
        <v>2026</v>
      </c>
      <c r="B1453" t="n">
        <v>2</v>
      </c>
      <c r="C1453" t="inlineStr">
        <is>
          <t>Chocolate em pó 50% 1 kg</t>
        </is>
      </c>
      <c r="D1453" t="inlineStr">
        <is>
          <t>Não Selecionado</t>
        </is>
      </c>
      <c r="E1453" t="n">
        <v>41.54</v>
      </c>
      <c r="F1453" t="n">
        <v>1.02</v>
      </c>
      <c r="G1453" t="n">
        <v>1</v>
      </c>
      <c r="J1453" t="inlineStr">
        <is>
          <t>A</t>
        </is>
      </c>
      <c r="K1453" t="n">
        <v>2024</v>
      </c>
      <c r="L1453" t="n">
        <v>5</v>
      </c>
      <c r="M1453" t="inlineStr">
        <is>
          <t>Requeijão Pizzalet 1,8 kg</t>
        </is>
      </c>
      <c r="N1453" t="inlineStr">
        <is>
          <t>Fábrica de Massas</t>
        </is>
      </c>
      <c r="O1453" t="n">
        <v>1</v>
      </c>
      <c r="P1453" t="n">
        <v>1</v>
      </c>
      <c r="Q1453" t="n">
        <v>1</v>
      </c>
    </row>
    <row r="1454">
      <c r="A1454" t="n">
        <v>2026</v>
      </c>
      <c r="B1454" t="n">
        <v>2</v>
      </c>
      <c r="C1454" t="inlineStr">
        <is>
          <t>Chocolate em pó 50% 1 kg</t>
        </is>
      </c>
      <c r="D1454" t="inlineStr">
        <is>
          <t>Outros</t>
        </is>
      </c>
      <c r="E1454" t="n">
        <v>869.3099999999999</v>
      </c>
      <c r="F1454" t="n">
        <v>21.42</v>
      </c>
      <c r="G1454" t="n">
        <v>21</v>
      </c>
      <c r="J1454" t="inlineStr">
        <is>
          <t>A</t>
        </is>
      </c>
      <c r="K1454" t="n">
        <v>2024</v>
      </c>
      <c r="L1454" t="n">
        <v>6</v>
      </c>
      <c r="M1454" t="inlineStr">
        <is>
          <t>Requeijão Pizzalet 1,8 kg</t>
        </is>
      </c>
      <c r="N1454" t="inlineStr">
        <is>
          <t>Fábrica de Massas</t>
        </is>
      </c>
      <c r="O1454" t="n">
        <v>2</v>
      </c>
      <c r="P1454" t="n">
        <v>6</v>
      </c>
      <c r="Q1454" t="n">
        <v>2</v>
      </c>
    </row>
    <row r="1455">
      <c r="A1455" t="n">
        <v>2026</v>
      </c>
      <c r="B1455" t="n">
        <v>2</v>
      </c>
      <c r="C1455" t="inlineStr">
        <is>
          <t>Chocolate em pó 50% 1 kg</t>
        </is>
      </c>
      <c r="D1455" t="inlineStr">
        <is>
          <t>Padaria</t>
        </is>
      </c>
      <c r="E1455" t="n">
        <v>332.74</v>
      </c>
      <c r="F1455" t="n">
        <v>8.16</v>
      </c>
      <c r="G1455" t="n">
        <v>8</v>
      </c>
      <c r="J1455" t="inlineStr">
        <is>
          <t>M</t>
        </is>
      </c>
      <c r="K1455" t="n">
        <v>2024</v>
      </c>
      <c r="L1455" t="n">
        <v>6</v>
      </c>
      <c r="M1455" t="inlineStr">
        <is>
          <t>Requeijão Pizzalet 1,8 kg</t>
        </is>
      </c>
      <c r="N1455" t="inlineStr">
        <is>
          <t>Fábrica de Massas</t>
        </is>
      </c>
      <c r="O1455" t="n">
        <v>1</v>
      </c>
      <c r="P1455" t="n">
        <v>5</v>
      </c>
      <c r="Q1455" t="n">
        <v>0</v>
      </c>
    </row>
    <row r="1456">
      <c r="A1456" t="n">
        <v>2026</v>
      </c>
      <c r="B1456" t="n">
        <v>2</v>
      </c>
      <c r="C1456" t="inlineStr">
        <is>
          <t>Chocolate em pó 50% 1 kg</t>
        </is>
      </c>
      <c r="D1456" t="inlineStr">
        <is>
          <t>Pizzaria</t>
        </is>
      </c>
      <c r="E1456" t="n">
        <v>3226.82</v>
      </c>
      <c r="F1456" t="n">
        <v>79.56</v>
      </c>
      <c r="G1456" t="n">
        <v>78</v>
      </c>
      <c r="J1456" t="inlineStr">
        <is>
          <t>A</t>
        </is>
      </c>
      <c r="K1456" t="n">
        <v>2024</v>
      </c>
      <c r="L1456" t="n">
        <v>7</v>
      </c>
      <c r="M1456" t="inlineStr">
        <is>
          <t>Requeijão Pizzalet 1,8 kg</t>
        </is>
      </c>
      <c r="N1456" t="inlineStr">
        <is>
          <t>Fábrica de Massas</t>
        </is>
      </c>
      <c r="O1456" t="n">
        <v>3</v>
      </c>
      <c r="P1456" t="n">
        <v>9</v>
      </c>
      <c r="Q1456" t="n">
        <v>3</v>
      </c>
    </row>
    <row r="1457">
      <c r="A1457" t="n">
        <v>2026</v>
      </c>
      <c r="B1457" t="n">
        <v>2</v>
      </c>
      <c r="C1457" t="inlineStr">
        <is>
          <t>Chocolate em pó 50% 1 kg</t>
        </is>
      </c>
      <c r="D1457" t="inlineStr">
        <is>
          <t>Restaurante / Cantina</t>
        </is>
      </c>
      <c r="E1457" t="n">
        <v>2158.49</v>
      </c>
      <c r="F1457" t="n">
        <v>53.04</v>
      </c>
      <c r="G1457" t="n">
        <v>52</v>
      </c>
      <c r="J1457" t="inlineStr">
        <is>
          <t>M</t>
        </is>
      </c>
      <c r="K1457" t="n">
        <v>2024</v>
      </c>
      <c r="L1457" t="n">
        <v>7</v>
      </c>
      <c r="M1457" t="inlineStr">
        <is>
          <t>Requeijão Pizzalet 1,8 kg</t>
        </is>
      </c>
      <c r="N1457" t="inlineStr">
        <is>
          <t>Fábrica de Massas</t>
        </is>
      </c>
      <c r="O1457" t="n">
        <v>2</v>
      </c>
      <c r="P1457" t="n">
        <v>3</v>
      </c>
      <c r="Q1457" t="n">
        <v>0</v>
      </c>
    </row>
    <row r="1458">
      <c r="A1458" t="n">
        <v>2026</v>
      </c>
      <c r="B1458" t="n">
        <v>2</v>
      </c>
      <c r="C1458" t="inlineStr">
        <is>
          <t>Composto lácteo Alibralac 1 kg</t>
        </is>
      </c>
      <c r="D1458" t="inlineStr">
        <is>
          <t>Cozinha Industrial</t>
        </is>
      </c>
      <c r="E1458" t="n">
        <v>116.65</v>
      </c>
      <c r="F1458" t="n">
        <v>5.1</v>
      </c>
      <c r="G1458" t="n">
        <v>5</v>
      </c>
      <c r="J1458" t="inlineStr">
        <is>
          <t>A</t>
        </is>
      </c>
      <c r="K1458" t="n">
        <v>2024</v>
      </c>
      <c r="L1458" t="n">
        <v>8</v>
      </c>
      <c r="M1458" t="inlineStr">
        <is>
          <t>Requeijão Pizzalet 1,8 kg</t>
        </is>
      </c>
      <c r="N1458" t="inlineStr">
        <is>
          <t>Fábrica de Massas</t>
        </is>
      </c>
      <c r="O1458" t="n">
        <v>3</v>
      </c>
      <c r="P1458" t="n">
        <v>10</v>
      </c>
      <c r="Q1458" t="n">
        <v>3</v>
      </c>
    </row>
    <row r="1459">
      <c r="A1459" t="n">
        <v>2026</v>
      </c>
      <c r="B1459" t="n">
        <v>2</v>
      </c>
      <c r="C1459" t="inlineStr">
        <is>
          <t>Composto lácteo Alibralac 1 kg</t>
        </is>
      </c>
      <c r="D1459" t="inlineStr">
        <is>
          <t>Lanchonete / Cafeteria</t>
        </is>
      </c>
      <c r="E1459" t="n">
        <v>701.7</v>
      </c>
      <c r="F1459" t="n">
        <v>30.6</v>
      </c>
      <c r="G1459" t="n">
        <v>30</v>
      </c>
      <c r="J1459" t="inlineStr">
        <is>
          <t>M</t>
        </is>
      </c>
      <c r="K1459" t="n">
        <v>2024</v>
      </c>
      <c r="L1459" t="n">
        <v>8</v>
      </c>
      <c r="M1459" t="inlineStr">
        <is>
          <t>Requeijão Pizzalet 1,8 kg</t>
        </is>
      </c>
      <c r="N1459" t="inlineStr">
        <is>
          <t>Fábrica de Massas</t>
        </is>
      </c>
      <c r="O1459" t="n">
        <v>1</v>
      </c>
      <c r="P1459" t="n">
        <v>1</v>
      </c>
      <c r="Q1459" t="n">
        <v>0</v>
      </c>
    </row>
    <row r="1460">
      <c r="A1460" t="n">
        <v>2026</v>
      </c>
      <c r="B1460" t="n">
        <v>2</v>
      </c>
      <c r="C1460" t="inlineStr">
        <is>
          <t>Composto lácteo Alibralac 1 kg</t>
        </is>
      </c>
      <c r="D1460" t="inlineStr">
        <is>
          <t>Padaria</t>
        </is>
      </c>
      <c r="E1460" t="n">
        <v>231</v>
      </c>
      <c r="F1460" t="n">
        <v>10.2</v>
      </c>
      <c r="G1460" t="n">
        <v>10</v>
      </c>
      <c r="J1460" t="inlineStr">
        <is>
          <t>A</t>
        </is>
      </c>
      <c r="K1460" t="n">
        <v>2024</v>
      </c>
      <c r="L1460" t="n">
        <v>9</v>
      </c>
      <c r="M1460" t="inlineStr">
        <is>
          <t>Requeijão Pizzalet 1,8 kg</t>
        </is>
      </c>
      <c r="N1460" t="inlineStr">
        <is>
          <t>Fábrica de Massas</t>
        </is>
      </c>
      <c r="O1460" t="n">
        <v>3</v>
      </c>
      <c r="P1460" t="n">
        <v>10</v>
      </c>
      <c r="Q1460" t="n">
        <v>3</v>
      </c>
    </row>
    <row r="1461">
      <c r="A1461" t="n">
        <v>2026</v>
      </c>
      <c r="B1461" t="n">
        <v>2</v>
      </c>
      <c r="C1461" t="inlineStr">
        <is>
          <t>Composto lácteo Alibralac 1 kg</t>
        </is>
      </c>
      <c r="D1461" t="inlineStr">
        <is>
          <t>Pizzaria</t>
        </is>
      </c>
      <c r="E1461" t="n">
        <v>250.33</v>
      </c>
      <c r="F1461" t="n">
        <v>11.22</v>
      </c>
      <c r="G1461" t="n">
        <v>11</v>
      </c>
      <c r="J1461" t="inlineStr">
        <is>
          <t>A</t>
        </is>
      </c>
      <c r="K1461" t="n">
        <v>2024</v>
      </c>
      <c r="L1461" t="n">
        <v>10</v>
      </c>
      <c r="M1461" t="inlineStr">
        <is>
          <t>Requeijão Pizzalet 1,8 kg</t>
        </is>
      </c>
      <c r="N1461" t="inlineStr">
        <is>
          <t>Fábrica de Massas</t>
        </is>
      </c>
      <c r="O1461" t="n">
        <v>3</v>
      </c>
      <c r="P1461" t="n">
        <v>10</v>
      </c>
      <c r="Q1461" t="n">
        <v>3</v>
      </c>
    </row>
    <row r="1462">
      <c r="A1462" t="n">
        <v>2026</v>
      </c>
      <c r="B1462" t="n">
        <v>2</v>
      </c>
      <c r="C1462" t="inlineStr">
        <is>
          <t>Composto lácteo Alibralac 1 kg</t>
        </is>
      </c>
      <c r="D1462" t="inlineStr">
        <is>
          <t>Restaurante / Cantina</t>
        </is>
      </c>
      <c r="E1462" t="n">
        <v>689.7</v>
      </c>
      <c r="F1462" t="n">
        <v>30.6</v>
      </c>
      <c r="G1462" t="n">
        <v>30</v>
      </c>
      <c r="J1462" t="inlineStr">
        <is>
          <t>A</t>
        </is>
      </c>
      <c r="K1462" t="n">
        <v>2024</v>
      </c>
      <c r="L1462" t="n">
        <v>11</v>
      </c>
      <c r="M1462" t="inlineStr">
        <is>
          <t>Requeijão Pizzalet 1,8 kg</t>
        </is>
      </c>
      <c r="N1462" t="inlineStr">
        <is>
          <t>Fábrica de Massas</t>
        </is>
      </c>
      <c r="O1462" t="n">
        <v>3</v>
      </c>
      <c r="P1462" t="n">
        <v>10</v>
      </c>
      <c r="Q1462" t="n">
        <v>3</v>
      </c>
    </row>
    <row r="1463">
      <c r="A1463" t="n">
        <v>2026</v>
      </c>
      <c r="B1463" t="n">
        <v>2</v>
      </c>
      <c r="C1463" t="inlineStr">
        <is>
          <t>Composto lácteo Merilú 400 g</t>
        </is>
      </c>
      <c r="D1463" t="inlineStr">
        <is>
          <t>Esfiharia</t>
        </is>
      </c>
      <c r="E1463" t="n">
        <v>14.6</v>
      </c>
      <c r="F1463" t="n">
        <v>0.84</v>
      </c>
      <c r="G1463" t="n">
        <v>2</v>
      </c>
      <c r="J1463" t="inlineStr">
        <is>
          <t>A</t>
        </is>
      </c>
      <c r="K1463" t="n">
        <v>2024</v>
      </c>
      <c r="L1463" t="n">
        <v>12</v>
      </c>
      <c r="M1463" t="inlineStr">
        <is>
          <t>Requeijão Pizzalet 1,8 kg</t>
        </is>
      </c>
      <c r="N1463" t="inlineStr">
        <is>
          <t>Fábrica de Massas</t>
        </is>
      </c>
      <c r="O1463" t="n">
        <v>3</v>
      </c>
      <c r="P1463" t="n">
        <v>10</v>
      </c>
      <c r="Q1463" t="n">
        <v>3</v>
      </c>
    </row>
    <row r="1464">
      <c r="A1464" t="n">
        <v>2026</v>
      </c>
      <c r="B1464" t="n">
        <v>2</v>
      </c>
      <c r="C1464" t="inlineStr">
        <is>
          <t>Composto lácteo Merilú 400 g</t>
        </is>
      </c>
      <c r="D1464" t="inlineStr">
        <is>
          <t>Lanchonete / Cafeteria</t>
        </is>
      </c>
      <c r="E1464" t="n">
        <v>7.23</v>
      </c>
      <c r="F1464" t="n">
        <v>0.42</v>
      </c>
      <c r="G1464" t="n">
        <v>1</v>
      </c>
      <c r="J1464" t="inlineStr">
        <is>
          <t>A</t>
        </is>
      </c>
      <c r="K1464" t="n">
        <v>2024</v>
      </c>
      <c r="L1464" t="n">
        <v>4</v>
      </c>
      <c r="M1464" t="inlineStr">
        <is>
          <t>Requeijão Pizzalet 1,8 kg</t>
        </is>
      </c>
      <c r="N1464" t="inlineStr">
        <is>
          <t>Outros</t>
        </is>
      </c>
      <c r="O1464" t="n">
        <v>1</v>
      </c>
      <c r="P1464" t="n">
        <v>1</v>
      </c>
      <c r="Q1464" t="n">
        <v>1</v>
      </c>
    </row>
    <row r="1465">
      <c r="A1465" t="n">
        <v>2026</v>
      </c>
      <c r="B1465" t="n">
        <v>2</v>
      </c>
      <c r="C1465" t="inlineStr">
        <is>
          <t>Composto lácteo Merilú 400 g</t>
        </is>
      </c>
      <c r="D1465" t="inlineStr">
        <is>
          <t>Padaria</t>
        </is>
      </c>
      <c r="E1465" t="n">
        <v>723</v>
      </c>
      <c r="F1465" t="n">
        <v>42</v>
      </c>
      <c r="G1465" t="n">
        <v>100</v>
      </c>
      <c r="J1465" t="inlineStr">
        <is>
          <t>M</t>
        </is>
      </c>
      <c r="K1465" t="n">
        <v>2024</v>
      </c>
      <c r="L1465" t="n">
        <v>4</v>
      </c>
      <c r="M1465" t="inlineStr">
        <is>
          <t>Requeijão Pizzalet 1,8 kg</t>
        </is>
      </c>
      <c r="N1465" t="inlineStr">
        <is>
          <t>Outros</t>
        </is>
      </c>
      <c r="O1465" t="n">
        <v>1</v>
      </c>
      <c r="P1465" t="n">
        <v>1</v>
      </c>
      <c r="Q1465" t="n">
        <v>0</v>
      </c>
    </row>
    <row r="1466">
      <c r="A1466" t="n">
        <v>2026</v>
      </c>
      <c r="B1466" t="n">
        <v>2</v>
      </c>
      <c r="C1466" t="inlineStr">
        <is>
          <t>Composto lácteo Merilú 400 g</t>
        </is>
      </c>
      <c r="D1466" t="inlineStr">
        <is>
          <t>Pessoa Física</t>
        </is>
      </c>
      <c r="E1466" t="n">
        <v>7.32</v>
      </c>
      <c r="F1466" t="n">
        <v>0.42</v>
      </c>
      <c r="G1466" t="n">
        <v>1</v>
      </c>
      <c r="J1466" t="inlineStr">
        <is>
          <t>A</t>
        </is>
      </c>
      <c r="K1466" t="n">
        <v>2024</v>
      </c>
      <c r="L1466" t="n">
        <v>5</v>
      </c>
      <c r="M1466" t="inlineStr">
        <is>
          <t>Requeijão Pizzalet 1,8 kg</t>
        </is>
      </c>
      <c r="N1466" t="inlineStr">
        <is>
          <t>Outros</t>
        </is>
      </c>
      <c r="O1466" t="n">
        <v>1</v>
      </c>
      <c r="P1466" t="n">
        <v>1</v>
      </c>
      <c r="Q1466" t="n">
        <v>1</v>
      </c>
    </row>
    <row r="1467">
      <c r="A1467" t="n">
        <v>2026</v>
      </c>
      <c r="B1467" t="n">
        <v>2</v>
      </c>
      <c r="C1467" t="inlineStr">
        <is>
          <t>Composto lácteo Merilú 400 g</t>
        </is>
      </c>
      <c r="D1467" t="inlineStr">
        <is>
          <t>Pizzaria</t>
        </is>
      </c>
      <c r="E1467" t="n">
        <v>57.84</v>
      </c>
      <c r="F1467" t="n">
        <v>3.36</v>
      </c>
      <c r="G1467" t="n">
        <v>8</v>
      </c>
      <c r="J1467" t="inlineStr">
        <is>
          <t>A</t>
        </is>
      </c>
      <c r="K1467" t="n">
        <v>2024</v>
      </c>
      <c r="L1467" t="n">
        <v>6</v>
      </c>
      <c r="M1467" t="inlineStr">
        <is>
          <t>Requeijão Pizzalet 1,8 kg</t>
        </is>
      </c>
      <c r="N1467" t="inlineStr">
        <is>
          <t>Outros</t>
        </is>
      </c>
      <c r="O1467" t="n">
        <v>1</v>
      </c>
      <c r="P1467" t="n">
        <v>1</v>
      </c>
      <c r="Q1467" t="n">
        <v>1</v>
      </c>
    </row>
    <row r="1468">
      <c r="A1468" t="n">
        <v>2026</v>
      </c>
      <c r="B1468" t="n">
        <v>2</v>
      </c>
      <c r="C1468" t="inlineStr">
        <is>
          <t>Composto lácteo Merilú 400 g</t>
        </is>
      </c>
      <c r="D1468" t="inlineStr">
        <is>
          <t>Restaurante / Cantina</t>
        </is>
      </c>
      <c r="E1468" t="n">
        <v>430.56</v>
      </c>
      <c r="F1468" t="n">
        <v>24.78</v>
      </c>
      <c r="G1468" t="n">
        <v>59</v>
      </c>
      <c r="J1468" t="inlineStr">
        <is>
          <t>A</t>
        </is>
      </c>
      <c r="K1468" t="n">
        <v>2024</v>
      </c>
      <c r="L1468" t="n">
        <v>7</v>
      </c>
      <c r="M1468" t="inlineStr">
        <is>
          <t>Requeijão Pizzalet 1,8 kg</t>
        </is>
      </c>
      <c r="N1468" t="inlineStr">
        <is>
          <t>Outros</t>
        </is>
      </c>
      <c r="O1468" t="n">
        <v>1</v>
      </c>
      <c r="P1468" t="n">
        <v>1</v>
      </c>
      <c r="Q1468" t="n">
        <v>1</v>
      </c>
    </row>
    <row r="1469">
      <c r="A1469" t="n">
        <v>2026</v>
      </c>
      <c r="B1469" t="n">
        <v>2</v>
      </c>
      <c r="C1469" t="inlineStr">
        <is>
          <t>Composto lácteo Merilú 400 g</t>
        </is>
      </c>
      <c r="D1469" t="inlineStr">
        <is>
          <t>Supermercado</t>
        </is>
      </c>
      <c r="E1469" t="n">
        <v>401.5</v>
      </c>
      <c r="F1469" t="n">
        <v>23.1</v>
      </c>
      <c r="G1469" t="n">
        <v>55</v>
      </c>
      <c r="J1469" t="inlineStr">
        <is>
          <t>A</t>
        </is>
      </c>
      <c r="K1469" t="n">
        <v>2024</v>
      </c>
      <c r="L1469" t="n">
        <v>8</v>
      </c>
      <c r="M1469" t="inlineStr">
        <is>
          <t>Requeijão Pizzalet 1,8 kg</t>
        </is>
      </c>
      <c r="N1469" t="inlineStr">
        <is>
          <t>Outros</t>
        </is>
      </c>
      <c r="O1469" t="n">
        <v>1</v>
      </c>
      <c r="P1469" t="n">
        <v>1</v>
      </c>
      <c r="Q1469" t="n">
        <v>1</v>
      </c>
    </row>
    <row r="1470">
      <c r="A1470" t="n">
        <v>2026</v>
      </c>
      <c r="B1470" t="n">
        <v>2</v>
      </c>
      <c r="C1470" t="inlineStr">
        <is>
          <t>Muçarela Mozzalet 2 kg</t>
        </is>
      </c>
      <c r="D1470" t="inlineStr">
        <is>
          <t>Fábrica de Massas</t>
        </is>
      </c>
      <c r="E1470" t="n">
        <v>1592.5</v>
      </c>
      <c r="F1470" t="n">
        <v>70</v>
      </c>
      <c r="G1470" t="n">
        <v>35</v>
      </c>
      <c r="J1470" t="inlineStr">
        <is>
          <t>A</t>
        </is>
      </c>
      <c r="K1470" t="n">
        <v>2024</v>
      </c>
      <c r="L1470" t="n">
        <v>9</v>
      </c>
      <c r="M1470" t="inlineStr">
        <is>
          <t>Requeijão Pizzalet 1,8 kg</t>
        </is>
      </c>
      <c r="N1470" t="inlineStr">
        <is>
          <t>Outros</t>
        </is>
      </c>
      <c r="O1470" t="n">
        <v>2</v>
      </c>
      <c r="P1470" t="n">
        <v>2</v>
      </c>
      <c r="Q1470" t="n">
        <v>2</v>
      </c>
    </row>
    <row r="1471">
      <c r="A1471" t="n">
        <v>2026</v>
      </c>
      <c r="B1471" t="n">
        <v>2</v>
      </c>
      <c r="C1471" t="inlineStr">
        <is>
          <t>Muçarela Mozzalet 2 kg</t>
        </is>
      </c>
      <c r="D1471" t="inlineStr">
        <is>
          <t>Lanchonete / Cafeteria</t>
        </is>
      </c>
      <c r="E1471" t="n">
        <v>729.4400000000001</v>
      </c>
      <c r="F1471" t="n">
        <v>32</v>
      </c>
      <c r="G1471" t="n">
        <v>16</v>
      </c>
      <c r="J1471" t="inlineStr">
        <is>
          <t>M</t>
        </is>
      </c>
      <c r="K1471" t="n">
        <v>2024</v>
      </c>
      <c r="L1471" t="n">
        <v>9</v>
      </c>
      <c r="M1471" t="inlineStr">
        <is>
          <t>Requeijão Pizzalet 1,8 kg</t>
        </is>
      </c>
      <c r="N1471" t="inlineStr">
        <is>
          <t>Outros</t>
        </is>
      </c>
      <c r="O1471" t="n">
        <v>1</v>
      </c>
      <c r="P1471" t="n">
        <v>1</v>
      </c>
      <c r="Q1471" t="n">
        <v>0</v>
      </c>
    </row>
    <row r="1472">
      <c r="A1472" t="n">
        <v>2026</v>
      </c>
      <c r="B1472" t="n">
        <v>2</v>
      </c>
      <c r="C1472" t="inlineStr">
        <is>
          <t>Muçarela Mozzalet 2 kg</t>
        </is>
      </c>
      <c r="D1472" t="inlineStr">
        <is>
          <t>Pizzaria</t>
        </is>
      </c>
      <c r="E1472" t="n">
        <v>732.14</v>
      </c>
      <c r="F1472" t="n">
        <v>32</v>
      </c>
      <c r="G1472" t="n">
        <v>16</v>
      </c>
      <c r="J1472" t="inlineStr">
        <is>
          <t>A</t>
        </is>
      </c>
      <c r="K1472" t="n">
        <v>2024</v>
      </c>
      <c r="L1472" t="n">
        <v>10</v>
      </c>
      <c r="M1472" t="inlineStr">
        <is>
          <t>Requeijão Pizzalet 1,8 kg</t>
        </is>
      </c>
      <c r="N1472" t="inlineStr">
        <is>
          <t>Outros</t>
        </is>
      </c>
      <c r="O1472" t="n">
        <v>2</v>
      </c>
      <c r="P1472" t="n">
        <v>2</v>
      </c>
      <c r="Q1472" t="n">
        <v>2</v>
      </c>
    </row>
    <row r="1473">
      <c r="A1473" t="n">
        <v>2026</v>
      </c>
      <c r="B1473" t="n">
        <v>2</v>
      </c>
      <c r="C1473" t="inlineStr">
        <is>
          <t>Muçarela Mozzalet 2 kg</t>
        </is>
      </c>
      <c r="D1473" t="inlineStr">
        <is>
          <t>Restaurante / Cantina</t>
        </is>
      </c>
      <c r="E1473" t="n">
        <v>28860</v>
      </c>
      <c r="F1473" t="n">
        <v>1300</v>
      </c>
      <c r="G1473" t="n">
        <v>650</v>
      </c>
      <c r="J1473" t="inlineStr">
        <is>
          <t>A</t>
        </is>
      </c>
      <c r="K1473" t="n">
        <v>2024</v>
      </c>
      <c r="L1473" t="n">
        <v>11</v>
      </c>
      <c r="M1473" t="inlineStr">
        <is>
          <t>Requeijão Pizzalet 1,8 kg</t>
        </is>
      </c>
      <c r="N1473" t="inlineStr">
        <is>
          <t>Outros</t>
        </is>
      </c>
      <c r="O1473" t="n">
        <v>2</v>
      </c>
      <c r="P1473" t="n">
        <v>2</v>
      </c>
      <c r="Q1473" t="n">
        <v>2</v>
      </c>
    </row>
    <row r="1474">
      <c r="A1474" t="n">
        <v>2026</v>
      </c>
      <c r="B1474" t="n">
        <v>2</v>
      </c>
      <c r="C1474" t="inlineStr">
        <is>
          <t>Muçarela Mozzana 2 kg</t>
        </is>
      </c>
      <c r="D1474" t="inlineStr">
        <is>
          <t>Buffet</t>
        </is>
      </c>
      <c r="E1474" t="n">
        <v>429</v>
      </c>
      <c r="F1474" t="n">
        <v>20.2</v>
      </c>
      <c r="G1474" t="n">
        <v>10</v>
      </c>
      <c r="J1474" t="inlineStr">
        <is>
          <t>A</t>
        </is>
      </c>
      <c r="K1474" t="n">
        <v>2024</v>
      </c>
      <c r="L1474" t="n">
        <v>12</v>
      </c>
      <c r="M1474" t="inlineStr">
        <is>
          <t>Requeijão Pizzalet 1,8 kg</t>
        </is>
      </c>
      <c r="N1474" t="inlineStr">
        <is>
          <t>Outros</t>
        </is>
      </c>
      <c r="O1474" t="n">
        <v>2</v>
      </c>
      <c r="P1474" t="n">
        <v>2</v>
      </c>
      <c r="Q1474" t="n">
        <v>2</v>
      </c>
    </row>
    <row r="1475">
      <c r="A1475" t="n">
        <v>2026</v>
      </c>
      <c r="B1475" t="n">
        <v>2</v>
      </c>
      <c r="C1475" t="inlineStr">
        <is>
          <t>Muçarela Mozzana 2 kg</t>
        </is>
      </c>
      <c r="D1475" t="inlineStr">
        <is>
          <t>Confeitaria</t>
        </is>
      </c>
      <c r="E1475" t="n">
        <v>419.91</v>
      </c>
      <c r="F1475" t="n">
        <v>20.2</v>
      </c>
      <c r="G1475" t="n">
        <v>10</v>
      </c>
      <c r="J1475" t="inlineStr">
        <is>
          <t>A</t>
        </is>
      </c>
      <c r="K1475" t="n">
        <v>2024</v>
      </c>
      <c r="L1475" t="n">
        <v>12</v>
      </c>
      <c r="M1475" t="inlineStr">
        <is>
          <t>Requeijão Pizzalet 1,8 kg</t>
        </is>
      </c>
      <c r="N1475" t="inlineStr">
        <is>
          <t>Pessoa Física</t>
        </is>
      </c>
      <c r="O1475" t="n">
        <v>1</v>
      </c>
      <c r="P1475" t="n">
        <v>1</v>
      </c>
      <c r="Q1475" t="n">
        <v>1</v>
      </c>
    </row>
    <row r="1476">
      <c r="A1476" t="n">
        <v>2026</v>
      </c>
      <c r="B1476" t="n">
        <v>2</v>
      </c>
      <c r="C1476" t="inlineStr">
        <is>
          <t>Muçarela Mozzana 2 kg</t>
        </is>
      </c>
      <c r="D1476" t="inlineStr">
        <is>
          <t>Cozinha Industrial</t>
        </is>
      </c>
      <c r="E1476" t="n">
        <v>26346.54</v>
      </c>
      <c r="F1476" t="n">
        <v>1240.28</v>
      </c>
      <c r="G1476" t="n">
        <v>614</v>
      </c>
      <c r="J1476" t="inlineStr">
        <is>
          <t>M</t>
        </is>
      </c>
      <c r="K1476" t="n">
        <v>2024</v>
      </c>
      <c r="L1476" t="n">
        <v>12</v>
      </c>
      <c r="M1476" t="inlineStr">
        <is>
          <t>Requeijão Pizzalet 1,8 kg</t>
        </is>
      </c>
      <c r="N1476" t="inlineStr">
        <is>
          <t>Pessoa Física</t>
        </is>
      </c>
      <c r="O1476" t="n">
        <v>1</v>
      </c>
      <c r="P1476" t="n">
        <v>1</v>
      </c>
      <c r="Q1476" t="n">
        <v>0</v>
      </c>
    </row>
    <row r="1477">
      <c r="A1477" t="n">
        <v>2026</v>
      </c>
      <c r="B1477" t="n">
        <v>2</v>
      </c>
      <c r="C1477" t="inlineStr">
        <is>
          <t>Muçarela Mozzana 2 kg</t>
        </is>
      </c>
      <c r="D1477" t="inlineStr">
        <is>
          <t>Esfiharia</t>
        </is>
      </c>
      <c r="E1477" t="n">
        <v>6993.05</v>
      </c>
      <c r="F1477" t="n">
        <v>323.2</v>
      </c>
      <c r="G1477" t="n">
        <v>160</v>
      </c>
      <c r="J1477" t="inlineStr">
        <is>
          <t>A</t>
        </is>
      </c>
      <c r="K1477" t="n">
        <v>2024</v>
      </c>
      <c r="L1477" t="n">
        <v>1</v>
      </c>
      <c r="M1477" t="inlineStr">
        <is>
          <t>Requeijão Pizzalet 1,8 kg</t>
        </is>
      </c>
      <c r="N1477" t="inlineStr">
        <is>
          <t>Pastelaria</t>
        </is>
      </c>
      <c r="O1477" t="n">
        <v>3</v>
      </c>
      <c r="P1477" t="n">
        <v>12</v>
      </c>
      <c r="Q1477" t="n">
        <v>3</v>
      </c>
    </row>
    <row r="1478">
      <c r="A1478" t="n">
        <v>2026</v>
      </c>
      <c r="B1478" t="n">
        <v>2</v>
      </c>
      <c r="C1478" t="inlineStr">
        <is>
          <t>Muçarela Mozzana 2 kg</t>
        </is>
      </c>
      <c r="D1478" t="inlineStr">
        <is>
          <t>Fábrica de Massas</t>
        </is>
      </c>
      <c r="E1478" t="n">
        <v>130.98</v>
      </c>
      <c r="F1478" t="n">
        <v>6.06</v>
      </c>
      <c r="G1478" t="n">
        <v>3</v>
      </c>
      <c r="J1478" t="inlineStr">
        <is>
          <t>M</t>
        </is>
      </c>
      <c r="K1478" t="n">
        <v>2024</v>
      </c>
      <c r="L1478" t="n">
        <v>1</v>
      </c>
      <c r="M1478" t="inlineStr">
        <is>
          <t>Requeijão Pizzalet 1,8 kg</t>
        </is>
      </c>
      <c r="N1478" t="inlineStr">
        <is>
          <t>Pastelaria</t>
        </is>
      </c>
      <c r="O1478" t="n">
        <v>3</v>
      </c>
      <c r="P1478" t="n">
        <v>12</v>
      </c>
      <c r="Q1478" t="n">
        <v>0</v>
      </c>
    </row>
    <row r="1479">
      <c r="A1479" t="n">
        <v>2026</v>
      </c>
      <c r="B1479" t="n">
        <v>2</v>
      </c>
      <c r="C1479" t="inlineStr">
        <is>
          <t>Muçarela Mozzana 2 kg</t>
        </is>
      </c>
      <c r="D1479" t="inlineStr">
        <is>
          <t>Lanchonete / Cafeteria</t>
        </is>
      </c>
      <c r="E1479" t="n">
        <v>2776.38</v>
      </c>
      <c r="F1479" t="n">
        <v>131.3</v>
      </c>
      <c r="G1479" t="n">
        <v>65</v>
      </c>
      <c r="J1479" t="inlineStr">
        <is>
          <t>A</t>
        </is>
      </c>
      <c r="K1479" t="n">
        <v>2024</v>
      </c>
      <c r="L1479" t="n">
        <v>2</v>
      </c>
      <c r="M1479" t="inlineStr">
        <is>
          <t>Requeijão Pizzalet 1,8 kg</t>
        </is>
      </c>
      <c r="N1479" t="inlineStr">
        <is>
          <t>Pastelaria</t>
        </is>
      </c>
      <c r="O1479" t="n">
        <v>3</v>
      </c>
      <c r="P1479" t="n">
        <v>25</v>
      </c>
      <c r="Q1479" t="n">
        <v>3</v>
      </c>
    </row>
    <row r="1480">
      <c r="A1480" t="n">
        <v>2026</v>
      </c>
      <c r="B1480" t="n">
        <v>2</v>
      </c>
      <c r="C1480" t="inlineStr">
        <is>
          <t>Muçarela Mozzana 2 kg</t>
        </is>
      </c>
      <c r="D1480" t="inlineStr">
        <is>
          <t>Mercearia / Sacolão</t>
        </is>
      </c>
      <c r="E1480" t="n">
        <v>1133.73</v>
      </c>
      <c r="F1480" t="n">
        <v>54.54</v>
      </c>
      <c r="G1480" t="n">
        <v>27</v>
      </c>
      <c r="J1480" t="inlineStr">
        <is>
          <t>M</t>
        </is>
      </c>
      <c r="K1480" t="n">
        <v>2024</v>
      </c>
      <c r="L1480" t="n">
        <v>2</v>
      </c>
      <c r="M1480" t="inlineStr">
        <is>
          <t>Requeijão Pizzalet 1,8 kg</t>
        </is>
      </c>
      <c r="N1480" t="inlineStr">
        <is>
          <t>Pastelaria</t>
        </is>
      </c>
      <c r="O1480" t="n">
        <v>3</v>
      </c>
      <c r="P1480" t="n">
        <v>13</v>
      </c>
      <c r="Q1480" t="n">
        <v>0</v>
      </c>
    </row>
    <row r="1481">
      <c r="A1481" t="n">
        <v>2026</v>
      </c>
      <c r="B1481" t="n">
        <v>2</v>
      </c>
      <c r="C1481" t="inlineStr">
        <is>
          <t>Muçarela Mozzana 2 kg</t>
        </is>
      </c>
      <c r="D1481" t="inlineStr">
        <is>
          <t>Outros</t>
        </is>
      </c>
      <c r="E1481" t="n">
        <v>18631.2</v>
      </c>
      <c r="F1481" t="n">
        <v>876.6799999999999</v>
      </c>
      <c r="G1481" t="n">
        <v>434</v>
      </c>
      <c r="J1481" t="inlineStr">
        <is>
          <t>A</t>
        </is>
      </c>
      <c r="K1481" t="n">
        <v>2024</v>
      </c>
      <c r="L1481" t="n">
        <v>3</v>
      </c>
      <c r="M1481" t="inlineStr">
        <is>
          <t>Requeijão Pizzalet 1,8 kg</t>
        </is>
      </c>
      <c r="N1481" t="inlineStr">
        <is>
          <t>Pastelaria</t>
        </is>
      </c>
      <c r="O1481" t="n">
        <v>3</v>
      </c>
      <c r="P1481" t="n">
        <v>32</v>
      </c>
      <c r="Q1481" t="n">
        <v>3</v>
      </c>
    </row>
    <row r="1482">
      <c r="A1482" t="n">
        <v>2026</v>
      </c>
      <c r="B1482" t="n">
        <v>2</v>
      </c>
      <c r="C1482" t="inlineStr">
        <is>
          <t>Muçarela Mozzana 2 kg</t>
        </is>
      </c>
      <c r="D1482" t="inlineStr">
        <is>
          <t>Padaria</t>
        </is>
      </c>
      <c r="E1482" t="n">
        <v>3735.34</v>
      </c>
      <c r="F1482" t="n">
        <v>177.76</v>
      </c>
      <c r="G1482" t="n">
        <v>88</v>
      </c>
      <c r="J1482" t="inlineStr">
        <is>
          <t>M</t>
        </is>
      </c>
      <c r="K1482" t="n">
        <v>2024</v>
      </c>
      <c r="L1482" t="n">
        <v>3</v>
      </c>
      <c r="M1482" t="inlineStr">
        <is>
          <t>Requeijão Pizzalet 1,8 kg</t>
        </is>
      </c>
      <c r="N1482" t="inlineStr">
        <is>
          <t>Pastelaria</t>
        </is>
      </c>
      <c r="O1482" t="n">
        <v>2</v>
      </c>
      <c r="P1482" t="n">
        <v>7</v>
      </c>
      <c r="Q1482" t="n">
        <v>0</v>
      </c>
    </row>
    <row r="1483">
      <c r="A1483" t="n">
        <v>2026</v>
      </c>
      <c r="B1483" t="n">
        <v>2</v>
      </c>
      <c r="C1483" t="inlineStr">
        <is>
          <t>Muçarela Mozzana 2 kg</t>
        </is>
      </c>
      <c r="D1483" t="inlineStr">
        <is>
          <t>Pastelaria</t>
        </is>
      </c>
      <c r="E1483" t="n">
        <v>1131.69</v>
      </c>
      <c r="F1483" t="n">
        <v>54.54</v>
      </c>
      <c r="G1483" t="n">
        <v>27</v>
      </c>
      <c r="J1483" t="inlineStr">
        <is>
          <t>A</t>
        </is>
      </c>
      <c r="K1483" t="n">
        <v>2024</v>
      </c>
      <c r="L1483" t="n">
        <v>4</v>
      </c>
      <c r="M1483" t="inlineStr">
        <is>
          <t>Requeijão Pizzalet 1,8 kg</t>
        </is>
      </c>
      <c r="N1483" t="inlineStr">
        <is>
          <t>Pastelaria</t>
        </is>
      </c>
      <c r="O1483" t="n">
        <v>4</v>
      </c>
      <c r="P1483" t="n">
        <v>41</v>
      </c>
      <c r="Q1483" t="n">
        <v>4</v>
      </c>
    </row>
    <row r="1484">
      <c r="A1484" t="n">
        <v>2026</v>
      </c>
      <c r="B1484" t="n">
        <v>2</v>
      </c>
      <c r="C1484" t="inlineStr">
        <is>
          <t>Muçarela Mozzana 2 kg</t>
        </is>
      </c>
      <c r="D1484" t="inlineStr">
        <is>
          <t>Pessoa Física</t>
        </is>
      </c>
      <c r="E1484" t="n">
        <v>1312.84</v>
      </c>
      <c r="F1484" t="n">
        <v>62.62</v>
      </c>
      <c r="G1484" t="n">
        <v>31</v>
      </c>
      <c r="J1484" t="inlineStr">
        <is>
          <t>M</t>
        </is>
      </c>
      <c r="K1484" t="n">
        <v>2024</v>
      </c>
      <c r="L1484" t="n">
        <v>4</v>
      </c>
      <c r="M1484" t="inlineStr">
        <is>
          <t>Requeijão Pizzalet 1,8 kg</t>
        </is>
      </c>
      <c r="N1484" t="inlineStr">
        <is>
          <t>Pastelaria</t>
        </is>
      </c>
      <c r="O1484" t="n">
        <v>3</v>
      </c>
      <c r="P1484" t="n">
        <v>9</v>
      </c>
      <c r="Q1484" t="n">
        <v>0</v>
      </c>
    </row>
    <row r="1485">
      <c r="A1485" t="n">
        <v>2026</v>
      </c>
      <c r="B1485" t="n">
        <v>2</v>
      </c>
      <c r="C1485" t="inlineStr">
        <is>
          <t>Muçarela Mozzana 2 kg</t>
        </is>
      </c>
      <c r="D1485" t="inlineStr">
        <is>
          <t>Pizzaria</t>
        </is>
      </c>
      <c r="E1485" t="n">
        <v>43764</v>
      </c>
      <c r="F1485" t="n">
        <v>2068.48</v>
      </c>
      <c r="G1485" t="n">
        <v>1024</v>
      </c>
      <c r="J1485" t="inlineStr">
        <is>
          <t>A</t>
        </is>
      </c>
      <c r="K1485" t="n">
        <v>2024</v>
      </c>
      <c r="L1485" t="n">
        <v>5</v>
      </c>
      <c r="M1485" t="inlineStr">
        <is>
          <t>Requeijão Pizzalet 1,8 kg</t>
        </is>
      </c>
      <c r="N1485" t="inlineStr">
        <is>
          <t>Pastelaria</t>
        </is>
      </c>
      <c r="O1485" t="n">
        <v>4</v>
      </c>
      <c r="P1485" t="n">
        <v>51</v>
      </c>
      <c r="Q1485" t="n">
        <v>4</v>
      </c>
    </row>
    <row r="1486">
      <c r="A1486" t="n">
        <v>2026</v>
      </c>
      <c r="B1486" t="n">
        <v>2</v>
      </c>
      <c r="C1486" t="inlineStr">
        <is>
          <t>Muçarela Mozzana 2 kg</t>
        </is>
      </c>
      <c r="D1486" t="inlineStr">
        <is>
          <t>Restaurante / Cantina</t>
        </is>
      </c>
      <c r="E1486" t="n">
        <v>8918.360000000001</v>
      </c>
      <c r="F1486" t="n">
        <v>426.22</v>
      </c>
      <c r="G1486" t="n">
        <v>211</v>
      </c>
      <c r="J1486" t="inlineStr">
        <is>
          <t>M</t>
        </is>
      </c>
      <c r="K1486" t="n">
        <v>2024</v>
      </c>
      <c r="L1486" t="n">
        <v>5</v>
      </c>
      <c r="M1486" t="inlineStr">
        <is>
          <t>Requeijão Pizzalet 1,8 kg</t>
        </is>
      </c>
      <c r="N1486" t="inlineStr">
        <is>
          <t>Pastelaria</t>
        </is>
      </c>
      <c r="O1486" t="n">
        <v>3</v>
      </c>
      <c r="P1486" t="n">
        <v>10</v>
      </c>
      <c r="Q1486" t="n">
        <v>0</v>
      </c>
    </row>
    <row r="1487">
      <c r="A1487" t="n">
        <v>2026</v>
      </c>
      <c r="B1487" t="n">
        <v>2</v>
      </c>
      <c r="C1487" t="inlineStr">
        <is>
          <t>Muçarela Mozzana 2 kg</t>
        </is>
      </c>
      <c r="D1487" t="inlineStr">
        <is>
          <t>Rotisserie</t>
        </is>
      </c>
      <c r="E1487" t="n">
        <v>85.8</v>
      </c>
      <c r="F1487" t="n">
        <v>4.04</v>
      </c>
      <c r="G1487" t="n">
        <v>2</v>
      </c>
      <c r="J1487" t="inlineStr">
        <is>
          <t>A</t>
        </is>
      </c>
      <c r="K1487" t="n">
        <v>2024</v>
      </c>
      <c r="L1487" t="n">
        <v>6</v>
      </c>
      <c r="M1487" t="inlineStr">
        <is>
          <t>Requeijão Pizzalet 1,8 kg</t>
        </is>
      </c>
      <c r="N1487" t="inlineStr">
        <is>
          <t>Pastelaria</t>
        </is>
      </c>
      <c r="O1487" t="n">
        <v>4</v>
      </c>
      <c r="P1487" t="n">
        <v>60</v>
      </c>
      <c r="Q1487" t="n">
        <v>4</v>
      </c>
    </row>
    <row r="1488">
      <c r="A1488" t="n">
        <v>2026</v>
      </c>
      <c r="B1488" t="n">
        <v>2</v>
      </c>
      <c r="C1488" t="inlineStr">
        <is>
          <t>Muçarela Mozzana 2 kg</t>
        </is>
      </c>
      <c r="D1488" t="inlineStr">
        <is>
          <t>Supermercado</t>
        </is>
      </c>
      <c r="E1488" t="n">
        <v>4590.05</v>
      </c>
      <c r="F1488" t="n">
        <v>206.04</v>
      </c>
      <c r="G1488" t="n">
        <v>102</v>
      </c>
      <c r="J1488" t="inlineStr">
        <is>
          <t>M</t>
        </is>
      </c>
      <c r="K1488" t="n">
        <v>2024</v>
      </c>
      <c r="L1488" t="n">
        <v>6</v>
      </c>
      <c r="M1488" t="inlineStr">
        <is>
          <t>Requeijão Pizzalet 1,8 kg</t>
        </is>
      </c>
      <c r="N1488" t="inlineStr">
        <is>
          <t>Pastelaria</t>
        </is>
      </c>
      <c r="O1488" t="n">
        <v>3</v>
      </c>
      <c r="P1488" t="n">
        <v>9</v>
      </c>
      <c r="Q1488" t="n">
        <v>0</v>
      </c>
    </row>
    <row r="1489">
      <c r="A1489" t="n">
        <v>2026</v>
      </c>
      <c r="B1489" t="n">
        <v>2</v>
      </c>
      <c r="C1489" t="inlineStr">
        <is>
          <t>Requeijão Pizzalet 1,8 kg</t>
        </is>
      </c>
      <c r="D1489" t="inlineStr">
        <is>
          <t>Bar / Chopperia</t>
        </is>
      </c>
      <c r="E1489" t="n">
        <v>111.93</v>
      </c>
      <c r="F1489" t="n">
        <v>12.88</v>
      </c>
      <c r="G1489" t="n">
        <v>7</v>
      </c>
      <c r="J1489" t="inlineStr">
        <is>
          <t>A</t>
        </is>
      </c>
      <c r="K1489" t="n">
        <v>2024</v>
      </c>
      <c r="L1489" t="n">
        <v>7</v>
      </c>
      <c r="M1489" t="inlineStr">
        <is>
          <t>Requeijão Pizzalet 1,8 kg</t>
        </is>
      </c>
      <c r="N1489" t="inlineStr">
        <is>
          <t>Pastelaria</t>
        </is>
      </c>
      <c r="O1489" t="n">
        <v>4</v>
      </c>
      <c r="P1489" t="n">
        <v>71</v>
      </c>
      <c r="Q1489" t="n">
        <v>4</v>
      </c>
    </row>
    <row r="1490">
      <c r="A1490" t="n">
        <v>2026</v>
      </c>
      <c r="B1490" t="n">
        <v>2</v>
      </c>
      <c r="C1490" t="inlineStr">
        <is>
          <t>Requeijão Pizzalet 1,8 kg</t>
        </is>
      </c>
      <c r="D1490" t="inlineStr">
        <is>
          <t>Lanchonete / Cafeteria</t>
        </is>
      </c>
      <c r="E1490" t="n">
        <v>618.91</v>
      </c>
      <c r="F1490" t="n">
        <v>71.76000000000001</v>
      </c>
      <c r="G1490" t="n">
        <v>39</v>
      </c>
      <c r="J1490" t="inlineStr">
        <is>
          <t>M</t>
        </is>
      </c>
      <c r="K1490" t="n">
        <v>2024</v>
      </c>
      <c r="L1490" t="n">
        <v>7</v>
      </c>
      <c r="M1490" t="inlineStr">
        <is>
          <t>Requeijão Pizzalet 1,8 kg</t>
        </is>
      </c>
      <c r="N1490" t="inlineStr">
        <is>
          <t>Pastelaria</t>
        </is>
      </c>
      <c r="O1490" t="n">
        <v>4</v>
      </c>
      <c r="P1490" t="n">
        <v>11</v>
      </c>
      <c r="Q1490" t="n">
        <v>0</v>
      </c>
    </row>
    <row r="1491">
      <c r="A1491" t="n">
        <v>2026</v>
      </c>
      <c r="B1491" t="n">
        <v>2</v>
      </c>
      <c r="C1491" t="inlineStr">
        <is>
          <t>Requeijão Pizzalet 1,8 kg</t>
        </is>
      </c>
      <c r="D1491" t="inlineStr">
        <is>
          <t>Pastelaria</t>
        </is>
      </c>
      <c r="E1491" t="n">
        <v>2342.35</v>
      </c>
      <c r="F1491" t="n">
        <v>266.8</v>
      </c>
      <c r="G1491" t="n">
        <v>145</v>
      </c>
      <c r="J1491" t="inlineStr">
        <is>
          <t>A</t>
        </is>
      </c>
      <c r="K1491" t="n">
        <v>2024</v>
      </c>
      <c r="L1491" t="n">
        <v>8</v>
      </c>
      <c r="M1491" t="inlineStr">
        <is>
          <t>Requeijão Pizzalet 1,8 kg</t>
        </is>
      </c>
      <c r="N1491" t="inlineStr">
        <is>
          <t>Pastelaria</t>
        </is>
      </c>
      <c r="O1491" t="n">
        <v>4</v>
      </c>
      <c r="P1491" t="n">
        <v>78</v>
      </c>
      <c r="Q1491" t="n">
        <v>4</v>
      </c>
    </row>
    <row r="1492">
      <c r="A1492" t="n">
        <v>2026</v>
      </c>
      <c r="B1492" t="n">
        <v>2</v>
      </c>
      <c r="C1492" t="inlineStr">
        <is>
          <t>Requeijão Pizzalet 1,8 kg</t>
        </is>
      </c>
      <c r="D1492" t="inlineStr">
        <is>
          <t>Pizzaria</t>
        </is>
      </c>
      <c r="E1492" t="n">
        <v>3166.25</v>
      </c>
      <c r="F1492" t="n">
        <v>358.8</v>
      </c>
      <c r="G1492" t="n">
        <v>195</v>
      </c>
      <c r="J1492" t="inlineStr">
        <is>
          <t>M</t>
        </is>
      </c>
      <c r="K1492" t="n">
        <v>2024</v>
      </c>
      <c r="L1492" t="n">
        <v>8</v>
      </c>
      <c r="M1492" t="inlineStr">
        <is>
          <t>Requeijão Pizzalet 1,8 kg</t>
        </is>
      </c>
      <c r="N1492" t="inlineStr">
        <is>
          <t>Pastelaria</t>
        </is>
      </c>
      <c r="O1492" t="n">
        <v>3</v>
      </c>
      <c r="P1492" t="n">
        <v>7</v>
      </c>
      <c r="Q1492" t="n">
        <v>0</v>
      </c>
    </row>
    <row r="1493">
      <c r="A1493" t="n">
        <v>2026</v>
      </c>
      <c r="B1493" t="n">
        <v>2</v>
      </c>
      <c r="C1493" t="inlineStr">
        <is>
          <t>Requeijão Pizzalet 1,8 kg</t>
        </is>
      </c>
      <c r="D1493" t="inlineStr">
        <is>
          <t>Restaurante / Cantina</t>
        </is>
      </c>
      <c r="E1493" t="n">
        <v>79.45</v>
      </c>
      <c r="F1493" t="n">
        <v>9.199999999999999</v>
      </c>
      <c r="G1493" t="n">
        <v>5</v>
      </c>
      <c r="J1493" t="inlineStr">
        <is>
          <t>A</t>
        </is>
      </c>
      <c r="K1493" t="n">
        <v>2024</v>
      </c>
      <c r="L1493" t="n">
        <v>9</v>
      </c>
      <c r="M1493" t="inlineStr">
        <is>
          <t>Requeijão Pizzalet 1,8 kg</t>
        </is>
      </c>
      <c r="N1493" t="inlineStr">
        <is>
          <t>Pastelaria</t>
        </is>
      </c>
      <c r="O1493" t="n">
        <v>5</v>
      </c>
      <c r="P1493" t="n">
        <v>89</v>
      </c>
      <c r="Q1493" t="n">
        <v>5</v>
      </c>
    </row>
    <row r="1494">
      <c r="A1494" t="n">
        <v>2026</v>
      </c>
      <c r="B1494" t="n">
        <v>3</v>
      </c>
      <c r="C1494" t="inlineStr">
        <is>
          <t>Chocolate em pó 50% 1 kg</t>
        </is>
      </c>
      <c r="D1494" t="inlineStr">
        <is>
          <t>Buffet</t>
        </is>
      </c>
      <c r="E1494" t="n">
        <v>334.81</v>
      </c>
      <c r="F1494" t="n">
        <v>8.16</v>
      </c>
      <c r="G1494" t="n">
        <v>8</v>
      </c>
      <c r="J1494" t="inlineStr">
        <is>
          <t>M</t>
        </is>
      </c>
      <c r="K1494" t="n">
        <v>2024</v>
      </c>
      <c r="L1494" t="n">
        <v>9</v>
      </c>
      <c r="M1494" t="inlineStr">
        <is>
          <t>Requeijão Pizzalet 1,8 kg</t>
        </is>
      </c>
      <c r="N1494" t="inlineStr">
        <is>
          <t>Pastelaria</t>
        </is>
      </c>
      <c r="O1494" t="n">
        <v>4</v>
      </c>
      <c r="P1494" t="n">
        <v>11</v>
      </c>
      <c r="Q1494" t="n">
        <v>0</v>
      </c>
    </row>
    <row r="1495">
      <c r="A1495" t="n">
        <v>2026</v>
      </c>
      <c r="B1495" t="n">
        <v>3</v>
      </c>
      <c r="C1495" t="inlineStr">
        <is>
          <t>Chocolate em pó 50% 1 kg</t>
        </is>
      </c>
      <c r="D1495" t="inlineStr">
        <is>
          <t>Churrascaria</t>
        </is>
      </c>
      <c r="E1495" t="n">
        <v>494.16</v>
      </c>
      <c r="F1495" t="n">
        <v>12.24</v>
      </c>
      <c r="G1495" t="n">
        <v>12</v>
      </c>
      <c r="J1495" t="inlineStr">
        <is>
          <t>A</t>
        </is>
      </c>
      <c r="K1495" t="n">
        <v>2024</v>
      </c>
      <c r="L1495" t="n">
        <v>10</v>
      </c>
      <c r="M1495" t="inlineStr">
        <is>
          <t>Requeijão Pizzalet 1,8 kg</t>
        </is>
      </c>
      <c r="N1495" t="inlineStr">
        <is>
          <t>Pastelaria</t>
        </is>
      </c>
      <c r="O1495" t="n">
        <v>5</v>
      </c>
      <c r="P1495" t="n">
        <v>99</v>
      </c>
      <c r="Q1495" t="n">
        <v>5</v>
      </c>
    </row>
    <row r="1496">
      <c r="A1496" t="n">
        <v>2026</v>
      </c>
      <c r="B1496" t="n">
        <v>3</v>
      </c>
      <c r="C1496" t="inlineStr">
        <is>
          <t>Chocolate em pó 50% 1 kg</t>
        </is>
      </c>
      <c r="D1496" t="inlineStr">
        <is>
          <t>Clube / Associação Desportiva</t>
        </is>
      </c>
      <c r="E1496" t="n">
        <v>161.6</v>
      </c>
      <c r="F1496" t="n">
        <v>4.08</v>
      </c>
      <c r="G1496" t="n">
        <v>4</v>
      </c>
      <c r="J1496" t="inlineStr">
        <is>
          <t>M</t>
        </is>
      </c>
      <c r="K1496" t="n">
        <v>2024</v>
      </c>
      <c r="L1496" t="n">
        <v>10</v>
      </c>
      <c r="M1496" t="inlineStr">
        <is>
          <t>Requeijão Pizzalet 1,8 kg</t>
        </is>
      </c>
      <c r="N1496" t="inlineStr">
        <is>
          <t>Pastelaria</t>
        </is>
      </c>
      <c r="O1496" t="n">
        <v>3</v>
      </c>
      <c r="P1496" t="n">
        <v>10</v>
      </c>
      <c r="Q1496" t="n">
        <v>0</v>
      </c>
    </row>
    <row r="1497">
      <c r="A1497" t="n">
        <v>2026</v>
      </c>
      <c r="B1497" t="n">
        <v>3</v>
      </c>
      <c r="C1497" t="inlineStr">
        <is>
          <t>Chocolate em pó 50% 1 kg</t>
        </is>
      </c>
      <c r="D1497" t="inlineStr">
        <is>
          <t>Confeitaria</t>
        </is>
      </c>
      <c r="E1497" t="n">
        <v>525.04</v>
      </c>
      <c r="F1497" t="n">
        <v>13.26</v>
      </c>
      <c r="G1497" t="n">
        <v>13</v>
      </c>
      <c r="J1497" t="inlineStr">
        <is>
          <t>A</t>
        </is>
      </c>
      <c r="K1497" t="n">
        <v>2024</v>
      </c>
      <c r="L1497" t="n">
        <v>11</v>
      </c>
      <c r="M1497" t="inlineStr">
        <is>
          <t>Requeijão Pizzalet 1,8 kg</t>
        </is>
      </c>
      <c r="N1497" t="inlineStr">
        <is>
          <t>Pastelaria</t>
        </is>
      </c>
      <c r="O1497" t="n">
        <v>6</v>
      </c>
      <c r="P1497" t="n">
        <v>110</v>
      </c>
      <c r="Q1497" t="n">
        <v>6</v>
      </c>
    </row>
    <row r="1498">
      <c r="A1498" t="n">
        <v>2026</v>
      </c>
      <c r="B1498" t="n">
        <v>3</v>
      </c>
      <c r="C1498" t="inlineStr">
        <is>
          <t>Chocolate em pó 50% 1 kg</t>
        </is>
      </c>
      <c r="D1498" t="inlineStr">
        <is>
          <t>Cozinha Industrial</t>
        </is>
      </c>
      <c r="E1498" t="n">
        <v>579.92</v>
      </c>
      <c r="F1498" t="n">
        <v>14.28</v>
      </c>
      <c r="G1498" t="n">
        <v>14</v>
      </c>
      <c r="J1498" t="inlineStr">
        <is>
          <t>M</t>
        </is>
      </c>
      <c r="K1498" t="n">
        <v>2024</v>
      </c>
      <c r="L1498" t="n">
        <v>11</v>
      </c>
      <c r="M1498" t="inlineStr">
        <is>
          <t>Requeijão Pizzalet 1,8 kg</t>
        </is>
      </c>
      <c r="N1498" t="inlineStr">
        <is>
          <t>Pastelaria</t>
        </is>
      </c>
      <c r="O1498" t="n">
        <v>4</v>
      </c>
      <c r="P1498" t="n">
        <v>11</v>
      </c>
      <c r="Q1498" t="n">
        <v>0</v>
      </c>
    </row>
    <row r="1499">
      <c r="A1499" t="n">
        <v>2026</v>
      </c>
      <c r="B1499" t="n">
        <v>3</v>
      </c>
      <c r="C1499" t="inlineStr">
        <is>
          <t>Chocolate em pó 50% 1 kg</t>
        </is>
      </c>
      <c r="D1499" t="inlineStr">
        <is>
          <t>Hamburgueria</t>
        </is>
      </c>
      <c r="E1499" t="n">
        <v>209.8</v>
      </c>
      <c r="F1499" t="n">
        <v>5.1</v>
      </c>
      <c r="G1499" t="n">
        <v>5</v>
      </c>
      <c r="J1499" t="inlineStr">
        <is>
          <t>A</t>
        </is>
      </c>
      <c r="K1499" t="n">
        <v>2024</v>
      </c>
      <c r="L1499" t="n">
        <v>12</v>
      </c>
      <c r="M1499" t="inlineStr">
        <is>
          <t>Requeijão Pizzalet 1,8 kg</t>
        </is>
      </c>
      <c r="N1499" t="inlineStr">
        <is>
          <t>Pastelaria</t>
        </is>
      </c>
      <c r="O1499" t="n">
        <v>6</v>
      </c>
      <c r="P1499" t="n">
        <v>122</v>
      </c>
      <c r="Q1499" t="n">
        <v>6</v>
      </c>
    </row>
    <row r="1500">
      <c r="A1500" t="n">
        <v>2026</v>
      </c>
      <c r="B1500" t="n">
        <v>3</v>
      </c>
      <c r="C1500" t="inlineStr">
        <is>
          <t>Chocolate em pó 50% 1 kg</t>
        </is>
      </c>
      <c r="D1500" t="inlineStr">
        <is>
          <t>Hotel / Motel / Pousada</t>
        </is>
      </c>
      <c r="E1500" t="n">
        <v>1791.92</v>
      </c>
      <c r="F1500" t="n">
        <v>43.86</v>
      </c>
      <c r="G1500" t="n">
        <v>43</v>
      </c>
      <c r="J1500" t="inlineStr">
        <is>
          <t>M</t>
        </is>
      </c>
      <c r="K1500" t="n">
        <v>2024</v>
      </c>
      <c r="L1500" t="n">
        <v>12</v>
      </c>
      <c r="M1500" t="inlineStr">
        <is>
          <t>Requeijão Pizzalet 1,8 kg</t>
        </is>
      </c>
      <c r="N1500" t="inlineStr">
        <is>
          <t>Pastelaria</t>
        </is>
      </c>
      <c r="O1500" t="n">
        <v>3</v>
      </c>
      <c r="P1500" t="n">
        <v>12</v>
      </c>
      <c r="Q1500" t="n">
        <v>0</v>
      </c>
    </row>
    <row r="1501">
      <c r="A1501" t="n">
        <v>2026</v>
      </c>
      <c r="B1501" t="n">
        <v>3</v>
      </c>
      <c r="C1501" t="inlineStr">
        <is>
          <t>Chocolate em pó 50% 1 kg</t>
        </is>
      </c>
      <c r="D1501" t="inlineStr">
        <is>
          <t>Lanchonete / Cafeteria</t>
        </is>
      </c>
      <c r="E1501" t="n">
        <v>542.83</v>
      </c>
      <c r="F1501" t="n">
        <v>13.26</v>
      </c>
      <c r="G1501" t="n">
        <v>13</v>
      </c>
      <c r="J1501" t="inlineStr">
        <is>
          <t>A</t>
        </is>
      </c>
      <c r="K1501" t="n">
        <v>2024</v>
      </c>
      <c r="L1501" t="n">
        <v>1</v>
      </c>
      <c r="M1501" t="inlineStr">
        <is>
          <t>Requeijão Pizzalet 1,8 kg</t>
        </is>
      </c>
      <c r="N1501" t="inlineStr">
        <is>
          <t>Lanchonete / Cafeteria</t>
        </is>
      </c>
      <c r="O1501" t="n">
        <v>5</v>
      </c>
      <c r="P1501" t="n">
        <v>8</v>
      </c>
      <c r="Q1501" t="n">
        <v>5</v>
      </c>
    </row>
    <row r="1502">
      <c r="A1502" t="n">
        <v>2026</v>
      </c>
      <c r="B1502" t="n">
        <v>3</v>
      </c>
      <c r="C1502" t="inlineStr">
        <is>
          <t>Chocolate em pó 50% 1 kg</t>
        </is>
      </c>
      <c r="D1502" t="inlineStr">
        <is>
          <t>Laticínios / Distribuidor</t>
        </is>
      </c>
      <c r="E1502" t="n">
        <v>124.08</v>
      </c>
      <c r="F1502" t="n">
        <v>3.06</v>
      </c>
      <c r="G1502" t="n">
        <v>3</v>
      </c>
      <c r="J1502" t="inlineStr">
        <is>
          <t>M</t>
        </is>
      </c>
      <c r="K1502" t="n">
        <v>2024</v>
      </c>
      <c r="L1502" t="n">
        <v>1</v>
      </c>
      <c r="M1502" t="inlineStr">
        <is>
          <t>Requeijão Pizzalet 1,8 kg</t>
        </is>
      </c>
      <c r="N1502" t="inlineStr">
        <is>
          <t>Lanchonete / Cafeteria</t>
        </is>
      </c>
      <c r="O1502" t="n">
        <v>5</v>
      </c>
      <c r="P1502" t="n">
        <v>8</v>
      </c>
      <c r="Q1502" t="n">
        <v>0</v>
      </c>
    </row>
    <row r="1503">
      <c r="A1503" t="n">
        <v>2026</v>
      </c>
      <c r="B1503" t="n">
        <v>3</v>
      </c>
      <c r="C1503" t="inlineStr">
        <is>
          <t>Chocolate em pó 50% 1 kg</t>
        </is>
      </c>
      <c r="D1503" t="inlineStr">
        <is>
          <t>Não Selecionado</t>
        </is>
      </c>
      <c r="E1503" t="n">
        <v>497.94</v>
      </c>
      <c r="F1503" t="n">
        <v>12.24</v>
      </c>
      <c r="G1503" t="n">
        <v>12</v>
      </c>
      <c r="J1503" t="inlineStr">
        <is>
          <t>A</t>
        </is>
      </c>
      <c r="K1503" t="n">
        <v>2024</v>
      </c>
      <c r="L1503" t="n">
        <v>2</v>
      </c>
      <c r="M1503" t="inlineStr">
        <is>
          <t>Requeijão Pizzalet 1,8 kg</t>
        </is>
      </c>
      <c r="N1503" t="inlineStr">
        <is>
          <t>Lanchonete / Cafeteria</t>
        </is>
      </c>
      <c r="O1503" t="n">
        <v>5</v>
      </c>
      <c r="P1503" t="n">
        <v>11</v>
      </c>
      <c r="Q1503" t="n">
        <v>5</v>
      </c>
    </row>
    <row r="1504">
      <c r="A1504" t="n">
        <v>2026</v>
      </c>
      <c r="B1504" t="n">
        <v>3</v>
      </c>
      <c r="C1504" t="inlineStr">
        <is>
          <t>Chocolate em pó 50% 1 kg</t>
        </is>
      </c>
      <c r="D1504" t="inlineStr">
        <is>
          <t>Outros</t>
        </is>
      </c>
      <c r="E1504" t="n">
        <v>535.35</v>
      </c>
      <c r="F1504" t="n">
        <v>13.26</v>
      </c>
      <c r="G1504" t="n">
        <v>13</v>
      </c>
      <c r="J1504" t="inlineStr">
        <is>
          <t>M</t>
        </is>
      </c>
      <c r="K1504" t="n">
        <v>2024</v>
      </c>
      <c r="L1504" t="n">
        <v>2</v>
      </c>
      <c r="M1504" t="inlineStr">
        <is>
          <t>Requeijão Pizzalet 1,8 kg</t>
        </is>
      </c>
      <c r="N1504" t="inlineStr">
        <is>
          <t>Lanchonete / Cafeteria</t>
        </is>
      </c>
      <c r="O1504" t="n">
        <v>2</v>
      </c>
      <c r="P1504" t="n">
        <v>3</v>
      </c>
      <c r="Q1504" t="n">
        <v>0</v>
      </c>
    </row>
    <row r="1505">
      <c r="A1505" t="n">
        <v>2026</v>
      </c>
      <c r="B1505" t="n">
        <v>3</v>
      </c>
      <c r="C1505" t="inlineStr">
        <is>
          <t>Chocolate em pó 50% 1 kg</t>
        </is>
      </c>
      <c r="D1505" t="inlineStr">
        <is>
          <t>Padaria</t>
        </is>
      </c>
      <c r="E1505" t="n">
        <v>581.8099999999999</v>
      </c>
      <c r="F1505" t="n">
        <v>14.28</v>
      </c>
      <c r="G1505" t="n">
        <v>14</v>
      </c>
      <c r="J1505" t="inlineStr">
        <is>
          <t>A</t>
        </is>
      </c>
      <c r="K1505" t="n">
        <v>2024</v>
      </c>
      <c r="L1505" t="n">
        <v>3</v>
      </c>
      <c r="M1505" t="inlineStr">
        <is>
          <t>Requeijão Pizzalet 1,8 kg</t>
        </is>
      </c>
      <c r="N1505" t="inlineStr">
        <is>
          <t>Lanchonete / Cafeteria</t>
        </is>
      </c>
      <c r="O1505" t="n">
        <v>6</v>
      </c>
      <c r="P1505" t="n">
        <v>17</v>
      </c>
      <c r="Q1505" t="n">
        <v>6</v>
      </c>
    </row>
    <row r="1506">
      <c r="A1506" t="n">
        <v>2026</v>
      </c>
      <c r="B1506" t="n">
        <v>3</v>
      </c>
      <c r="C1506" t="inlineStr">
        <is>
          <t>Chocolate em pó 50% 1 kg</t>
        </is>
      </c>
      <c r="D1506" t="inlineStr">
        <is>
          <t>Pessoa Física</t>
        </is>
      </c>
      <c r="E1506" t="n">
        <v>41.96</v>
      </c>
      <c r="F1506" t="n">
        <v>1.02</v>
      </c>
      <c r="G1506" t="n">
        <v>1</v>
      </c>
      <c r="J1506" t="inlineStr">
        <is>
          <t>M</t>
        </is>
      </c>
      <c r="K1506" t="n">
        <v>2024</v>
      </c>
      <c r="L1506" t="n">
        <v>3</v>
      </c>
      <c r="M1506" t="inlineStr">
        <is>
          <t>Requeijão Pizzalet 1,8 kg</t>
        </is>
      </c>
      <c r="N1506" t="inlineStr">
        <is>
          <t>Lanchonete / Cafeteria</t>
        </is>
      </c>
      <c r="O1506" t="n">
        <v>4</v>
      </c>
      <c r="P1506" t="n">
        <v>6</v>
      </c>
      <c r="Q1506" t="n">
        <v>0</v>
      </c>
    </row>
    <row r="1507">
      <c r="A1507" t="n">
        <v>2026</v>
      </c>
      <c r="B1507" t="n">
        <v>3</v>
      </c>
      <c r="C1507" t="inlineStr">
        <is>
          <t>Chocolate em pó 50% 1 kg</t>
        </is>
      </c>
      <c r="D1507" t="inlineStr">
        <is>
          <t>Pizzaria</t>
        </is>
      </c>
      <c r="E1507" t="n">
        <v>4221.5</v>
      </c>
      <c r="F1507" t="n">
        <v>104.04</v>
      </c>
      <c r="G1507" t="n">
        <v>102</v>
      </c>
      <c r="J1507" t="inlineStr">
        <is>
          <t>A</t>
        </is>
      </c>
      <c r="K1507" t="n">
        <v>2024</v>
      </c>
      <c r="L1507" t="n">
        <v>4</v>
      </c>
      <c r="M1507" t="inlineStr">
        <is>
          <t>Requeijão Pizzalet 1,8 kg</t>
        </is>
      </c>
      <c r="N1507" t="inlineStr">
        <is>
          <t>Lanchonete / Cafeteria</t>
        </is>
      </c>
      <c r="O1507" t="n">
        <v>6</v>
      </c>
      <c r="P1507" t="n">
        <v>29</v>
      </c>
      <c r="Q1507" t="n">
        <v>6</v>
      </c>
    </row>
    <row r="1508">
      <c r="A1508" t="n">
        <v>2026</v>
      </c>
      <c r="B1508" t="n">
        <v>3</v>
      </c>
      <c r="C1508" t="inlineStr">
        <is>
          <t>Chocolate em pó 50% 1 kg</t>
        </is>
      </c>
      <c r="D1508" t="inlineStr">
        <is>
          <t>Restaurante / Cantina</t>
        </is>
      </c>
      <c r="E1508" t="n">
        <v>4127</v>
      </c>
      <c r="F1508" t="n">
        <v>100.98</v>
      </c>
      <c r="G1508" t="n">
        <v>99</v>
      </c>
      <c r="J1508" t="inlineStr">
        <is>
          <t>M</t>
        </is>
      </c>
      <c r="K1508" t="n">
        <v>2024</v>
      </c>
      <c r="L1508" t="n">
        <v>4</v>
      </c>
      <c r="M1508" t="inlineStr">
        <is>
          <t>Requeijão Pizzalet 1,8 kg</t>
        </is>
      </c>
      <c r="N1508" t="inlineStr">
        <is>
          <t>Lanchonete / Cafeteria</t>
        </is>
      </c>
      <c r="O1508" t="n">
        <v>5</v>
      </c>
      <c r="P1508" t="n">
        <v>12</v>
      </c>
      <c r="Q1508" t="n">
        <v>0</v>
      </c>
    </row>
    <row r="1509">
      <c r="A1509" t="n">
        <v>2026</v>
      </c>
      <c r="B1509" t="n">
        <v>3</v>
      </c>
      <c r="C1509" t="inlineStr">
        <is>
          <t>Chocolate em pó 50% 1 kg</t>
        </is>
      </c>
      <c r="D1509" t="inlineStr">
        <is>
          <t>Rotisserie</t>
        </is>
      </c>
      <c r="E1509" t="n">
        <v>40.72</v>
      </c>
      <c r="F1509" t="n">
        <v>1.02</v>
      </c>
      <c r="G1509" t="n">
        <v>1</v>
      </c>
      <c r="J1509" t="inlineStr">
        <is>
          <t>A</t>
        </is>
      </c>
      <c r="K1509" t="n">
        <v>2024</v>
      </c>
      <c r="L1509" t="n">
        <v>5</v>
      </c>
      <c r="M1509" t="inlineStr">
        <is>
          <t>Requeijão Pizzalet 1,8 kg</t>
        </is>
      </c>
      <c r="N1509" t="inlineStr">
        <is>
          <t>Lanchonete / Cafeteria</t>
        </is>
      </c>
      <c r="O1509" t="n">
        <v>6</v>
      </c>
      <c r="P1509" t="n">
        <v>38</v>
      </c>
      <c r="Q1509" t="n">
        <v>6</v>
      </c>
    </row>
    <row r="1510">
      <c r="A1510" t="n">
        <v>2026</v>
      </c>
      <c r="B1510" t="n">
        <v>3</v>
      </c>
      <c r="C1510" t="inlineStr">
        <is>
          <t>Chocolate em pó 50% 1 kg</t>
        </is>
      </c>
      <c r="D1510" t="inlineStr">
        <is>
          <t>Supermercado</t>
        </is>
      </c>
      <c r="E1510" t="n">
        <v>294.73</v>
      </c>
      <c r="F1510" t="n">
        <v>7.14</v>
      </c>
      <c r="G1510" t="n">
        <v>7</v>
      </c>
      <c r="J1510" t="inlineStr">
        <is>
          <t>M</t>
        </is>
      </c>
      <c r="K1510" t="n">
        <v>2024</v>
      </c>
      <c r="L1510" t="n">
        <v>5</v>
      </c>
      <c r="M1510" t="inlineStr">
        <is>
          <t>Requeijão Pizzalet 1,8 kg</t>
        </is>
      </c>
      <c r="N1510" t="inlineStr">
        <is>
          <t>Lanchonete / Cafeteria</t>
        </is>
      </c>
      <c r="O1510" t="n">
        <v>4</v>
      </c>
      <c r="P1510" t="n">
        <v>9</v>
      </c>
      <c r="Q1510" t="n">
        <v>0</v>
      </c>
    </row>
    <row r="1511">
      <c r="A1511" t="n">
        <v>2026</v>
      </c>
      <c r="B1511" t="n">
        <v>3</v>
      </c>
      <c r="C1511" t="inlineStr">
        <is>
          <t>Composto lácteo Alibralac 1 kg</t>
        </is>
      </c>
      <c r="D1511" t="inlineStr">
        <is>
          <t>Esfiharia</t>
        </is>
      </c>
      <c r="E1511" t="n">
        <v>23</v>
      </c>
      <c r="F1511" t="n">
        <v>1.02</v>
      </c>
      <c r="G1511" t="n">
        <v>1</v>
      </c>
      <c r="J1511" t="inlineStr">
        <is>
          <t>A</t>
        </is>
      </c>
      <c r="K1511" t="n">
        <v>2024</v>
      </c>
      <c r="L1511" t="n">
        <v>6</v>
      </c>
      <c r="M1511" t="inlineStr">
        <is>
          <t>Requeijão Pizzalet 1,8 kg</t>
        </is>
      </c>
      <c r="N1511" t="inlineStr">
        <is>
          <t>Lanchonete / Cafeteria</t>
        </is>
      </c>
      <c r="O1511" t="n">
        <v>6</v>
      </c>
      <c r="P1511" t="n">
        <v>47</v>
      </c>
      <c r="Q1511" t="n">
        <v>6</v>
      </c>
    </row>
    <row r="1512">
      <c r="A1512" t="n">
        <v>2026</v>
      </c>
      <c r="B1512" t="n">
        <v>3</v>
      </c>
      <c r="C1512" t="inlineStr">
        <is>
          <t>Composto lácteo Alibralac 1 kg</t>
        </is>
      </c>
      <c r="D1512" t="inlineStr">
        <is>
          <t>Fábrica de Massas</t>
        </is>
      </c>
      <c r="E1512" t="n">
        <v>23.1</v>
      </c>
      <c r="F1512" t="n">
        <v>1.02</v>
      </c>
      <c r="G1512" t="n">
        <v>1</v>
      </c>
      <c r="J1512" t="inlineStr">
        <is>
          <t>M</t>
        </is>
      </c>
      <c r="K1512" t="n">
        <v>2024</v>
      </c>
      <c r="L1512" t="n">
        <v>6</v>
      </c>
      <c r="M1512" t="inlineStr">
        <is>
          <t>Requeijão Pizzalet 1,8 kg</t>
        </is>
      </c>
      <c r="N1512" t="inlineStr">
        <is>
          <t>Lanchonete / Cafeteria</t>
        </is>
      </c>
      <c r="O1512" t="n">
        <v>5</v>
      </c>
      <c r="P1512" t="n">
        <v>9</v>
      </c>
      <c r="Q1512" t="n">
        <v>0</v>
      </c>
    </row>
    <row r="1513">
      <c r="A1513" t="n">
        <v>2026</v>
      </c>
      <c r="B1513" t="n">
        <v>3</v>
      </c>
      <c r="C1513" t="inlineStr">
        <is>
          <t>Composto lácteo Alibralac 1 kg</t>
        </is>
      </c>
      <c r="D1513" t="inlineStr">
        <is>
          <t>Hamburgueria</t>
        </is>
      </c>
      <c r="E1513" t="n">
        <v>69.3</v>
      </c>
      <c r="F1513" t="n">
        <v>3.06</v>
      </c>
      <c r="G1513" t="n">
        <v>3</v>
      </c>
      <c r="J1513" t="inlineStr">
        <is>
          <t>A</t>
        </is>
      </c>
      <c r="K1513" t="n">
        <v>2024</v>
      </c>
      <c r="L1513" t="n">
        <v>7</v>
      </c>
      <c r="M1513" t="inlineStr">
        <is>
          <t>Requeijão Pizzalet 1,8 kg</t>
        </is>
      </c>
      <c r="N1513" t="inlineStr">
        <is>
          <t>Lanchonete / Cafeteria</t>
        </is>
      </c>
      <c r="O1513" t="n">
        <v>6</v>
      </c>
      <c r="P1513" t="n">
        <v>56</v>
      </c>
      <c r="Q1513" t="n">
        <v>6</v>
      </c>
    </row>
    <row r="1514">
      <c r="A1514" t="n">
        <v>2026</v>
      </c>
      <c r="B1514" t="n">
        <v>3</v>
      </c>
      <c r="C1514" t="inlineStr">
        <is>
          <t>Composto lácteo Alibralac 1 kg</t>
        </is>
      </c>
      <c r="D1514" t="inlineStr">
        <is>
          <t>Lanchonete / Cafeteria</t>
        </is>
      </c>
      <c r="E1514" t="n">
        <v>233.9</v>
      </c>
      <c r="F1514" t="n">
        <v>10.2</v>
      </c>
      <c r="G1514" t="n">
        <v>10</v>
      </c>
      <c r="J1514" t="inlineStr">
        <is>
          <t>M</t>
        </is>
      </c>
      <c r="K1514" t="n">
        <v>2024</v>
      </c>
      <c r="L1514" t="n">
        <v>7</v>
      </c>
      <c r="M1514" t="inlineStr">
        <is>
          <t>Requeijão Pizzalet 1,8 kg</t>
        </is>
      </c>
      <c r="N1514" t="inlineStr">
        <is>
          <t>Lanchonete / Cafeteria</t>
        </is>
      </c>
      <c r="O1514" t="n">
        <v>4</v>
      </c>
      <c r="P1514" t="n">
        <v>9</v>
      </c>
      <c r="Q1514" t="n">
        <v>0</v>
      </c>
    </row>
    <row r="1515">
      <c r="A1515" t="n">
        <v>2026</v>
      </c>
      <c r="B1515" t="n">
        <v>3</v>
      </c>
      <c r="C1515" t="inlineStr">
        <is>
          <t>Composto lácteo Alibralac 1 kg</t>
        </is>
      </c>
      <c r="D1515" t="inlineStr">
        <is>
          <t>Padaria</t>
        </is>
      </c>
      <c r="E1515" t="n">
        <v>462</v>
      </c>
      <c r="F1515" t="n">
        <v>20.4</v>
      </c>
      <c r="G1515" t="n">
        <v>20</v>
      </c>
      <c r="J1515" t="inlineStr">
        <is>
          <t>A</t>
        </is>
      </c>
      <c r="K1515" t="n">
        <v>2024</v>
      </c>
      <c r="L1515" t="n">
        <v>8</v>
      </c>
      <c r="M1515" t="inlineStr">
        <is>
          <t>Requeijão Pizzalet 1,8 kg</t>
        </is>
      </c>
      <c r="N1515" t="inlineStr">
        <is>
          <t>Lanchonete / Cafeteria</t>
        </is>
      </c>
      <c r="O1515" t="n">
        <v>7</v>
      </c>
      <c r="P1515" t="n">
        <v>68</v>
      </c>
      <c r="Q1515" t="n">
        <v>7</v>
      </c>
    </row>
    <row r="1516">
      <c r="A1516" t="n">
        <v>2026</v>
      </c>
      <c r="B1516" t="n">
        <v>3</v>
      </c>
      <c r="C1516" t="inlineStr">
        <is>
          <t>Composto lácteo Alibralac 1 kg</t>
        </is>
      </c>
      <c r="D1516" t="inlineStr">
        <is>
          <t>Pizzaria</t>
        </is>
      </c>
      <c r="E1516" t="n">
        <v>250.33</v>
      </c>
      <c r="F1516" t="n">
        <v>11.22</v>
      </c>
      <c r="G1516" t="n">
        <v>11</v>
      </c>
      <c r="J1516" t="inlineStr">
        <is>
          <t>M</t>
        </is>
      </c>
      <c r="K1516" t="n">
        <v>2024</v>
      </c>
      <c r="L1516" t="n">
        <v>8</v>
      </c>
      <c r="M1516" t="inlineStr">
        <is>
          <t>Requeijão Pizzalet 1,8 kg</t>
        </is>
      </c>
      <c r="N1516" t="inlineStr">
        <is>
          <t>Lanchonete / Cafeteria</t>
        </is>
      </c>
      <c r="O1516" t="n">
        <v>5</v>
      </c>
      <c r="P1516" t="n">
        <v>12</v>
      </c>
      <c r="Q1516" t="n">
        <v>0</v>
      </c>
    </row>
    <row r="1517">
      <c r="A1517" t="n">
        <v>2026</v>
      </c>
      <c r="B1517" t="n">
        <v>3</v>
      </c>
      <c r="C1517" t="inlineStr">
        <is>
          <t>Composto lácteo Alibralac 1 kg</t>
        </is>
      </c>
      <c r="D1517" t="inlineStr">
        <is>
          <t>Restaurante / Cantina</t>
        </is>
      </c>
      <c r="E1517" t="n">
        <v>1408.1</v>
      </c>
      <c r="F1517" t="n">
        <v>62.22</v>
      </c>
      <c r="G1517" t="n">
        <v>61</v>
      </c>
      <c r="J1517" t="inlineStr">
        <is>
          <t>A</t>
        </is>
      </c>
      <c r="K1517" t="n">
        <v>2024</v>
      </c>
      <c r="L1517" t="n">
        <v>9</v>
      </c>
      <c r="M1517" t="inlineStr">
        <is>
          <t>Requeijão Pizzalet 1,8 kg</t>
        </is>
      </c>
      <c r="N1517" t="inlineStr">
        <is>
          <t>Lanchonete / Cafeteria</t>
        </is>
      </c>
      <c r="O1517" t="n">
        <v>7</v>
      </c>
      <c r="P1517" t="n">
        <v>79</v>
      </c>
      <c r="Q1517" t="n">
        <v>7</v>
      </c>
    </row>
    <row r="1518">
      <c r="A1518" t="n">
        <v>2026</v>
      </c>
      <c r="B1518" t="n">
        <v>3</v>
      </c>
      <c r="C1518" t="inlineStr">
        <is>
          <t>Composto lácteo Merilú 400 g</t>
        </is>
      </c>
      <c r="D1518" t="inlineStr">
        <is>
          <t>Fábrica de Massas</t>
        </is>
      </c>
      <c r="E1518" t="n">
        <v>73</v>
      </c>
      <c r="F1518" t="n">
        <v>4.2</v>
      </c>
      <c r="G1518" t="n">
        <v>10</v>
      </c>
      <c r="J1518" t="inlineStr">
        <is>
          <t>M</t>
        </is>
      </c>
      <c r="K1518" t="n">
        <v>2024</v>
      </c>
      <c r="L1518" t="n">
        <v>9</v>
      </c>
      <c r="M1518" t="inlineStr">
        <is>
          <t>Requeijão Pizzalet 1,8 kg</t>
        </is>
      </c>
      <c r="N1518" t="inlineStr">
        <is>
          <t>Lanchonete / Cafeteria</t>
        </is>
      </c>
      <c r="O1518" t="n">
        <v>5</v>
      </c>
      <c r="P1518" t="n">
        <v>11</v>
      </c>
      <c r="Q1518" t="n">
        <v>0</v>
      </c>
    </row>
    <row r="1519">
      <c r="A1519" t="n">
        <v>2026</v>
      </c>
      <c r="B1519" t="n">
        <v>3</v>
      </c>
      <c r="C1519" t="inlineStr">
        <is>
          <t>Composto lácteo Merilú 400 g</t>
        </is>
      </c>
      <c r="D1519" t="inlineStr">
        <is>
          <t>Pizzaria</t>
        </is>
      </c>
      <c r="E1519" t="n">
        <v>58.4</v>
      </c>
      <c r="F1519" t="n">
        <v>3.36</v>
      </c>
      <c r="G1519" t="n">
        <v>8</v>
      </c>
      <c r="J1519" t="inlineStr">
        <is>
          <t>A</t>
        </is>
      </c>
      <c r="K1519" t="n">
        <v>2024</v>
      </c>
      <c r="L1519" t="n">
        <v>10</v>
      </c>
      <c r="M1519" t="inlineStr">
        <is>
          <t>Requeijão Pizzalet 1,8 kg</t>
        </is>
      </c>
      <c r="N1519" t="inlineStr">
        <is>
          <t>Lanchonete / Cafeteria</t>
        </is>
      </c>
      <c r="O1519" t="n">
        <v>8</v>
      </c>
      <c r="P1519" t="n">
        <v>91</v>
      </c>
      <c r="Q1519" t="n">
        <v>8</v>
      </c>
    </row>
    <row r="1520">
      <c r="A1520" t="n">
        <v>2026</v>
      </c>
      <c r="B1520" t="n">
        <v>3</v>
      </c>
      <c r="C1520" t="inlineStr">
        <is>
          <t>Composto lácteo Merilú 400 g</t>
        </is>
      </c>
      <c r="D1520" t="inlineStr">
        <is>
          <t>Restaurante / Cantina</t>
        </is>
      </c>
      <c r="E1520" t="n">
        <v>846.61</v>
      </c>
      <c r="F1520" t="n">
        <v>49.14</v>
      </c>
      <c r="G1520" t="n">
        <v>117</v>
      </c>
      <c r="J1520" t="inlineStr">
        <is>
          <t>M</t>
        </is>
      </c>
      <c r="K1520" t="n">
        <v>2024</v>
      </c>
      <c r="L1520" t="n">
        <v>10</v>
      </c>
      <c r="M1520" t="inlineStr">
        <is>
          <t>Requeijão Pizzalet 1,8 kg</t>
        </is>
      </c>
      <c r="N1520" t="inlineStr">
        <is>
          <t>Lanchonete / Cafeteria</t>
        </is>
      </c>
      <c r="O1520" t="n">
        <v>5</v>
      </c>
      <c r="P1520" t="n">
        <v>12</v>
      </c>
      <c r="Q1520" t="n">
        <v>0</v>
      </c>
    </row>
    <row r="1521">
      <c r="A1521" t="n">
        <v>2026</v>
      </c>
      <c r="B1521" t="n">
        <v>3</v>
      </c>
      <c r="C1521" t="inlineStr">
        <is>
          <t>Muçarela Mozzalet 2 kg</t>
        </is>
      </c>
      <c r="D1521" t="inlineStr">
        <is>
          <t>Cozinha Oriental</t>
        </is>
      </c>
      <c r="E1521" t="n">
        <v>534</v>
      </c>
      <c r="F1521" t="n">
        <v>24</v>
      </c>
      <c r="G1521" t="n">
        <v>12</v>
      </c>
      <c r="J1521" t="inlineStr">
        <is>
          <t>A</t>
        </is>
      </c>
      <c r="K1521" t="n">
        <v>2024</v>
      </c>
      <c r="L1521" t="n">
        <v>11</v>
      </c>
      <c r="M1521" t="inlineStr">
        <is>
          <t>Requeijão Pizzalet 1,8 kg</t>
        </is>
      </c>
      <c r="N1521" t="inlineStr">
        <is>
          <t>Lanchonete / Cafeteria</t>
        </is>
      </c>
      <c r="O1521" t="n">
        <v>8</v>
      </c>
      <c r="P1521" t="n">
        <v>105</v>
      </c>
      <c r="Q1521" t="n">
        <v>8</v>
      </c>
    </row>
    <row r="1522">
      <c r="A1522" t="n">
        <v>2026</v>
      </c>
      <c r="B1522" t="n">
        <v>3</v>
      </c>
      <c r="C1522" t="inlineStr">
        <is>
          <t>Muçarela Mozzalet 2 kg</t>
        </is>
      </c>
      <c r="D1522" t="inlineStr">
        <is>
          <t>Fábrica de Massas</t>
        </is>
      </c>
      <c r="E1522" t="n">
        <v>2275</v>
      </c>
      <c r="F1522" t="n">
        <v>100</v>
      </c>
      <c r="G1522" t="n">
        <v>50</v>
      </c>
      <c r="J1522" t="inlineStr">
        <is>
          <t>M</t>
        </is>
      </c>
      <c r="K1522" t="n">
        <v>2024</v>
      </c>
      <c r="L1522" t="n">
        <v>11</v>
      </c>
      <c r="M1522" t="inlineStr">
        <is>
          <t>Requeijão Pizzalet 1,8 kg</t>
        </is>
      </c>
      <c r="N1522" t="inlineStr">
        <is>
          <t>Lanchonete / Cafeteria</t>
        </is>
      </c>
      <c r="O1522" t="n">
        <v>5</v>
      </c>
      <c r="P1522" t="n">
        <v>14</v>
      </c>
      <c r="Q1522" t="n">
        <v>0</v>
      </c>
    </row>
    <row r="1523">
      <c r="A1523" t="n">
        <v>2026</v>
      </c>
      <c r="B1523" t="n">
        <v>3</v>
      </c>
      <c r="C1523" t="inlineStr">
        <is>
          <t>Muçarela Mozzalet 2 kg</t>
        </is>
      </c>
      <c r="D1523" t="inlineStr">
        <is>
          <t>Lanchonete / Cafeteria</t>
        </is>
      </c>
      <c r="E1523" t="n">
        <v>729.4400000000001</v>
      </c>
      <c r="F1523" t="n">
        <v>32</v>
      </c>
      <c r="G1523" t="n">
        <v>16</v>
      </c>
      <c r="J1523" t="inlineStr">
        <is>
          <t>A</t>
        </is>
      </c>
      <c r="K1523" t="n">
        <v>2024</v>
      </c>
      <c r="L1523" t="n">
        <v>12</v>
      </c>
      <c r="M1523" t="inlineStr">
        <is>
          <t>Requeijão Pizzalet 1,8 kg</t>
        </is>
      </c>
      <c r="N1523" t="inlineStr">
        <is>
          <t>Lanchonete / Cafeteria</t>
        </is>
      </c>
      <c r="O1523" t="n">
        <v>8</v>
      </c>
      <c r="P1523" t="n">
        <v>114</v>
      </c>
      <c r="Q1523" t="n">
        <v>8</v>
      </c>
    </row>
    <row r="1524">
      <c r="A1524" t="n">
        <v>2026</v>
      </c>
      <c r="B1524" t="n">
        <v>3</v>
      </c>
      <c r="C1524" t="inlineStr">
        <is>
          <t>Muçarela Mozzalet 2 kg</t>
        </is>
      </c>
      <c r="D1524" t="inlineStr">
        <is>
          <t>Padaria</t>
        </is>
      </c>
      <c r="E1524" t="n">
        <v>923.6</v>
      </c>
      <c r="F1524" t="n">
        <v>40</v>
      </c>
      <c r="G1524" t="n">
        <v>20</v>
      </c>
      <c r="J1524" t="inlineStr">
        <is>
          <t>M</t>
        </is>
      </c>
      <c r="K1524" t="n">
        <v>2024</v>
      </c>
      <c r="L1524" t="n">
        <v>12</v>
      </c>
      <c r="M1524" t="inlineStr">
        <is>
          <t>Requeijão Pizzalet 1,8 kg</t>
        </is>
      </c>
      <c r="N1524" t="inlineStr">
        <is>
          <t>Lanchonete / Cafeteria</t>
        </is>
      </c>
      <c r="O1524" t="n">
        <v>2</v>
      </c>
      <c r="P1524" t="n">
        <v>9</v>
      </c>
      <c r="Q1524" t="n">
        <v>0</v>
      </c>
    </row>
    <row r="1525">
      <c r="A1525" t="n">
        <v>2026</v>
      </c>
      <c r="B1525" t="n">
        <v>3</v>
      </c>
      <c r="C1525" t="inlineStr">
        <is>
          <t>Muçarela Mozzalet 2 kg</t>
        </is>
      </c>
      <c r="D1525" t="inlineStr">
        <is>
          <t>Pessoa Física</t>
        </is>
      </c>
      <c r="E1525" t="n">
        <v>91</v>
      </c>
      <c r="F1525" t="n">
        <v>4</v>
      </c>
      <c r="G1525" t="n">
        <v>2</v>
      </c>
      <c r="J1525" t="inlineStr">
        <is>
          <t>A</t>
        </is>
      </c>
      <c r="K1525" t="n">
        <v>2024</v>
      </c>
      <c r="L1525" t="n">
        <v>3</v>
      </c>
      <c r="M1525" t="inlineStr">
        <is>
          <t>Requeijão Pizzalet 1,8 kg</t>
        </is>
      </c>
      <c r="N1525" t="inlineStr">
        <is>
          <t>Padaria</t>
        </is>
      </c>
      <c r="O1525" t="n">
        <v>1</v>
      </c>
      <c r="P1525" t="n">
        <v>1</v>
      </c>
      <c r="Q1525" t="n">
        <v>1</v>
      </c>
    </row>
    <row r="1526">
      <c r="A1526" t="n">
        <v>2026</v>
      </c>
      <c r="B1526" t="n">
        <v>3</v>
      </c>
      <c r="C1526" t="inlineStr">
        <is>
          <t>Muçarela Mozzalet 2 kg</t>
        </is>
      </c>
      <c r="D1526" t="inlineStr">
        <is>
          <t>Pizzaria</t>
        </is>
      </c>
      <c r="E1526" t="n">
        <v>5373.18</v>
      </c>
      <c r="F1526" t="n">
        <v>234</v>
      </c>
      <c r="G1526" t="n">
        <v>117</v>
      </c>
      <c r="J1526" t="inlineStr">
        <is>
          <t>M</t>
        </is>
      </c>
      <c r="K1526" t="n">
        <v>2024</v>
      </c>
      <c r="L1526" t="n">
        <v>3</v>
      </c>
      <c r="M1526" t="inlineStr">
        <is>
          <t>Requeijão Pizzalet 1,8 kg</t>
        </is>
      </c>
      <c r="N1526" t="inlineStr">
        <is>
          <t>Padaria</t>
        </is>
      </c>
      <c r="O1526" t="n">
        <v>1</v>
      </c>
      <c r="P1526" t="n">
        <v>1</v>
      </c>
      <c r="Q1526" t="n">
        <v>0</v>
      </c>
    </row>
    <row r="1527">
      <c r="A1527" t="n">
        <v>2026</v>
      </c>
      <c r="B1527" t="n">
        <v>3</v>
      </c>
      <c r="C1527" t="inlineStr">
        <is>
          <t>Muçarela Mozzalet 2 kg</t>
        </is>
      </c>
      <c r="D1527" t="inlineStr">
        <is>
          <t>Restaurante / Cantina</t>
        </is>
      </c>
      <c r="E1527" t="n">
        <v>44188</v>
      </c>
      <c r="F1527" t="n">
        <v>1990</v>
      </c>
      <c r="G1527" t="n">
        <v>995</v>
      </c>
      <c r="J1527" t="inlineStr">
        <is>
          <t>A</t>
        </is>
      </c>
      <c r="K1527" t="n">
        <v>2024</v>
      </c>
      <c r="L1527" t="n">
        <v>4</v>
      </c>
      <c r="M1527" t="inlineStr">
        <is>
          <t>Requeijão Pizzalet 1,8 kg</t>
        </is>
      </c>
      <c r="N1527" t="inlineStr">
        <is>
          <t>Padaria</t>
        </is>
      </c>
      <c r="O1527" t="n">
        <v>1</v>
      </c>
      <c r="P1527" t="n">
        <v>1</v>
      </c>
      <c r="Q1527" t="n">
        <v>1</v>
      </c>
    </row>
    <row r="1528">
      <c r="A1528" t="n">
        <v>2026</v>
      </c>
      <c r="B1528" t="n">
        <v>3</v>
      </c>
      <c r="C1528" t="inlineStr">
        <is>
          <t>Muçarela Mozzana 2 kg</t>
        </is>
      </c>
      <c r="D1528" t="inlineStr">
        <is>
          <t>Adega</t>
        </is>
      </c>
      <c r="E1528" t="n">
        <v>409.9</v>
      </c>
      <c r="F1528" t="n">
        <v>20.2</v>
      </c>
      <c r="G1528" t="n">
        <v>10</v>
      </c>
      <c r="J1528" t="inlineStr">
        <is>
          <t>A</t>
        </is>
      </c>
      <c r="K1528" t="n">
        <v>2024</v>
      </c>
      <c r="L1528" t="n">
        <v>5</v>
      </c>
      <c r="M1528" t="inlineStr">
        <is>
          <t>Requeijão Pizzalet 1,8 kg</t>
        </is>
      </c>
      <c r="N1528" t="inlineStr">
        <is>
          <t>Padaria</t>
        </is>
      </c>
      <c r="O1528" t="n">
        <v>1</v>
      </c>
      <c r="P1528" t="n">
        <v>1</v>
      </c>
      <c r="Q1528" t="n">
        <v>1</v>
      </c>
    </row>
    <row r="1529">
      <c r="A1529" t="n">
        <v>2026</v>
      </c>
      <c r="B1529" t="n">
        <v>3</v>
      </c>
      <c r="C1529" t="inlineStr">
        <is>
          <t>Muçarela Mozzana 2 kg</t>
        </is>
      </c>
      <c r="D1529" t="inlineStr">
        <is>
          <t>Buffet</t>
        </is>
      </c>
      <c r="E1529" t="n">
        <v>504.09</v>
      </c>
      <c r="F1529" t="n">
        <v>24.24</v>
      </c>
      <c r="G1529" t="n">
        <v>12</v>
      </c>
      <c r="J1529" t="inlineStr">
        <is>
          <t>A</t>
        </is>
      </c>
      <c r="K1529" t="n">
        <v>2024</v>
      </c>
      <c r="L1529" t="n">
        <v>6</v>
      </c>
      <c r="M1529" t="inlineStr">
        <is>
          <t>Requeijão Pizzalet 1,8 kg</t>
        </is>
      </c>
      <c r="N1529" t="inlineStr">
        <is>
          <t>Padaria</t>
        </is>
      </c>
      <c r="O1529" t="n">
        <v>2</v>
      </c>
      <c r="P1529" t="n">
        <v>2</v>
      </c>
      <c r="Q1529" t="n">
        <v>2</v>
      </c>
    </row>
    <row r="1530">
      <c r="A1530" t="n">
        <v>2026</v>
      </c>
      <c r="B1530" t="n">
        <v>3</v>
      </c>
      <c r="C1530" t="inlineStr">
        <is>
          <t>Muçarela Mozzana 2 kg</t>
        </is>
      </c>
      <c r="D1530" t="inlineStr">
        <is>
          <t>Confeitaria</t>
        </is>
      </c>
      <c r="E1530" t="n">
        <v>1367.58</v>
      </c>
      <c r="F1530" t="n">
        <v>66.66</v>
      </c>
      <c r="G1530" t="n">
        <v>33</v>
      </c>
      <c r="J1530" t="inlineStr">
        <is>
          <t>M</t>
        </is>
      </c>
      <c r="K1530" t="n">
        <v>2024</v>
      </c>
      <c r="L1530" t="n">
        <v>6</v>
      </c>
      <c r="M1530" t="inlineStr">
        <is>
          <t>Requeijão Pizzalet 1,8 kg</t>
        </is>
      </c>
      <c r="N1530" t="inlineStr">
        <is>
          <t>Padaria</t>
        </is>
      </c>
      <c r="O1530" t="n">
        <v>1</v>
      </c>
      <c r="P1530" t="n">
        <v>1</v>
      </c>
      <c r="Q1530" t="n">
        <v>0</v>
      </c>
    </row>
    <row r="1531">
      <c r="A1531" t="n">
        <v>2026</v>
      </c>
      <c r="B1531" t="n">
        <v>3</v>
      </c>
      <c r="C1531" t="inlineStr">
        <is>
          <t>Muçarela Mozzana 2 kg</t>
        </is>
      </c>
      <c r="D1531" t="inlineStr">
        <is>
          <t>Cozinha Industrial</t>
        </is>
      </c>
      <c r="E1531" t="n">
        <v>38591.08</v>
      </c>
      <c r="F1531" t="n">
        <v>1868.5</v>
      </c>
      <c r="G1531" t="n">
        <v>925</v>
      </c>
      <c r="J1531" t="inlineStr">
        <is>
          <t>A</t>
        </is>
      </c>
      <c r="K1531" t="n">
        <v>2024</v>
      </c>
      <c r="L1531" t="n">
        <v>7</v>
      </c>
      <c r="M1531" t="inlineStr">
        <is>
          <t>Requeijão Pizzalet 1,8 kg</t>
        </is>
      </c>
      <c r="N1531" t="inlineStr">
        <is>
          <t>Padaria</t>
        </is>
      </c>
      <c r="O1531" t="n">
        <v>2</v>
      </c>
      <c r="P1531" t="n">
        <v>2</v>
      </c>
      <c r="Q1531" t="n">
        <v>2</v>
      </c>
    </row>
    <row r="1532">
      <c r="A1532" t="n">
        <v>2026</v>
      </c>
      <c r="B1532" t="n">
        <v>3</v>
      </c>
      <c r="C1532" t="inlineStr">
        <is>
          <t>Muçarela Mozzana 2 kg</t>
        </is>
      </c>
      <c r="D1532" t="inlineStr">
        <is>
          <t>Esfiharia</t>
        </is>
      </c>
      <c r="E1532" t="n">
        <v>9509.9</v>
      </c>
      <c r="F1532" t="n">
        <v>444.4</v>
      </c>
      <c r="G1532" t="n">
        <v>220</v>
      </c>
      <c r="J1532" t="inlineStr">
        <is>
          <t>A</t>
        </is>
      </c>
      <c r="K1532" t="n">
        <v>2024</v>
      </c>
      <c r="L1532" t="n">
        <v>8</v>
      </c>
      <c r="M1532" t="inlineStr">
        <is>
          <t>Requeijão Pizzalet 1,8 kg</t>
        </is>
      </c>
      <c r="N1532" t="inlineStr">
        <is>
          <t>Padaria</t>
        </is>
      </c>
      <c r="O1532" t="n">
        <v>2</v>
      </c>
      <c r="P1532" t="n">
        <v>2</v>
      </c>
      <c r="Q1532" t="n">
        <v>2</v>
      </c>
    </row>
    <row r="1533">
      <c r="A1533" t="n">
        <v>2026</v>
      </c>
      <c r="B1533" t="n">
        <v>3</v>
      </c>
      <c r="C1533" t="inlineStr">
        <is>
          <t>Muçarela Mozzana 2 kg</t>
        </is>
      </c>
      <c r="D1533" t="inlineStr">
        <is>
          <t>Fábrica de Massas</t>
        </is>
      </c>
      <c r="E1533" t="n">
        <v>2031.7</v>
      </c>
      <c r="F1533" t="n">
        <v>98.98</v>
      </c>
      <c r="G1533" t="n">
        <v>49</v>
      </c>
      <c r="J1533" t="inlineStr">
        <is>
          <t>A</t>
        </is>
      </c>
      <c r="K1533" t="n">
        <v>2024</v>
      </c>
      <c r="L1533" t="n">
        <v>9</v>
      </c>
      <c r="M1533" t="inlineStr">
        <is>
          <t>Requeijão Pizzalet 1,8 kg</t>
        </is>
      </c>
      <c r="N1533" t="inlineStr">
        <is>
          <t>Padaria</t>
        </is>
      </c>
      <c r="O1533" t="n">
        <v>2</v>
      </c>
      <c r="P1533" t="n">
        <v>2</v>
      </c>
      <c r="Q1533" t="n">
        <v>2</v>
      </c>
    </row>
    <row r="1534">
      <c r="A1534" t="n">
        <v>2026</v>
      </c>
      <c r="B1534" t="n">
        <v>3</v>
      </c>
      <c r="C1534" t="inlineStr">
        <is>
          <t>Muçarela Mozzana 2 kg</t>
        </is>
      </c>
      <c r="D1534" t="inlineStr">
        <is>
          <t>Lanchonete / Cafeteria</t>
        </is>
      </c>
      <c r="E1534" t="n">
        <v>5252.88</v>
      </c>
      <c r="F1534" t="n">
        <v>256.54</v>
      </c>
      <c r="G1534" t="n">
        <v>127</v>
      </c>
      <c r="J1534" t="inlineStr">
        <is>
          <t>A</t>
        </is>
      </c>
      <c r="K1534" t="n">
        <v>2024</v>
      </c>
      <c r="L1534" t="n">
        <v>10</v>
      </c>
      <c r="M1534" t="inlineStr">
        <is>
          <t>Requeijão Pizzalet 1,8 kg</t>
        </is>
      </c>
      <c r="N1534" t="inlineStr">
        <is>
          <t>Padaria</t>
        </is>
      </c>
      <c r="O1534" t="n">
        <v>2</v>
      </c>
      <c r="P1534" t="n">
        <v>2</v>
      </c>
      <c r="Q1534" t="n">
        <v>2</v>
      </c>
    </row>
    <row r="1535">
      <c r="A1535" t="n">
        <v>2026</v>
      </c>
      <c r="B1535" t="n">
        <v>3</v>
      </c>
      <c r="C1535" t="inlineStr">
        <is>
          <t>Muçarela Mozzana 2 kg</t>
        </is>
      </c>
      <c r="D1535" t="inlineStr">
        <is>
          <t>Mercearia / Sacolão</t>
        </is>
      </c>
      <c r="E1535" t="n">
        <v>2963.52</v>
      </c>
      <c r="F1535" t="n">
        <v>145.44</v>
      </c>
      <c r="G1535" t="n">
        <v>72</v>
      </c>
      <c r="J1535" t="inlineStr">
        <is>
          <t>A</t>
        </is>
      </c>
      <c r="K1535" t="n">
        <v>2024</v>
      </c>
      <c r="L1535" t="n">
        <v>11</v>
      </c>
      <c r="M1535" t="inlineStr">
        <is>
          <t>Requeijão Pizzalet 1,8 kg</t>
        </is>
      </c>
      <c r="N1535" t="inlineStr">
        <is>
          <t>Padaria</t>
        </is>
      </c>
      <c r="O1535" t="n">
        <v>2</v>
      </c>
      <c r="P1535" t="n">
        <v>2</v>
      </c>
      <c r="Q1535" t="n">
        <v>2</v>
      </c>
    </row>
    <row r="1536">
      <c r="A1536" t="n">
        <v>2026</v>
      </c>
      <c r="B1536" t="n">
        <v>3</v>
      </c>
      <c r="C1536" t="inlineStr">
        <is>
          <t>Muçarela Mozzana 2 kg</t>
        </is>
      </c>
      <c r="D1536" t="inlineStr">
        <is>
          <t>Não Selecionado</t>
        </is>
      </c>
      <c r="E1536" t="n">
        <v>291.46</v>
      </c>
      <c r="F1536" t="n">
        <v>14.14</v>
      </c>
      <c r="G1536" t="n">
        <v>7</v>
      </c>
      <c r="J1536" t="inlineStr">
        <is>
          <t>A</t>
        </is>
      </c>
      <c r="K1536" t="n">
        <v>2024</v>
      </c>
      <c r="L1536" t="n">
        <v>12</v>
      </c>
      <c r="M1536" t="inlineStr">
        <is>
          <t>Requeijão Pizzalet 1,8 kg</t>
        </is>
      </c>
      <c r="N1536" t="inlineStr">
        <is>
          <t>Padaria</t>
        </is>
      </c>
      <c r="O1536" t="n">
        <v>2</v>
      </c>
      <c r="P1536" t="n">
        <v>2</v>
      </c>
      <c r="Q1536" t="n">
        <v>2</v>
      </c>
    </row>
    <row r="1537">
      <c r="A1537" t="n">
        <v>2026</v>
      </c>
      <c r="B1537" t="n">
        <v>3</v>
      </c>
      <c r="C1537" t="inlineStr">
        <is>
          <t>Muçarela Mozzana 2 kg</t>
        </is>
      </c>
      <c r="D1537" t="inlineStr">
        <is>
          <t>Outros</t>
        </is>
      </c>
      <c r="E1537" t="n">
        <v>14160.32</v>
      </c>
      <c r="F1537" t="n">
        <v>674.6799999999999</v>
      </c>
      <c r="G1537" t="n">
        <v>334</v>
      </c>
      <c r="J1537" t="inlineStr">
        <is>
          <t>A</t>
        </is>
      </c>
      <c r="K1537" t="n">
        <v>2024</v>
      </c>
      <c r="L1537" t="n">
        <v>1</v>
      </c>
      <c r="M1537" t="inlineStr">
        <is>
          <t>Requeijão Pizzalet 1,8 kg</t>
        </is>
      </c>
      <c r="N1537" t="inlineStr">
        <is>
          <t>Hamburgueria</t>
        </is>
      </c>
      <c r="O1537" t="n">
        <v>1</v>
      </c>
      <c r="P1537" t="n">
        <v>2</v>
      </c>
      <c r="Q1537" t="n">
        <v>1</v>
      </c>
    </row>
    <row r="1538">
      <c r="A1538" t="n">
        <v>2026</v>
      </c>
      <c r="B1538" t="n">
        <v>3</v>
      </c>
      <c r="C1538" t="inlineStr">
        <is>
          <t>Muçarela Mozzana 2 kg</t>
        </is>
      </c>
      <c r="D1538" t="inlineStr">
        <is>
          <t>Padaria</t>
        </is>
      </c>
      <c r="E1538" t="n">
        <v>5010.64</v>
      </c>
      <c r="F1538" t="n">
        <v>242.4</v>
      </c>
      <c r="G1538" t="n">
        <v>120</v>
      </c>
      <c r="J1538" t="inlineStr">
        <is>
          <t>M</t>
        </is>
      </c>
      <c r="K1538" t="n">
        <v>2024</v>
      </c>
      <c r="L1538" t="n">
        <v>1</v>
      </c>
      <c r="M1538" t="inlineStr">
        <is>
          <t>Requeijão Pizzalet 1,8 kg</t>
        </is>
      </c>
      <c r="N1538" t="inlineStr">
        <is>
          <t>Hamburgueria</t>
        </is>
      </c>
      <c r="O1538" t="n">
        <v>1</v>
      </c>
      <c r="P1538" t="n">
        <v>2</v>
      </c>
      <c r="Q1538" t="n">
        <v>0</v>
      </c>
    </row>
    <row r="1539">
      <c r="A1539" t="n">
        <v>2026</v>
      </c>
      <c r="B1539" t="n">
        <v>3</v>
      </c>
      <c r="C1539" t="inlineStr">
        <is>
          <t>Muçarela Mozzana 2 kg</t>
        </is>
      </c>
      <c r="D1539" t="inlineStr">
        <is>
          <t>Pastelaria</t>
        </is>
      </c>
      <c r="E1539" t="n">
        <v>3568.54</v>
      </c>
      <c r="F1539" t="n">
        <v>173.72</v>
      </c>
      <c r="G1539" t="n">
        <v>86</v>
      </c>
      <c r="J1539" t="inlineStr">
        <is>
          <t>A</t>
        </is>
      </c>
      <c r="K1539" t="n">
        <v>2024</v>
      </c>
      <c r="L1539" t="n">
        <v>2</v>
      </c>
      <c r="M1539" t="inlineStr">
        <is>
          <t>Requeijão Pizzalet 1,8 kg</t>
        </is>
      </c>
      <c r="N1539" t="inlineStr">
        <is>
          <t>Hamburgueria</t>
        </is>
      </c>
      <c r="O1539" t="n">
        <v>1</v>
      </c>
      <c r="P1539" t="n">
        <v>2</v>
      </c>
      <c r="Q1539" t="n">
        <v>1</v>
      </c>
    </row>
    <row r="1540">
      <c r="A1540" t="n">
        <v>2026</v>
      </c>
      <c r="B1540" t="n">
        <v>3</v>
      </c>
      <c r="C1540" t="inlineStr">
        <is>
          <t>Muçarela Mozzana 2 kg</t>
        </is>
      </c>
      <c r="D1540" t="inlineStr">
        <is>
          <t>Pessoa Física</t>
        </is>
      </c>
      <c r="E1540" t="n">
        <v>11184.8</v>
      </c>
      <c r="F1540" t="n">
        <v>537.3200000000001</v>
      </c>
      <c r="G1540" t="n">
        <v>266</v>
      </c>
      <c r="J1540" t="inlineStr">
        <is>
          <t>A</t>
        </is>
      </c>
      <c r="K1540" t="n">
        <v>2024</v>
      </c>
      <c r="L1540" t="n">
        <v>3</v>
      </c>
      <c r="M1540" t="inlineStr">
        <is>
          <t>Requeijão Pizzalet 1,8 kg</t>
        </is>
      </c>
      <c r="N1540" t="inlineStr">
        <is>
          <t>Hamburgueria</t>
        </is>
      </c>
      <c r="O1540" t="n">
        <v>1</v>
      </c>
      <c r="P1540" t="n">
        <v>2</v>
      </c>
      <c r="Q1540" t="n">
        <v>1</v>
      </c>
    </row>
    <row r="1541">
      <c r="A1541" t="n">
        <v>2026</v>
      </c>
      <c r="B1541" t="n">
        <v>3</v>
      </c>
      <c r="C1541" t="inlineStr">
        <is>
          <t>Muçarela Mozzana 2 kg</t>
        </is>
      </c>
      <c r="D1541" t="inlineStr">
        <is>
          <t>Pizzaria</t>
        </is>
      </c>
      <c r="E1541" t="n">
        <v>98321.10000000001</v>
      </c>
      <c r="F1541" t="n">
        <v>4777.3</v>
      </c>
      <c r="G1541" t="n">
        <v>2365</v>
      </c>
      <c r="J1541" t="inlineStr">
        <is>
          <t>A</t>
        </is>
      </c>
      <c r="K1541" t="n">
        <v>2024</v>
      </c>
      <c r="L1541" t="n">
        <v>4</v>
      </c>
      <c r="M1541" t="inlineStr">
        <is>
          <t>Requeijão Pizzalet 1,8 kg</t>
        </is>
      </c>
      <c r="N1541" t="inlineStr">
        <is>
          <t>Hamburgueria</t>
        </is>
      </c>
      <c r="O1541" t="n">
        <v>1</v>
      </c>
      <c r="P1541" t="n">
        <v>2</v>
      </c>
      <c r="Q1541" t="n">
        <v>1</v>
      </c>
    </row>
    <row r="1542">
      <c r="A1542" t="n">
        <v>2026</v>
      </c>
      <c r="B1542" t="n">
        <v>3</v>
      </c>
      <c r="C1542" t="inlineStr">
        <is>
          <t>Muçarela Mozzana 2 kg</t>
        </is>
      </c>
      <c r="D1542" t="inlineStr">
        <is>
          <t>Restaurante / Cantina</t>
        </is>
      </c>
      <c r="E1542" t="n">
        <v>13257.45</v>
      </c>
      <c r="F1542" t="n">
        <v>648.42</v>
      </c>
      <c r="G1542" t="n">
        <v>321</v>
      </c>
      <c r="J1542" t="inlineStr">
        <is>
          <t>A</t>
        </is>
      </c>
      <c r="K1542" t="n">
        <v>2024</v>
      </c>
      <c r="L1542" t="n">
        <v>5</v>
      </c>
      <c r="M1542" t="inlineStr">
        <is>
          <t>Requeijão Pizzalet 1,8 kg</t>
        </is>
      </c>
      <c r="N1542" t="inlineStr">
        <is>
          <t>Hamburgueria</t>
        </is>
      </c>
      <c r="O1542" t="n">
        <v>1</v>
      </c>
      <c r="P1542" t="n">
        <v>2</v>
      </c>
      <c r="Q1542" t="n">
        <v>1</v>
      </c>
    </row>
    <row r="1543">
      <c r="A1543" t="n">
        <v>2026</v>
      </c>
      <c r="B1543" t="n">
        <v>3</v>
      </c>
      <c r="C1543" t="inlineStr">
        <is>
          <t>Muçarela Mozzana 2 kg</t>
        </is>
      </c>
      <c r="D1543" t="inlineStr">
        <is>
          <t>Rotisserie</t>
        </is>
      </c>
      <c r="E1543" t="n">
        <v>166.84</v>
      </c>
      <c r="F1543" t="n">
        <v>8.08</v>
      </c>
      <c r="G1543" t="n">
        <v>4</v>
      </c>
      <c r="J1543" t="inlineStr">
        <is>
          <t>A</t>
        </is>
      </c>
      <c r="K1543" t="n">
        <v>2024</v>
      </c>
      <c r="L1543" t="n">
        <v>6</v>
      </c>
      <c r="M1543" t="inlineStr">
        <is>
          <t>Requeijão Pizzalet 1,8 kg</t>
        </is>
      </c>
      <c r="N1543" t="inlineStr">
        <is>
          <t>Hamburgueria</t>
        </is>
      </c>
      <c r="O1543" t="n">
        <v>1</v>
      </c>
      <c r="P1543" t="n">
        <v>2</v>
      </c>
      <c r="Q1543" t="n">
        <v>1</v>
      </c>
    </row>
    <row r="1544">
      <c r="A1544" t="n">
        <v>2026</v>
      </c>
      <c r="B1544" t="n">
        <v>3</v>
      </c>
      <c r="C1544" t="inlineStr">
        <is>
          <t>Muçarela Mozzana 2 kg</t>
        </is>
      </c>
      <c r="D1544" t="inlineStr">
        <is>
          <t>Supermercado</t>
        </is>
      </c>
      <c r="E1544" t="n">
        <v>2272.35</v>
      </c>
      <c r="F1544" t="n">
        <v>103.02</v>
      </c>
      <c r="G1544" t="n">
        <v>51</v>
      </c>
      <c r="J1544" t="inlineStr">
        <is>
          <t>A</t>
        </is>
      </c>
      <c r="K1544" t="n">
        <v>2024</v>
      </c>
      <c r="L1544" t="n">
        <v>7</v>
      </c>
      <c r="M1544" t="inlineStr">
        <is>
          <t>Requeijão Pizzalet 1,8 kg</t>
        </is>
      </c>
      <c r="N1544" t="inlineStr">
        <is>
          <t>Hamburgueria</t>
        </is>
      </c>
      <c r="O1544" t="n">
        <v>1</v>
      </c>
      <c r="P1544" t="n">
        <v>2</v>
      </c>
      <c r="Q1544" t="n">
        <v>1</v>
      </c>
    </row>
    <row r="1545">
      <c r="A1545" t="n">
        <v>2026</v>
      </c>
      <c r="B1545" t="n">
        <v>3</v>
      </c>
      <c r="C1545" t="inlineStr">
        <is>
          <t>Requeijão Pizzalet 1,8 kg</t>
        </is>
      </c>
      <c r="D1545" t="inlineStr">
        <is>
          <t>Bar / Chopperia</t>
        </is>
      </c>
      <c r="E1545" t="n">
        <v>190.68</v>
      </c>
      <c r="F1545" t="n">
        <v>22.08</v>
      </c>
      <c r="G1545" t="n">
        <v>12</v>
      </c>
      <c r="J1545" t="inlineStr">
        <is>
          <t>A</t>
        </is>
      </c>
      <c r="K1545" t="n">
        <v>2024</v>
      </c>
      <c r="L1545" t="n">
        <v>8</v>
      </c>
      <c r="M1545" t="inlineStr">
        <is>
          <t>Requeijão Pizzalet 1,8 kg</t>
        </is>
      </c>
      <c r="N1545" t="inlineStr">
        <is>
          <t>Hamburgueria</t>
        </is>
      </c>
      <c r="O1545" t="n">
        <v>1</v>
      </c>
      <c r="P1545" t="n">
        <v>2</v>
      </c>
      <c r="Q1545" t="n">
        <v>1</v>
      </c>
    </row>
    <row r="1546">
      <c r="A1546" t="n">
        <v>2026</v>
      </c>
      <c r="B1546" t="n">
        <v>3</v>
      </c>
      <c r="C1546" t="inlineStr">
        <is>
          <t>Requeijão Pizzalet 1,8 kg</t>
        </is>
      </c>
      <c r="D1546" t="inlineStr">
        <is>
          <t>Lanchonete / Cafeteria</t>
        </is>
      </c>
      <c r="E1546" t="n">
        <v>1476.93</v>
      </c>
      <c r="F1546" t="n">
        <v>171.12</v>
      </c>
      <c r="G1546" t="n">
        <v>93</v>
      </c>
      <c r="J1546" t="inlineStr">
        <is>
          <t>A</t>
        </is>
      </c>
      <c r="K1546" t="n">
        <v>2024</v>
      </c>
      <c r="L1546" t="n">
        <v>9</v>
      </c>
      <c r="M1546" t="inlineStr">
        <is>
          <t>Requeijão Pizzalet 1,8 kg</t>
        </is>
      </c>
      <c r="N1546" t="inlineStr">
        <is>
          <t>Hamburgueria</t>
        </is>
      </c>
      <c r="O1546" t="n">
        <v>1</v>
      </c>
      <c r="P1546" t="n">
        <v>2</v>
      </c>
      <c r="Q1546" t="n">
        <v>1</v>
      </c>
    </row>
    <row r="1547">
      <c r="A1547" t="n">
        <v>2026</v>
      </c>
      <c r="B1547" t="n">
        <v>3</v>
      </c>
      <c r="C1547" t="inlineStr">
        <is>
          <t>Requeijão Pizzalet 1,8 kg</t>
        </is>
      </c>
      <c r="D1547" t="inlineStr">
        <is>
          <t>Pastelaria</t>
        </is>
      </c>
      <c r="E1547" t="n">
        <v>2449.68</v>
      </c>
      <c r="F1547" t="n">
        <v>279.68</v>
      </c>
      <c r="G1547" t="n">
        <v>152</v>
      </c>
      <c r="J1547" t="inlineStr">
        <is>
          <t>A</t>
        </is>
      </c>
      <c r="K1547" t="n">
        <v>2024</v>
      </c>
      <c r="L1547" t="n">
        <v>10</v>
      </c>
      <c r="M1547" t="inlineStr">
        <is>
          <t>Requeijão Pizzalet 1,8 kg</t>
        </is>
      </c>
      <c r="N1547" t="inlineStr">
        <is>
          <t>Hamburgueria</t>
        </is>
      </c>
      <c r="O1547" t="n">
        <v>1</v>
      </c>
      <c r="P1547" t="n">
        <v>2</v>
      </c>
      <c r="Q1547" t="n">
        <v>1</v>
      </c>
    </row>
    <row r="1548">
      <c r="A1548" t="n">
        <v>2026</v>
      </c>
      <c r="B1548" t="n">
        <v>3</v>
      </c>
      <c r="C1548" t="inlineStr">
        <is>
          <t>Requeijão Pizzalet 1,8 kg</t>
        </is>
      </c>
      <c r="D1548" t="inlineStr">
        <is>
          <t>Pizzaria</t>
        </is>
      </c>
      <c r="E1548" t="n">
        <v>4041.68</v>
      </c>
      <c r="F1548" t="n">
        <v>456.32</v>
      </c>
      <c r="G1548" t="n">
        <v>248</v>
      </c>
      <c r="J1548" t="inlineStr">
        <is>
          <t>A</t>
        </is>
      </c>
      <c r="K1548" t="n">
        <v>2024</v>
      </c>
      <c r="L1548" t="n">
        <v>11</v>
      </c>
      <c r="M1548" t="inlineStr">
        <is>
          <t>Requeijão Pizzalet 1,8 kg</t>
        </is>
      </c>
      <c r="N1548" t="inlineStr">
        <is>
          <t>Hamburgueria</t>
        </is>
      </c>
      <c r="O1548" t="n">
        <v>1</v>
      </c>
      <c r="P1548" t="n">
        <v>2</v>
      </c>
      <c r="Q1548" t="n">
        <v>1</v>
      </c>
    </row>
    <row r="1549">
      <c r="A1549" t="n">
        <v>2026</v>
      </c>
      <c r="B1549" t="n">
        <v>3</v>
      </c>
      <c r="C1549" t="inlineStr">
        <is>
          <t>Requeijão Pizzalet 1,8 kg</t>
        </is>
      </c>
      <c r="D1549" t="inlineStr">
        <is>
          <t>Restaurante / Cantina</t>
        </is>
      </c>
      <c r="E1549" t="n">
        <v>175.53</v>
      </c>
      <c r="F1549" t="n">
        <v>20.24</v>
      </c>
      <c r="G1549" t="n">
        <v>11</v>
      </c>
      <c r="J1549" t="inlineStr">
        <is>
          <t>A</t>
        </is>
      </c>
      <c r="K1549" t="n">
        <v>2024</v>
      </c>
      <c r="L1549" t="n">
        <v>12</v>
      </c>
      <c r="M1549" t="inlineStr">
        <is>
          <t>Requeijão Pizzalet 1,8 kg</t>
        </is>
      </c>
      <c r="N1549" t="inlineStr">
        <is>
          <t>Hamburgueria</t>
        </is>
      </c>
      <c r="O1549" t="n">
        <v>1</v>
      </c>
      <c r="P1549" t="n">
        <v>2</v>
      </c>
      <c r="Q1549" t="n">
        <v>1</v>
      </c>
    </row>
    <row r="1550">
      <c r="A1550" t="n">
        <v>2026</v>
      </c>
      <c r="B1550" t="n">
        <v>4</v>
      </c>
      <c r="C1550" t="inlineStr">
        <is>
          <t>Chocolate em pó 50% 1 kg</t>
        </is>
      </c>
      <c r="D1550" t="inlineStr">
        <is>
          <t>Açougue</t>
        </is>
      </c>
      <c r="E1550" t="n">
        <v>41.89</v>
      </c>
      <c r="F1550" t="n">
        <v>1.02</v>
      </c>
      <c r="G1550" t="n">
        <v>1</v>
      </c>
      <c r="J1550" t="inlineStr">
        <is>
          <t>A</t>
        </is>
      </c>
      <c r="K1550" t="n">
        <v>2024</v>
      </c>
      <c r="L1550" t="n">
        <v>1</v>
      </c>
      <c r="M1550" t="inlineStr">
        <is>
          <t>Requeijão Pizzalet 1,8 kg</t>
        </is>
      </c>
      <c r="N1550" t="inlineStr">
        <is>
          <t>Bar / Chopperia</t>
        </is>
      </c>
      <c r="O1550" t="n">
        <v>1</v>
      </c>
      <c r="P1550" t="n">
        <v>2</v>
      </c>
      <c r="Q1550" t="n">
        <v>1</v>
      </c>
    </row>
    <row r="1551">
      <c r="A1551" t="n">
        <v>2026</v>
      </c>
      <c r="B1551" t="n">
        <v>4</v>
      </c>
      <c r="C1551" t="inlineStr">
        <is>
          <t>Chocolate em pó 50% 1 kg</t>
        </is>
      </c>
      <c r="D1551" t="inlineStr">
        <is>
          <t>Buffet</t>
        </is>
      </c>
      <c r="E1551" t="n">
        <v>441.06</v>
      </c>
      <c r="F1551" t="n">
        <v>10.2</v>
      </c>
      <c r="G1551" t="n">
        <v>10</v>
      </c>
      <c r="J1551" t="inlineStr">
        <is>
          <t>M</t>
        </is>
      </c>
      <c r="K1551" t="n">
        <v>2024</v>
      </c>
      <c r="L1551" t="n">
        <v>1</v>
      </c>
      <c r="M1551" t="inlineStr">
        <is>
          <t>Requeijão Pizzalet 1,8 kg</t>
        </is>
      </c>
      <c r="N1551" t="inlineStr">
        <is>
          <t>Bar / Chopperia</t>
        </is>
      </c>
      <c r="O1551" t="n">
        <v>1</v>
      </c>
      <c r="P1551" t="n">
        <v>2</v>
      </c>
      <c r="Q1551" t="n">
        <v>0</v>
      </c>
    </row>
    <row r="1552">
      <c r="A1552" t="n">
        <v>2026</v>
      </c>
      <c r="B1552" t="n">
        <v>4</v>
      </c>
      <c r="C1552" t="inlineStr">
        <is>
          <t>Chocolate em pó 50% 1 kg</t>
        </is>
      </c>
      <c r="D1552" t="inlineStr">
        <is>
          <t>Cozinha Industrial</t>
        </is>
      </c>
      <c r="E1552" t="n">
        <v>174.82</v>
      </c>
      <c r="F1552" t="n">
        <v>4.08</v>
      </c>
      <c r="G1552" t="n">
        <v>4</v>
      </c>
      <c r="J1552" t="inlineStr">
        <is>
          <t>A</t>
        </is>
      </c>
      <c r="K1552" t="n">
        <v>2024</v>
      </c>
      <c r="L1552" t="n">
        <v>2</v>
      </c>
      <c r="M1552" t="inlineStr">
        <is>
          <t>Requeijão Pizzalet 1,8 kg</t>
        </is>
      </c>
      <c r="N1552" t="inlineStr">
        <is>
          <t>Bar / Chopperia</t>
        </is>
      </c>
      <c r="O1552" t="n">
        <v>1</v>
      </c>
      <c r="P1552" t="n">
        <v>5</v>
      </c>
      <c r="Q1552" t="n">
        <v>1</v>
      </c>
    </row>
    <row r="1553">
      <c r="A1553" t="n">
        <v>2026</v>
      </c>
      <c r="B1553" t="n">
        <v>4</v>
      </c>
      <c r="C1553" t="inlineStr">
        <is>
          <t>Chocolate em pó 50% 1 kg</t>
        </is>
      </c>
      <c r="D1553" t="inlineStr">
        <is>
          <t>Distribuidor Alimentos</t>
        </is>
      </c>
      <c r="E1553" t="n">
        <v>45</v>
      </c>
      <c r="F1553" t="n">
        <v>1.02</v>
      </c>
      <c r="G1553" t="n">
        <v>1</v>
      </c>
      <c r="J1553" t="inlineStr">
        <is>
          <t>M</t>
        </is>
      </c>
      <c r="K1553" t="n">
        <v>2024</v>
      </c>
      <c r="L1553" t="n">
        <v>2</v>
      </c>
      <c r="M1553" t="inlineStr">
        <is>
          <t>Requeijão Pizzalet 1,8 kg</t>
        </is>
      </c>
      <c r="N1553" t="inlineStr">
        <is>
          <t>Bar / Chopperia</t>
        </is>
      </c>
      <c r="O1553" t="n">
        <v>1</v>
      </c>
      <c r="P1553" t="n">
        <v>3</v>
      </c>
      <c r="Q1553" t="n">
        <v>0</v>
      </c>
    </row>
    <row r="1554">
      <c r="A1554" t="n">
        <v>2026</v>
      </c>
      <c r="B1554" t="n">
        <v>4</v>
      </c>
      <c r="C1554" t="inlineStr">
        <is>
          <t>Chocolate em pó 50% 1 kg</t>
        </is>
      </c>
      <c r="D1554" t="inlineStr">
        <is>
          <t>Esfiharia</t>
        </is>
      </c>
      <c r="E1554" t="n">
        <v>135</v>
      </c>
      <c r="F1554" t="n">
        <v>3.06</v>
      </c>
      <c r="G1554" t="n">
        <v>3</v>
      </c>
      <c r="J1554" t="inlineStr">
        <is>
          <t>A</t>
        </is>
      </c>
      <c r="K1554" t="n">
        <v>2024</v>
      </c>
      <c r="L1554" t="n">
        <v>3</v>
      </c>
      <c r="M1554" t="inlineStr">
        <is>
          <t>Requeijão Pizzalet 1,8 kg</t>
        </is>
      </c>
      <c r="N1554" t="inlineStr">
        <is>
          <t>Bar / Chopperia</t>
        </is>
      </c>
      <c r="O1554" t="n">
        <v>1</v>
      </c>
      <c r="P1554" t="n">
        <v>8</v>
      </c>
      <c r="Q1554" t="n">
        <v>1</v>
      </c>
    </row>
    <row r="1555">
      <c r="A1555" t="n">
        <v>2026</v>
      </c>
      <c r="B1555" t="n">
        <v>4</v>
      </c>
      <c r="C1555" t="inlineStr">
        <is>
          <t>Chocolate em pó 50% 1 kg</t>
        </is>
      </c>
      <c r="D1555" t="inlineStr">
        <is>
          <t>Hotel / Motel / Pousada</t>
        </is>
      </c>
      <c r="E1555" t="n">
        <v>441.23</v>
      </c>
      <c r="F1555" t="n">
        <v>10.2</v>
      </c>
      <c r="G1555" t="n">
        <v>10</v>
      </c>
      <c r="J1555" t="inlineStr">
        <is>
          <t>M</t>
        </is>
      </c>
      <c r="K1555" t="n">
        <v>2024</v>
      </c>
      <c r="L1555" t="n">
        <v>3</v>
      </c>
      <c r="M1555" t="inlineStr">
        <is>
          <t>Requeijão Pizzalet 1,8 kg</t>
        </is>
      </c>
      <c r="N1555" t="inlineStr">
        <is>
          <t>Bar / Chopperia</t>
        </is>
      </c>
      <c r="O1555" t="n">
        <v>1</v>
      </c>
      <c r="P1555" t="n">
        <v>3</v>
      </c>
      <c r="Q1555" t="n">
        <v>0</v>
      </c>
    </row>
    <row r="1556">
      <c r="A1556" t="n">
        <v>2026</v>
      </c>
      <c r="B1556" t="n">
        <v>4</v>
      </c>
      <c r="C1556" t="inlineStr">
        <is>
          <t>Chocolate em pó 50% 1 kg</t>
        </is>
      </c>
      <c r="D1556" t="inlineStr">
        <is>
          <t>Lanchonete / Cafeteria</t>
        </is>
      </c>
      <c r="E1556" t="n">
        <v>175</v>
      </c>
      <c r="F1556" t="n">
        <v>4.08</v>
      </c>
      <c r="G1556" t="n">
        <v>4</v>
      </c>
      <c r="J1556" t="inlineStr">
        <is>
          <t>A</t>
        </is>
      </c>
      <c r="K1556" t="n">
        <v>2024</v>
      </c>
      <c r="L1556" t="n">
        <v>4</v>
      </c>
      <c r="M1556" t="inlineStr">
        <is>
          <t>Requeijão Pizzalet 1,8 kg</t>
        </is>
      </c>
      <c r="N1556" t="inlineStr">
        <is>
          <t>Bar / Chopperia</t>
        </is>
      </c>
      <c r="O1556" t="n">
        <v>1</v>
      </c>
      <c r="P1556" t="n">
        <v>13</v>
      </c>
      <c r="Q1556" t="n">
        <v>1</v>
      </c>
    </row>
    <row r="1557">
      <c r="A1557" t="n">
        <v>2026</v>
      </c>
      <c r="B1557" t="n">
        <v>4</v>
      </c>
      <c r="C1557" t="inlineStr">
        <is>
          <t>Chocolate em pó 50% 1 kg</t>
        </is>
      </c>
      <c r="D1557" t="inlineStr">
        <is>
          <t>Padaria</t>
        </is>
      </c>
      <c r="E1557" t="n">
        <v>361.54</v>
      </c>
      <c r="F1557" t="n">
        <v>8.16</v>
      </c>
      <c r="G1557" t="n">
        <v>8</v>
      </c>
      <c r="J1557" t="inlineStr">
        <is>
          <t>M</t>
        </is>
      </c>
      <c r="K1557" t="n">
        <v>2024</v>
      </c>
      <c r="L1557" t="n">
        <v>4</v>
      </c>
      <c r="M1557" t="inlineStr">
        <is>
          <t>Requeijão Pizzalet 1,8 kg</t>
        </is>
      </c>
      <c r="N1557" t="inlineStr">
        <is>
          <t>Bar / Chopperia</t>
        </is>
      </c>
      <c r="O1557" t="n">
        <v>1</v>
      </c>
      <c r="P1557" t="n">
        <v>5</v>
      </c>
      <c r="Q1557" t="n">
        <v>0</v>
      </c>
    </row>
    <row r="1558">
      <c r="A1558" t="n">
        <v>2026</v>
      </c>
      <c r="B1558" t="n">
        <v>4</v>
      </c>
      <c r="C1558" t="inlineStr">
        <is>
          <t>Chocolate em pó 50% 1 kg</t>
        </is>
      </c>
      <c r="D1558" t="inlineStr">
        <is>
          <t>Pizzaria</t>
        </is>
      </c>
      <c r="E1558" t="n">
        <v>536.5</v>
      </c>
      <c r="F1558" t="n">
        <v>12.24</v>
      </c>
      <c r="G1558" t="n">
        <v>12</v>
      </c>
      <c r="J1558" t="inlineStr">
        <is>
          <t>A</t>
        </is>
      </c>
      <c r="K1558" t="n">
        <v>2024</v>
      </c>
      <c r="L1558" t="n">
        <v>5</v>
      </c>
      <c r="M1558" t="inlineStr">
        <is>
          <t>Requeijão Pizzalet 1,8 kg</t>
        </is>
      </c>
      <c r="N1558" t="inlineStr">
        <is>
          <t>Bar / Chopperia</t>
        </is>
      </c>
      <c r="O1558" t="n">
        <v>1</v>
      </c>
      <c r="P1558" t="n">
        <v>15</v>
      </c>
      <c r="Q1558" t="n">
        <v>1</v>
      </c>
    </row>
    <row r="1559">
      <c r="A1559" t="n">
        <v>2026</v>
      </c>
      <c r="B1559" t="n">
        <v>4</v>
      </c>
      <c r="C1559" t="inlineStr">
        <is>
          <t>Chocolate em pó 50% 1 kg</t>
        </is>
      </c>
      <c r="D1559" t="inlineStr">
        <is>
          <t>Restaurante / Cantina</t>
        </is>
      </c>
      <c r="E1559" t="n">
        <v>646.28</v>
      </c>
      <c r="F1559" t="n">
        <v>15.3</v>
      </c>
      <c r="G1559" t="n">
        <v>15</v>
      </c>
      <c r="J1559" t="inlineStr">
        <is>
          <t>M</t>
        </is>
      </c>
      <c r="K1559" t="n">
        <v>2024</v>
      </c>
      <c r="L1559" t="n">
        <v>5</v>
      </c>
      <c r="M1559" t="inlineStr">
        <is>
          <t>Requeijão Pizzalet 1,8 kg</t>
        </is>
      </c>
      <c r="N1559" t="inlineStr">
        <is>
          <t>Bar / Chopperia</t>
        </is>
      </c>
      <c r="O1559" t="n">
        <v>1</v>
      </c>
      <c r="P1559" t="n">
        <v>2</v>
      </c>
      <c r="Q1559" t="n">
        <v>0</v>
      </c>
    </row>
    <row r="1560">
      <c r="A1560" t="n">
        <v>2026</v>
      </c>
      <c r="B1560" t="n">
        <v>4</v>
      </c>
      <c r="C1560" t="inlineStr">
        <is>
          <t>Composto lácteo Alibralac 1 kg</t>
        </is>
      </c>
      <c r="D1560" t="inlineStr">
        <is>
          <t>Hamburgueria</t>
        </is>
      </c>
      <c r="E1560" t="n">
        <v>70.90000000000001</v>
      </c>
      <c r="F1560" t="n">
        <v>3.06</v>
      </c>
      <c r="G1560" t="n">
        <v>3</v>
      </c>
      <c r="J1560" t="inlineStr">
        <is>
          <t>A</t>
        </is>
      </c>
      <c r="K1560" t="n">
        <v>2024</v>
      </c>
      <c r="L1560" t="n">
        <v>6</v>
      </c>
      <c r="M1560" t="inlineStr">
        <is>
          <t>Requeijão Pizzalet 1,8 kg</t>
        </is>
      </c>
      <c r="N1560" t="inlineStr">
        <is>
          <t>Bar / Chopperia</t>
        </is>
      </c>
      <c r="O1560" t="n">
        <v>1</v>
      </c>
      <c r="P1560" t="n">
        <v>19</v>
      </c>
      <c r="Q1560" t="n">
        <v>1</v>
      </c>
    </row>
    <row r="1561">
      <c r="A1561" t="n">
        <v>2026</v>
      </c>
      <c r="B1561" t="n">
        <v>4</v>
      </c>
      <c r="C1561" t="inlineStr">
        <is>
          <t>Composto lácteo Alibralac 1 kg</t>
        </is>
      </c>
      <c r="D1561" t="inlineStr">
        <is>
          <t>Lanchonete / Cafeteria</t>
        </is>
      </c>
      <c r="E1561" t="n">
        <v>492.9</v>
      </c>
      <c r="F1561" t="n">
        <v>20.4</v>
      </c>
      <c r="G1561" t="n">
        <v>20</v>
      </c>
      <c r="J1561" t="inlineStr">
        <is>
          <t>M</t>
        </is>
      </c>
      <c r="K1561" t="n">
        <v>2024</v>
      </c>
      <c r="L1561" t="n">
        <v>6</v>
      </c>
      <c r="M1561" t="inlineStr">
        <is>
          <t>Requeijão Pizzalet 1,8 kg</t>
        </is>
      </c>
      <c r="N1561" t="inlineStr">
        <is>
          <t>Bar / Chopperia</t>
        </is>
      </c>
      <c r="O1561" t="n">
        <v>1</v>
      </c>
      <c r="P1561" t="n">
        <v>4</v>
      </c>
      <c r="Q1561" t="n">
        <v>0</v>
      </c>
    </row>
    <row r="1562">
      <c r="A1562" t="n">
        <v>2026</v>
      </c>
      <c r="B1562" t="n">
        <v>4</v>
      </c>
      <c r="C1562" t="inlineStr">
        <is>
          <t>Composto lácteo Alibralac 1 kg</t>
        </is>
      </c>
      <c r="D1562" t="inlineStr">
        <is>
          <t>Padaria</t>
        </is>
      </c>
      <c r="E1562" t="n">
        <v>499.92</v>
      </c>
      <c r="F1562" t="n">
        <v>22.44</v>
      </c>
      <c r="G1562" t="n">
        <v>22</v>
      </c>
      <c r="J1562" t="inlineStr">
        <is>
          <t>A</t>
        </is>
      </c>
      <c r="K1562" t="n">
        <v>2024</v>
      </c>
      <c r="L1562" t="n">
        <v>7</v>
      </c>
      <c r="M1562" t="inlineStr">
        <is>
          <t>Requeijão Pizzalet 1,8 kg</t>
        </is>
      </c>
      <c r="N1562" t="inlineStr">
        <is>
          <t>Bar / Chopperia</t>
        </is>
      </c>
      <c r="O1562" t="n">
        <v>1</v>
      </c>
      <c r="P1562" t="n">
        <v>22</v>
      </c>
      <c r="Q1562" t="n">
        <v>1</v>
      </c>
    </row>
    <row r="1563">
      <c r="A1563" t="n">
        <v>2026</v>
      </c>
      <c r="B1563" t="n">
        <v>4</v>
      </c>
      <c r="C1563" t="inlineStr">
        <is>
          <t>Composto lácteo Alibralac 1 kg</t>
        </is>
      </c>
      <c r="D1563" t="inlineStr">
        <is>
          <t>Pizzaria</t>
        </is>
      </c>
      <c r="E1563" t="n">
        <v>1225.4</v>
      </c>
      <c r="F1563" t="n">
        <v>51</v>
      </c>
      <c r="G1563" t="n">
        <v>50</v>
      </c>
      <c r="J1563" t="inlineStr">
        <is>
          <t>M</t>
        </is>
      </c>
      <c r="K1563" t="n">
        <v>2024</v>
      </c>
      <c r="L1563" t="n">
        <v>7</v>
      </c>
      <c r="M1563" t="inlineStr">
        <is>
          <t>Requeijão Pizzalet 1,8 kg</t>
        </is>
      </c>
      <c r="N1563" t="inlineStr">
        <is>
          <t>Bar / Chopperia</t>
        </is>
      </c>
      <c r="O1563" t="n">
        <v>1</v>
      </c>
      <c r="P1563" t="n">
        <v>3</v>
      </c>
      <c r="Q1563" t="n">
        <v>0</v>
      </c>
    </row>
    <row r="1564">
      <c r="A1564" t="n">
        <v>2026</v>
      </c>
      <c r="B1564" t="n">
        <v>4</v>
      </c>
      <c r="C1564" t="inlineStr">
        <is>
          <t>Composto lácteo Alibralac 1 kg</t>
        </is>
      </c>
      <c r="D1564" t="inlineStr">
        <is>
          <t>Restaurante / Cantina</t>
        </is>
      </c>
      <c r="E1564" t="n">
        <v>1966.08</v>
      </c>
      <c r="F1564" t="n">
        <v>85.68000000000001</v>
      </c>
      <c r="G1564" t="n">
        <v>84</v>
      </c>
      <c r="J1564" t="inlineStr">
        <is>
          <t>A</t>
        </is>
      </c>
      <c r="K1564" t="n">
        <v>2024</v>
      </c>
      <c r="L1564" t="n">
        <v>8</v>
      </c>
      <c r="M1564" t="inlineStr">
        <is>
          <t>Requeijão Pizzalet 1,8 kg</t>
        </is>
      </c>
      <c r="N1564" t="inlineStr">
        <is>
          <t>Bar / Chopperia</t>
        </is>
      </c>
      <c r="O1564" t="n">
        <v>1</v>
      </c>
      <c r="P1564" t="n">
        <v>25</v>
      </c>
      <c r="Q1564" t="n">
        <v>1</v>
      </c>
    </row>
    <row r="1565">
      <c r="A1565" t="n">
        <v>2026</v>
      </c>
      <c r="B1565" t="n">
        <v>4</v>
      </c>
      <c r="C1565" t="inlineStr">
        <is>
          <t>Composto lácteo Merilú 400 g</t>
        </is>
      </c>
      <c r="D1565" t="inlineStr">
        <is>
          <t>Padaria</t>
        </is>
      </c>
      <c r="E1565" t="n">
        <v>219</v>
      </c>
      <c r="F1565" t="n">
        <v>12.6</v>
      </c>
      <c r="G1565" t="n">
        <v>30</v>
      </c>
      <c r="J1565" t="inlineStr">
        <is>
          <t>M</t>
        </is>
      </c>
      <c r="K1565" t="n">
        <v>2024</v>
      </c>
      <c r="L1565" t="n">
        <v>8</v>
      </c>
      <c r="M1565" t="inlineStr">
        <is>
          <t>Requeijão Pizzalet 1,8 kg</t>
        </is>
      </c>
      <c r="N1565" t="inlineStr">
        <is>
          <t>Bar / Chopperia</t>
        </is>
      </c>
      <c r="O1565" t="n">
        <v>1</v>
      </c>
      <c r="P1565" t="n">
        <v>3</v>
      </c>
      <c r="Q1565" t="n">
        <v>0</v>
      </c>
    </row>
    <row r="1566">
      <c r="A1566" t="n">
        <v>2026</v>
      </c>
      <c r="B1566" t="n">
        <v>4</v>
      </c>
      <c r="C1566" t="inlineStr">
        <is>
          <t>Composto lácteo Merilú 400 g</t>
        </is>
      </c>
      <c r="D1566" t="inlineStr">
        <is>
          <t>Pizzaria</t>
        </is>
      </c>
      <c r="E1566" t="n">
        <v>354.5</v>
      </c>
      <c r="F1566" t="n">
        <v>21</v>
      </c>
      <c r="G1566" t="n">
        <v>50</v>
      </c>
      <c r="J1566" t="inlineStr">
        <is>
          <t>A</t>
        </is>
      </c>
      <c r="K1566" t="n">
        <v>2024</v>
      </c>
      <c r="L1566" t="n">
        <v>9</v>
      </c>
      <c r="M1566" t="inlineStr">
        <is>
          <t>Requeijão Pizzalet 1,8 kg</t>
        </is>
      </c>
      <c r="N1566" t="inlineStr">
        <is>
          <t>Bar / Chopperia</t>
        </is>
      </c>
      <c r="O1566" t="n">
        <v>1</v>
      </c>
      <c r="P1566" t="n">
        <v>28</v>
      </c>
      <c r="Q1566" t="n">
        <v>1</v>
      </c>
    </row>
    <row r="1567">
      <c r="A1567" t="n">
        <v>2026</v>
      </c>
      <c r="B1567" t="n">
        <v>4</v>
      </c>
      <c r="C1567" t="inlineStr">
        <is>
          <t>Composto lácteo Merilú 400 g</t>
        </is>
      </c>
      <c r="D1567" t="inlineStr">
        <is>
          <t>Restaurante / Cantina</t>
        </is>
      </c>
      <c r="E1567" t="n">
        <v>1429.75</v>
      </c>
      <c r="F1567" t="n">
        <v>78.54000000000001</v>
      </c>
      <c r="G1567" t="n">
        <v>187</v>
      </c>
      <c r="J1567" t="inlineStr">
        <is>
          <t>M</t>
        </is>
      </c>
      <c r="K1567" t="n">
        <v>2024</v>
      </c>
      <c r="L1567" t="n">
        <v>9</v>
      </c>
      <c r="M1567" t="inlineStr">
        <is>
          <t>Requeijão Pizzalet 1,8 kg</t>
        </is>
      </c>
      <c r="N1567" t="inlineStr">
        <is>
          <t>Bar / Chopperia</t>
        </is>
      </c>
      <c r="O1567" t="n">
        <v>1</v>
      </c>
      <c r="P1567" t="n">
        <v>3</v>
      </c>
      <c r="Q1567" t="n">
        <v>0</v>
      </c>
    </row>
    <row r="1568">
      <c r="A1568" t="n">
        <v>2026</v>
      </c>
      <c r="B1568" t="n">
        <v>4</v>
      </c>
      <c r="C1568" t="inlineStr">
        <is>
          <t>Composto lácteo Merilú 400 g</t>
        </is>
      </c>
      <c r="D1568" t="inlineStr">
        <is>
          <t>Supermercado</t>
        </is>
      </c>
      <c r="E1568" t="n">
        <v>197.5</v>
      </c>
      <c r="F1568" t="n">
        <v>10.5</v>
      </c>
      <c r="G1568" t="n">
        <v>25</v>
      </c>
      <c r="J1568" t="inlineStr">
        <is>
          <t>A</t>
        </is>
      </c>
      <c r="K1568" t="n">
        <v>2024</v>
      </c>
      <c r="L1568" t="n">
        <v>10</v>
      </c>
      <c r="M1568" t="inlineStr">
        <is>
          <t>Requeijão Pizzalet 1,8 kg</t>
        </is>
      </c>
      <c r="N1568" t="inlineStr">
        <is>
          <t>Bar / Chopperia</t>
        </is>
      </c>
      <c r="O1568" t="n">
        <v>1</v>
      </c>
      <c r="P1568" t="n">
        <v>32</v>
      </c>
      <c r="Q1568" t="n">
        <v>1</v>
      </c>
    </row>
    <row r="1569">
      <c r="A1569" t="n">
        <v>2026</v>
      </c>
      <c r="B1569" t="n">
        <v>4</v>
      </c>
      <c r="C1569" t="inlineStr">
        <is>
          <t>Muçarela Mozzalet 2 kg</t>
        </is>
      </c>
      <c r="D1569" t="inlineStr">
        <is>
          <t>Cozinha Industrial</t>
        </is>
      </c>
      <c r="E1569" t="n">
        <v>868.5</v>
      </c>
      <c r="F1569" t="n">
        <v>36</v>
      </c>
      <c r="G1569" t="n">
        <v>18</v>
      </c>
      <c r="J1569" t="inlineStr">
        <is>
          <t>M</t>
        </is>
      </c>
      <c r="K1569" t="n">
        <v>2024</v>
      </c>
      <c r="L1569" t="n">
        <v>10</v>
      </c>
      <c r="M1569" t="inlineStr">
        <is>
          <t>Requeijão Pizzalet 1,8 kg</t>
        </is>
      </c>
      <c r="N1569" t="inlineStr">
        <is>
          <t>Bar / Chopperia</t>
        </is>
      </c>
      <c r="O1569" t="n">
        <v>1</v>
      </c>
      <c r="P1569" t="n">
        <v>4</v>
      </c>
      <c r="Q1569" t="n">
        <v>0</v>
      </c>
    </row>
    <row r="1570">
      <c r="A1570" t="n">
        <v>2026</v>
      </c>
      <c r="B1570" t="n">
        <v>4</v>
      </c>
      <c r="C1570" t="inlineStr">
        <is>
          <t>Muçarela Mozzalet 2 kg</t>
        </is>
      </c>
      <c r="D1570" t="inlineStr">
        <is>
          <t>Cozinha Oriental</t>
        </is>
      </c>
      <c r="E1570" t="n">
        <v>855</v>
      </c>
      <c r="F1570" t="n">
        <v>36</v>
      </c>
      <c r="G1570" t="n">
        <v>18</v>
      </c>
      <c r="J1570" t="inlineStr">
        <is>
          <t>A</t>
        </is>
      </c>
      <c r="K1570" t="n">
        <v>2024</v>
      </c>
      <c r="L1570" t="n">
        <v>11</v>
      </c>
      <c r="M1570" t="inlineStr">
        <is>
          <t>Requeijão Pizzalet 1,8 kg</t>
        </is>
      </c>
      <c r="N1570" t="inlineStr">
        <is>
          <t>Bar / Chopperia</t>
        </is>
      </c>
      <c r="O1570" t="n">
        <v>1</v>
      </c>
      <c r="P1570" t="n">
        <v>38</v>
      </c>
      <c r="Q1570" t="n">
        <v>1</v>
      </c>
    </row>
    <row r="1571">
      <c r="A1571" t="n">
        <v>2026</v>
      </c>
      <c r="B1571" t="n">
        <v>4</v>
      </c>
      <c r="C1571" t="inlineStr">
        <is>
          <t>Muçarela Mozzalet 2 kg</t>
        </is>
      </c>
      <c r="D1571" t="inlineStr">
        <is>
          <t>Fábrica de Massas</t>
        </is>
      </c>
      <c r="E1571" t="n">
        <v>9440.5</v>
      </c>
      <c r="F1571" t="n">
        <v>400</v>
      </c>
      <c r="G1571" t="n">
        <v>200</v>
      </c>
      <c r="J1571" t="inlineStr">
        <is>
          <t>M</t>
        </is>
      </c>
      <c r="K1571" t="n">
        <v>2024</v>
      </c>
      <c r="L1571" t="n">
        <v>11</v>
      </c>
      <c r="M1571" t="inlineStr">
        <is>
          <t>Requeijão Pizzalet 1,8 kg</t>
        </is>
      </c>
      <c r="N1571" t="inlineStr">
        <is>
          <t>Bar / Chopperia</t>
        </is>
      </c>
      <c r="O1571" t="n">
        <v>1</v>
      </c>
      <c r="P1571" t="n">
        <v>6</v>
      </c>
      <c r="Q1571" t="n">
        <v>0</v>
      </c>
    </row>
    <row r="1572">
      <c r="A1572" t="n">
        <v>2026</v>
      </c>
      <c r="B1572" t="n">
        <v>4</v>
      </c>
      <c r="C1572" t="inlineStr">
        <is>
          <t>Muçarela Mozzalet 2 kg</t>
        </is>
      </c>
      <c r="D1572" t="inlineStr">
        <is>
          <t>Lanchonete / Cafeteria</t>
        </is>
      </c>
      <c r="E1572" t="n">
        <v>683.85</v>
      </c>
      <c r="F1572" t="n">
        <v>30</v>
      </c>
      <c r="G1572" t="n">
        <v>15</v>
      </c>
      <c r="J1572" t="inlineStr">
        <is>
          <t>A</t>
        </is>
      </c>
      <c r="K1572" t="n">
        <v>2024</v>
      </c>
      <c r="L1572" t="n">
        <v>12</v>
      </c>
      <c r="M1572" t="inlineStr">
        <is>
          <t>Requeijão Pizzalet 1,8 kg</t>
        </is>
      </c>
      <c r="N1572" t="inlineStr">
        <is>
          <t>Bar / Chopperia</t>
        </is>
      </c>
      <c r="O1572" t="n">
        <v>1</v>
      </c>
      <c r="P1572" t="n">
        <v>44</v>
      </c>
      <c r="Q1572" t="n">
        <v>1</v>
      </c>
    </row>
    <row r="1573">
      <c r="A1573" t="n">
        <v>2026</v>
      </c>
      <c r="B1573" t="n">
        <v>4</v>
      </c>
      <c r="C1573" t="inlineStr">
        <is>
          <t>Muçarela Mozzalet 2 kg</t>
        </is>
      </c>
      <c r="D1573" t="inlineStr">
        <is>
          <t>Padaria</t>
        </is>
      </c>
      <c r="E1573" t="n">
        <v>972</v>
      </c>
      <c r="F1573" t="n">
        <v>40</v>
      </c>
      <c r="G1573" t="n">
        <v>20</v>
      </c>
      <c r="J1573" t="inlineStr">
        <is>
          <t>M</t>
        </is>
      </c>
      <c r="K1573" t="n">
        <v>2024</v>
      </c>
      <c r="L1573" t="n">
        <v>12</v>
      </c>
      <c r="M1573" t="inlineStr">
        <is>
          <t>Requeijão Pizzalet 1,8 kg</t>
        </is>
      </c>
      <c r="N1573" t="inlineStr">
        <is>
          <t>Bar / Chopperia</t>
        </is>
      </c>
      <c r="O1573" t="n">
        <v>1</v>
      </c>
      <c r="P1573" t="n">
        <v>6</v>
      </c>
      <c r="Q1573" t="n">
        <v>0</v>
      </c>
    </row>
    <row r="1574">
      <c r="A1574" t="n">
        <v>2026</v>
      </c>
      <c r="B1574" t="n">
        <v>4</v>
      </c>
      <c r="C1574" t="inlineStr">
        <is>
          <t>Muçarela Mozzalet 2 kg</t>
        </is>
      </c>
      <c r="D1574" t="inlineStr">
        <is>
          <t>Pizzaria</t>
        </is>
      </c>
      <c r="E1574" t="n">
        <v>5914.62</v>
      </c>
      <c r="F1574" t="n">
        <v>252</v>
      </c>
      <c r="G1574" t="n">
        <v>126</v>
      </c>
      <c r="J1574" t="inlineStr">
        <is>
          <t>A</t>
        </is>
      </c>
      <c r="K1574" t="n">
        <v>2024</v>
      </c>
      <c r="L1574" t="n">
        <v>1</v>
      </c>
      <c r="M1574" t="inlineStr">
        <is>
          <t>Chocolate em pó 50% 1 kg</t>
        </is>
      </c>
      <c r="N1574" t="inlineStr">
        <is>
          <t>Todos</t>
        </is>
      </c>
      <c r="O1574" t="n">
        <v>34</v>
      </c>
      <c r="P1574" t="n">
        <v>41</v>
      </c>
      <c r="Q1574" t="n">
        <v>34</v>
      </c>
    </row>
    <row r="1575">
      <c r="A1575" t="n">
        <v>2026</v>
      </c>
      <c r="B1575" t="n">
        <v>4</v>
      </c>
      <c r="C1575" t="inlineStr">
        <is>
          <t>Muçarela Mozzalet 2 kg</t>
        </is>
      </c>
      <c r="D1575" t="inlineStr">
        <is>
          <t>Restaurante / Cantina</t>
        </is>
      </c>
      <c r="E1575" t="n">
        <v>47467</v>
      </c>
      <c r="F1575" t="n">
        <v>2100</v>
      </c>
      <c r="G1575" t="n">
        <v>1050</v>
      </c>
      <c r="J1575" t="inlineStr">
        <is>
          <t>M</t>
        </is>
      </c>
      <c r="K1575" t="n">
        <v>2024</v>
      </c>
      <c r="L1575" t="n">
        <v>1</v>
      </c>
      <c r="M1575" t="inlineStr">
        <is>
          <t>Chocolate em pó 50% 1 kg</t>
        </is>
      </c>
      <c r="N1575" t="inlineStr">
        <is>
          <t>Todos</t>
        </is>
      </c>
      <c r="O1575" t="n">
        <v>34</v>
      </c>
      <c r="P1575" t="n">
        <v>41</v>
      </c>
      <c r="Q1575" t="n">
        <v>0</v>
      </c>
    </row>
    <row r="1576">
      <c r="A1576" t="n">
        <v>2026</v>
      </c>
      <c r="B1576" t="n">
        <v>4</v>
      </c>
      <c r="C1576" t="inlineStr">
        <is>
          <t>Muçarela Mozzana 2 kg</t>
        </is>
      </c>
      <c r="D1576" t="inlineStr">
        <is>
          <t>Adega</t>
        </is>
      </c>
      <c r="E1576" t="n">
        <v>1547.64</v>
      </c>
      <c r="F1576" t="n">
        <v>72.72</v>
      </c>
      <c r="G1576" t="n">
        <v>36</v>
      </c>
      <c r="J1576" t="inlineStr">
        <is>
          <t>A</t>
        </is>
      </c>
      <c r="K1576" t="n">
        <v>2024</v>
      </c>
      <c r="L1576" t="n">
        <v>2</v>
      </c>
      <c r="M1576" t="inlineStr">
        <is>
          <t>Chocolate em pó 50% 1 kg</t>
        </is>
      </c>
      <c r="N1576" t="inlineStr">
        <is>
          <t>Todos</t>
        </is>
      </c>
      <c r="O1576" t="n">
        <v>63</v>
      </c>
      <c r="P1576" t="n">
        <v>88</v>
      </c>
      <c r="Q1576" t="n">
        <v>63</v>
      </c>
    </row>
    <row r="1577">
      <c r="A1577" t="n">
        <v>2026</v>
      </c>
      <c r="B1577" t="n">
        <v>4</v>
      </c>
      <c r="C1577" t="inlineStr">
        <is>
          <t>Muçarela Mozzana 2 kg</t>
        </is>
      </c>
      <c r="D1577" t="inlineStr">
        <is>
          <t>Bar / Chopperia</t>
        </is>
      </c>
      <c r="E1577" t="n">
        <v>42.9</v>
      </c>
      <c r="F1577" t="n">
        <v>2.02</v>
      </c>
      <c r="G1577" t="n">
        <v>1</v>
      </c>
      <c r="J1577" t="inlineStr">
        <is>
          <t>M</t>
        </is>
      </c>
      <c r="K1577" t="n">
        <v>2024</v>
      </c>
      <c r="L1577" t="n">
        <v>2</v>
      </c>
      <c r="M1577" t="inlineStr">
        <is>
          <t>Chocolate em pó 50% 1 kg</t>
        </is>
      </c>
      <c r="N1577" t="inlineStr">
        <is>
          <t>Todos</t>
        </is>
      </c>
      <c r="O1577" t="n">
        <v>39</v>
      </c>
      <c r="P1577" t="n">
        <v>47</v>
      </c>
      <c r="Q1577" t="n">
        <v>0</v>
      </c>
    </row>
    <row r="1578">
      <c r="A1578" t="n">
        <v>2026</v>
      </c>
      <c r="B1578" t="n">
        <v>4</v>
      </c>
      <c r="C1578" t="inlineStr">
        <is>
          <t>Muçarela Mozzana 2 kg</t>
        </is>
      </c>
      <c r="D1578" t="inlineStr">
        <is>
          <t>Buffet</t>
        </is>
      </c>
      <c r="E1578" t="n">
        <v>1533.69</v>
      </c>
      <c r="F1578" t="n">
        <v>72.72</v>
      </c>
      <c r="G1578" t="n">
        <v>36</v>
      </c>
      <c r="J1578" t="inlineStr">
        <is>
          <t>A</t>
        </is>
      </c>
      <c r="K1578" t="n">
        <v>2024</v>
      </c>
      <c r="L1578" t="n">
        <v>3</v>
      </c>
      <c r="M1578" t="inlineStr">
        <is>
          <t>Chocolate em pó 50% 1 kg</t>
        </is>
      </c>
      <c r="N1578" t="inlineStr">
        <is>
          <t>Todos</t>
        </is>
      </c>
      <c r="O1578" t="n">
        <v>94</v>
      </c>
      <c r="P1578" t="n">
        <v>151</v>
      </c>
      <c r="Q1578" t="n">
        <v>94</v>
      </c>
    </row>
    <row r="1579">
      <c r="A1579" t="n">
        <v>2026</v>
      </c>
      <c r="B1579" t="n">
        <v>4</v>
      </c>
      <c r="C1579" t="inlineStr">
        <is>
          <t>Muçarela Mozzana 2 kg</t>
        </is>
      </c>
      <c r="D1579" t="inlineStr">
        <is>
          <t>Churrascaria</t>
        </is>
      </c>
      <c r="E1579" t="n">
        <v>131.34</v>
      </c>
      <c r="F1579" t="n">
        <v>6.06</v>
      </c>
      <c r="G1579" t="n">
        <v>3</v>
      </c>
      <c r="J1579" t="inlineStr">
        <is>
          <t>M</t>
        </is>
      </c>
      <c r="K1579" t="n">
        <v>2024</v>
      </c>
      <c r="L1579" t="n">
        <v>3</v>
      </c>
      <c r="M1579" t="inlineStr">
        <is>
          <t>Chocolate em pó 50% 1 kg</t>
        </is>
      </c>
      <c r="N1579" t="inlineStr">
        <is>
          <t>Todos</t>
        </is>
      </c>
      <c r="O1579" t="n">
        <v>52</v>
      </c>
      <c r="P1579" t="n">
        <v>63</v>
      </c>
      <c r="Q1579" t="n">
        <v>0</v>
      </c>
    </row>
    <row r="1580">
      <c r="A1580" t="n">
        <v>2026</v>
      </c>
      <c r="B1580" t="n">
        <v>4</v>
      </c>
      <c r="C1580" t="inlineStr">
        <is>
          <t>Muçarela Mozzana 2 kg</t>
        </is>
      </c>
      <c r="D1580" t="inlineStr">
        <is>
          <t>Cozinha Industrial</t>
        </is>
      </c>
      <c r="E1580" t="n">
        <v>34170.37</v>
      </c>
      <c r="F1580" t="n">
        <v>1628.12</v>
      </c>
      <c r="G1580" t="n">
        <v>806</v>
      </c>
      <c r="J1580" t="inlineStr">
        <is>
          <t>A</t>
        </is>
      </c>
      <c r="K1580" t="n">
        <v>2024</v>
      </c>
      <c r="L1580" t="n">
        <v>4</v>
      </c>
      <c r="M1580" t="inlineStr">
        <is>
          <t>Chocolate em pó 50% 1 kg</t>
        </is>
      </c>
      <c r="N1580" t="inlineStr">
        <is>
          <t>Todos</t>
        </is>
      </c>
      <c r="O1580" t="n">
        <v>123</v>
      </c>
      <c r="P1580" t="n">
        <v>226</v>
      </c>
      <c r="Q1580" t="n">
        <v>123</v>
      </c>
    </row>
    <row r="1581">
      <c r="A1581" t="n">
        <v>2026</v>
      </c>
      <c r="B1581" t="n">
        <v>4</v>
      </c>
      <c r="C1581" t="inlineStr">
        <is>
          <t>Muçarela Mozzana 2 kg</t>
        </is>
      </c>
      <c r="D1581" t="inlineStr">
        <is>
          <t>Distribuidor Alimentos</t>
        </is>
      </c>
      <c r="E1581" t="n">
        <v>9352.200000000001</v>
      </c>
      <c r="F1581" t="n">
        <v>440.36</v>
      </c>
      <c r="G1581" t="n">
        <v>218</v>
      </c>
      <c r="J1581" t="inlineStr">
        <is>
          <t>M</t>
        </is>
      </c>
      <c r="K1581" t="n">
        <v>2024</v>
      </c>
      <c r="L1581" t="n">
        <v>4</v>
      </c>
      <c r="M1581" t="inlineStr">
        <is>
          <t>Chocolate em pó 50% 1 kg</t>
        </is>
      </c>
      <c r="N1581" t="inlineStr">
        <is>
          <t>Todos</t>
        </is>
      </c>
      <c r="O1581" t="n">
        <v>52</v>
      </c>
      <c r="P1581" t="n">
        <v>75</v>
      </c>
      <c r="Q1581" t="n">
        <v>0</v>
      </c>
    </row>
    <row r="1582">
      <c r="A1582" t="n">
        <v>2026</v>
      </c>
      <c r="B1582" t="n">
        <v>4</v>
      </c>
      <c r="C1582" t="inlineStr">
        <is>
          <t>Muçarela Mozzana 2 kg</t>
        </is>
      </c>
      <c r="D1582" t="inlineStr">
        <is>
          <t>Esfiharia</t>
        </is>
      </c>
      <c r="E1582" t="n">
        <v>9369.709999999999</v>
      </c>
      <c r="F1582" t="n">
        <v>434.3</v>
      </c>
      <c r="G1582" t="n">
        <v>215</v>
      </c>
      <c r="J1582" t="inlineStr">
        <is>
          <t>A</t>
        </is>
      </c>
      <c r="K1582" t="n">
        <v>2024</v>
      </c>
      <c r="L1582" t="n">
        <v>5</v>
      </c>
      <c r="M1582" t="inlineStr">
        <is>
          <t>Chocolate em pó 50% 1 kg</t>
        </is>
      </c>
      <c r="N1582" t="inlineStr">
        <is>
          <t>Todos</t>
        </is>
      </c>
      <c r="O1582" t="n">
        <v>143</v>
      </c>
      <c r="P1582" t="n">
        <v>281</v>
      </c>
      <c r="Q1582" t="n">
        <v>143</v>
      </c>
    </row>
    <row r="1583">
      <c r="A1583" t="n">
        <v>2026</v>
      </c>
      <c r="B1583" t="n">
        <v>4</v>
      </c>
      <c r="C1583" t="inlineStr">
        <is>
          <t>Muçarela Mozzana 2 kg</t>
        </is>
      </c>
      <c r="D1583" t="inlineStr">
        <is>
          <t>Fábrica de Massas</t>
        </is>
      </c>
      <c r="E1583" t="n">
        <v>9378.02</v>
      </c>
      <c r="F1583" t="n">
        <v>448.44</v>
      </c>
      <c r="G1583" t="n">
        <v>222</v>
      </c>
      <c r="J1583" t="inlineStr">
        <is>
          <t>M</t>
        </is>
      </c>
      <c r="K1583" t="n">
        <v>2024</v>
      </c>
      <c r="L1583" t="n">
        <v>5</v>
      </c>
      <c r="M1583" t="inlineStr">
        <is>
          <t>Chocolate em pó 50% 1 kg</t>
        </is>
      </c>
      <c r="N1583" t="inlineStr">
        <is>
          <t>Todos</t>
        </is>
      </c>
      <c r="O1583" t="n">
        <v>45</v>
      </c>
      <c r="P1583" t="n">
        <v>55</v>
      </c>
      <c r="Q1583" t="n">
        <v>0</v>
      </c>
    </row>
    <row r="1584">
      <c r="A1584" t="n">
        <v>2026</v>
      </c>
      <c r="B1584" t="n">
        <v>4</v>
      </c>
      <c r="C1584" t="inlineStr">
        <is>
          <t>Muçarela Mozzana 2 kg</t>
        </is>
      </c>
      <c r="D1584" t="inlineStr">
        <is>
          <t>Hamburgueria</t>
        </is>
      </c>
      <c r="E1584" t="n">
        <v>509.07</v>
      </c>
      <c r="F1584" t="n">
        <v>24.24</v>
      </c>
      <c r="G1584" t="n">
        <v>12</v>
      </c>
      <c r="J1584" t="inlineStr">
        <is>
          <t>A</t>
        </is>
      </c>
      <c r="K1584" t="n">
        <v>2024</v>
      </c>
      <c r="L1584" t="n">
        <v>6</v>
      </c>
      <c r="M1584" t="inlineStr">
        <is>
          <t>Chocolate em pó 50% 1 kg</t>
        </is>
      </c>
      <c r="N1584" t="inlineStr">
        <is>
          <t>Todos</t>
        </is>
      </c>
      <c r="O1584" t="n">
        <v>160</v>
      </c>
      <c r="P1584" t="n">
        <v>340</v>
      </c>
      <c r="Q1584" t="n">
        <v>160</v>
      </c>
    </row>
    <row r="1585">
      <c r="A1585" t="n">
        <v>2026</v>
      </c>
      <c r="B1585" t="n">
        <v>4</v>
      </c>
      <c r="C1585" t="inlineStr">
        <is>
          <t>Muçarela Mozzana 2 kg</t>
        </is>
      </c>
      <c r="D1585" t="inlineStr">
        <is>
          <t>Lanchonete / Cafeteria</t>
        </is>
      </c>
      <c r="E1585" t="n">
        <v>5371.25</v>
      </c>
      <c r="F1585" t="n">
        <v>258.56</v>
      </c>
      <c r="G1585" t="n">
        <v>128</v>
      </c>
      <c r="J1585" t="inlineStr">
        <is>
          <t>M</t>
        </is>
      </c>
      <c r="K1585" t="n">
        <v>2024</v>
      </c>
      <c r="L1585" t="n">
        <v>6</v>
      </c>
      <c r="M1585" t="inlineStr">
        <is>
          <t>Chocolate em pó 50% 1 kg</t>
        </is>
      </c>
      <c r="N1585" t="inlineStr">
        <is>
          <t>Todos</t>
        </is>
      </c>
      <c r="O1585" t="n">
        <v>44</v>
      </c>
      <c r="P1585" t="n">
        <v>59</v>
      </c>
      <c r="Q1585" t="n">
        <v>0</v>
      </c>
    </row>
    <row r="1586">
      <c r="A1586" t="n">
        <v>2026</v>
      </c>
      <c r="B1586" t="n">
        <v>4</v>
      </c>
      <c r="C1586" t="inlineStr">
        <is>
          <t>Muçarela Mozzana 2 kg</t>
        </is>
      </c>
      <c r="D1586" t="inlineStr">
        <is>
          <t>Mercearia / Sacolão</t>
        </is>
      </c>
      <c r="E1586" t="n">
        <v>1131.03</v>
      </c>
      <c r="F1586" t="n">
        <v>54.54</v>
      </c>
      <c r="G1586" t="n">
        <v>27</v>
      </c>
      <c r="J1586" t="inlineStr">
        <is>
          <t>A</t>
        </is>
      </c>
      <c r="K1586" t="n">
        <v>2024</v>
      </c>
      <c r="L1586" t="n">
        <v>7</v>
      </c>
      <c r="M1586" t="inlineStr">
        <is>
          <t>Chocolate em pó 50% 1 kg</t>
        </is>
      </c>
      <c r="N1586" t="inlineStr">
        <is>
          <t>Todos</t>
        </is>
      </c>
      <c r="O1586" t="n">
        <v>169</v>
      </c>
      <c r="P1586" t="n">
        <v>400</v>
      </c>
      <c r="Q1586" t="n">
        <v>169</v>
      </c>
    </row>
    <row r="1587">
      <c r="A1587" t="n">
        <v>2026</v>
      </c>
      <c r="B1587" t="n">
        <v>4</v>
      </c>
      <c r="C1587" t="inlineStr">
        <is>
          <t>Muçarela Mozzana 2 kg</t>
        </is>
      </c>
      <c r="D1587" t="inlineStr">
        <is>
          <t>Outros</t>
        </is>
      </c>
      <c r="E1587" t="n">
        <v>808.2</v>
      </c>
      <c r="F1587" t="n">
        <v>36.36</v>
      </c>
      <c r="G1587" t="n">
        <v>18</v>
      </c>
      <c r="J1587" t="inlineStr">
        <is>
          <t>M</t>
        </is>
      </c>
      <c r="K1587" t="n">
        <v>2024</v>
      </c>
      <c r="L1587" t="n">
        <v>7</v>
      </c>
      <c r="M1587" t="inlineStr">
        <is>
          <t>Chocolate em pó 50% 1 kg</t>
        </is>
      </c>
      <c r="N1587" t="inlineStr">
        <is>
          <t>Todos</t>
        </is>
      </c>
      <c r="O1587" t="n">
        <v>41</v>
      </c>
      <c r="P1587" t="n">
        <v>60</v>
      </c>
      <c r="Q1587" t="n">
        <v>0</v>
      </c>
    </row>
    <row r="1588">
      <c r="A1588" t="n">
        <v>2026</v>
      </c>
      <c r="B1588" t="n">
        <v>4</v>
      </c>
      <c r="C1588" t="inlineStr">
        <is>
          <t>Muçarela Mozzana 2 kg</t>
        </is>
      </c>
      <c r="D1588" t="inlineStr">
        <is>
          <t>Padaria</t>
        </is>
      </c>
      <c r="E1588" t="n">
        <v>2281.58</v>
      </c>
      <c r="F1588" t="n">
        <v>109.08</v>
      </c>
      <c r="G1588" t="n">
        <v>54</v>
      </c>
      <c r="J1588" t="inlineStr">
        <is>
          <t>A</t>
        </is>
      </c>
      <c r="K1588" t="n">
        <v>2024</v>
      </c>
      <c r="L1588" t="n">
        <v>8</v>
      </c>
      <c r="M1588" t="inlineStr">
        <is>
          <t>Chocolate em pó 50% 1 kg</t>
        </is>
      </c>
      <c r="N1588" t="inlineStr">
        <is>
          <t>Todos</t>
        </is>
      </c>
      <c r="O1588" t="n">
        <v>187</v>
      </c>
      <c r="P1588" t="n">
        <v>460</v>
      </c>
      <c r="Q1588" t="n">
        <v>187</v>
      </c>
    </row>
    <row r="1589">
      <c r="A1589" t="n">
        <v>2026</v>
      </c>
      <c r="B1589" t="n">
        <v>4</v>
      </c>
      <c r="C1589" t="inlineStr">
        <is>
          <t>Muçarela Mozzana 2 kg</t>
        </is>
      </c>
      <c r="D1589" t="inlineStr">
        <is>
          <t>Pastelaria</t>
        </is>
      </c>
      <c r="E1589" t="n">
        <v>4290.27</v>
      </c>
      <c r="F1589" t="n">
        <v>197.96</v>
      </c>
      <c r="G1589" t="n">
        <v>98</v>
      </c>
      <c r="J1589" t="inlineStr">
        <is>
          <t>M</t>
        </is>
      </c>
      <c r="K1589" t="n">
        <v>2024</v>
      </c>
      <c r="L1589" t="n">
        <v>8</v>
      </c>
      <c r="M1589" t="inlineStr">
        <is>
          <t>Chocolate em pó 50% 1 kg</t>
        </is>
      </c>
      <c r="N1589" t="inlineStr">
        <is>
          <t>Todos</t>
        </is>
      </c>
      <c r="O1589" t="n">
        <v>44</v>
      </c>
      <c r="P1589" t="n">
        <v>60</v>
      </c>
      <c r="Q1589" t="n">
        <v>0</v>
      </c>
    </row>
    <row r="1590">
      <c r="A1590" t="n">
        <v>2026</v>
      </c>
      <c r="B1590" t="n">
        <v>4</v>
      </c>
      <c r="C1590" t="inlineStr">
        <is>
          <t>Muçarela Mozzana 2 kg</t>
        </is>
      </c>
      <c r="D1590" t="inlineStr">
        <is>
          <t>Pessoa Física</t>
        </is>
      </c>
      <c r="E1590" t="n">
        <v>6893.23</v>
      </c>
      <c r="F1590" t="n">
        <v>335.32</v>
      </c>
      <c r="G1590" t="n">
        <v>166</v>
      </c>
      <c r="J1590" t="inlineStr">
        <is>
          <t>A</t>
        </is>
      </c>
      <c r="K1590" t="n">
        <v>2024</v>
      </c>
      <c r="L1590" t="n">
        <v>9</v>
      </c>
      <c r="M1590" t="inlineStr">
        <is>
          <t>Chocolate em pó 50% 1 kg</t>
        </is>
      </c>
      <c r="N1590" t="inlineStr">
        <is>
          <t>Todos</t>
        </is>
      </c>
      <c r="O1590" t="n">
        <v>203</v>
      </c>
      <c r="P1590" t="n">
        <v>515</v>
      </c>
      <c r="Q1590" t="n">
        <v>203</v>
      </c>
    </row>
    <row r="1591">
      <c r="A1591" t="n">
        <v>2026</v>
      </c>
      <c r="B1591" t="n">
        <v>4</v>
      </c>
      <c r="C1591" t="inlineStr">
        <is>
          <t>Muçarela Mozzana 2 kg</t>
        </is>
      </c>
      <c r="D1591" t="inlineStr">
        <is>
          <t>Pizzaria</t>
        </is>
      </c>
      <c r="E1591" t="n">
        <v>114389.95</v>
      </c>
      <c r="F1591" t="n">
        <v>5456.02</v>
      </c>
      <c r="G1591" t="n">
        <v>2701</v>
      </c>
      <c r="J1591" t="inlineStr">
        <is>
          <t>M</t>
        </is>
      </c>
      <c r="K1591" t="n">
        <v>2024</v>
      </c>
      <c r="L1591" t="n">
        <v>9</v>
      </c>
      <c r="M1591" t="inlineStr">
        <is>
          <t>Chocolate em pó 50% 1 kg</t>
        </is>
      </c>
      <c r="N1591" t="inlineStr">
        <is>
          <t>Todos</t>
        </is>
      </c>
      <c r="O1591" t="n">
        <v>44</v>
      </c>
      <c r="P1591" t="n">
        <v>55</v>
      </c>
      <c r="Q1591" t="n">
        <v>0</v>
      </c>
    </row>
    <row r="1592">
      <c r="A1592" t="n">
        <v>2026</v>
      </c>
      <c r="B1592" t="n">
        <v>4</v>
      </c>
      <c r="C1592" t="inlineStr">
        <is>
          <t>Muçarela Mozzana 2 kg</t>
        </is>
      </c>
      <c r="D1592" t="inlineStr">
        <is>
          <t>Restaurante / Cantina</t>
        </is>
      </c>
      <c r="E1592" t="n">
        <v>7226.46</v>
      </c>
      <c r="F1592" t="n">
        <v>345.42</v>
      </c>
      <c r="G1592" t="n">
        <v>171</v>
      </c>
      <c r="J1592" t="inlineStr">
        <is>
          <t>A</t>
        </is>
      </c>
      <c r="K1592" t="n">
        <v>2024</v>
      </c>
      <c r="L1592" t="n">
        <v>10</v>
      </c>
      <c r="M1592" t="inlineStr">
        <is>
          <t>Chocolate em pó 50% 1 kg</t>
        </is>
      </c>
      <c r="N1592" t="inlineStr">
        <is>
          <t>Todos</t>
        </is>
      </c>
      <c r="O1592" t="n">
        <v>214</v>
      </c>
      <c r="P1592" t="n">
        <v>570</v>
      </c>
      <c r="Q1592" t="n">
        <v>214</v>
      </c>
    </row>
    <row r="1593">
      <c r="A1593" t="n">
        <v>2026</v>
      </c>
      <c r="B1593" t="n">
        <v>4</v>
      </c>
      <c r="C1593" t="inlineStr">
        <is>
          <t>Muçarela Mozzana 2 kg</t>
        </is>
      </c>
      <c r="D1593" t="inlineStr">
        <is>
          <t>Rotisserie</t>
        </is>
      </c>
      <c r="E1593" t="n">
        <v>9355.469999999999</v>
      </c>
      <c r="F1593" t="n">
        <v>436.32</v>
      </c>
      <c r="G1593" t="n">
        <v>216</v>
      </c>
      <c r="J1593" t="inlineStr">
        <is>
          <t>M</t>
        </is>
      </c>
      <c r="K1593" t="n">
        <v>2024</v>
      </c>
      <c r="L1593" t="n">
        <v>10</v>
      </c>
      <c r="M1593" t="inlineStr">
        <is>
          <t>Chocolate em pó 50% 1 kg</t>
        </is>
      </c>
      <c r="N1593" t="inlineStr">
        <is>
          <t>Todos</t>
        </is>
      </c>
      <c r="O1593" t="n">
        <v>41</v>
      </c>
      <c r="P1593" t="n">
        <v>55</v>
      </c>
      <c r="Q1593" t="n">
        <v>0</v>
      </c>
    </row>
    <row r="1594">
      <c r="A1594" t="n">
        <v>2026</v>
      </c>
      <c r="B1594" t="n">
        <v>4</v>
      </c>
      <c r="C1594" t="inlineStr">
        <is>
          <t>Muçarela Mozzana 2 kg</t>
        </is>
      </c>
      <c r="D1594" t="inlineStr">
        <is>
          <t>Supermercado</t>
        </is>
      </c>
      <c r="E1594" t="n">
        <v>1342.17</v>
      </c>
      <c r="F1594" t="n">
        <v>60.6</v>
      </c>
      <c r="G1594" t="n">
        <v>30</v>
      </c>
      <c r="J1594" t="inlineStr">
        <is>
          <t>A</t>
        </is>
      </c>
      <c r="K1594" t="n">
        <v>2024</v>
      </c>
      <c r="L1594" t="n">
        <v>11</v>
      </c>
      <c r="M1594" t="inlineStr">
        <is>
          <t>Chocolate em pó 50% 1 kg</t>
        </is>
      </c>
      <c r="N1594" t="inlineStr">
        <is>
          <t>Todos</t>
        </is>
      </c>
      <c r="O1594" t="n">
        <v>219</v>
      </c>
      <c r="P1594" t="n">
        <v>605</v>
      </c>
      <c r="Q1594" t="n">
        <v>219</v>
      </c>
    </row>
    <row r="1595">
      <c r="A1595" t="n">
        <v>2026</v>
      </c>
      <c r="B1595" t="n">
        <v>4</v>
      </c>
      <c r="C1595" t="inlineStr">
        <is>
          <t>Requeijão Pizzalet 1,8 kg</t>
        </is>
      </c>
      <c r="D1595" t="inlineStr">
        <is>
          <t>Bar / Chopperia</t>
        </is>
      </c>
      <c r="E1595" t="n">
        <v>412.29</v>
      </c>
      <c r="F1595" t="n">
        <v>46</v>
      </c>
      <c r="G1595" t="n">
        <v>25</v>
      </c>
      <c r="J1595" t="inlineStr">
        <is>
          <t>M</t>
        </is>
      </c>
      <c r="K1595" t="n">
        <v>2024</v>
      </c>
      <c r="L1595" t="n">
        <v>11</v>
      </c>
      <c r="M1595" t="inlineStr">
        <is>
          <t>Chocolate em pó 50% 1 kg</t>
        </is>
      </c>
      <c r="N1595" t="inlineStr">
        <is>
          <t>Todos</t>
        </is>
      </c>
      <c r="O1595" t="n">
        <v>28</v>
      </c>
      <c r="P1595" t="n">
        <v>35</v>
      </c>
      <c r="Q1595" t="n">
        <v>0</v>
      </c>
    </row>
    <row r="1596">
      <c r="A1596" t="n">
        <v>2026</v>
      </c>
      <c r="B1596" t="n">
        <v>4</v>
      </c>
      <c r="C1596" t="inlineStr">
        <is>
          <t>Requeijão Pizzalet 1,8 kg</t>
        </is>
      </c>
      <c r="D1596" t="inlineStr">
        <is>
          <t>Lanchonete / Cafeteria</t>
        </is>
      </c>
      <c r="E1596" t="n">
        <v>993.5</v>
      </c>
      <c r="F1596" t="n">
        <v>110.4</v>
      </c>
      <c r="G1596" t="n">
        <v>60</v>
      </c>
      <c r="J1596" t="inlineStr">
        <is>
          <t>A</t>
        </is>
      </c>
      <c r="K1596" t="n">
        <v>2024</v>
      </c>
      <c r="L1596" t="n">
        <v>12</v>
      </c>
      <c r="M1596" t="inlineStr">
        <is>
          <t>Chocolate em pó 50% 1 kg</t>
        </is>
      </c>
      <c r="N1596" t="inlineStr">
        <is>
          <t>Todos</t>
        </is>
      </c>
      <c r="O1596" t="n">
        <v>224</v>
      </c>
      <c r="P1596" t="n">
        <v>637</v>
      </c>
      <c r="Q1596" t="n">
        <v>224</v>
      </c>
    </row>
    <row r="1597">
      <c r="A1597" t="n">
        <v>2026</v>
      </c>
      <c r="B1597" t="n">
        <v>4</v>
      </c>
      <c r="C1597" t="inlineStr">
        <is>
          <t>Requeijão Pizzalet 1,8 kg</t>
        </is>
      </c>
      <c r="D1597" t="inlineStr">
        <is>
          <t>Pastelaria</t>
        </is>
      </c>
      <c r="E1597" t="n">
        <v>2763.32</v>
      </c>
      <c r="F1597" t="n">
        <v>305.44</v>
      </c>
      <c r="G1597" t="n">
        <v>166</v>
      </c>
      <c r="J1597" t="inlineStr">
        <is>
          <t>M</t>
        </is>
      </c>
      <c r="K1597" t="n">
        <v>2024</v>
      </c>
      <c r="L1597" t="n">
        <v>12</v>
      </c>
      <c r="M1597" t="inlineStr">
        <is>
          <t>Chocolate em pó 50% 1 kg</t>
        </is>
      </c>
      <c r="N1597" t="inlineStr">
        <is>
          <t>Todos</t>
        </is>
      </c>
      <c r="O1597" t="n">
        <v>29</v>
      </c>
      <c r="P1597" t="n">
        <v>32</v>
      </c>
      <c r="Q1597" t="n">
        <v>0</v>
      </c>
    </row>
    <row r="1598">
      <c r="A1598" t="n">
        <v>2026</v>
      </c>
      <c r="B1598" t="n">
        <v>4</v>
      </c>
      <c r="C1598" t="inlineStr">
        <is>
          <t>Requeijão Pizzalet 1,8 kg</t>
        </is>
      </c>
      <c r="D1598" t="inlineStr">
        <is>
          <t>Pizzaria</t>
        </is>
      </c>
      <c r="E1598" t="n">
        <v>4054.26</v>
      </c>
      <c r="F1598" t="n">
        <v>443.44</v>
      </c>
      <c r="G1598" t="n">
        <v>241</v>
      </c>
      <c r="J1598" t="inlineStr">
        <is>
          <t>A</t>
        </is>
      </c>
      <c r="K1598" t="n">
        <v>2024</v>
      </c>
      <c r="L1598" t="n">
        <v>1</v>
      </c>
      <c r="M1598" t="inlineStr">
        <is>
          <t>Chocolate em pó 50% 1 kg</t>
        </is>
      </c>
      <c r="N1598" t="inlineStr">
        <is>
          <t>Pizzaria</t>
        </is>
      </c>
      <c r="O1598" t="n">
        <v>3</v>
      </c>
      <c r="P1598" t="n">
        <v>3</v>
      </c>
      <c r="Q1598" t="n">
        <v>3</v>
      </c>
    </row>
    <row r="1599">
      <c r="A1599" t="n">
        <v>2026</v>
      </c>
      <c r="B1599" t="n">
        <v>4</v>
      </c>
      <c r="C1599" t="inlineStr">
        <is>
          <t>Requeijão Pizzalet 1,8 kg</t>
        </is>
      </c>
      <c r="D1599" t="inlineStr">
        <is>
          <t>Restaurante / Cantina</t>
        </is>
      </c>
      <c r="E1599" t="n">
        <v>135.2</v>
      </c>
      <c r="F1599" t="n">
        <v>14.72</v>
      </c>
      <c r="G1599" t="n">
        <v>8</v>
      </c>
      <c r="J1599" t="inlineStr">
        <is>
          <t>M</t>
        </is>
      </c>
      <c r="K1599" t="n">
        <v>2024</v>
      </c>
      <c r="L1599" t="n">
        <v>1</v>
      </c>
      <c r="M1599" t="inlineStr">
        <is>
          <t>Chocolate em pó 50% 1 kg</t>
        </is>
      </c>
      <c r="N1599" t="inlineStr">
        <is>
          <t>Pizzaria</t>
        </is>
      </c>
      <c r="O1599" t="n">
        <v>3</v>
      </c>
      <c r="P1599" t="n">
        <v>3</v>
      </c>
      <c r="Q1599" t="n">
        <v>0</v>
      </c>
    </row>
    <row r="1600">
      <c r="A1600" t="n">
        <v>2026</v>
      </c>
      <c r="B1600" t="n">
        <v>5</v>
      </c>
      <c r="C1600" t="inlineStr">
        <is>
          <t>Chocolate em pó 50% 1 kg</t>
        </is>
      </c>
      <c r="D1600" t="inlineStr">
        <is>
          <t>Bar / Chopperia</t>
        </is>
      </c>
      <c r="E1600" t="n">
        <v>222.84</v>
      </c>
      <c r="F1600" t="n">
        <v>5.1</v>
      </c>
      <c r="G1600" t="n">
        <v>5</v>
      </c>
      <c r="J1600" t="inlineStr">
        <is>
          <t>A</t>
        </is>
      </c>
      <c r="K1600" t="n">
        <v>2024</v>
      </c>
      <c r="L1600" t="n">
        <v>2</v>
      </c>
      <c r="M1600" t="inlineStr">
        <is>
          <t>Chocolate em pó 50% 1 kg</t>
        </is>
      </c>
      <c r="N1600" t="inlineStr">
        <is>
          <t>Pizzaria</t>
        </is>
      </c>
      <c r="O1600" t="n">
        <v>9</v>
      </c>
      <c r="P1600" t="n">
        <v>10</v>
      </c>
      <c r="Q1600" t="n">
        <v>9</v>
      </c>
    </row>
    <row r="1601">
      <c r="A1601" t="n">
        <v>2026</v>
      </c>
      <c r="B1601" t="n">
        <v>5</v>
      </c>
      <c r="C1601" t="inlineStr">
        <is>
          <t>Chocolate em pó 50% 1 kg</t>
        </is>
      </c>
      <c r="D1601" t="inlineStr">
        <is>
          <t>Buffet</t>
        </is>
      </c>
      <c r="E1601" t="n">
        <v>856.4</v>
      </c>
      <c r="F1601" t="n">
        <v>19.38</v>
      </c>
      <c r="G1601" t="n">
        <v>19</v>
      </c>
      <c r="J1601" t="inlineStr">
        <is>
          <t>M</t>
        </is>
      </c>
      <c r="K1601" t="n">
        <v>2024</v>
      </c>
      <c r="L1601" t="n">
        <v>2</v>
      </c>
      <c r="M1601" t="inlineStr">
        <is>
          <t>Chocolate em pó 50% 1 kg</t>
        </is>
      </c>
      <c r="N1601" t="inlineStr">
        <is>
          <t>Pizzaria</t>
        </is>
      </c>
      <c r="O1601" t="n">
        <v>6</v>
      </c>
      <c r="P1601" t="n">
        <v>7</v>
      </c>
      <c r="Q1601" t="n">
        <v>0</v>
      </c>
    </row>
    <row r="1602">
      <c r="A1602" t="n">
        <v>2026</v>
      </c>
      <c r="B1602" t="n">
        <v>5</v>
      </c>
      <c r="C1602" t="inlineStr">
        <is>
          <t>Chocolate em pó 50% 1 kg</t>
        </is>
      </c>
      <c r="D1602" t="inlineStr">
        <is>
          <t>Churrascaria</t>
        </is>
      </c>
      <c r="E1602" t="n">
        <v>693.12</v>
      </c>
      <c r="F1602" t="n">
        <v>16.32</v>
      </c>
      <c r="G1602" t="n">
        <v>16</v>
      </c>
      <c r="J1602" t="inlineStr">
        <is>
          <t>A</t>
        </is>
      </c>
      <c r="K1602" t="n">
        <v>2024</v>
      </c>
      <c r="L1602" t="n">
        <v>3</v>
      </c>
      <c r="M1602" t="inlineStr">
        <is>
          <t>Chocolate em pó 50% 1 kg</t>
        </is>
      </c>
      <c r="N1602" t="inlineStr">
        <is>
          <t>Pizzaria</t>
        </is>
      </c>
      <c r="O1602" t="n">
        <v>14</v>
      </c>
      <c r="P1602" t="n">
        <v>17</v>
      </c>
      <c r="Q1602" t="n">
        <v>14</v>
      </c>
    </row>
    <row r="1603">
      <c r="A1603" t="n">
        <v>2026</v>
      </c>
      <c r="B1603" t="n">
        <v>5</v>
      </c>
      <c r="C1603" t="inlineStr">
        <is>
          <t>Chocolate em pó 50% 1 kg</t>
        </is>
      </c>
      <c r="D1603" t="inlineStr">
        <is>
          <t>Clube / Associação Desportiva</t>
        </is>
      </c>
      <c r="E1603" t="n">
        <v>90</v>
      </c>
      <c r="F1603" t="n">
        <v>2.04</v>
      </c>
      <c r="G1603" t="n">
        <v>2</v>
      </c>
      <c r="J1603" t="inlineStr">
        <is>
          <t>M</t>
        </is>
      </c>
      <c r="K1603" t="n">
        <v>2024</v>
      </c>
      <c r="L1603" t="n">
        <v>3</v>
      </c>
      <c r="M1603" t="inlineStr">
        <is>
          <t>Chocolate em pó 50% 1 kg</t>
        </is>
      </c>
      <c r="N1603" t="inlineStr">
        <is>
          <t>Pizzaria</t>
        </is>
      </c>
      <c r="O1603" t="n">
        <v>7</v>
      </c>
      <c r="P1603" t="n">
        <v>7</v>
      </c>
      <c r="Q1603" t="n">
        <v>0</v>
      </c>
    </row>
    <row r="1604">
      <c r="A1604" t="n">
        <v>2026</v>
      </c>
      <c r="B1604" t="n">
        <v>5</v>
      </c>
      <c r="C1604" t="inlineStr">
        <is>
          <t>Chocolate em pó 50% 1 kg</t>
        </is>
      </c>
      <c r="D1604" t="inlineStr">
        <is>
          <t>Confeitaria</t>
        </is>
      </c>
      <c r="E1604" t="n">
        <v>264</v>
      </c>
      <c r="F1604" t="n">
        <v>6.12</v>
      </c>
      <c r="G1604" t="n">
        <v>6</v>
      </c>
      <c r="J1604" t="inlineStr">
        <is>
          <t>A</t>
        </is>
      </c>
      <c r="K1604" t="n">
        <v>2024</v>
      </c>
      <c r="L1604" t="n">
        <v>4</v>
      </c>
      <c r="M1604" t="inlineStr">
        <is>
          <t>Chocolate em pó 50% 1 kg</t>
        </is>
      </c>
      <c r="N1604" t="inlineStr">
        <is>
          <t>Pizzaria</t>
        </is>
      </c>
      <c r="O1604" t="n">
        <v>20</v>
      </c>
      <c r="P1604" t="n">
        <v>31</v>
      </c>
      <c r="Q1604" t="n">
        <v>20</v>
      </c>
    </row>
    <row r="1605">
      <c r="A1605" t="n">
        <v>2026</v>
      </c>
      <c r="B1605" t="n">
        <v>5</v>
      </c>
      <c r="C1605" t="inlineStr">
        <is>
          <t>Chocolate em pó 50% 1 kg</t>
        </is>
      </c>
      <c r="D1605" t="inlineStr">
        <is>
          <t>Cozinha Industrial</t>
        </is>
      </c>
      <c r="E1605" t="n">
        <v>575.1</v>
      </c>
      <c r="F1605" t="n">
        <v>13.26</v>
      </c>
      <c r="G1605" t="n">
        <v>13</v>
      </c>
      <c r="J1605" t="inlineStr">
        <is>
          <t>M</t>
        </is>
      </c>
      <c r="K1605" t="n">
        <v>2024</v>
      </c>
      <c r="L1605" t="n">
        <v>4</v>
      </c>
      <c r="M1605" t="inlineStr">
        <is>
          <t>Chocolate em pó 50% 1 kg</t>
        </is>
      </c>
      <c r="N1605" t="inlineStr">
        <is>
          <t>Pizzaria</t>
        </is>
      </c>
      <c r="O1605" t="n">
        <v>10</v>
      </c>
      <c r="P1605" t="n">
        <v>14</v>
      </c>
      <c r="Q1605" t="n">
        <v>0</v>
      </c>
    </row>
    <row r="1606">
      <c r="A1606" t="n">
        <v>2026</v>
      </c>
      <c r="B1606" t="n">
        <v>5</v>
      </c>
      <c r="C1606" t="inlineStr">
        <is>
          <t>Chocolate em pó 50% 1 kg</t>
        </is>
      </c>
      <c r="D1606" t="inlineStr">
        <is>
          <t>Distribuidor Alimentos</t>
        </is>
      </c>
      <c r="E1606" t="n">
        <v>45</v>
      </c>
      <c r="F1606" t="n">
        <v>1.02</v>
      </c>
      <c r="G1606" t="n">
        <v>1</v>
      </c>
      <c r="J1606" t="inlineStr">
        <is>
          <t>A</t>
        </is>
      </c>
      <c r="K1606" t="n">
        <v>2024</v>
      </c>
      <c r="L1606" t="n">
        <v>5</v>
      </c>
      <c r="M1606" t="inlineStr">
        <is>
          <t>Chocolate em pó 50% 1 kg</t>
        </is>
      </c>
      <c r="N1606" t="inlineStr">
        <is>
          <t>Pizzaria</t>
        </is>
      </c>
      <c r="O1606" t="n">
        <v>24</v>
      </c>
      <c r="P1606" t="n">
        <v>38</v>
      </c>
      <c r="Q1606" t="n">
        <v>24</v>
      </c>
    </row>
    <row r="1607">
      <c r="A1607" t="n">
        <v>2026</v>
      </c>
      <c r="B1607" t="n">
        <v>5</v>
      </c>
      <c r="C1607" t="inlineStr">
        <is>
          <t>Chocolate em pó 50% 1 kg</t>
        </is>
      </c>
      <c r="D1607" t="inlineStr">
        <is>
          <t>Esfiharia</t>
        </is>
      </c>
      <c r="E1607" t="n">
        <v>135</v>
      </c>
      <c r="F1607" t="n">
        <v>3.06</v>
      </c>
      <c r="G1607" t="n">
        <v>3</v>
      </c>
      <c r="J1607" t="inlineStr">
        <is>
          <t>M</t>
        </is>
      </c>
      <c r="K1607" t="n">
        <v>2024</v>
      </c>
      <c r="L1607" t="n">
        <v>5</v>
      </c>
      <c r="M1607" t="inlineStr">
        <is>
          <t>Chocolate em pó 50% 1 kg</t>
        </is>
      </c>
      <c r="N1607" t="inlineStr">
        <is>
          <t>Pizzaria</t>
        </is>
      </c>
      <c r="O1607" t="n">
        <v>7</v>
      </c>
      <c r="P1607" t="n">
        <v>7</v>
      </c>
      <c r="Q1607" t="n">
        <v>0</v>
      </c>
    </row>
    <row r="1608">
      <c r="A1608" t="n">
        <v>2026</v>
      </c>
      <c r="B1608" t="n">
        <v>5</v>
      </c>
      <c r="C1608" t="inlineStr">
        <is>
          <t>Chocolate em pó 50% 1 kg</t>
        </is>
      </c>
      <c r="D1608" t="inlineStr">
        <is>
          <t>Hamburgueria</t>
        </is>
      </c>
      <c r="E1608" t="n">
        <v>45</v>
      </c>
      <c r="F1608" t="n">
        <v>1.02</v>
      </c>
      <c r="G1608" t="n">
        <v>1</v>
      </c>
      <c r="J1608" t="inlineStr">
        <is>
          <t>A</t>
        </is>
      </c>
      <c r="K1608" t="n">
        <v>2024</v>
      </c>
      <c r="L1608" t="n">
        <v>6</v>
      </c>
      <c r="M1608" t="inlineStr">
        <is>
          <t>Chocolate em pó 50% 1 kg</t>
        </is>
      </c>
      <c r="N1608" t="inlineStr">
        <is>
          <t>Pizzaria</t>
        </is>
      </c>
      <c r="O1608" t="n">
        <v>29</v>
      </c>
      <c r="P1608" t="n">
        <v>49</v>
      </c>
      <c r="Q1608" t="n">
        <v>29</v>
      </c>
    </row>
    <row r="1609">
      <c r="A1609" t="n">
        <v>2026</v>
      </c>
      <c r="B1609" t="n">
        <v>5</v>
      </c>
      <c r="C1609" t="inlineStr">
        <is>
          <t>Chocolate em pó 50% 1 kg</t>
        </is>
      </c>
      <c r="D1609" t="inlineStr">
        <is>
          <t>Hotel / Motel / Pousada</t>
        </is>
      </c>
      <c r="E1609" t="n">
        <v>764.52</v>
      </c>
      <c r="F1609" t="n">
        <v>17.34</v>
      </c>
      <c r="G1609" t="n">
        <v>17</v>
      </c>
      <c r="J1609" t="inlineStr">
        <is>
          <t>M</t>
        </is>
      </c>
      <c r="K1609" t="n">
        <v>2024</v>
      </c>
      <c r="L1609" t="n">
        <v>6</v>
      </c>
      <c r="M1609" t="inlineStr">
        <is>
          <t>Chocolate em pó 50% 1 kg</t>
        </is>
      </c>
      <c r="N1609" t="inlineStr">
        <is>
          <t>Pizzaria</t>
        </is>
      </c>
      <c r="O1609" t="n">
        <v>10</v>
      </c>
      <c r="P1609" t="n">
        <v>11</v>
      </c>
      <c r="Q1609" t="n">
        <v>0</v>
      </c>
    </row>
    <row r="1610">
      <c r="A1610" t="n">
        <v>2026</v>
      </c>
      <c r="B1610" t="n">
        <v>5</v>
      </c>
      <c r="C1610" t="inlineStr">
        <is>
          <t>Chocolate em pó 50% 1 kg</t>
        </is>
      </c>
      <c r="D1610" t="inlineStr">
        <is>
          <t>Instituição Religiosa</t>
        </is>
      </c>
      <c r="E1610" t="n">
        <v>46.35</v>
      </c>
      <c r="F1610" t="n">
        <v>1.02</v>
      </c>
      <c r="G1610" t="n">
        <v>1</v>
      </c>
      <c r="J1610" t="inlineStr">
        <is>
          <t>A</t>
        </is>
      </c>
      <c r="K1610" t="n">
        <v>2024</v>
      </c>
      <c r="L1610" t="n">
        <v>7</v>
      </c>
      <c r="M1610" t="inlineStr">
        <is>
          <t>Chocolate em pó 50% 1 kg</t>
        </is>
      </c>
      <c r="N1610" t="inlineStr">
        <is>
          <t>Pizzaria</t>
        </is>
      </c>
      <c r="O1610" t="n">
        <v>30</v>
      </c>
      <c r="P1610" t="n">
        <v>60</v>
      </c>
      <c r="Q1610" t="n">
        <v>30</v>
      </c>
    </row>
    <row r="1611">
      <c r="A1611" t="n">
        <v>2026</v>
      </c>
      <c r="B1611" t="n">
        <v>5</v>
      </c>
      <c r="C1611" t="inlineStr">
        <is>
          <t>Chocolate em pó 50% 1 kg</t>
        </is>
      </c>
      <c r="D1611" t="inlineStr">
        <is>
          <t>Instituição de Ensino</t>
        </is>
      </c>
      <c r="E1611" t="n">
        <v>135</v>
      </c>
      <c r="F1611" t="n">
        <v>3.06</v>
      </c>
      <c r="G1611" t="n">
        <v>3</v>
      </c>
      <c r="J1611" t="inlineStr">
        <is>
          <t>M</t>
        </is>
      </c>
      <c r="K1611" t="n">
        <v>2024</v>
      </c>
      <c r="L1611" t="n">
        <v>7</v>
      </c>
      <c r="M1611" t="inlineStr">
        <is>
          <t>Chocolate em pó 50% 1 kg</t>
        </is>
      </c>
      <c r="N1611" t="inlineStr">
        <is>
          <t>Pizzaria</t>
        </is>
      </c>
      <c r="O1611" t="n">
        <v>7</v>
      </c>
      <c r="P1611" t="n">
        <v>11</v>
      </c>
      <c r="Q1611" t="n">
        <v>0</v>
      </c>
    </row>
    <row r="1612">
      <c r="A1612" t="n">
        <v>2026</v>
      </c>
      <c r="B1612" t="n">
        <v>5</v>
      </c>
      <c r="C1612" t="inlineStr">
        <is>
          <t>Chocolate em pó 50% 1 kg</t>
        </is>
      </c>
      <c r="D1612" t="inlineStr">
        <is>
          <t>Lanchonete / Cafeteria</t>
        </is>
      </c>
      <c r="E1612" t="n">
        <v>1220</v>
      </c>
      <c r="F1612" t="n">
        <v>27.54</v>
      </c>
      <c r="G1612" t="n">
        <v>27</v>
      </c>
      <c r="J1612" t="inlineStr">
        <is>
          <t>A</t>
        </is>
      </c>
      <c r="K1612" t="n">
        <v>2024</v>
      </c>
      <c r="L1612" t="n">
        <v>8</v>
      </c>
      <c r="M1612" t="inlineStr">
        <is>
          <t>Chocolate em pó 50% 1 kg</t>
        </is>
      </c>
      <c r="N1612" t="inlineStr">
        <is>
          <t>Pizzaria</t>
        </is>
      </c>
      <c r="O1612" t="n">
        <v>33</v>
      </c>
      <c r="P1612" t="n">
        <v>67</v>
      </c>
      <c r="Q1612" t="n">
        <v>33</v>
      </c>
    </row>
    <row r="1613">
      <c r="A1613" t="n">
        <v>2026</v>
      </c>
      <c r="B1613" t="n">
        <v>5</v>
      </c>
      <c r="C1613" t="inlineStr">
        <is>
          <t>Chocolate em pó 50% 1 kg</t>
        </is>
      </c>
      <c r="D1613" t="inlineStr">
        <is>
          <t>Mercearia / Sacolão</t>
        </is>
      </c>
      <c r="E1613" t="n">
        <v>45</v>
      </c>
      <c r="F1613" t="n">
        <v>1.02</v>
      </c>
      <c r="G1613" t="n">
        <v>1</v>
      </c>
      <c r="J1613" t="inlineStr">
        <is>
          <t>M</t>
        </is>
      </c>
      <c r="K1613" t="n">
        <v>2024</v>
      </c>
      <c r="L1613" t="n">
        <v>8</v>
      </c>
      <c r="M1613" t="inlineStr">
        <is>
          <t>Chocolate em pó 50% 1 kg</t>
        </is>
      </c>
      <c r="N1613" t="inlineStr">
        <is>
          <t>Pizzaria</t>
        </is>
      </c>
      <c r="O1613" t="n">
        <v>6</v>
      </c>
      <c r="P1613" t="n">
        <v>7</v>
      </c>
      <c r="Q1613" t="n">
        <v>0</v>
      </c>
    </row>
    <row r="1614">
      <c r="A1614" t="n">
        <v>2026</v>
      </c>
      <c r="B1614" t="n">
        <v>5</v>
      </c>
      <c r="C1614" t="inlineStr">
        <is>
          <t>Chocolate em pó 50% 1 kg</t>
        </is>
      </c>
      <c r="D1614" t="inlineStr">
        <is>
          <t>Padaria</t>
        </is>
      </c>
      <c r="E1614" t="n">
        <v>811.5599999999999</v>
      </c>
      <c r="F1614" t="n">
        <v>18.36</v>
      </c>
      <c r="G1614" t="n">
        <v>18</v>
      </c>
      <c r="J1614" t="inlineStr">
        <is>
          <t>A</t>
        </is>
      </c>
      <c r="K1614" t="n">
        <v>2024</v>
      </c>
      <c r="L1614" t="n">
        <v>9</v>
      </c>
      <c r="M1614" t="inlineStr">
        <is>
          <t>Chocolate em pó 50% 1 kg</t>
        </is>
      </c>
      <c r="N1614" t="inlineStr">
        <is>
          <t>Pizzaria</t>
        </is>
      </c>
      <c r="O1614" t="n">
        <v>35</v>
      </c>
      <c r="P1614" t="n">
        <v>73</v>
      </c>
      <c r="Q1614" t="n">
        <v>35</v>
      </c>
    </row>
    <row r="1615">
      <c r="A1615" t="n">
        <v>2026</v>
      </c>
      <c r="B1615" t="n">
        <v>5</v>
      </c>
      <c r="C1615" t="inlineStr">
        <is>
          <t>Chocolate em pó 50% 1 kg</t>
        </is>
      </c>
      <c r="D1615" t="inlineStr">
        <is>
          <t>Pessoa Física</t>
        </is>
      </c>
      <c r="E1615" t="n">
        <v>315</v>
      </c>
      <c r="F1615" t="n">
        <v>7.14</v>
      </c>
      <c r="G1615" t="n">
        <v>7</v>
      </c>
      <c r="J1615" t="inlineStr">
        <is>
          <t>M</t>
        </is>
      </c>
      <c r="K1615" t="n">
        <v>2024</v>
      </c>
      <c r="L1615" t="n">
        <v>9</v>
      </c>
      <c r="M1615" t="inlineStr">
        <is>
          <t>Chocolate em pó 50% 1 kg</t>
        </is>
      </c>
      <c r="N1615" t="inlineStr">
        <is>
          <t>Pizzaria</t>
        </is>
      </c>
      <c r="O1615" t="n">
        <v>6</v>
      </c>
      <c r="P1615" t="n">
        <v>6</v>
      </c>
      <c r="Q1615" t="n">
        <v>0</v>
      </c>
    </row>
    <row r="1616">
      <c r="A1616" t="n">
        <v>2026</v>
      </c>
      <c r="B1616" t="n">
        <v>5</v>
      </c>
      <c r="C1616" t="inlineStr">
        <is>
          <t>Chocolate em pó 50% 1 kg</t>
        </is>
      </c>
      <c r="D1616" t="inlineStr">
        <is>
          <t>Pizzaria</t>
        </is>
      </c>
      <c r="E1616" t="n">
        <v>3940.76</v>
      </c>
      <c r="F1616" t="n">
        <v>89.76000000000001</v>
      </c>
      <c r="G1616" t="n">
        <v>88</v>
      </c>
      <c r="J1616" t="inlineStr">
        <is>
          <t>A</t>
        </is>
      </c>
      <c r="K1616" t="n">
        <v>2024</v>
      </c>
      <c r="L1616" t="n">
        <v>10</v>
      </c>
      <c r="M1616" t="inlineStr">
        <is>
          <t>Chocolate em pó 50% 1 kg</t>
        </is>
      </c>
      <c r="N1616" t="inlineStr">
        <is>
          <t>Pizzaria</t>
        </is>
      </c>
      <c r="O1616" t="n">
        <v>36</v>
      </c>
      <c r="P1616" t="n">
        <v>80</v>
      </c>
      <c r="Q1616" t="n">
        <v>36</v>
      </c>
    </row>
    <row r="1617">
      <c r="A1617" t="n">
        <v>2026</v>
      </c>
      <c r="B1617" t="n">
        <v>5</v>
      </c>
      <c r="C1617" t="inlineStr">
        <is>
          <t>Chocolate em pó 50% 1 kg</t>
        </is>
      </c>
      <c r="D1617" t="inlineStr">
        <is>
          <t>Restaurante / Cantina</t>
        </is>
      </c>
      <c r="E1617" t="n">
        <v>5349.31</v>
      </c>
      <c r="F1617" t="n">
        <v>120.36</v>
      </c>
      <c r="G1617" t="n">
        <v>118</v>
      </c>
      <c r="J1617" t="inlineStr">
        <is>
          <t>M</t>
        </is>
      </c>
      <c r="K1617" t="n">
        <v>2024</v>
      </c>
      <c r="L1617" t="n">
        <v>10</v>
      </c>
      <c r="M1617" t="inlineStr">
        <is>
          <t>Chocolate em pó 50% 1 kg</t>
        </is>
      </c>
      <c r="N1617" t="inlineStr">
        <is>
          <t>Pizzaria</t>
        </is>
      </c>
      <c r="O1617" t="n">
        <v>6</v>
      </c>
      <c r="P1617" t="n">
        <v>7</v>
      </c>
      <c r="Q1617" t="n">
        <v>0</v>
      </c>
    </row>
    <row r="1618">
      <c r="A1618" t="n">
        <v>2026</v>
      </c>
      <c r="B1618" t="n">
        <v>5</v>
      </c>
      <c r="C1618" t="inlineStr">
        <is>
          <t>Composto lácteo Alibralac 1 kg</t>
        </is>
      </c>
      <c r="D1618" t="inlineStr">
        <is>
          <t>Fábrica de Massas</t>
        </is>
      </c>
      <c r="E1618" t="n">
        <v>74.88</v>
      </c>
      <c r="F1618" t="n">
        <v>3.06</v>
      </c>
      <c r="G1618" t="n">
        <v>3</v>
      </c>
      <c r="J1618" t="inlineStr">
        <is>
          <t>A</t>
        </is>
      </c>
      <c r="K1618" t="n">
        <v>2024</v>
      </c>
      <c r="L1618" t="n">
        <v>11</v>
      </c>
      <c r="M1618" t="inlineStr">
        <is>
          <t>Chocolate em pó 50% 1 kg</t>
        </is>
      </c>
      <c r="N1618" t="inlineStr">
        <is>
          <t>Pizzaria</t>
        </is>
      </c>
      <c r="O1618" t="n">
        <v>37</v>
      </c>
      <c r="P1618" t="n">
        <v>83</v>
      </c>
      <c r="Q1618" t="n">
        <v>37</v>
      </c>
    </row>
    <row r="1619">
      <c r="A1619" t="n">
        <v>2026</v>
      </c>
      <c r="B1619" t="n">
        <v>5</v>
      </c>
      <c r="C1619" t="inlineStr">
        <is>
          <t>Composto lácteo Alibralac 1 kg</t>
        </is>
      </c>
      <c r="D1619" t="inlineStr">
        <is>
          <t>Hamburgueria</t>
        </is>
      </c>
      <c r="E1619" t="n">
        <v>49.44</v>
      </c>
      <c r="F1619" t="n">
        <v>2.04</v>
      </c>
      <c r="G1619" t="n">
        <v>2</v>
      </c>
      <c r="J1619" t="inlineStr">
        <is>
          <t>M</t>
        </is>
      </c>
      <c r="K1619" t="n">
        <v>2024</v>
      </c>
      <c r="L1619" t="n">
        <v>11</v>
      </c>
      <c r="M1619" t="inlineStr">
        <is>
          <t>Chocolate em pó 50% 1 kg</t>
        </is>
      </c>
      <c r="N1619" t="inlineStr">
        <is>
          <t>Pizzaria</t>
        </is>
      </c>
      <c r="O1619" t="n">
        <v>3</v>
      </c>
      <c r="P1619" t="n">
        <v>3</v>
      </c>
      <c r="Q1619" t="n">
        <v>0</v>
      </c>
    </row>
    <row r="1620">
      <c r="A1620" t="n">
        <v>2026</v>
      </c>
      <c r="B1620" t="n">
        <v>5</v>
      </c>
      <c r="C1620" t="inlineStr">
        <is>
          <t>Composto lácteo Alibralac 1 kg</t>
        </is>
      </c>
      <c r="D1620" t="inlineStr">
        <is>
          <t>Hotel / Motel / Pousada</t>
        </is>
      </c>
      <c r="E1620" t="n">
        <v>24.96</v>
      </c>
      <c r="F1620" t="n">
        <v>1.02</v>
      </c>
      <c r="G1620" t="n">
        <v>1</v>
      </c>
      <c r="J1620" t="inlineStr">
        <is>
          <t>A</t>
        </is>
      </c>
      <c r="K1620" t="n">
        <v>2024</v>
      </c>
      <c r="L1620" t="n">
        <v>12</v>
      </c>
      <c r="M1620" t="inlineStr">
        <is>
          <t>Chocolate em pó 50% 1 kg</t>
        </is>
      </c>
      <c r="N1620" t="inlineStr">
        <is>
          <t>Pizzaria</t>
        </is>
      </c>
      <c r="O1620" t="n">
        <v>39</v>
      </c>
      <c r="P1620" t="n">
        <v>87</v>
      </c>
      <c r="Q1620" t="n">
        <v>39</v>
      </c>
    </row>
    <row r="1621">
      <c r="A1621" t="n">
        <v>2026</v>
      </c>
      <c r="B1621" t="n">
        <v>5</v>
      </c>
      <c r="C1621" t="inlineStr">
        <is>
          <t>Composto lácteo Alibralac 1 kg</t>
        </is>
      </c>
      <c r="D1621" t="inlineStr">
        <is>
          <t>Lanchonete / Cafeteria</t>
        </is>
      </c>
      <c r="E1621" t="n">
        <v>259</v>
      </c>
      <c r="F1621" t="n">
        <v>10.2</v>
      </c>
      <c r="G1621" t="n">
        <v>10</v>
      </c>
      <c r="J1621" t="inlineStr">
        <is>
          <t>M</t>
        </is>
      </c>
      <c r="K1621" t="n">
        <v>2024</v>
      </c>
      <c r="L1621" t="n">
        <v>12</v>
      </c>
      <c r="M1621" t="inlineStr">
        <is>
          <t>Chocolate em pó 50% 1 kg</t>
        </is>
      </c>
      <c r="N1621" t="inlineStr">
        <is>
          <t>Pizzaria</t>
        </is>
      </c>
      <c r="O1621" t="n">
        <v>4</v>
      </c>
      <c r="P1621" t="n">
        <v>4</v>
      </c>
      <c r="Q1621" t="n">
        <v>0</v>
      </c>
    </row>
    <row r="1622">
      <c r="A1622" t="n">
        <v>2026</v>
      </c>
      <c r="B1622" t="n">
        <v>5</v>
      </c>
      <c r="C1622" t="inlineStr">
        <is>
          <t>Composto lácteo Alibralac 1 kg</t>
        </is>
      </c>
      <c r="D1622" t="inlineStr">
        <is>
          <t>Padaria</t>
        </is>
      </c>
      <c r="E1622" t="n">
        <v>494.3</v>
      </c>
      <c r="F1622" t="n">
        <v>20.4</v>
      </c>
      <c r="G1622" t="n">
        <v>20</v>
      </c>
      <c r="J1622" t="inlineStr">
        <is>
          <t>A</t>
        </is>
      </c>
      <c r="K1622" t="n">
        <v>2024</v>
      </c>
      <c r="L1622" t="n">
        <v>1</v>
      </c>
      <c r="M1622" t="inlineStr">
        <is>
          <t>Chocolate em pó 50% 1 kg</t>
        </is>
      </c>
      <c r="N1622" t="inlineStr">
        <is>
          <t>Restaurante / Cantina</t>
        </is>
      </c>
      <c r="O1622" t="n">
        <v>11</v>
      </c>
      <c r="P1622" t="n">
        <v>15</v>
      </c>
      <c r="Q1622" t="n">
        <v>11</v>
      </c>
    </row>
    <row r="1623">
      <c r="A1623" t="n">
        <v>2026</v>
      </c>
      <c r="B1623" t="n">
        <v>5</v>
      </c>
      <c r="C1623" t="inlineStr">
        <is>
          <t>Composto lácteo Alibralac 1 kg</t>
        </is>
      </c>
      <c r="D1623" t="inlineStr">
        <is>
          <t>Pizzaria</t>
        </is>
      </c>
      <c r="E1623" t="n">
        <v>242</v>
      </c>
      <c r="F1623" t="n">
        <v>10.2</v>
      </c>
      <c r="G1623" t="n">
        <v>10</v>
      </c>
      <c r="J1623" t="inlineStr">
        <is>
          <t>M</t>
        </is>
      </c>
      <c r="K1623" t="n">
        <v>2024</v>
      </c>
      <c r="L1623" t="n">
        <v>1</v>
      </c>
      <c r="M1623" t="inlineStr">
        <is>
          <t>Chocolate em pó 50% 1 kg</t>
        </is>
      </c>
      <c r="N1623" t="inlineStr">
        <is>
          <t>Restaurante / Cantina</t>
        </is>
      </c>
      <c r="O1623" t="n">
        <v>11</v>
      </c>
      <c r="P1623" t="n">
        <v>15</v>
      </c>
      <c r="Q1623" t="n">
        <v>0</v>
      </c>
    </row>
    <row r="1624">
      <c r="A1624" t="n">
        <v>2026</v>
      </c>
      <c r="B1624" t="n">
        <v>5</v>
      </c>
      <c r="C1624" t="inlineStr">
        <is>
          <t>Composto lácteo Alibralac 1 kg</t>
        </is>
      </c>
      <c r="D1624" t="inlineStr">
        <is>
          <t>Restaurante / Cantina</t>
        </is>
      </c>
      <c r="E1624" t="n">
        <v>424.32</v>
      </c>
      <c r="F1624" t="n">
        <v>17.34</v>
      </c>
      <c r="G1624" t="n">
        <v>17</v>
      </c>
      <c r="J1624" t="inlineStr">
        <is>
          <t>A</t>
        </is>
      </c>
      <c r="K1624" t="n">
        <v>2024</v>
      </c>
      <c r="L1624" t="n">
        <v>2</v>
      </c>
      <c r="M1624" t="inlineStr">
        <is>
          <t>Chocolate em pó 50% 1 kg</t>
        </is>
      </c>
      <c r="N1624" t="inlineStr">
        <is>
          <t>Restaurante / Cantina</t>
        </is>
      </c>
      <c r="O1624" t="n">
        <v>16</v>
      </c>
      <c r="P1624" t="n">
        <v>24</v>
      </c>
      <c r="Q1624" t="n">
        <v>16</v>
      </c>
    </row>
    <row r="1625">
      <c r="A1625" t="n">
        <v>2026</v>
      </c>
      <c r="B1625" t="n">
        <v>5</v>
      </c>
      <c r="C1625" t="inlineStr">
        <is>
          <t>Composto lácteo Merilú 400 g</t>
        </is>
      </c>
      <c r="D1625" t="inlineStr">
        <is>
          <t>Esfiharia</t>
        </is>
      </c>
      <c r="E1625" t="n">
        <v>23.76</v>
      </c>
      <c r="F1625" t="n">
        <v>1.26</v>
      </c>
      <c r="G1625" t="n">
        <v>3</v>
      </c>
      <c r="J1625" t="inlineStr">
        <is>
          <t>M</t>
        </is>
      </c>
      <c r="K1625" t="n">
        <v>2024</v>
      </c>
      <c r="L1625" t="n">
        <v>2</v>
      </c>
      <c r="M1625" t="inlineStr">
        <is>
          <t>Chocolate em pó 50% 1 kg</t>
        </is>
      </c>
      <c r="N1625" t="inlineStr">
        <is>
          <t>Restaurante / Cantina</t>
        </is>
      </c>
      <c r="O1625" t="n">
        <v>7</v>
      </c>
      <c r="P1625" t="n">
        <v>9</v>
      </c>
      <c r="Q1625" t="n">
        <v>0</v>
      </c>
    </row>
    <row r="1626">
      <c r="A1626" t="n">
        <v>2026</v>
      </c>
      <c r="B1626" t="n">
        <v>5</v>
      </c>
      <c r="C1626" t="inlineStr">
        <is>
          <t>Composto lácteo Merilú 400 g</t>
        </is>
      </c>
      <c r="D1626" t="inlineStr">
        <is>
          <t>Hamburgueria</t>
        </is>
      </c>
      <c r="E1626" t="n">
        <v>31.6</v>
      </c>
      <c r="F1626" t="n">
        <v>1.68</v>
      </c>
      <c r="G1626" t="n">
        <v>4</v>
      </c>
      <c r="J1626" t="inlineStr">
        <is>
          <t>A</t>
        </is>
      </c>
      <c r="K1626" t="n">
        <v>2024</v>
      </c>
      <c r="L1626" t="n">
        <v>3</v>
      </c>
      <c r="M1626" t="inlineStr">
        <is>
          <t>Chocolate em pó 50% 1 kg</t>
        </is>
      </c>
      <c r="N1626" t="inlineStr">
        <is>
          <t>Restaurante / Cantina</t>
        </is>
      </c>
      <c r="O1626" t="n">
        <v>23</v>
      </c>
      <c r="P1626" t="n">
        <v>48</v>
      </c>
      <c r="Q1626" t="n">
        <v>23</v>
      </c>
    </row>
    <row r="1627">
      <c r="A1627" t="n">
        <v>2026</v>
      </c>
      <c r="B1627" t="n">
        <v>5</v>
      </c>
      <c r="C1627" t="inlineStr">
        <is>
          <t>Composto lácteo Merilú 400 g</t>
        </is>
      </c>
      <c r="D1627" t="inlineStr">
        <is>
          <t>Lanchonete / Cafeteria</t>
        </is>
      </c>
      <c r="E1627" t="n">
        <v>7.98</v>
      </c>
      <c r="F1627" t="n">
        <v>0.42</v>
      </c>
      <c r="G1627" t="n">
        <v>1</v>
      </c>
      <c r="J1627" t="inlineStr">
        <is>
          <t>M</t>
        </is>
      </c>
      <c r="K1627" t="n">
        <v>2024</v>
      </c>
      <c r="L1627" t="n">
        <v>3</v>
      </c>
      <c r="M1627" t="inlineStr">
        <is>
          <t>Chocolate em pó 50% 1 kg</t>
        </is>
      </c>
      <c r="N1627" t="inlineStr">
        <is>
          <t>Restaurante / Cantina</t>
        </is>
      </c>
      <c r="O1627" t="n">
        <v>15</v>
      </c>
      <c r="P1627" t="n">
        <v>24</v>
      </c>
      <c r="Q1627" t="n">
        <v>0</v>
      </c>
    </row>
    <row r="1628">
      <c r="A1628" t="n">
        <v>2026</v>
      </c>
      <c r="B1628" t="n">
        <v>5</v>
      </c>
      <c r="C1628" t="inlineStr">
        <is>
          <t>Composto lácteo Merilú 400 g</t>
        </is>
      </c>
      <c r="D1628" t="inlineStr">
        <is>
          <t>Mercearia / Sacolão</t>
        </is>
      </c>
      <c r="E1628" t="n">
        <v>31.28</v>
      </c>
      <c r="F1628" t="n">
        <v>1.68</v>
      </c>
      <c r="G1628" t="n">
        <v>4</v>
      </c>
      <c r="J1628" t="inlineStr">
        <is>
          <t>A</t>
        </is>
      </c>
      <c r="K1628" t="n">
        <v>2024</v>
      </c>
      <c r="L1628" t="n">
        <v>4</v>
      </c>
      <c r="M1628" t="inlineStr">
        <is>
          <t>Chocolate em pó 50% 1 kg</t>
        </is>
      </c>
      <c r="N1628" t="inlineStr">
        <is>
          <t>Restaurante / Cantina</t>
        </is>
      </c>
      <c r="O1628" t="n">
        <v>30</v>
      </c>
      <c r="P1628" t="n">
        <v>75</v>
      </c>
      <c r="Q1628" t="n">
        <v>30</v>
      </c>
    </row>
    <row r="1629">
      <c r="A1629" t="n">
        <v>2026</v>
      </c>
      <c r="B1629" t="n">
        <v>5</v>
      </c>
      <c r="C1629" t="inlineStr">
        <is>
          <t>Composto lácteo Merilú 400 g</t>
        </is>
      </c>
      <c r="D1629" t="inlineStr">
        <is>
          <t>Padaria</t>
        </is>
      </c>
      <c r="E1629" t="n">
        <v>581</v>
      </c>
      <c r="F1629" t="n">
        <v>31.5</v>
      </c>
      <c r="G1629" t="n">
        <v>75</v>
      </c>
      <c r="J1629" t="inlineStr">
        <is>
          <t>M</t>
        </is>
      </c>
      <c r="K1629" t="n">
        <v>2024</v>
      </c>
      <c r="L1629" t="n">
        <v>4</v>
      </c>
      <c r="M1629" t="inlineStr">
        <is>
          <t>Chocolate em pó 50% 1 kg</t>
        </is>
      </c>
      <c r="N1629" t="inlineStr">
        <is>
          <t>Restaurante / Cantina</t>
        </is>
      </c>
      <c r="O1629" t="n">
        <v>16</v>
      </c>
      <c r="P1629" t="n">
        <v>27</v>
      </c>
      <c r="Q1629" t="n">
        <v>0</v>
      </c>
    </row>
    <row r="1630">
      <c r="A1630" t="n">
        <v>2026</v>
      </c>
      <c r="B1630" t="n">
        <v>5</v>
      </c>
      <c r="C1630" t="inlineStr">
        <is>
          <t>Composto lácteo Merilú 400 g</t>
        </is>
      </c>
      <c r="D1630" t="inlineStr">
        <is>
          <t>Pizzaria</t>
        </is>
      </c>
      <c r="E1630" t="n">
        <v>399.5</v>
      </c>
      <c r="F1630" t="n">
        <v>21</v>
      </c>
      <c r="G1630" t="n">
        <v>50</v>
      </c>
      <c r="J1630" t="inlineStr">
        <is>
          <t>A</t>
        </is>
      </c>
      <c r="K1630" t="n">
        <v>2024</v>
      </c>
      <c r="L1630" t="n">
        <v>5</v>
      </c>
      <c r="M1630" t="inlineStr">
        <is>
          <t>Chocolate em pó 50% 1 kg</t>
        </is>
      </c>
      <c r="N1630" t="inlineStr">
        <is>
          <t>Restaurante / Cantina</t>
        </is>
      </c>
      <c r="O1630" t="n">
        <v>33</v>
      </c>
      <c r="P1630" t="n">
        <v>93</v>
      </c>
      <c r="Q1630" t="n">
        <v>33</v>
      </c>
    </row>
    <row r="1631">
      <c r="A1631" t="n">
        <v>2026</v>
      </c>
      <c r="B1631" t="n">
        <v>5</v>
      </c>
      <c r="C1631" t="inlineStr">
        <is>
          <t>Composto lácteo Merilú 400 g</t>
        </is>
      </c>
      <c r="D1631" t="inlineStr">
        <is>
          <t>Restaurante / Cantina</t>
        </is>
      </c>
      <c r="E1631" t="n">
        <v>2854.44</v>
      </c>
      <c r="F1631" t="n">
        <v>154.14</v>
      </c>
      <c r="G1631" t="n">
        <v>367</v>
      </c>
      <c r="J1631" t="inlineStr">
        <is>
          <t>M</t>
        </is>
      </c>
      <c r="K1631" t="n">
        <v>2024</v>
      </c>
      <c r="L1631" t="n">
        <v>5</v>
      </c>
      <c r="M1631" t="inlineStr">
        <is>
          <t>Chocolate em pó 50% 1 kg</t>
        </is>
      </c>
      <c r="N1631" t="inlineStr">
        <is>
          <t>Restaurante / Cantina</t>
        </is>
      </c>
      <c r="O1631" t="n">
        <v>12</v>
      </c>
      <c r="P1631" t="n">
        <v>18</v>
      </c>
      <c r="Q1631" t="n">
        <v>0</v>
      </c>
    </row>
    <row r="1632">
      <c r="A1632" t="n">
        <v>2026</v>
      </c>
      <c r="B1632" t="n">
        <v>5</v>
      </c>
      <c r="C1632" t="inlineStr">
        <is>
          <t>Composto lácteo Merilú 400 g</t>
        </is>
      </c>
      <c r="D1632" t="inlineStr">
        <is>
          <t>Supermercado</t>
        </is>
      </c>
      <c r="E1632" t="n">
        <v>158</v>
      </c>
      <c r="F1632" t="n">
        <v>8.4</v>
      </c>
      <c r="G1632" t="n">
        <v>20</v>
      </c>
      <c r="J1632" t="inlineStr">
        <is>
          <t>A</t>
        </is>
      </c>
      <c r="K1632" t="n">
        <v>2024</v>
      </c>
      <c r="L1632" t="n">
        <v>6</v>
      </c>
      <c r="M1632" t="inlineStr">
        <is>
          <t>Chocolate em pó 50% 1 kg</t>
        </is>
      </c>
      <c r="N1632" t="inlineStr">
        <is>
          <t>Restaurante / Cantina</t>
        </is>
      </c>
      <c r="O1632" t="n">
        <v>38</v>
      </c>
      <c r="P1632" t="n">
        <v>117</v>
      </c>
      <c r="Q1632" t="n">
        <v>38</v>
      </c>
    </row>
    <row r="1633">
      <c r="A1633" t="n">
        <v>2026</v>
      </c>
      <c r="B1633" t="n">
        <v>5</v>
      </c>
      <c r="C1633" t="inlineStr">
        <is>
          <t>Muçarela Mozzalet 2 kg</t>
        </is>
      </c>
      <c r="D1633" t="inlineStr">
        <is>
          <t>Fábrica de Massas</t>
        </is>
      </c>
      <c r="E1633" t="n">
        <v>4777</v>
      </c>
      <c r="F1633" t="n">
        <v>200</v>
      </c>
      <c r="G1633" t="n">
        <v>100</v>
      </c>
      <c r="J1633" t="inlineStr">
        <is>
          <t>M</t>
        </is>
      </c>
      <c r="K1633" t="n">
        <v>2024</v>
      </c>
      <c r="L1633" t="n">
        <v>6</v>
      </c>
      <c r="M1633" t="inlineStr">
        <is>
          <t>Chocolate em pó 50% 1 kg</t>
        </is>
      </c>
      <c r="N1633" t="inlineStr">
        <is>
          <t>Restaurante / Cantina</t>
        </is>
      </c>
      <c r="O1633" t="n">
        <v>15</v>
      </c>
      <c r="P1633" t="n">
        <v>24</v>
      </c>
      <c r="Q1633" t="n">
        <v>0</v>
      </c>
    </row>
    <row r="1634">
      <c r="A1634" t="n">
        <v>2026</v>
      </c>
      <c r="B1634" t="n">
        <v>5</v>
      </c>
      <c r="C1634" t="inlineStr">
        <is>
          <t>Muçarela Mozzalet 2 kg</t>
        </is>
      </c>
      <c r="D1634" t="inlineStr">
        <is>
          <t>Pessoa Física</t>
        </is>
      </c>
      <c r="E1634" t="n">
        <v>721.9400000000001</v>
      </c>
      <c r="F1634" t="n">
        <v>30</v>
      </c>
      <c r="G1634" t="n">
        <v>15</v>
      </c>
      <c r="J1634" t="inlineStr">
        <is>
          <t>A</t>
        </is>
      </c>
      <c r="K1634" t="n">
        <v>2024</v>
      </c>
      <c r="L1634" t="n">
        <v>7</v>
      </c>
      <c r="M1634" t="inlineStr">
        <is>
          <t>Chocolate em pó 50% 1 kg</t>
        </is>
      </c>
      <c r="N1634" t="inlineStr">
        <is>
          <t>Restaurante / Cantina</t>
        </is>
      </c>
      <c r="O1634" t="n">
        <v>44</v>
      </c>
      <c r="P1634" t="n">
        <v>145</v>
      </c>
      <c r="Q1634" t="n">
        <v>44</v>
      </c>
    </row>
    <row r="1635">
      <c r="A1635" t="n">
        <v>2026</v>
      </c>
      <c r="B1635" t="n">
        <v>5</v>
      </c>
      <c r="C1635" t="inlineStr">
        <is>
          <t>Muçarela Mozzalet 2 kg</t>
        </is>
      </c>
      <c r="D1635" t="inlineStr">
        <is>
          <t>Pizzaria</t>
        </is>
      </c>
      <c r="E1635" t="n">
        <v>8331.290000000001</v>
      </c>
      <c r="F1635" t="n">
        <v>346</v>
      </c>
      <c r="G1635" t="n">
        <v>173</v>
      </c>
      <c r="J1635" t="inlineStr">
        <is>
          <t>M</t>
        </is>
      </c>
      <c r="K1635" t="n">
        <v>2024</v>
      </c>
      <c r="L1635" t="n">
        <v>7</v>
      </c>
      <c r="M1635" t="inlineStr">
        <is>
          <t>Chocolate em pó 50% 1 kg</t>
        </is>
      </c>
      <c r="N1635" t="inlineStr">
        <is>
          <t>Restaurante / Cantina</t>
        </is>
      </c>
      <c r="O1635" t="n">
        <v>18</v>
      </c>
      <c r="P1635" t="n">
        <v>28</v>
      </c>
      <c r="Q1635" t="n">
        <v>0</v>
      </c>
    </row>
    <row r="1636">
      <c r="A1636" t="n">
        <v>2026</v>
      </c>
      <c r="B1636" t="n">
        <v>5</v>
      </c>
      <c r="C1636" t="inlineStr">
        <is>
          <t>Muçarela Mozzalet 2 kg</t>
        </is>
      </c>
      <c r="D1636" t="inlineStr">
        <is>
          <t>Restaurante / Cantina</t>
        </is>
      </c>
      <c r="E1636" t="n">
        <v>26687.4</v>
      </c>
      <c r="F1636" t="n">
        <v>1140</v>
      </c>
      <c r="G1636" t="n">
        <v>570</v>
      </c>
      <c r="J1636" t="inlineStr">
        <is>
          <t>A</t>
        </is>
      </c>
      <c r="K1636" t="n">
        <v>2024</v>
      </c>
      <c r="L1636" t="n">
        <v>8</v>
      </c>
      <c r="M1636" t="inlineStr">
        <is>
          <t>Chocolate em pó 50% 1 kg</t>
        </is>
      </c>
      <c r="N1636" t="inlineStr">
        <is>
          <t>Restaurante / Cantina</t>
        </is>
      </c>
      <c r="O1636" t="n">
        <v>50</v>
      </c>
      <c r="P1636" t="n">
        <v>166</v>
      </c>
      <c r="Q1636" t="n">
        <v>50</v>
      </c>
    </row>
    <row r="1637">
      <c r="A1637" t="n">
        <v>2026</v>
      </c>
      <c r="B1637" t="n">
        <v>5</v>
      </c>
      <c r="C1637" t="inlineStr">
        <is>
          <t>Muçarela Mozzana 2 kg</t>
        </is>
      </c>
      <c r="D1637" t="inlineStr">
        <is>
          <t>Adega</t>
        </is>
      </c>
      <c r="E1637" t="n">
        <v>2062.22</v>
      </c>
      <c r="F1637" t="n">
        <v>96.95999999999999</v>
      </c>
      <c r="G1637" t="n">
        <v>48</v>
      </c>
      <c r="J1637" t="inlineStr">
        <is>
          <t>M</t>
        </is>
      </c>
      <c r="K1637" t="n">
        <v>2024</v>
      </c>
      <c r="L1637" t="n">
        <v>8</v>
      </c>
      <c r="M1637" t="inlineStr">
        <is>
          <t>Chocolate em pó 50% 1 kg</t>
        </is>
      </c>
      <c r="N1637" t="inlineStr">
        <is>
          <t>Restaurante / Cantina</t>
        </is>
      </c>
      <c r="O1637" t="n">
        <v>16</v>
      </c>
      <c r="P1637" t="n">
        <v>21</v>
      </c>
      <c r="Q1637" t="n">
        <v>0</v>
      </c>
    </row>
    <row r="1638">
      <c r="A1638" t="n">
        <v>2026</v>
      </c>
      <c r="B1638" t="n">
        <v>5</v>
      </c>
      <c r="C1638" t="inlineStr">
        <is>
          <t>Muçarela Mozzana 2 kg</t>
        </is>
      </c>
      <c r="D1638" t="inlineStr">
        <is>
          <t>Bar / Chopperia</t>
        </is>
      </c>
      <c r="E1638" t="n">
        <v>42.9</v>
      </c>
      <c r="F1638" t="n">
        <v>2.02</v>
      </c>
      <c r="G1638" t="n">
        <v>1</v>
      </c>
      <c r="J1638" t="inlineStr">
        <is>
          <t>A</t>
        </is>
      </c>
      <c r="K1638" t="n">
        <v>2024</v>
      </c>
      <c r="L1638" t="n">
        <v>9</v>
      </c>
      <c r="M1638" t="inlineStr">
        <is>
          <t>Chocolate em pó 50% 1 kg</t>
        </is>
      </c>
      <c r="N1638" t="inlineStr">
        <is>
          <t>Restaurante / Cantina</t>
        </is>
      </c>
      <c r="O1638" t="n">
        <v>53</v>
      </c>
      <c r="P1638" t="n">
        <v>184</v>
      </c>
      <c r="Q1638" t="n">
        <v>53</v>
      </c>
    </row>
    <row r="1639">
      <c r="A1639" t="n">
        <v>2026</v>
      </c>
      <c r="B1639" t="n">
        <v>5</v>
      </c>
      <c r="C1639" t="inlineStr">
        <is>
          <t>Muçarela Mozzana 2 kg</t>
        </is>
      </c>
      <c r="D1639" t="inlineStr">
        <is>
          <t>Buffet</t>
        </is>
      </c>
      <c r="E1639" t="n">
        <v>2016.3</v>
      </c>
      <c r="F1639" t="n">
        <v>94.94</v>
      </c>
      <c r="G1639" t="n">
        <v>47</v>
      </c>
      <c r="J1639" t="inlineStr">
        <is>
          <t>M</t>
        </is>
      </c>
      <c r="K1639" t="n">
        <v>2024</v>
      </c>
      <c r="L1639" t="n">
        <v>9</v>
      </c>
      <c r="M1639" t="inlineStr">
        <is>
          <t>Chocolate em pó 50% 1 kg</t>
        </is>
      </c>
      <c r="N1639" t="inlineStr">
        <is>
          <t>Restaurante / Cantina</t>
        </is>
      </c>
      <c r="O1639" t="n">
        <v>12</v>
      </c>
      <c r="P1639" t="n">
        <v>18</v>
      </c>
      <c r="Q1639" t="n">
        <v>0</v>
      </c>
    </row>
    <row r="1640">
      <c r="A1640" t="n">
        <v>2026</v>
      </c>
      <c r="B1640" t="n">
        <v>5</v>
      </c>
      <c r="C1640" t="inlineStr">
        <is>
          <t>Muçarela Mozzana 2 kg</t>
        </is>
      </c>
      <c r="D1640" t="inlineStr">
        <is>
          <t>Cozinha Industrial</t>
        </is>
      </c>
      <c r="E1640" t="n">
        <v>58401.02</v>
      </c>
      <c r="F1640" t="n">
        <v>2815.88</v>
      </c>
      <c r="G1640" t="n">
        <v>1394</v>
      </c>
      <c r="J1640" t="inlineStr">
        <is>
          <t>A</t>
        </is>
      </c>
      <c r="K1640" t="n">
        <v>2024</v>
      </c>
      <c r="L1640" t="n">
        <v>10</v>
      </c>
      <c r="M1640" t="inlineStr">
        <is>
          <t>Chocolate em pó 50% 1 kg</t>
        </is>
      </c>
      <c r="N1640" t="inlineStr">
        <is>
          <t>Restaurante / Cantina</t>
        </is>
      </c>
      <c r="O1640" t="n">
        <v>60</v>
      </c>
      <c r="P1640" t="n">
        <v>208</v>
      </c>
      <c r="Q1640" t="n">
        <v>60</v>
      </c>
    </row>
    <row r="1641">
      <c r="A1641" t="n">
        <v>2026</v>
      </c>
      <c r="B1641" t="n">
        <v>5</v>
      </c>
      <c r="C1641" t="inlineStr">
        <is>
          <t>Muçarela Mozzana 2 kg</t>
        </is>
      </c>
      <c r="D1641" t="inlineStr">
        <is>
          <t>Distribuidor Alimentos</t>
        </is>
      </c>
      <c r="E1641" t="n">
        <v>127.44</v>
      </c>
      <c r="F1641" t="n">
        <v>6.06</v>
      </c>
      <c r="G1641" t="n">
        <v>3</v>
      </c>
      <c r="J1641" t="inlineStr">
        <is>
          <t>M</t>
        </is>
      </c>
      <c r="K1641" t="n">
        <v>2024</v>
      </c>
      <c r="L1641" t="n">
        <v>10</v>
      </c>
      <c r="M1641" t="inlineStr">
        <is>
          <t>Chocolate em pó 50% 1 kg</t>
        </is>
      </c>
      <c r="N1641" t="inlineStr">
        <is>
          <t>Restaurante / Cantina</t>
        </is>
      </c>
      <c r="O1641" t="n">
        <v>17</v>
      </c>
      <c r="P1641" t="n">
        <v>24</v>
      </c>
      <c r="Q1641" t="n">
        <v>0</v>
      </c>
    </row>
    <row r="1642">
      <c r="A1642" t="n">
        <v>2026</v>
      </c>
      <c r="B1642" t="n">
        <v>5</v>
      </c>
      <c r="C1642" t="inlineStr">
        <is>
          <t>Muçarela Mozzana 2 kg</t>
        </is>
      </c>
      <c r="D1642" t="inlineStr">
        <is>
          <t>Esfiharia</t>
        </is>
      </c>
      <c r="E1642" t="n">
        <v>9703.620000000001</v>
      </c>
      <c r="F1642" t="n">
        <v>448.44</v>
      </c>
      <c r="G1642" t="n">
        <v>222</v>
      </c>
      <c r="J1642" t="inlineStr">
        <is>
          <t>A</t>
        </is>
      </c>
      <c r="K1642" t="n">
        <v>2024</v>
      </c>
      <c r="L1642" t="n">
        <v>11</v>
      </c>
      <c r="M1642" t="inlineStr">
        <is>
          <t>Chocolate em pó 50% 1 kg</t>
        </is>
      </c>
      <c r="N1642" t="inlineStr">
        <is>
          <t>Restaurante / Cantina</t>
        </is>
      </c>
      <c r="O1642" t="n">
        <v>60</v>
      </c>
      <c r="P1642" t="n">
        <v>220</v>
      </c>
      <c r="Q1642" t="n">
        <v>60</v>
      </c>
    </row>
    <row r="1643">
      <c r="A1643" t="n">
        <v>2026</v>
      </c>
      <c r="B1643" t="n">
        <v>5</v>
      </c>
      <c r="C1643" t="inlineStr">
        <is>
          <t>Muçarela Mozzana 2 kg</t>
        </is>
      </c>
      <c r="D1643" t="inlineStr">
        <is>
          <t>Fábrica de Massas</t>
        </is>
      </c>
      <c r="E1643" t="n">
        <v>14036.53</v>
      </c>
      <c r="F1643" t="n">
        <v>672.66</v>
      </c>
      <c r="G1643" t="n">
        <v>333</v>
      </c>
      <c r="J1643" t="inlineStr">
        <is>
          <t>M</t>
        </is>
      </c>
      <c r="K1643" t="n">
        <v>2024</v>
      </c>
      <c r="L1643" t="n">
        <v>11</v>
      </c>
      <c r="M1643" t="inlineStr">
        <is>
          <t>Chocolate em pó 50% 1 kg</t>
        </is>
      </c>
      <c r="N1643" t="inlineStr">
        <is>
          <t>Restaurante / Cantina</t>
        </is>
      </c>
      <c r="O1643" t="n">
        <v>9</v>
      </c>
      <c r="P1643" t="n">
        <v>12</v>
      </c>
      <c r="Q1643" t="n">
        <v>0</v>
      </c>
    </row>
    <row r="1644">
      <c r="A1644" t="n">
        <v>2026</v>
      </c>
      <c r="B1644" t="n">
        <v>5</v>
      </c>
      <c r="C1644" t="inlineStr">
        <is>
          <t>Muçarela Mozzana 2 kg</t>
        </is>
      </c>
      <c r="D1644" t="inlineStr">
        <is>
          <t>Hamburgueria</t>
        </is>
      </c>
      <c r="E1644" t="n">
        <v>171.6</v>
      </c>
      <c r="F1644" t="n">
        <v>8.08</v>
      </c>
      <c r="G1644" t="n">
        <v>4</v>
      </c>
      <c r="J1644" t="inlineStr">
        <is>
          <t>A</t>
        </is>
      </c>
      <c r="K1644" t="n">
        <v>2024</v>
      </c>
      <c r="L1644" t="n">
        <v>12</v>
      </c>
      <c r="M1644" t="inlineStr">
        <is>
          <t>Chocolate em pó 50% 1 kg</t>
        </is>
      </c>
      <c r="N1644" t="inlineStr">
        <is>
          <t>Restaurante / Cantina</t>
        </is>
      </c>
      <c r="O1644" t="n">
        <v>63</v>
      </c>
      <c r="P1644" t="n">
        <v>233</v>
      </c>
      <c r="Q1644" t="n">
        <v>63</v>
      </c>
    </row>
    <row r="1645">
      <c r="A1645" t="n">
        <v>2026</v>
      </c>
      <c r="B1645" t="n">
        <v>5</v>
      </c>
      <c r="C1645" t="inlineStr">
        <is>
          <t>Muçarela Mozzana 2 kg</t>
        </is>
      </c>
      <c r="D1645" t="inlineStr">
        <is>
          <t>Lanchonete / Cafeteria</t>
        </is>
      </c>
      <c r="E1645" t="n">
        <v>8001.31</v>
      </c>
      <c r="F1645" t="n">
        <v>379.76</v>
      </c>
      <c r="G1645" t="n">
        <v>188</v>
      </c>
      <c r="J1645" t="inlineStr">
        <is>
          <t>M</t>
        </is>
      </c>
      <c r="K1645" t="n">
        <v>2024</v>
      </c>
      <c r="L1645" t="n">
        <v>12</v>
      </c>
      <c r="M1645" t="inlineStr">
        <is>
          <t>Chocolate em pó 50% 1 kg</t>
        </is>
      </c>
      <c r="N1645" t="inlineStr">
        <is>
          <t>Restaurante / Cantina</t>
        </is>
      </c>
      <c r="O1645" t="n">
        <v>11</v>
      </c>
      <c r="P1645" t="n">
        <v>13</v>
      </c>
      <c r="Q1645" t="n">
        <v>0</v>
      </c>
    </row>
    <row r="1646">
      <c r="A1646" t="n">
        <v>2026</v>
      </c>
      <c r="B1646" t="n">
        <v>5</v>
      </c>
      <c r="C1646" t="inlineStr">
        <is>
          <t>Muçarela Mozzana 2 kg</t>
        </is>
      </c>
      <c r="D1646" t="inlineStr">
        <is>
          <t>Mercearia / Sacolão</t>
        </is>
      </c>
      <c r="E1646" t="n">
        <v>1511.64</v>
      </c>
      <c r="F1646" t="n">
        <v>72.72</v>
      </c>
      <c r="G1646" t="n">
        <v>36</v>
      </c>
      <c r="J1646" t="inlineStr">
        <is>
          <t>A</t>
        </is>
      </c>
      <c r="K1646" t="n">
        <v>2024</v>
      </c>
      <c r="L1646" t="n">
        <v>4</v>
      </c>
      <c r="M1646" t="inlineStr">
        <is>
          <t>Chocolate em pó 50% 1 kg</t>
        </is>
      </c>
      <c r="N1646" t="inlineStr">
        <is>
          <t>Cozinha Industrial</t>
        </is>
      </c>
      <c r="O1646" t="n">
        <v>2</v>
      </c>
      <c r="P1646" t="n">
        <v>2</v>
      </c>
      <c r="Q1646" t="n">
        <v>2</v>
      </c>
    </row>
    <row r="1647">
      <c r="A1647" t="n">
        <v>2026</v>
      </c>
      <c r="B1647" t="n">
        <v>5</v>
      </c>
      <c r="C1647" t="inlineStr">
        <is>
          <t>Muçarela Mozzana 2 kg</t>
        </is>
      </c>
      <c r="D1647" t="inlineStr">
        <is>
          <t>Padaria</t>
        </is>
      </c>
      <c r="E1647" t="n">
        <v>2015.61</v>
      </c>
      <c r="F1647" t="n">
        <v>94.94</v>
      </c>
      <c r="G1647" t="n">
        <v>47</v>
      </c>
      <c r="J1647" t="inlineStr">
        <is>
          <t>M</t>
        </is>
      </c>
      <c r="K1647" t="n">
        <v>2024</v>
      </c>
      <c r="L1647" t="n">
        <v>4</v>
      </c>
      <c r="M1647" t="inlineStr">
        <is>
          <t>Chocolate em pó 50% 1 kg</t>
        </is>
      </c>
      <c r="N1647" t="inlineStr">
        <is>
          <t>Cozinha Industrial</t>
        </is>
      </c>
      <c r="O1647" t="n">
        <v>2</v>
      </c>
      <c r="P1647" t="n">
        <v>2</v>
      </c>
      <c r="Q1647" t="n">
        <v>0</v>
      </c>
    </row>
    <row r="1648">
      <c r="A1648" t="n">
        <v>2026</v>
      </c>
      <c r="B1648" t="n">
        <v>5</v>
      </c>
      <c r="C1648" t="inlineStr">
        <is>
          <t>Muçarela Mozzana 2 kg</t>
        </is>
      </c>
      <c r="D1648" t="inlineStr">
        <is>
          <t>Pastelaria</t>
        </is>
      </c>
      <c r="E1648" t="n">
        <v>4166.81</v>
      </c>
      <c r="F1648" t="n">
        <v>195.94</v>
      </c>
      <c r="G1648" t="n">
        <v>97</v>
      </c>
      <c r="J1648" t="inlineStr">
        <is>
          <t>A</t>
        </is>
      </c>
      <c r="K1648" t="n">
        <v>2024</v>
      </c>
      <c r="L1648" t="n">
        <v>5</v>
      </c>
      <c r="M1648" t="inlineStr">
        <is>
          <t>Chocolate em pó 50% 1 kg</t>
        </is>
      </c>
      <c r="N1648" t="inlineStr">
        <is>
          <t>Cozinha Industrial</t>
        </is>
      </c>
      <c r="O1648" t="n">
        <v>4</v>
      </c>
      <c r="P1648" t="n">
        <v>5</v>
      </c>
      <c r="Q1648" t="n">
        <v>4</v>
      </c>
    </row>
    <row r="1649">
      <c r="A1649" t="n">
        <v>2026</v>
      </c>
      <c r="B1649" t="n">
        <v>5</v>
      </c>
      <c r="C1649" t="inlineStr">
        <is>
          <t>Muçarela Mozzana 2 kg</t>
        </is>
      </c>
      <c r="D1649" t="inlineStr">
        <is>
          <t>Pessoa Física</t>
        </is>
      </c>
      <c r="E1649" t="n">
        <v>4801.83</v>
      </c>
      <c r="F1649" t="n">
        <v>228.26</v>
      </c>
      <c r="G1649" t="n">
        <v>113</v>
      </c>
      <c r="J1649" t="inlineStr">
        <is>
          <t>M</t>
        </is>
      </c>
      <c r="K1649" t="n">
        <v>2024</v>
      </c>
      <c r="L1649" t="n">
        <v>5</v>
      </c>
      <c r="M1649" t="inlineStr">
        <is>
          <t>Chocolate em pó 50% 1 kg</t>
        </is>
      </c>
      <c r="N1649" t="inlineStr">
        <is>
          <t>Cozinha Industrial</t>
        </is>
      </c>
      <c r="O1649" t="n">
        <v>2</v>
      </c>
      <c r="P1649" t="n">
        <v>3</v>
      </c>
      <c r="Q1649" t="n">
        <v>0</v>
      </c>
    </row>
    <row r="1650">
      <c r="A1650" t="n">
        <v>2026</v>
      </c>
      <c r="B1650" t="n">
        <v>5</v>
      </c>
      <c r="C1650" t="inlineStr">
        <is>
          <t>Muçarela Mozzana 2 kg</t>
        </is>
      </c>
      <c r="D1650" t="inlineStr">
        <is>
          <t>Pizzaria</t>
        </is>
      </c>
      <c r="E1650" t="n">
        <v>92722.64</v>
      </c>
      <c r="F1650" t="n">
        <v>4399.56</v>
      </c>
      <c r="G1650" t="n">
        <v>2178</v>
      </c>
      <c r="J1650" t="inlineStr">
        <is>
          <t>A</t>
        </is>
      </c>
      <c r="K1650" t="n">
        <v>2024</v>
      </c>
      <c r="L1650" t="n">
        <v>6</v>
      </c>
      <c r="M1650" t="inlineStr">
        <is>
          <t>Chocolate em pó 50% 1 kg</t>
        </is>
      </c>
      <c r="N1650" t="inlineStr">
        <is>
          <t>Cozinha Industrial</t>
        </is>
      </c>
      <c r="O1650" t="n">
        <v>5</v>
      </c>
      <c r="P1650" t="n">
        <v>7</v>
      </c>
      <c r="Q1650" t="n">
        <v>5</v>
      </c>
    </row>
    <row r="1651">
      <c r="A1651" t="n">
        <v>2026</v>
      </c>
      <c r="B1651" t="n">
        <v>5</v>
      </c>
      <c r="C1651" t="inlineStr">
        <is>
          <t>Muçarela Mozzana 2 kg</t>
        </is>
      </c>
      <c r="D1651" t="inlineStr">
        <is>
          <t>Restaurante / Cantina</t>
        </is>
      </c>
      <c r="E1651" t="n">
        <v>11987.64</v>
      </c>
      <c r="F1651" t="n">
        <v>575.7</v>
      </c>
      <c r="G1651" t="n">
        <v>285</v>
      </c>
      <c r="J1651" t="inlineStr">
        <is>
          <t>M</t>
        </is>
      </c>
      <c r="K1651" t="n">
        <v>2024</v>
      </c>
      <c r="L1651" t="n">
        <v>6</v>
      </c>
      <c r="M1651" t="inlineStr">
        <is>
          <t>Chocolate em pó 50% 1 kg</t>
        </is>
      </c>
      <c r="N1651" t="inlineStr">
        <is>
          <t>Cozinha Industrial</t>
        </is>
      </c>
      <c r="O1651" t="n">
        <v>2</v>
      </c>
      <c r="P1651" t="n">
        <v>2</v>
      </c>
      <c r="Q1651" t="n">
        <v>0</v>
      </c>
    </row>
    <row r="1652">
      <c r="A1652" t="n">
        <v>2026</v>
      </c>
      <c r="B1652" t="n">
        <v>5</v>
      </c>
      <c r="C1652" t="inlineStr">
        <is>
          <t>Muçarela Mozzana 2 kg</t>
        </is>
      </c>
      <c r="D1652" t="inlineStr">
        <is>
          <t>Rotisserie</t>
        </is>
      </c>
      <c r="E1652" t="n">
        <v>9650.540000000001</v>
      </c>
      <c r="F1652" t="n">
        <v>454.5</v>
      </c>
      <c r="G1652" t="n">
        <v>225</v>
      </c>
      <c r="J1652" t="inlineStr">
        <is>
          <t>A</t>
        </is>
      </c>
      <c r="K1652" t="n">
        <v>2024</v>
      </c>
      <c r="L1652" t="n">
        <v>7</v>
      </c>
      <c r="M1652" t="inlineStr">
        <is>
          <t>Chocolate em pó 50% 1 kg</t>
        </is>
      </c>
      <c r="N1652" t="inlineStr">
        <is>
          <t>Cozinha Industrial</t>
        </is>
      </c>
      <c r="O1652" t="n">
        <v>5</v>
      </c>
      <c r="P1652" t="n">
        <v>8</v>
      </c>
      <c r="Q1652" t="n">
        <v>5</v>
      </c>
    </row>
    <row r="1653">
      <c r="A1653" t="n">
        <v>2026</v>
      </c>
      <c r="B1653" t="n">
        <v>5</v>
      </c>
      <c r="C1653" t="inlineStr">
        <is>
          <t>Muçarela Mozzana 2 kg</t>
        </is>
      </c>
      <c r="D1653" t="inlineStr">
        <is>
          <t>Supermercado</t>
        </is>
      </c>
      <c r="E1653" t="n">
        <v>2239.47</v>
      </c>
      <c r="F1653" t="n">
        <v>98.98</v>
      </c>
      <c r="G1653" t="n">
        <v>49</v>
      </c>
      <c r="J1653" t="inlineStr">
        <is>
          <t>M</t>
        </is>
      </c>
      <c r="K1653" t="n">
        <v>2024</v>
      </c>
      <c r="L1653" t="n">
        <v>7</v>
      </c>
      <c r="M1653" t="inlineStr">
        <is>
          <t>Chocolate em pó 50% 1 kg</t>
        </is>
      </c>
      <c r="N1653" t="inlineStr">
        <is>
          <t>Cozinha Industrial</t>
        </is>
      </c>
      <c r="O1653" t="n">
        <v>1</v>
      </c>
      <c r="P1653" t="n">
        <v>1</v>
      </c>
      <c r="Q1653" t="n">
        <v>0</v>
      </c>
    </row>
    <row r="1654">
      <c r="A1654" t="n">
        <v>2026</v>
      </c>
      <c r="B1654" t="n">
        <v>5</v>
      </c>
      <c r="C1654" t="inlineStr">
        <is>
          <t>Requeijão Pizzalet 1,8 kg</t>
        </is>
      </c>
      <c r="D1654" t="inlineStr">
        <is>
          <t>Bar / Chopperia</t>
        </is>
      </c>
      <c r="E1654" t="n">
        <v>66.44</v>
      </c>
      <c r="F1654" t="n">
        <v>7.36</v>
      </c>
      <c r="G1654" t="n">
        <v>4</v>
      </c>
      <c r="J1654" t="inlineStr">
        <is>
          <t>A</t>
        </is>
      </c>
      <c r="K1654" t="n">
        <v>2024</v>
      </c>
      <c r="L1654" t="n">
        <v>8</v>
      </c>
      <c r="M1654" t="inlineStr">
        <is>
          <t>Chocolate em pó 50% 1 kg</t>
        </is>
      </c>
      <c r="N1654" t="inlineStr">
        <is>
          <t>Cozinha Industrial</t>
        </is>
      </c>
      <c r="O1654" t="n">
        <v>5</v>
      </c>
      <c r="P1654" t="n">
        <v>11</v>
      </c>
      <c r="Q1654" t="n">
        <v>5</v>
      </c>
    </row>
    <row r="1655">
      <c r="A1655" t="n">
        <v>2026</v>
      </c>
      <c r="B1655" t="n">
        <v>5</v>
      </c>
      <c r="C1655" t="inlineStr">
        <is>
          <t>Requeijão Pizzalet 1,8 kg</t>
        </is>
      </c>
      <c r="D1655" t="inlineStr">
        <is>
          <t>Lanchonete / Cafeteria</t>
        </is>
      </c>
      <c r="E1655" t="n">
        <v>876.48</v>
      </c>
      <c r="F1655" t="n">
        <v>95.68000000000001</v>
      </c>
      <c r="G1655" t="n">
        <v>52</v>
      </c>
      <c r="J1655" t="inlineStr">
        <is>
          <t>M</t>
        </is>
      </c>
      <c r="K1655" t="n">
        <v>2024</v>
      </c>
      <c r="L1655" t="n">
        <v>8</v>
      </c>
      <c r="M1655" t="inlineStr">
        <is>
          <t>Chocolate em pó 50% 1 kg</t>
        </is>
      </c>
      <c r="N1655" t="inlineStr">
        <is>
          <t>Cozinha Industrial</t>
        </is>
      </c>
      <c r="O1655" t="n">
        <v>2</v>
      </c>
      <c r="P1655" t="n">
        <v>3</v>
      </c>
      <c r="Q1655" t="n">
        <v>0</v>
      </c>
    </row>
    <row r="1656">
      <c r="A1656" t="n">
        <v>2026</v>
      </c>
      <c r="B1656" t="n">
        <v>5</v>
      </c>
      <c r="C1656" t="inlineStr">
        <is>
          <t>Requeijão Pizzalet 1,8 kg</t>
        </is>
      </c>
      <c r="D1656" t="inlineStr">
        <is>
          <t>Pastelaria</t>
        </is>
      </c>
      <c r="E1656" t="n">
        <v>1957.04</v>
      </c>
      <c r="F1656" t="n">
        <v>213.44</v>
      </c>
      <c r="G1656" t="n">
        <v>116</v>
      </c>
      <c r="J1656" t="inlineStr">
        <is>
          <t>A</t>
        </is>
      </c>
      <c r="K1656" t="n">
        <v>2024</v>
      </c>
      <c r="L1656" t="n">
        <v>9</v>
      </c>
      <c r="M1656" t="inlineStr">
        <is>
          <t>Chocolate em pó 50% 1 kg</t>
        </is>
      </c>
      <c r="N1656" t="inlineStr">
        <is>
          <t>Cozinha Industrial</t>
        </is>
      </c>
      <c r="O1656" t="n">
        <v>6</v>
      </c>
      <c r="P1656" t="n">
        <v>13</v>
      </c>
      <c r="Q1656" t="n">
        <v>6</v>
      </c>
    </row>
    <row r="1657">
      <c r="A1657" t="n">
        <v>2026</v>
      </c>
      <c r="B1657" t="n">
        <v>5</v>
      </c>
      <c r="C1657" t="inlineStr">
        <is>
          <t>Requeijão Pizzalet 1,8 kg</t>
        </is>
      </c>
      <c r="D1657" t="inlineStr">
        <is>
          <t>Pizzaria</t>
        </is>
      </c>
      <c r="E1657" t="n">
        <v>1950.46</v>
      </c>
      <c r="F1657" t="n">
        <v>209.76</v>
      </c>
      <c r="G1657" t="n">
        <v>114</v>
      </c>
      <c r="J1657" t="inlineStr">
        <is>
          <t>M</t>
        </is>
      </c>
      <c r="K1657" t="n">
        <v>2024</v>
      </c>
      <c r="L1657" t="n">
        <v>9</v>
      </c>
      <c r="M1657" t="inlineStr">
        <is>
          <t>Chocolate em pó 50% 1 kg</t>
        </is>
      </c>
      <c r="N1657" t="inlineStr">
        <is>
          <t>Cozinha Industrial</t>
        </is>
      </c>
      <c r="O1657" t="n">
        <v>2</v>
      </c>
      <c r="P1657" t="n">
        <v>2</v>
      </c>
      <c r="Q1657" t="n">
        <v>0</v>
      </c>
    </row>
    <row r="1658">
      <c r="A1658" t="n">
        <v>2026</v>
      </c>
      <c r="B1658" t="n">
        <v>6</v>
      </c>
      <c r="C1658" t="inlineStr">
        <is>
          <t>Chocolate em pó 50% 1 kg</t>
        </is>
      </c>
      <c r="D1658" t="inlineStr">
        <is>
          <t>Açougue</t>
        </is>
      </c>
      <c r="E1658" t="n">
        <v>89.78</v>
      </c>
      <c r="F1658" t="n">
        <v>2.04</v>
      </c>
      <c r="G1658" t="n">
        <v>2</v>
      </c>
      <c r="J1658" t="inlineStr">
        <is>
          <t>A</t>
        </is>
      </c>
      <c r="K1658" t="n">
        <v>2024</v>
      </c>
      <c r="L1658" t="n">
        <v>10</v>
      </c>
      <c r="M1658" t="inlineStr">
        <is>
          <t>Chocolate em pó 50% 1 kg</t>
        </is>
      </c>
      <c r="N1658" t="inlineStr">
        <is>
          <t>Cozinha Industrial</t>
        </is>
      </c>
      <c r="O1658" t="n">
        <v>6</v>
      </c>
      <c r="P1658" t="n">
        <v>14</v>
      </c>
      <c r="Q1658" t="n">
        <v>6</v>
      </c>
    </row>
    <row r="1659">
      <c r="A1659" t="n">
        <v>2026</v>
      </c>
      <c r="B1659" t="n">
        <v>6</v>
      </c>
      <c r="C1659" t="inlineStr">
        <is>
          <t>Chocolate em pó 50% 1 kg</t>
        </is>
      </c>
      <c r="D1659" t="inlineStr">
        <is>
          <t>Bar / Chopperia</t>
        </is>
      </c>
      <c r="E1659" t="n">
        <v>137.6</v>
      </c>
      <c r="F1659" t="n">
        <v>3.06</v>
      </c>
      <c r="G1659" t="n">
        <v>3</v>
      </c>
      <c r="J1659" t="inlineStr">
        <is>
          <t>M</t>
        </is>
      </c>
      <c r="K1659" t="n">
        <v>2024</v>
      </c>
      <c r="L1659" t="n">
        <v>10</v>
      </c>
      <c r="M1659" t="inlineStr">
        <is>
          <t>Chocolate em pó 50% 1 kg</t>
        </is>
      </c>
      <c r="N1659" t="inlineStr">
        <is>
          <t>Cozinha Industrial</t>
        </is>
      </c>
      <c r="O1659" t="n">
        <v>1</v>
      </c>
      <c r="P1659" t="n">
        <v>1</v>
      </c>
      <c r="Q1659" t="n">
        <v>0</v>
      </c>
    </row>
    <row r="1660">
      <c r="A1660" t="n">
        <v>2026</v>
      </c>
      <c r="B1660" t="n">
        <v>6</v>
      </c>
      <c r="C1660" t="inlineStr">
        <is>
          <t>Chocolate em pó 50% 1 kg</t>
        </is>
      </c>
      <c r="D1660" t="inlineStr">
        <is>
          <t>Buffet</t>
        </is>
      </c>
      <c r="E1660" t="n">
        <v>177</v>
      </c>
      <c r="F1660" t="n">
        <v>4.08</v>
      </c>
      <c r="G1660" t="n">
        <v>4</v>
      </c>
      <c r="J1660" t="inlineStr">
        <is>
          <t>A</t>
        </is>
      </c>
      <c r="K1660" t="n">
        <v>2024</v>
      </c>
      <c r="L1660" t="n">
        <v>11</v>
      </c>
      <c r="M1660" t="inlineStr">
        <is>
          <t>Chocolate em pó 50% 1 kg</t>
        </is>
      </c>
      <c r="N1660" t="inlineStr">
        <is>
          <t>Cozinha Industrial</t>
        </is>
      </c>
      <c r="O1660" t="n">
        <v>6</v>
      </c>
      <c r="P1660" t="n">
        <v>16</v>
      </c>
      <c r="Q1660" t="n">
        <v>6</v>
      </c>
    </row>
    <row r="1661">
      <c r="A1661" t="n">
        <v>2026</v>
      </c>
      <c r="B1661" t="n">
        <v>6</v>
      </c>
      <c r="C1661" t="inlineStr">
        <is>
          <t>Chocolate em pó 50% 1 kg</t>
        </is>
      </c>
      <c r="D1661" t="inlineStr">
        <is>
          <t>Churrascaria</t>
        </is>
      </c>
      <c r="E1661" t="n">
        <v>270</v>
      </c>
      <c r="F1661" t="n">
        <v>6.12</v>
      </c>
      <c r="G1661" t="n">
        <v>6</v>
      </c>
      <c r="J1661" t="inlineStr">
        <is>
          <t>M</t>
        </is>
      </c>
      <c r="K1661" t="n">
        <v>2024</v>
      </c>
      <c r="L1661" t="n">
        <v>11</v>
      </c>
      <c r="M1661" t="inlineStr">
        <is>
          <t>Chocolate em pó 50% 1 kg</t>
        </is>
      </c>
      <c r="N1661" t="inlineStr">
        <is>
          <t>Cozinha Industrial</t>
        </is>
      </c>
      <c r="O1661" t="n">
        <v>1</v>
      </c>
      <c r="P1661" t="n">
        <v>2</v>
      </c>
      <c r="Q1661" t="n">
        <v>0</v>
      </c>
    </row>
    <row r="1662">
      <c r="A1662" t="n">
        <v>2026</v>
      </c>
      <c r="B1662" t="n">
        <v>6</v>
      </c>
      <c r="C1662" t="inlineStr">
        <is>
          <t>Chocolate em pó 50% 1 kg</t>
        </is>
      </c>
      <c r="D1662" t="inlineStr">
        <is>
          <t>Clube / Associação Desportiva</t>
        </is>
      </c>
      <c r="E1662" t="n">
        <v>90</v>
      </c>
      <c r="F1662" t="n">
        <v>2.04</v>
      </c>
      <c r="G1662" t="n">
        <v>2</v>
      </c>
      <c r="J1662" t="inlineStr">
        <is>
          <t>A</t>
        </is>
      </c>
      <c r="K1662" t="n">
        <v>2024</v>
      </c>
      <c r="L1662" t="n">
        <v>12</v>
      </c>
      <c r="M1662" t="inlineStr">
        <is>
          <t>Chocolate em pó 50% 1 kg</t>
        </is>
      </c>
      <c r="N1662" t="inlineStr">
        <is>
          <t>Cozinha Industrial</t>
        </is>
      </c>
      <c r="O1662" t="n">
        <v>6</v>
      </c>
      <c r="P1662" t="n">
        <v>18</v>
      </c>
      <c r="Q1662" t="n">
        <v>6</v>
      </c>
    </row>
    <row r="1663">
      <c r="A1663" t="n">
        <v>2026</v>
      </c>
      <c r="B1663" t="n">
        <v>6</v>
      </c>
      <c r="C1663" t="inlineStr">
        <is>
          <t>Chocolate em pó 50% 1 kg</t>
        </is>
      </c>
      <c r="D1663" t="inlineStr">
        <is>
          <t>Confeitaria</t>
        </is>
      </c>
      <c r="E1663" t="n">
        <v>45.56</v>
      </c>
      <c r="F1663" t="n">
        <v>1.02</v>
      </c>
      <c r="G1663" t="n">
        <v>1</v>
      </c>
      <c r="J1663" t="inlineStr">
        <is>
          <t>M</t>
        </is>
      </c>
      <c r="K1663" t="n">
        <v>2024</v>
      </c>
      <c r="L1663" t="n">
        <v>12</v>
      </c>
      <c r="M1663" t="inlineStr">
        <is>
          <t>Chocolate em pó 50% 1 kg</t>
        </is>
      </c>
      <c r="N1663" t="inlineStr">
        <is>
          <t>Cozinha Industrial</t>
        </is>
      </c>
      <c r="O1663" t="n">
        <v>2</v>
      </c>
      <c r="P1663" t="n">
        <v>2</v>
      </c>
      <c r="Q1663" t="n">
        <v>0</v>
      </c>
    </row>
    <row r="1664">
      <c r="A1664" t="n">
        <v>2026</v>
      </c>
      <c r="B1664" t="n">
        <v>6</v>
      </c>
      <c r="C1664" t="inlineStr">
        <is>
          <t>Chocolate em pó 50% 1 kg</t>
        </is>
      </c>
      <c r="D1664" t="inlineStr">
        <is>
          <t>Cozinha Industrial</t>
        </is>
      </c>
      <c r="E1664" t="n">
        <v>90.45</v>
      </c>
      <c r="F1664" t="n">
        <v>2.04</v>
      </c>
      <c r="G1664" t="n">
        <v>2</v>
      </c>
      <c r="J1664" t="inlineStr">
        <is>
          <t>A</t>
        </is>
      </c>
      <c r="K1664" t="n">
        <v>2024</v>
      </c>
      <c r="L1664" t="n">
        <v>6</v>
      </c>
      <c r="M1664" t="inlineStr">
        <is>
          <t>Chocolate em pó 50% 1 kg</t>
        </is>
      </c>
      <c r="N1664" t="inlineStr">
        <is>
          <t>Fábrica de Massas</t>
        </is>
      </c>
      <c r="O1664" t="n">
        <v>1</v>
      </c>
      <c r="P1664" t="n">
        <v>1</v>
      </c>
      <c r="Q1664" t="n">
        <v>1</v>
      </c>
    </row>
    <row r="1665">
      <c r="A1665" t="n">
        <v>2026</v>
      </c>
      <c r="B1665" t="n">
        <v>6</v>
      </c>
      <c r="C1665" t="inlineStr">
        <is>
          <t>Chocolate em pó 50% 1 kg</t>
        </is>
      </c>
      <c r="D1665" t="inlineStr">
        <is>
          <t>Hamburgueria</t>
        </is>
      </c>
      <c r="E1665" t="n">
        <v>90</v>
      </c>
      <c r="F1665" t="n">
        <v>2.04</v>
      </c>
      <c r="G1665" t="n">
        <v>2</v>
      </c>
      <c r="J1665" t="inlineStr">
        <is>
          <t>M</t>
        </is>
      </c>
      <c r="K1665" t="n">
        <v>2024</v>
      </c>
      <c r="L1665" t="n">
        <v>6</v>
      </c>
      <c r="M1665" t="inlineStr">
        <is>
          <t>Chocolate em pó 50% 1 kg</t>
        </is>
      </c>
      <c r="N1665" t="inlineStr">
        <is>
          <t>Fábrica de Massas</t>
        </is>
      </c>
      <c r="O1665" t="n">
        <v>1</v>
      </c>
      <c r="P1665" t="n">
        <v>1</v>
      </c>
      <c r="Q1665" t="n">
        <v>0</v>
      </c>
    </row>
    <row r="1666">
      <c r="A1666" t="n">
        <v>2026</v>
      </c>
      <c r="B1666" t="n">
        <v>6</v>
      </c>
      <c r="C1666" t="inlineStr">
        <is>
          <t>Chocolate em pó 50% 1 kg</t>
        </is>
      </c>
      <c r="D1666" t="inlineStr">
        <is>
          <t>Hotel / Motel / Pousada</t>
        </is>
      </c>
      <c r="E1666" t="n">
        <v>2752.13</v>
      </c>
      <c r="F1666" t="n">
        <v>62.22</v>
      </c>
      <c r="G1666" t="n">
        <v>61</v>
      </c>
      <c r="J1666" t="inlineStr">
        <is>
          <t>A</t>
        </is>
      </c>
      <c r="K1666" t="n">
        <v>2024</v>
      </c>
      <c r="L1666" t="n">
        <v>7</v>
      </c>
      <c r="M1666" t="inlineStr">
        <is>
          <t>Chocolate em pó 50% 1 kg</t>
        </is>
      </c>
      <c r="N1666" t="inlineStr">
        <is>
          <t>Fábrica de Massas</t>
        </is>
      </c>
      <c r="O1666" t="n">
        <v>1</v>
      </c>
      <c r="P1666" t="n">
        <v>1</v>
      </c>
      <c r="Q1666" t="n">
        <v>1</v>
      </c>
    </row>
    <row r="1667">
      <c r="A1667" t="n">
        <v>2026</v>
      </c>
      <c r="B1667" t="n">
        <v>6</v>
      </c>
      <c r="C1667" t="inlineStr">
        <is>
          <t>Chocolate em pó 50% 1 kg</t>
        </is>
      </c>
      <c r="D1667" t="inlineStr">
        <is>
          <t>Instituição de Ensino</t>
        </is>
      </c>
      <c r="E1667" t="n">
        <v>180</v>
      </c>
      <c r="F1667" t="n">
        <v>4.08</v>
      </c>
      <c r="G1667" t="n">
        <v>4</v>
      </c>
      <c r="J1667" t="inlineStr">
        <is>
          <t>A</t>
        </is>
      </c>
      <c r="K1667" t="n">
        <v>2024</v>
      </c>
      <c r="L1667" t="n">
        <v>8</v>
      </c>
      <c r="M1667" t="inlineStr">
        <is>
          <t>Chocolate em pó 50% 1 kg</t>
        </is>
      </c>
      <c r="N1667" t="inlineStr">
        <is>
          <t>Fábrica de Massas</t>
        </is>
      </c>
      <c r="O1667" t="n">
        <v>1</v>
      </c>
      <c r="P1667" t="n">
        <v>1</v>
      </c>
      <c r="Q1667" t="n">
        <v>1</v>
      </c>
    </row>
    <row r="1668">
      <c r="A1668" t="n">
        <v>2026</v>
      </c>
      <c r="B1668" t="n">
        <v>6</v>
      </c>
      <c r="C1668" t="inlineStr">
        <is>
          <t>Chocolate em pó 50% 1 kg</t>
        </is>
      </c>
      <c r="D1668" t="inlineStr">
        <is>
          <t>Lanchonete / Cafeteria</t>
        </is>
      </c>
      <c r="E1668" t="n">
        <v>1262.43</v>
      </c>
      <c r="F1668" t="n">
        <v>28.56</v>
      </c>
      <c r="G1668" t="n">
        <v>28</v>
      </c>
      <c r="J1668" t="inlineStr">
        <is>
          <t>A</t>
        </is>
      </c>
      <c r="K1668" t="n">
        <v>2024</v>
      </c>
      <c r="L1668" t="n">
        <v>9</v>
      </c>
      <c r="M1668" t="inlineStr">
        <is>
          <t>Chocolate em pó 50% 1 kg</t>
        </is>
      </c>
      <c r="N1668" t="inlineStr">
        <is>
          <t>Fábrica de Massas</t>
        </is>
      </c>
      <c r="O1668" t="n">
        <v>1</v>
      </c>
      <c r="P1668" t="n">
        <v>1</v>
      </c>
      <c r="Q1668" t="n">
        <v>1</v>
      </c>
    </row>
    <row r="1669">
      <c r="A1669" t="n">
        <v>2026</v>
      </c>
      <c r="B1669" t="n">
        <v>6</v>
      </c>
      <c r="C1669" t="inlineStr">
        <is>
          <t>Chocolate em pó 50% 1 kg</t>
        </is>
      </c>
      <c r="D1669" t="inlineStr">
        <is>
          <t>Padaria</t>
        </is>
      </c>
      <c r="E1669" t="n">
        <v>1171.12</v>
      </c>
      <c r="F1669" t="n">
        <v>26.52</v>
      </c>
      <c r="G1669" t="n">
        <v>26</v>
      </c>
      <c r="J1669" t="inlineStr">
        <is>
          <t>A</t>
        </is>
      </c>
      <c r="K1669" t="n">
        <v>2024</v>
      </c>
      <c r="L1669" t="n">
        <v>10</v>
      </c>
      <c r="M1669" t="inlineStr">
        <is>
          <t>Chocolate em pó 50% 1 kg</t>
        </is>
      </c>
      <c r="N1669" t="inlineStr">
        <is>
          <t>Fábrica de Massas</t>
        </is>
      </c>
      <c r="O1669" t="n">
        <v>1</v>
      </c>
      <c r="P1669" t="n">
        <v>1</v>
      </c>
      <c r="Q1669" t="n">
        <v>1</v>
      </c>
    </row>
    <row r="1670">
      <c r="A1670" t="n">
        <v>2026</v>
      </c>
      <c r="B1670" t="n">
        <v>6</v>
      </c>
      <c r="C1670" t="inlineStr">
        <is>
          <t>Chocolate em pó 50% 1 kg</t>
        </is>
      </c>
      <c r="D1670" t="inlineStr">
        <is>
          <t>Pessoa Física</t>
        </is>
      </c>
      <c r="E1670" t="n">
        <v>45.45</v>
      </c>
      <c r="F1670" t="n">
        <v>1.02</v>
      </c>
      <c r="G1670" t="n">
        <v>1</v>
      </c>
      <c r="J1670" t="inlineStr">
        <is>
          <t>A</t>
        </is>
      </c>
      <c r="K1670" t="n">
        <v>2024</v>
      </c>
      <c r="L1670" t="n">
        <v>11</v>
      </c>
      <c r="M1670" t="inlineStr">
        <is>
          <t>Chocolate em pó 50% 1 kg</t>
        </is>
      </c>
      <c r="N1670" t="inlineStr">
        <is>
          <t>Fábrica de Massas</t>
        </is>
      </c>
      <c r="O1670" t="n">
        <v>1</v>
      </c>
      <c r="P1670" t="n">
        <v>1</v>
      </c>
      <c r="Q1670" t="n">
        <v>1</v>
      </c>
    </row>
    <row r="1671">
      <c r="A1671" t="n">
        <v>2026</v>
      </c>
      <c r="B1671" t="n">
        <v>6</v>
      </c>
      <c r="C1671" t="inlineStr">
        <is>
          <t>Chocolate em pó 50% 1 kg</t>
        </is>
      </c>
      <c r="D1671" t="inlineStr">
        <is>
          <t>Pizzaria</t>
        </is>
      </c>
      <c r="E1671" t="n">
        <v>4026.18</v>
      </c>
      <c r="F1671" t="n">
        <v>91.8</v>
      </c>
      <c r="G1671" t="n">
        <v>90</v>
      </c>
      <c r="J1671" t="inlineStr">
        <is>
          <t>A</t>
        </is>
      </c>
      <c r="K1671" t="n">
        <v>2024</v>
      </c>
      <c r="L1671" t="n">
        <v>12</v>
      </c>
      <c r="M1671" t="inlineStr">
        <is>
          <t>Chocolate em pó 50% 1 kg</t>
        </is>
      </c>
      <c r="N1671" t="inlineStr">
        <is>
          <t>Fábrica de Massas</t>
        </is>
      </c>
      <c r="O1671" t="n">
        <v>1</v>
      </c>
      <c r="P1671" t="n">
        <v>1</v>
      </c>
      <c r="Q1671" t="n">
        <v>1</v>
      </c>
    </row>
    <row r="1672">
      <c r="A1672" t="n">
        <v>2026</v>
      </c>
      <c r="B1672" t="n">
        <v>6</v>
      </c>
      <c r="C1672" t="inlineStr">
        <is>
          <t>Chocolate em pó 50% 1 kg</t>
        </is>
      </c>
      <c r="D1672" t="inlineStr">
        <is>
          <t>Restaurante / Cantina</t>
        </is>
      </c>
      <c r="E1672" t="n">
        <v>4591.6</v>
      </c>
      <c r="F1672" t="n">
        <v>104.04</v>
      </c>
      <c r="G1672" t="n">
        <v>102</v>
      </c>
      <c r="J1672" t="inlineStr">
        <is>
          <t>A</t>
        </is>
      </c>
      <c r="K1672" t="n">
        <v>2024</v>
      </c>
      <c r="L1672" t="n">
        <v>1</v>
      </c>
      <c r="M1672" t="inlineStr">
        <is>
          <t>Chocolate em pó 50% 1 kg</t>
        </is>
      </c>
      <c r="N1672" t="inlineStr">
        <is>
          <t>Outros</t>
        </is>
      </c>
      <c r="O1672" t="n">
        <v>2</v>
      </c>
      <c r="P1672" t="n">
        <v>2</v>
      </c>
      <c r="Q1672" t="n">
        <v>2</v>
      </c>
    </row>
    <row r="1673">
      <c r="A1673" t="n">
        <v>2026</v>
      </c>
      <c r="B1673" t="n">
        <v>6</v>
      </c>
      <c r="C1673" t="inlineStr">
        <is>
          <t>Chocolate em pó 50% 1 kg</t>
        </is>
      </c>
      <c r="D1673" t="inlineStr">
        <is>
          <t>Supermercado</t>
        </is>
      </c>
      <c r="E1673" t="n">
        <v>136.12</v>
      </c>
      <c r="F1673" t="n">
        <v>3.06</v>
      </c>
      <c r="G1673" t="n">
        <v>3</v>
      </c>
      <c r="J1673" t="inlineStr">
        <is>
          <t>M</t>
        </is>
      </c>
      <c r="K1673" t="n">
        <v>2024</v>
      </c>
      <c r="L1673" t="n">
        <v>1</v>
      </c>
      <c r="M1673" t="inlineStr">
        <is>
          <t>Chocolate em pó 50% 1 kg</t>
        </is>
      </c>
      <c r="N1673" t="inlineStr">
        <is>
          <t>Outros</t>
        </is>
      </c>
      <c r="O1673" t="n">
        <v>2</v>
      </c>
      <c r="P1673" t="n">
        <v>2</v>
      </c>
      <c r="Q1673" t="n">
        <v>0</v>
      </c>
    </row>
    <row r="1674">
      <c r="A1674" t="n">
        <v>2026</v>
      </c>
      <c r="B1674" t="n">
        <v>6</v>
      </c>
      <c r="C1674" t="inlineStr">
        <is>
          <t>Composto lácteo Alibralac 1 kg</t>
        </is>
      </c>
      <c r="D1674" t="inlineStr">
        <is>
          <t>Hamburgueria</t>
        </is>
      </c>
      <c r="E1674" t="n">
        <v>27.76</v>
      </c>
      <c r="F1674" t="n">
        <v>1.02</v>
      </c>
      <c r="G1674" t="n">
        <v>1</v>
      </c>
      <c r="J1674" t="inlineStr">
        <is>
          <t>A</t>
        </is>
      </c>
      <c r="K1674" t="n">
        <v>2024</v>
      </c>
      <c r="L1674" t="n">
        <v>2</v>
      </c>
      <c r="M1674" t="inlineStr">
        <is>
          <t>Chocolate em pó 50% 1 kg</t>
        </is>
      </c>
      <c r="N1674" t="inlineStr">
        <is>
          <t>Outros</t>
        </is>
      </c>
      <c r="O1674" t="n">
        <v>8</v>
      </c>
      <c r="P1674" t="n">
        <v>9</v>
      </c>
      <c r="Q1674" t="n">
        <v>8</v>
      </c>
    </row>
    <row r="1675">
      <c r="A1675" t="n">
        <v>2026</v>
      </c>
      <c r="B1675" t="n">
        <v>6</v>
      </c>
      <c r="C1675" t="inlineStr">
        <is>
          <t>Composto lácteo Alibralac 1 kg</t>
        </is>
      </c>
      <c r="D1675" t="inlineStr">
        <is>
          <t>Lanchonete / Cafeteria</t>
        </is>
      </c>
      <c r="E1675" t="n">
        <v>278.3</v>
      </c>
      <c r="F1675" t="n">
        <v>10.2</v>
      </c>
      <c r="G1675" t="n">
        <v>10</v>
      </c>
      <c r="J1675" t="inlineStr">
        <is>
          <t>M</t>
        </is>
      </c>
      <c r="K1675" t="n">
        <v>2024</v>
      </c>
      <c r="L1675" t="n">
        <v>2</v>
      </c>
      <c r="M1675" t="inlineStr">
        <is>
          <t>Chocolate em pó 50% 1 kg</t>
        </is>
      </c>
      <c r="N1675" t="inlineStr">
        <is>
          <t>Outros</t>
        </is>
      </c>
      <c r="O1675" t="n">
        <v>7</v>
      </c>
      <c r="P1675" t="n">
        <v>7</v>
      </c>
      <c r="Q1675" t="n">
        <v>0</v>
      </c>
    </row>
    <row r="1676">
      <c r="A1676" t="n">
        <v>2026</v>
      </c>
      <c r="B1676" t="n">
        <v>6</v>
      </c>
      <c r="C1676" t="inlineStr">
        <is>
          <t>Composto lácteo Alibralac 1 kg</t>
        </is>
      </c>
      <c r="D1676" t="inlineStr">
        <is>
          <t>Padaria</t>
        </is>
      </c>
      <c r="E1676" t="n">
        <v>244.7</v>
      </c>
      <c r="F1676" t="n">
        <v>10.2</v>
      </c>
      <c r="G1676" t="n">
        <v>10</v>
      </c>
      <c r="J1676" t="inlineStr">
        <is>
          <t>A</t>
        </is>
      </c>
      <c r="K1676" t="n">
        <v>2024</v>
      </c>
      <c r="L1676" t="n">
        <v>3</v>
      </c>
      <c r="M1676" t="inlineStr">
        <is>
          <t>Chocolate em pó 50% 1 kg</t>
        </is>
      </c>
      <c r="N1676" t="inlineStr">
        <is>
          <t>Outros</t>
        </is>
      </c>
      <c r="O1676" t="n">
        <v>11</v>
      </c>
      <c r="P1676" t="n">
        <v>13</v>
      </c>
      <c r="Q1676" t="n">
        <v>11</v>
      </c>
    </row>
    <row r="1677">
      <c r="A1677" t="n">
        <v>2026</v>
      </c>
      <c r="B1677" t="n">
        <v>6</v>
      </c>
      <c r="C1677" t="inlineStr">
        <is>
          <t>Composto lácteo Alibralac 1 kg</t>
        </is>
      </c>
      <c r="D1677" t="inlineStr">
        <is>
          <t>Pessoa Física</t>
        </is>
      </c>
      <c r="E1677" t="n">
        <v>26.9</v>
      </c>
      <c r="F1677" t="n">
        <v>1.02</v>
      </c>
      <c r="G1677" t="n">
        <v>1</v>
      </c>
      <c r="J1677" t="inlineStr">
        <is>
          <t>M</t>
        </is>
      </c>
      <c r="K1677" t="n">
        <v>2024</v>
      </c>
      <c r="L1677" t="n">
        <v>3</v>
      </c>
      <c r="M1677" t="inlineStr">
        <is>
          <t>Chocolate em pó 50% 1 kg</t>
        </is>
      </c>
      <c r="N1677" t="inlineStr">
        <is>
          <t>Outros</t>
        </is>
      </c>
      <c r="O1677" t="n">
        <v>4</v>
      </c>
      <c r="P1677" t="n">
        <v>4</v>
      </c>
      <c r="Q1677" t="n">
        <v>0</v>
      </c>
    </row>
    <row r="1678">
      <c r="A1678" t="n">
        <v>2026</v>
      </c>
      <c r="B1678" t="n">
        <v>6</v>
      </c>
      <c r="C1678" t="inlineStr">
        <is>
          <t>Composto lácteo Alibralac 1 kg</t>
        </is>
      </c>
      <c r="D1678" t="inlineStr">
        <is>
          <t>Pizzaria</t>
        </is>
      </c>
      <c r="E1678" t="n">
        <v>1520.06</v>
      </c>
      <c r="F1678" t="n">
        <v>61.2</v>
      </c>
      <c r="G1678" t="n">
        <v>60</v>
      </c>
      <c r="J1678" t="inlineStr">
        <is>
          <t>A</t>
        </is>
      </c>
      <c r="K1678" t="n">
        <v>2024</v>
      </c>
      <c r="L1678" t="n">
        <v>4</v>
      </c>
      <c r="M1678" t="inlineStr">
        <is>
          <t>Chocolate em pó 50% 1 kg</t>
        </is>
      </c>
      <c r="N1678" t="inlineStr">
        <is>
          <t>Outros</t>
        </is>
      </c>
      <c r="O1678" t="n">
        <v>13</v>
      </c>
      <c r="P1678" t="n">
        <v>16</v>
      </c>
      <c r="Q1678" t="n">
        <v>13</v>
      </c>
    </row>
    <row r="1679">
      <c r="A1679" t="n">
        <v>2026</v>
      </c>
      <c r="B1679" t="n">
        <v>6</v>
      </c>
      <c r="C1679" t="inlineStr">
        <is>
          <t>Composto lácteo Alibralac 1 kg</t>
        </is>
      </c>
      <c r="D1679" t="inlineStr">
        <is>
          <t>Restaurante / Cantina</t>
        </is>
      </c>
      <c r="E1679" t="n">
        <v>1503.49</v>
      </c>
      <c r="F1679" t="n">
        <v>61.2</v>
      </c>
      <c r="G1679" t="n">
        <v>60</v>
      </c>
      <c r="J1679" t="inlineStr">
        <is>
          <t>M</t>
        </is>
      </c>
      <c r="K1679" t="n">
        <v>2024</v>
      </c>
      <c r="L1679" t="n">
        <v>4</v>
      </c>
      <c r="M1679" t="inlineStr">
        <is>
          <t>Chocolate em pó 50% 1 kg</t>
        </is>
      </c>
      <c r="N1679" t="inlineStr">
        <is>
          <t>Outros</t>
        </is>
      </c>
      <c r="O1679" t="n">
        <v>3</v>
      </c>
      <c r="P1679" t="n">
        <v>3</v>
      </c>
      <c r="Q1679" t="n">
        <v>0</v>
      </c>
    </row>
    <row r="1680">
      <c r="A1680" t="n">
        <v>2026</v>
      </c>
      <c r="B1680" t="n">
        <v>6</v>
      </c>
      <c r="C1680" t="inlineStr">
        <is>
          <t>Composto lácteo Merilú 400 g</t>
        </is>
      </c>
      <c r="D1680" t="inlineStr">
        <is>
          <t>Padaria</t>
        </is>
      </c>
      <c r="E1680" t="n">
        <v>387.25</v>
      </c>
      <c r="F1680" t="n">
        <v>21</v>
      </c>
      <c r="G1680" t="n">
        <v>50</v>
      </c>
      <c r="J1680" t="inlineStr">
        <is>
          <t>A</t>
        </is>
      </c>
      <c r="K1680" t="n">
        <v>2024</v>
      </c>
      <c r="L1680" t="n">
        <v>5</v>
      </c>
      <c r="M1680" t="inlineStr">
        <is>
          <t>Chocolate em pó 50% 1 kg</t>
        </is>
      </c>
      <c r="N1680" t="inlineStr">
        <is>
          <t>Outros</t>
        </is>
      </c>
      <c r="O1680" t="n">
        <v>15</v>
      </c>
      <c r="P1680" t="n">
        <v>20</v>
      </c>
      <c r="Q1680" t="n">
        <v>15</v>
      </c>
    </row>
    <row r="1681">
      <c r="A1681" t="n">
        <v>2026</v>
      </c>
      <c r="B1681" t="n">
        <v>6</v>
      </c>
      <c r="C1681" t="inlineStr">
        <is>
          <t>Composto lácteo Merilú 400 g</t>
        </is>
      </c>
      <c r="D1681" t="inlineStr">
        <is>
          <t>Pizzaria</t>
        </is>
      </c>
      <c r="E1681" t="n">
        <v>1293</v>
      </c>
      <c r="F1681" t="n">
        <v>63</v>
      </c>
      <c r="G1681" t="n">
        <v>150</v>
      </c>
      <c r="J1681" t="inlineStr">
        <is>
          <t>M</t>
        </is>
      </c>
      <c r="K1681" t="n">
        <v>2024</v>
      </c>
      <c r="L1681" t="n">
        <v>5</v>
      </c>
      <c r="M1681" t="inlineStr">
        <is>
          <t>Chocolate em pó 50% 1 kg</t>
        </is>
      </c>
      <c r="N1681" t="inlineStr">
        <is>
          <t>Outros</t>
        </is>
      </c>
      <c r="O1681" t="n">
        <v>3</v>
      </c>
      <c r="P1681" t="n">
        <v>4</v>
      </c>
      <c r="Q1681" t="n">
        <v>0</v>
      </c>
    </row>
    <row r="1682">
      <c r="A1682" t="n">
        <v>2026</v>
      </c>
      <c r="B1682" t="n">
        <v>6</v>
      </c>
      <c r="C1682" t="inlineStr">
        <is>
          <t>Composto lácteo Merilú 400 g</t>
        </is>
      </c>
      <c r="D1682" t="inlineStr">
        <is>
          <t>Restaurante / Cantina</t>
        </is>
      </c>
      <c r="E1682" t="n">
        <v>1213.64</v>
      </c>
      <c r="F1682" t="n">
        <v>63.84</v>
      </c>
      <c r="G1682" t="n">
        <v>152</v>
      </c>
      <c r="J1682" t="inlineStr">
        <is>
          <t>A</t>
        </is>
      </c>
      <c r="K1682" t="n">
        <v>2024</v>
      </c>
      <c r="L1682" t="n">
        <v>6</v>
      </c>
      <c r="M1682" t="inlineStr">
        <is>
          <t>Chocolate em pó 50% 1 kg</t>
        </is>
      </c>
      <c r="N1682" t="inlineStr">
        <is>
          <t>Outros</t>
        </is>
      </c>
      <c r="O1682" t="n">
        <v>16</v>
      </c>
      <c r="P1682" t="n">
        <v>24</v>
      </c>
      <c r="Q1682" t="n">
        <v>16</v>
      </c>
    </row>
    <row r="1683">
      <c r="A1683" t="n">
        <v>2026</v>
      </c>
      <c r="B1683" t="n">
        <v>6</v>
      </c>
      <c r="C1683" t="inlineStr">
        <is>
          <t>Composto lácteo Merilú 400 g</t>
        </is>
      </c>
      <c r="D1683" t="inlineStr">
        <is>
          <t>Supermercado</t>
        </is>
      </c>
      <c r="E1683" t="n">
        <v>158</v>
      </c>
      <c r="F1683" t="n">
        <v>8.4</v>
      </c>
      <c r="G1683" t="n">
        <v>20</v>
      </c>
      <c r="J1683" t="inlineStr">
        <is>
          <t>M</t>
        </is>
      </c>
      <c r="K1683" t="n">
        <v>2024</v>
      </c>
      <c r="L1683" t="n">
        <v>6</v>
      </c>
      <c r="M1683" t="inlineStr">
        <is>
          <t>Chocolate em pó 50% 1 kg</t>
        </is>
      </c>
      <c r="N1683" t="inlineStr">
        <is>
          <t>Outros</t>
        </is>
      </c>
      <c r="O1683" t="n">
        <v>4</v>
      </c>
      <c r="P1683" t="n">
        <v>4</v>
      </c>
      <c r="Q1683" t="n">
        <v>0</v>
      </c>
    </row>
    <row r="1684">
      <c r="A1684" t="n">
        <v>2026</v>
      </c>
      <c r="B1684" t="n">
        <v>6</v>
      </c>
      <c r="C1684" t="inlineStr">
        <is>
          <t>Muçarela Mozzalet 2 kg</t>
        </is>
      </c>
      <c r="D1684" t="inlineStr">
        <is>
          <t>Fábrica de Massas</t>
        </is>
      </c>
      <c r="E1684" t="n">
        <v>10036.5</v>
      </c>
      <c r="F1684" t="n">
        <v>420</v>
      </c>
      <c r="G1684" t="n">
        <v>210</v>
      </c>
      <c r="J1684" t="inlineStr">
        <is>
          <t>A</t>
        </is>
      </c>
      <c r="K1684" t="n">
        <v>2024</v>
      </c>
      <c r="L1684" t="n">
        <v>7</v>
      </c>
      <c r="M1684" t="inlineStr">
        <is>
          <t>Chocolate em pó 50% 1 kg</t>
        </is>
      </c>
      <c r="N1684" t="inlineStr">
        <is>
          <t>Outros</t>
        </is>
      </c>
      <c r="O1684" t="n">
        <v>16</v>
      </c>
      <c r="P1684" t="n">
        <v>26</v>
      </c>
      <c r="Q1684" t="n">
        <v>16</v>
      </c>
    </row>
    <row r="1685">
      <c r="A1685" t="n">
        <v>2026</v>
      </c>
      <c r="B1685" t="n">
        <v>6</v>
      </c>
      <c r="C1685" t="inlineStr">
        <is>
          <t>Muçarela Mozzalet 2 kg</t>
        </is>
      </c>
      <c r="D1685" t="inlineStr">
        <is>
          <t>Padaria</t>
        </is>
      </c>
      <c r="E1685" t="n">
        <v>440.55</v>
      </c>
      <c r="F1685" t="n">
        <v>18</v>
      </c>
      <c r="G1685" t="n">
        <v>9</v>
      </c>
      <c r="J1685" t="inlineStr">
        <is>
          <t>M</t>
        </is>
      </c>
      <c r="K1685" t="n">
        <v>2024</v>
      </c>
      <c r="L1685" t="n">
        <v>7</v>
      </c>
      <c r="M1685" t="inlineStr">
        <is>
          <t>Chocolate em pó 50% 1 kg</t>
        </is>
      </c>
      <c r="N1685" t="inlineStr">
        <is>
          <t>Outros</t>
        </is>
      </c>
      <c r="O1685" t="n">
        <v>2</v>
      </c>
      <c r="P1685" t="n">
        <v>2</v>
      </c>
      <c r="Q1685" t="n">
        <v>0</v>
      </c>
    </row>
    <row r="1686">
      <c r="A1686" t="n">
        <v>2026</v>
      </c>
      <c r="B1686" t="n">
        <v>6</v>
      </c>
      <c r="C1686" t="inlineStr">
        <is>
          <t>Muçarela Mozzalet 2 kg</t>
        </is>
      </c>
      <c r="D1686" t="inlineStr">
        <is>
          <t>Pessoa Física</t>
        </is>
      </c>
      <c r="E1686" t="n">
        <v>286.62</v>
      </c>
      <c r="F1686" t="n">
        <v>12</v>
      </c>
      <c r="G1686" t="n">
        <v>6</v>
      </c>
      <c r="J1686" t="inlineStr">
        <is>
          <t>A</t>
        </is>
      </c>
      <c r="K1686" t="n">
        <v>2024</v>
      </c>
      <c r="L1686" t="n">
        <v>8</v>
      </c>
      <c r="M1686" t="inlineStr">
        <is>
          <t>Chocolate em pó 50% 1 kg</t>
        </is>
      </c>
      <c r="N1686" t="inlineStr">
        <is>
          <t>Outros</t>
        </is>
      </c>
      <c r="O1686" t="n">
        <v>17</v>
      </c>
      <c r="P1686" t="n">
        <v>30</v>
      </c>
      <c r="Q1686" t="n">
        <v>17</v>
      </c>
    </row>
    <row r="1687">
      <c r="A1687" t="n">
        <v>2026</v>
      </c>
      <c r="B1687" t="n">
        <v>6</v>
      </c>
      <c r="C1687" t="inlineStr">
        <is>
          <t>Muçarela Mozzalet 2 kg</t>
        </is>
      </c>
      <c r="D1687" t="inlineStr">
        <is>
          <t>Pizzaria</t>
        </is>
      </c>
      <c r="E1687" t="n">
        <v>10440.19</v>
      </c>
      <c r="F1687" t="n">
        <v>434</v>
      </c>
      <c r="G1687" t="n">
        <v>217</v>
      </c>
      <c r="J1687" t="inlineStr">
        <is>
          <t>M</t>
        </is>
      </c>
      <c r="K1687" t="n">
        <v>2024</v>
      </c>
      <c r="L1687" t="n">
        <v>8</v>
      </c>
      <c r="M1687" t="inlineStr">
        <is>
          <t>Chocolate em pó 50% 1 kg</t>
        </is>
      </c>
      <c r="N1687" t="inlineStr">
        <is>
          <t>Outros</t>
        </is>
      </c>
      <c r="O1687" t="n">
        <v>3</v>
      </c>
      <c r="P1687" t="n">
        <v>4</v>
      </c>
      <c r="Q1687" t="n">
        <v>0</v>
      </c>
    </row>
    <row r="1688">
      <c r="A1688" t="n">
        <v>2026</v>
      </c>
      <c r="B1688" t="n">
        <v>6</v>
      </c>
      <c r="C1688" t="inlineStr">
        <is>
          <t>Muçarela Mozzalet 2 kg</t>
        </is>
      </c>
      <c r="D1688" t="inlineStr">
        <is>
          <t>Restaurante / Cantina</t>
        </is>
      </c>
      <c r="E1688" t="n">
        <v>16387</v>
      </c>
      <c r="F1688" t="n">
        <v>700</v>
      </c>
      <c r="G1688" t="n">
        <v>350</v>
      </c>
      <c r="J1688" t="inlineStr">
        <is>
          <t>A</t>
        </is>
      </c>
      <c r="K1688" t="n">
        <v>2024</v>
      </c>
      <c r="L1688" t="n">
        <v>9</v>
      </c>
      <c r="M1688" t="inlineStr">
        <is>
          <t>Chocolate em pó 50% 1 kg</t>
        </is>
      </c>
      <c r="N1688" t="inlineStr">
        <is>
          <t>Outros</t>
        </is>
      </c>
      <c r="O1688" t="n">
        <v>18</v>
      </c>
      <c r="P1688" t="n">
        <v>32</v>
      </c>
      <c r="Q1688" t="n">
        <v>18</v>
      </c>
    </row>
    <row r="1689">
      <c r="A1689" t="n">
        <v>2026</v>
      </c>
      <c r="B1689" t="n">
        <v>6</v>
      </c>
      <c r="C1689" t="inlineStr">
        <is>
          <t>Muçarela Mozzana 2 kg</t>
        </is>
      </c>
      <c r="D1689" t="inlineStr">
        <is>
          <t>Adega</t>
        </is>
      </c>
      <c r="E1689" t="n">
        <v>1161.27</v>
      </c>
      <c r="F1689" t="n">
        <v>54.54</v>
      </c>
      <c r="G1689" t="n">
        <v>27</v>
      </c>
      <c r="J1689" t="inlineStr">
        <is>
          <t>M</t>
        </is>
      </c>
      <c r="K1689" t="n">
        <v>2024</v>
      </c>
      <c r="L1689" t="n">
        <v>9</v>
      </c>
      <c r="M1689" t="inlineStr">
        <is>
          <t>Chocolate em pó 50% 1 kg</t>
        </is>
      </c>
      <c r="N1689" t="inlineStr">
        <is>
          <t>Outros</t>
        </is>
      </c>
      <c r="O1689" t="n">
        <v>2</v>
      </c>
      <c r="P1689" t="n">
        <v>2</v>
      </c>
      <c r="Q1689" t="n">
        <v>0</v>
      </c>
    </row>
    <row r="1690">
      <c r="A1690" t="n">
        <v>2026</v>
      </c>
      <c r="B1690" t="n">
        <v>6</v>
      </c>
      <c r="C1690" t="inlineStr">
        <is>
          <t>Muçarela Mozzana 2 kg</t>
        </is>
      </c>
      <c r="D1690" t="inlineStr">
        <is>
          <t>Bar / Chopperia</t>
        </is>
      </c>
      <c r="E1690" t="n">
        <v>42.9</v>
      </c>
      <c r="F1690" t="n">
        <v>2.02</v>
      </c>
      <c r="G1690" t="n">
        <v>1</v>
      </c>
      <c r="J1690" t="inlineStr">
        <is>
          <t>A</t>
        </is>
      </c>
      <c r="K1690" t="n">
        <v>2024</v>
      </c>
      <c r="L1690" t="n">
        <v>10</v>
      </c>
      <c r="M1690" t="inlineStr">
        <is>
          <t>Chocolate em pó 50% 1 kg</t>
        </is>
      </c>
      <c r="N1690" t="inlineStr">
        <is>
          <t>Outros</t>
        </is>
      </c>
      <c r="O1690" t="n">
        <v>20</v>
      </c>
      <c r="P1690" t="n">
        <v>39</v>
      </c>
      <c r="Q1690" t="n">
        <v>20</v>
      </c>
    </row>
    <row r="1691">
      <c r="A1691" t="n">
        <v>2026</v>
      </c>
      <c r="B1691" t="n">
        <v>6</v>
      </c>
      <c r="C1691" t="inlineStr">
        <is>
          <t>Muçarela Mozzana 2 kg</t>
        </is>
      </c>
      <c r="D1691" t="inlineStr">
        <is>
          <t>Buffet</t>
        </is>
      </c>
      <c r="E1691" t="n">
        <v>3693.96</v>
      </c>
      <c r="F1691" t="n">
        <v>173.72</v>
      </c>
      <c r="G1691" t="n">
        <v>86</v>
      </c>
      <c r="J1691" t="inlineStr">
        <is>
          <t>M</t>
        </is>
      </c>
      <c r="K1691" t="n">
        <v>2024</v>
      </c>
      <c r="L1691" t="n">
        <v>10</v>
      </c>
      <c r="M1691" t="inlineStr">
        <is>
          <t>Chocolate em pó 50% 1 kg</t>
        </is>
      </c>
      <c r="N1691" t="inlineStr">
        <is>
          <t>Outros</t>
        </is>
      </c>
      <c r="O1691" t="n">
        <v>4</v>
      </c>
      <c r="P1691" t="n">
        <v>7</v>
      </c>
      <c r="Q1691" t="n">
        <v>0</v>
      </c>
    </row>
    <row r="1692">
      <c r="A1692" t="n">
        <v>2026</v>
      </c>
      <c r="B1692" t="n">
        <v>6</v>
      </c>
      <c r="C1692" t="inlineStr">
        <is>
          <t>Muçarela Mozzana 2 kg</t>
        </is>
      </c>
      <c r="D1692" t="inlineStr">
        <is>
          <t>Cozinha Industrial</t>
        </is>
      </c>
      <c r="E1692" t="n">
        <v>56461.33</v>
      </c>
      <c r="F1692" t="n">
        <v>2743.16</v>
      </c>
      <c r="G1692" t="n">
        <v>1358</v>
      </c>
      <c r="J1692" t="inlineStr">
        <is>
          <t>A</t>
        </is>
      </c>
      <c r="K1692" t="n">
        <v>2024</v>
      </c>
      <c r="L1692" t="n">
        <v>11</v>
      </c>
      <c r="M1692" t="inlineStr">
        <is>
          <t>Chocolate em pó 50% 1 kg</t>
        </is>
      </c>
      <c r="N1692" t="inlineStr">
        <is>
          <t>Outros</t>
        </is>
      </c>
      <c r="O1692" t="n">
        <v>20</v>
      </c>
      <c r="P1692" t="n">
        <v>41</v>
      </c>
      <c r="Q1692" t="n">
        <v>20</v>
      </c>
    </row>
    <row r="1693">
      <c r="A1693" t="n">
        <v>2026</v>
      </c>
      <c r="B1693" t="n">
        <v>6</v>
      </c>
      <c r="C1693" t="inlineStr">
        <is>
          <t>Muçarela Mozzana 2 kg</t>
        </is>
      </c>
      <c r="D1693" t="inlineStr">
        <is>
          <t>Cozinha Oriental</t>
        </is>
      </c>
      <c r="E1693" t="n">
        <v>788.5</v>
      </c>
      <c r="F1693" t="n">
        <v>38.38</v>
      </c>
      <c r="G1693" t="n">
        <v>19</v>
      </c>
      <c r="J1693" t="inlineStr">
        <is>
          <t>M</t>
        </is>
      </c>
      <c r="K1693" t="n">
        <v>2024</v>
      </c>
      <c r="L1693" t="n">
        <v>11</v>
      </c>
      <c r="M1693" t="inlineStr">
        <is>
          <t>Chocolate em pó 50% 1 kg</t>
        </is>
      </c>
      <c r="N1693" t="inlineStr">
        <is>
          <t>Outros</t>
        </is>
      </c>
      <c r="O1693" t="n">
        <v>2</v>
      </c>
      <c r="P1693" t="n">
        <v>2</v>
      </c>
      <c r="Q1693" t="n">
        <v>0</v>
      </c>
    </row>
    <row r="1694">
      <c r="A1694" t="n">
        <v>2026</v>
      </c>
      <c r="B1694" t="n">
        <v>6</v>
      </c>
      <c r="C1694" t="inlineStr">
        <is>
          <t>Muçarela Mozzana 2 kg</t>
        </is>
      </c>
      <c r="D1694" t="inlineStr">
        <is>
          <t>Esfiharia</t>
        </is>
      </c>
      <c r="E1694" t="n">
        <v>9191.940000000001</v>
      </c>
      <c r="F1694" t="n">
        <v>426.22</v>
      </c>
      <c r="G1694" t="n">
        <v>211</v>
      </c>
      <c r="J1694" t="inlineStr">
        <is>
          <t>A</t>
        </is>
      </c>
      <c r="K1694" t="n">
        <v>2024</v>
      </c>
      <c r="L1694" t="n">
        <v>12</v>
      </c>
      <c r="M1694" t="inlineStr">
        <is>
          <t>Chocolate em pó 50% 1 kg</t>
        </is>
      </c>
      <c r="N1694" t="inlineStr">
        <is>
          <t>Outros</t>
        </is>
      </c>
      <c r="O1694" t="n">
        <v>20</v>
      </c>
      <c r="P1694" t="n">
        <v>41</v>
      </c>
      <c r="Q1694" t="n">
        <v>20</v>
      </c>
    </row>
    <row r="1695">
      <c r="A1695" t="n">
        <v>2026</v>
      </c>
      <c r="B1695" t="n">
        <v>6</v>
      </c>
      <c r="C1695" t="inlineStr">
        <is>
          <t>Muçarela Mozzana 2 kg</t>
        </is>
      </c>
      <c r="D1695" t="inlineStr">
        <is>
          <t>Fábrica de Massas</t>
        </is>
      </c>
      <c r="E1695" t="n">
        <v>16880.35</v>
      </c>
      <c r="F1695" t="n">
        <v>808</v>
      </c>
      <c r="G1695" t="n">
        <v>400</v>
      </c>
      <c r="J1695" t="inlineStr">
        <is>
          <t>A</t>
        </is>
      </c>
      <c r="K1695" t="n">
        <v>2024</v>
      </c>
      <c r="L1695" t="n">
        <v>3</v>
      </c>
      <c r="M1695" t="inlineStr">
        <is>
          <t>Chocolate em pó 50% 1 kg</t>
        </is>
      </c>
      <c r="N1695" t="inlineStr">
        <is>
          <t>Pessoa Física</t>
        </is>
      </c>
      <c r="O1695" t="n">
        <v>1</v>
      </c>
      <c r="P1695" t="n">
        <v>1</v>
      </c>
      <c r="Q1695" t="n">
        <v>1</v>
      </c>
    </row>
    <row r="1696">
      <c r="A1696" t="n">
        <v>2026</v>
      </c>
      <c r="B1696" t="n">
        <v>6</v>
      </c>
      <c r="C1696" t="inlineStr">
        <is>
          <t>Muçarela Mozzana 2 kg</t>
        </is>
      </c>
      <c r="D1696" t="inlineStr">
        <is>
          <t>Hamburgueria</t>
        </is>
      </c>
      <c r="E1696" t="n">
        <v>554.5</v>
      </c>
      <c r="F1696" t="n">
        <v>26.26</v>
      </c>
      <c r="G1696" t="n">
        <v>13</v>
      </c>
      <c r="J1696" t="inlineStr">
        <is>
          <t>M</t>
        </is>
      </c>
      <c r="K1696" t="n">
        <v>2024</v>
      </c>
      <c r="L1696" t="n">
        <v>3</v>
      </c>
      <c r="M1696" t="inlineStr">
        <is>
          <t>Chocolate em pó 50% 1 kg</t>
        </is>
      </c>
      <c r="N1696" t="inlineStr">
        <is>
          <t>Pessoa Física</t>
        </is>
      </c>
      <c r="O1696" t="n">
        <v>1</v>
      </c>
      <c r="P1696" t="n">
        <v>1</v>
      </c>
      <c r="Q1696" t="n">
        <v>0</v>
      </c>
    </row>
    <row r="1697">
      <c r="A1697" t="n">
        <v>2026</v>
      </c>
      <c r="B1697" t="n">
        <v>6</v>
      </c>
      <c r="C1697" t="inlineStr">
        <is>
          <t>Muçarela Mozzana 2 kg</t>
        </is>
      </c>
      <c r="D1697" t="inlineStr">
        <is>
          <t>Lanchonete / Cafeteria</t>
        </is>
      </c>
      <c r="E1697" t="n">
        <v>11207.7</v>
      </c>
      <c r="F1697" t="n">
        <v>533.28</v>
      </c>
      <c r="G1697" t="n">
        <v>264</v>
      </c>
      <c r="J1697" t="inlineStr">
        <is>
          <t>A</t>
        </is>
      </c>
      <c r="K1697" t="n">
        <v>2024</v>
      </c>
      <c r="L1697" t="n">
        <v>4</v>
      </c>
      <c r="M1697" t="inlineStr">
        <is>
          <t>Chocolate em pó 50% 1 kg</t>
        </is>
      </c>
      <c r="N1697" t="inlineStr">
        <is>
          <t>Pessoa Física</t>
        </is>
      </c>
      <c r="O1697" t="n">
        <v>1</v>
      </c>
      <c r="P1697" t="n">
        <v>3</v>
      </c>
      <c r="Q1697" t="n">
        <v>1</v>
      </c>
    </row>
    <row r="1698">
      <c r="A1698" t="n">
        <v>2026</v>
      </c>
      <c r="B1698" t="n">
        <v>6</v>
      </c>
      <c r="C1698" t="inlineStr">
        <is>
          <t>Muçarela Mozzana 2 kg</t>
        </is>
      </c>
      <c r="D1698" t="inlineStr">
        <is>
          <t>Mercearia / Sacolão</t>
        </is>
      </c>
      <c r="E1698" t="n">
        <v>8421.790000000001</v>
      </c>
      <c r="F1698" t="n">
        <v>410.06</v>
      </c>
      <c r="G1698" t="n">
        <v>203</v>
      </c>
      <c r="J1698" t="inlineStr">
        <is>
          <t>M</t>
        </is>
      </c>
      <c r="K1698" t="n">
        <v>2024</v>
      </c>
      <c r="L1698" t="n">
        <v>4</v>
      </c>
      <c r="M1698" t="inlineStr">
        <is>
          <t>Chocolate em pó 50% 1 kg</t>
        </is>
      </c>
      <c r="N1698" t="inlineStr">
        <is>
          <t>Pessoa Física</t>
        </is>
      </c>
      <c r="O1698" t="n">
        <v>1</v>
      </c>
      <c r="P1698" t="n">
        <v>2</v>
      </c>
      <c r="Q1698" t="n">
        <v>0</v>
      </c>
    </row>
    <row r="1699">
      <c r="A1699" t="n">
        <v>2026</v>
      </c>
      <c r="B1699" t="n">
        <v>6</v>
      </c>
      <c r="C1699" t="inlineStr">
        <is>
          <t>Muçarela Mozzana 2 kg</t>
        </is>
      </c>
      <c r="D1699" t="inlineStr">
        <is>
          <t>Padaria</t>
        </is>
      </c>
      <c r="E1699" t="n">
        <v>4817.31</v>
      </c>
      <c r="F1699" t="n">
        <v>228.26</v>
      </c>
      <c r="G1699" t="n">
        <v>113</v>
      </c>
      <c r="J1699" t="inlineStr">
        <is>
          <t>A</t>
        </is>
      </c>
      <c r="K1699" t="n">
        <v>2024</v>
      </c>
      <c r="L1699" t="n">
        <v>5</v>
      </c>
      <c r="M1699" t="inlineStr">
        <is>
          <t>Chocolate em pó 50% 1 kg</t>
        </is>
      </c>
      <c r="N1699" t="inlineStr">
        <is>
          <t>Pessoa Física</t>
        </is>
      </c>
      <c r="O1699" t="n">
        <v>2</v>
      </c>
      <c r="P1699" t="n">
        <v>4</v>
      </c>
      <c r="Q1699" t="n">
        <v>2</v>
      </c>
    </row>
    <row r="1700">
      <c r="A1700" t="n">
        <v>2026</v>
      </c>
      <c r="B1700" t="n">
        <v>6</v>
      </c>
      <c r="C1700" t="inlineStr">
        <is>
          <t>Muçarela Mozzana 2 kg</t>
        </is>
      </c>
      <c r="D1700" t="inlineStr">
        <is>
          <t>Pastelaria</t>
        </is>
      </c>
      <c r="E1700" t="n">
        <v>7429.62</v>
      </c>
      <c r="F1700" t="n">
        <v>345.42</v>
      </c>
      <c r="G1700" t="n">
        <v>171</v>
      </c>
      <c r="J1700" t="inlineStr">
        <is>
          <t>M</t>
        </is>
      </c>
      <c r="K1700" t="n">
        <v>2024</v>
      </c>
      <c r="L1700" t="n">
        <v>5</v>
      </c>
      <c r="M1700" t="inlineStr">
        <is>
          <t>Chocolate em pó 50% 1 kg</t>
        </is>
      </c>
      <c r="N1700" t="inlineStr">
        <is>
          <t>Pessoa Física</t>
        </is>
      </c>
      <c r="O1700" t="n">
        <v>1</v>
      </c>
      <c r="P1700" t="n">
        <v>1</v>
      </c>
      <c r="Q1700" t="n">
        <v>0</v>
      </c>
    </row>
    <row r="1701">
      <c r="A1701" t="n">
        <v>2026</v>
      </c>
      <c r="B1701" t="n">
        <v>6</v>
      </c>
      <c r="C1701" t="inlineStr">
        <is>
          <t>Muçarela Mozzana 2 kg</t>
        </is>
      </c>
      <c r="D1701" t="inlineStr">
        <is>
          <t>Pessoa Física</t>
        </is>
      </c>
      <c r="E1701" t="n">
        <v>5596.8</v>
      </c>
      <c r="F1701" t="n">
        <v>262.6</v>
      </c>
      <c r="G1701" t="n">
        <v>130</v>
      </c>
      <c r="J1701" t="inlineStr">
        <is>
          <t>A</t>
        </is>
      </c>
      <c r="K1701" t="n">
        <v>2024</v>
      </c>
      <c r="L1701" t="n">
        <v>6</v>
      </c>
      <c r="M1701" t="inlineStr">
        <is>
          <t>Chocolate em pó 50% 1 kg</t>
        </is>
      </c>
      <c r="N1701" t="inlineStr">
        <is>
          <t>Pessoa Física</t>
        </is>
      </c>
      <c r="O1701" t="n">
        <v>2</v>
      </c>
      <c r="P1701" t="n">
        <v>4</v>
      </c>
      <c r="Q1701" t="n">
        <v>2</v>
      </c>
    </row>
    <row r="1702">
      <c r="A1702" t="n">
        <v>2026</v>
      </c>
      <c r="B1702" t="n">
        <v>6</v>
      </c>
      <c r="C1702" t="inlineStr">
        <is>
          <t>Muçarela Mozzana 2 kg</t>
        </is>
      </c>
      <c r="D1702" t="inlineStr">
        <is>
          <t>Pizzaria</t>
        </is>
      </c>
      <c r="E1702" t="n">
        <v>118440.08</v>
      </c>
      <c r="F1702" t="n">
        <v>5605.5</v>
      </c>
      <c r="G1702" t="n">
        <v>2775</v>
      </c>
      <c r="J1702" t="inlineStr">
        <is>
          <t>A</t>
        </is>
      </c>
      <c r="K1702" t="n">
        <v>2024</v>
      </c>
      <c r="L1702" t="n">
        <v>7</v>
      </c>
      <c r="M1702" t="inlineStr">
        <is>
          <t>Chocolate em pó 50% 1 kg</t>
        </is>
      </c>
      <c r="N1702" t="inlineStr">
        <is>
          <t>Pessoa Física</t>
        </is>
      </c>
      <c r="O1702" t="n">
        <v>2</v>
      </c>
      <c r="P1702" t="n">
        <v>4</v>
      </c>
      <c r="Q1702" t="n">
        <v>2</v>
      </c>
    </row>
    <row r="1703">
      <c r="A1703" t="n">
        <v>2026</v>
      </c>
      <c r="B1703" t="n">
        <v>6</v>
      </c>
      <c r="C1703" t="inlineStr">
        <is>
          <t>Muçarela Mozzana 2 kg</t>
        </is>
      </c>
      <c r="D1703" t="inlineStr">
        <is>
          <t>Restaurante / Cantina</t>
        </is>
      </c>
      <c r="E1703" t="n">
        <v>17822.45</v>
      </c>
      <c r="F1703" t="n">
        <v>854.46</v>
      </c>
      <c r="G1703" t="n">
        <v>423</v>
      </c>
      <c r="J1703" t="inlineStr">
        <is>
          <t>A</t>
        </is>
      </c>
      <c r="K1703" t="n">
        <v>2024</v>
      </c>
      <c r="L1703" t="n">
        <v>8</v>
      </c>
      <c r="M1703" t="inlineStr">
        <is>
          <t>Chocolate em pó 50% 1 kg</t>
        </is>
      </c>
      <c r="N1703" t="inlineStr">
        <is>
          <t>Pessoa Física</t>
        </is>
      </c>
      <c r="O1703" t="n">
        <v>3</v>
      </c>
      <c r="P1703" t="n">
        <v>7</v>
      </c>
      <c r="Q1703" t="n">
        <v>3</v>
      </c>
    </row>
    <row r="1704">
      <c r="A1704" t="n">
        <v>2026</v>
      </c>
      <c r="B1704" t="n">
        <v>6</v>
      </c>
      <c r="C1704" t="inlineStr">
        <is>
          <t>Muçarela Mozzana 2 kg</t>
        </is>
      </c>
      <c r="D1704" t="inlineStr">
        <is>
          <t>Rotisserie</t>
        </is>
      </c>
      <c r="E1704" t="n">
        <v>12437.96</v>
      </c>
      <c r="F1704" t="n">
        <v>581.76</v>
      </c>
      <c r="G1704" t="n">
        <v>288</v>
      </c>
      <c r="J1704" t="inlineStr">
        <is>
          <t>M</t>
        </is>
      </c>
      <c r="K1704" t="n">
        <v>2024</v>
      </c>
      <c r="L1704" t="n">
        <v>8</v>
      </c>
      <c r="M1704" t="inlineStr">
        <is>
          <t>Chocolate em pó 50% 1 kg</t>
        </is>
      </c>
      <c r="N1704" t="inlineStr">
        <is>
          <t>Pessoa Física</t>
        </is>
      </c>
      <c r="O1704" t="n">
        <v>2</v>
      </c>
      <c r="P1704" t="n">
        <v>3</v>
      </c>
      <c r="Q1704" t="n">
        <v>0</v>
      </c>
    </row>
    <row r="1705">
      <c r="A1705" t="n">
        <v>2026</v>
      </c>
      <c r="B1705" t="n">
        <v>6</v>
      </c>
      <c r="C1705" t="inlineStr">
        <is>
          <t>Muçarela Mozzana 2 kg</t>
        </is>
      </c>
      <c r="D1705" t="inlineStr">
        <is>
          <t>Supermercado</t>
        </is>
      </c>
      <c r="E1705" t="n">
        <v>4737.12</v>
      </c>
      <c r="F1705" t="n">
        <v>214.12</v>
      </c>
      <c r="G1705" t="n">
        <v>106</v>
      </c>
      <c r="J1705" t="inlineStr">
        <is>
          <t>A</t>
        </is>
      </c>
      <c r="K1705" t="n">
        <v>2024</v>
      </c>
      <c r="L1705" t="n">
        <v>9</v>
      </c>
      <c r="M1705" t="inlineStr">
        <is>
          <t>Chocolate em pó 50% 1 kg</t>
        </is>
      </c>
      <c r="N1705" t="inlineStr">
        <is>
          <t>Pessoa Física</t>
        </is>
      </c>
      <c r="O1705" t="n">
        <v>3</v>
      </c>
      <c r="P1705" t="n">
        <v>7</v>
      </c>
      <c r="Q1705" t="n">
        <v>3</v>
      </c>
    </row>
    <row r="1706">
      <c r="A1706" t="n">
        <v>2026</v>
      </c>
      <c r="B1706" t="n">
        <v>6</v>
      </c>
      <c r="C1706" t="inlineStr">
        <is>
          <t>Requeijão Pizzalet 1,8 kg</t>
        </is>
      </c>
      <c r="D1706" t="inlineStr">
        <is>
          <t>Bar / Chopperia</t>
        </is>
      </c>
      <c r="E1706" t="n">
        <v>167.55</v>
      </c>
      <c r="F1706" t="n">
        <v>18.4</v>
      </c>
      <c r="G1706" t="n">
        <v>10</v>
      </c>
      <c r="J1706" t="inlineStr">
        <is>
          <t>A</t>
        </is>
      </c>
      <c r="K1706" t="n">
        <v>2024</v>
      </c>
      <c r="L1706" t="n">
        <v>10</v>
      </c>
      <c r="M1706" t="inlineStr">
        <is>
          <t>Chocolate em pó 50% 1 kg</t>
        </is>
      </c>
      <c r="N1706" t="inlineStr">
        <is>
          <t>Pessoa Física</t>
        </is>
      </c>
      <c r="O1706" t="n">
        <v>3</v>
      </c>
      <c r="P1706" t="n">
        <v>7</v>
      </c>
      <c r="Q1706" t="n">
        <v>3</v>
      </c>
    </row>
    <row r="1707">
      <c r="A1707" t="n">
        <v>2026</v>
      </c>
      <c r="B1707" t="n">
        <v>6</v>
      </c>
      <c r="C1707" t="inlineStr">
        <is>
          <t>Requeijão Pizzalet 1,8 kg</t>
        </is>
      </c>
      <c r="D1707" t="inlineStr">
        <is>
          <t>Lanchonete / Cafeteria</t>
        </is>
      </c>
      <c r="E1707" t="n">
        <v>1646.4</v>
      </c>
      <c r="F1707" t="n">
        <v>180.32</v>
      </c>
      <c r="G1707" t="n">
        <v>98</v>
      </c>
      <c r="J1707" t="inlineStr">
        <is>
          <t>A</t>
        </is>
      </c>
      <c r="K1707" t="n">
        <v>2024</v>
      </c>
      <c r="L1707" t="n">
        <v>11</v>
      </c>
      <c r="M1707" t="inlineStr">
        <is>
          <t>Chocolate em pó 50% 1 kg</t>
        </is>
      </c>
      <c r="N1707" t="inlineStr">
        <is>
          <t>Pessoa Física</t>
        </is>
      </c>
      <c r="O1707" t="n">
        <v>3</v>
      </c>
      <c r="P1707" t="n">
        <v>7</v>
      </c>
      <c r="Q1707" t="n">
        <v>3</v>
      </c>
    </row>
    <row r="1708">
      <c r="A1708" t="n">
        <v>2026</v>
      </c>
      <c r="B1708" t="n">
        <v>6</v>
      </c>
      <c r="C1708" t="inlineStr">
        <is>
          <t>Requeijão Pizzalet 1,8 kg</t>
        </is>
      </c>
      <c r="D1708" t="inlineStr">
        <is>
          <t>Pastelaria</t>
        </is>
      </c>
      <c r="E1708" t="n">
        <v>1926.24</v>
      </c>
      <c r="F1708" t="n">
        <v>209.76</v>
      </c>
      <c r="G1708" t="n">
        <v>114</v>
      </c>
      <c r="J1708" t="inlineStr">
        <is>
          <t>A</t>
        </is>
      </c>
      <c r="K1708" t="n">
        <v>2024</v>
      </c>
      <c r="L1708" t="n">
        <v>12</v>
      </c>
      <c r="M1708" t="inlineStr">
        <is>
          <t>Chocolate em pó 50% 1 kg</t>
        </is>
      </c>
      <c r="N1708" t="inlineStr">
        <is>
          <t>Pessoa Física</t>
        </is>
      </c>
      <c r="O1708" t="n">
        <v>3</v>
      </c>
      <c r="P1708" t="n">
        <v>7</v>
      </c>
      <c r="Q1708" t="n">
        <v>3</v>
      </c>
    </row>
    <row r="1709">
      <c r="A1709" t="n">
        <v>2026</v>
      </c>
      <c r="B1709" t="n">
        <v>6</v>
      </c>
      <c r="C1709" t="inlineStr">
        <is>
          <t>Requeijão Pizzalet 1,8 kg</t>
        </is>
      </c>
      <c r="D1709" t="inlineStr">
        <is>
          <t>Pizzaria</t>
        </is>
      </c>
      <c r="E1709" t="n">
        <v>2432.45</v>
      </c>
      <c r="F1709" t="n">
        <v>263.12</v>
      </c>
      <c r="G1709" t="n">
        <v>143</v>
      </c>
      <c r="J1709" t="inlineStr">
        <is>
          <t>A</t>
        </is>
      </c>
      <c r="K1709" t="n">
        <v>2024</v>
      </c>
      <c r="L1709" t="n">
        <v>1</v>
      </c>
      <c r="M1709" t="inlineStr">
        <is>
          <t>Chocolate em pó 50% 1 kg</t>
        </is>
      </c>
      <c r="N1709" t="inlineStr">
        <is>
          <t>Lanchonete / Cafeteria</t>
        </is>
      </c>
      <c r="O1709" t="n">
        <v>2</v>
      </c>
      <c r="P1709" t="n">
        <v>3</v>
      </c>
      <c r="Q1709" t="n">
        <v>2</v>
      </c>
    </row>
    <row r="1710">
      <c r="A1710" t="n">
        <v>2026</v>
      </c>
      <c r="B1710" t="n">
        <v>6</v>
      </c>
      <c r="C1710" t="inlineStr">
        <is>
          <t>Requeijão Pizzalet 1,8 kg</t>
        </is>
      </c>
      <c r="D1710" t="inlineStr">
        <is>
          <t>Restaurante / Cantina</t>
        </is>
      </c>
      <c r="E1710" t="n">
        <v>99.66</v>
      </c>
      <c r="F1710" t="n">
        <v>11.04</v>
      </c>
      <c r="G1710" t="n">
        <v>6</v>
      </c>
      <c r="J1710" t="inlineStr">
        <is>
          <t>M</t>
        </is>
      </c>
      <c r="K1710" t="n">
        <v>2024</v>
      </c>
      <c r="L1710" t="n">
        <v>1</v>
      </c>
      <c r="M1710" t="inlineStr">
        <is>
          <t>Chocolate em pó 50% 1 kg</t>
        </is>
      </c>
      <c r="N1710" t="inlineStr">
        <is>
          <t>Lanchonete / Cafeteria</t>
        </is>
      </c>
      <c r="O1710" t="n">
        <v>2</v>
      </c>
      <c r="P1710" t="n">
        <v>3</v>
      </c>
      <c r="Q1710" t="n">
        <v>0</v>
      </c>
    </row>
    <row r="1711">
      <c r="A1711" t="n">
        <v>2026</v>
      </c>
      <c r="B1711" t="n">
        <v>7</v>
      </c>
      <c r="C1711" t="inlineStr">
        <is>
          <t>Chocolate em pó 50% 1 kg</t>
        </is>
      </c>
      <c r="D1711" t="inlineStr">
        <is>
          <t>Bar / Chopperia</t>
        </is>
      </c>
      <c r="E1711" t="n">
        <v>139.07</v>
      </c>
      <c r="F1711" t="n">
        <v>3.06</v>
      </c>
      <c r="G1711" t="n">
        <v>3</v>
      </c>
      <c r="J1711" t="inlineStr">
        <is>
          <t>A</t>
        </is>
      </c>
      <c r="K1711" t="n">
        <v>2024</v>
      </c>
      <c r="L1711" t="n">
        <v>2</v>
      </c>
      <c r="M1711" t="inlineStr">
        <is>
          <t>Chocolate em pó 50% 1 kg</t>
        </is>
      </c>
      <c r="N1711" t="inlineStr">
        <is>
          <t>Lanchonete / Cafeteria</t>
        </is>
      </c>
      <c r="O1711" t="n">
        <v>4</v>
      </c>
      <c r="P1711" t="n">
        <v>5</v>
      </c>
      <c r="Q1711" t="n">
        <v>4</v>
      </c>
    </row>
    <row r="1712">
      <c r="A1712" t="n">
        <v>2026</v>
      </c>
      <c r="B1712" t="n">
        <v>7</v>
      </c>
      <c r="C1712" t="inlineStr">
        <is>
          <t>Chocolate em pó 50% 1 kg</t>
        </is>
      </c>
      <c r="D1712" t="inlineStr">
        <is>
          <t>Buffet</t>
        </is>
      </c>
      <c r="E1712" t="n">
        <v>372.4</v>
      </c>
      <c r="F1712" t="n">
        <v>8.16</v>
      </c>
      <c r="G1712" t="n">
        <v>8</v>
      </c>
      <c r="J1712" t="inlineStr">
        <is>
          <t>M</t>
        </is>
      </c>
      <c r="K1712" t="n">
        <v>2024</v>
      </c>
      <c r="L1712" t="n">
        <v>2</v>
      </c>
      <c r="M1712" t="inlineStr">
        <is>
          <t>Chocolate em pó 50% 1 kg</t>
        </is>
      </c>
      <c r="N1712" t="inlineStr">
        <is>
          <t>Lanchonete / Cafeteria</t>
        </is>
      </c>
      <c r="O1712" t="n">
        <v>2</v>
      </c>
      <c r="P1712" t="n">
        <v>2</v>
      </c>
      <c r="Q1712" t="n">
        <v>0</v>
      </c>
    </row>
    <row r="1713">
      <c r="A1713" t="n">
        <v>2026</v>
      </c>
      <c r="B1713" t="n">
        <v>7</v>
      </c>
      <c r="C1713" t="inlineStr">
        <is>
          <t>Chocolate em pó 50% 1 kg</t>
        </is>
      </c>
      <c r="D1713" t="inlineStr">
        <is>
          <t>Casa Noturna</t>
        </is>
      </c>
      <c r="E1713" t="n">
        <v>139.2</v>
      </c>
      <c r="F1713" t="n">
        <v>3.06</v>
      </c>
      <c r="G1713" t="n">
        <v>3</v>
      </c>
      <c r="J1713" t="inlineStr">
        <is>
          <t>A</t>
        </is>
      </c>
      <c r="K1713" t="n">
        <v>2024</v>
      </c>
      <c r="L1713" t="n">
        <v>3</v>
      </c>
      <c r="M1713" t="inlineStr">
        <is>
          <t>Chocolate em pó 50% 1 kg</t>
        </is>
      </c>
      <c r="N1713" t="inlineStr">
        <is>
          <t>Lanchonete / Cafeteria</t>
        </is>
      </c>
      <c r="O1713" t="n">
        <v>6</v>
      </c>
      <c r="P1713" t="n">
        <v>7</v>
      </c>
      <c r="Q1713" t="n">
        <v>6</v>
      </c>
    </row>
    <row r="1714">
      <c r="A1714" t="n">
        <v>2026</v>
      </c>
      <c r="B1714" t="n">
        <v>7</v>
      </c>
      <c r="C1714" t="inlineStr">
        <is>
          <t>Chocolate em pó 50% 1 kg</t>
        </is>
      </c>
      <c r="D1714" t="inlineStr">
        <is>
          <t>Clube / Associação Desportiva</t>
        </is>
      </c>
      <c r="E1714" t="n">
        <v>46.8</v>
      </c>
      <c r="F1714" t="n">
        <v>1.02</v>
      </c>
      <c r="G1714" t="n">
        <v>1</v>
      </c>
      <c r="J1714" t="inlineStr">
        <is>
          <t>M</t>
        </is>
      </c>
      <c r="K1714" t="n">
        <v>2024</v>
      </c>
      <c r="L1714" t="n">
        <v>3</v>
      </c>
      <c r="M1714" t="inlineStr">
        <is>
          <t>Chocolate em pó 50% 1 kg</t>
        </is>
      </c>
      <c r="N1714" t="inlineStr">
        <is>
          <t>Lanchonete / Cafeteria</t>
        </is>
      </c>
      <c r="O1714" t="n">
        <v>2</v>
      </c>
      <c r="P1714" t="n">
        <v>2</v>
      </c>
      <c r="Q1714" t="n">
        <v>0</v>
      </c>
    </row>
    <row r="1715">
      <c r="A1715" t="n">
        <v>2026</v>
      </c>
      <c r="B1715" t="n">
        <v>7</v>
      </c>
      <c r="C1715" t="inlineStr">
        <is>
          <t>Chocolate em pó 50% 1 kg</t>
        </is>
      </c>
      <c r="D1715" t="inlineStr">
        <is>
          <t>Colaborador</t>
        </is>
      </c>
      <c r="E1715" t="n">
        <v>45</v>
      </c>
      <c r="F1715" t="n">
        <v>1.02</v>
      </c>
      <c r="G1715" t="n">
        <v>1</v>
      </c>
      <c r="J1715" t="inlineStr">
        <is>
          <t>A</t>
        </is>
      </c>
      <c r="K1715" t="n">
        <v>2024</v>
      </c>
      <c r="L1715" t="n">
        <v>4</v>
      </c>
      <c r="M1715" t="inlineStr">
        <is>
          <t>Chocolate em pó 50% 1 kg</t>
        </is>
      </c>
      <c r="N1715" t="inlineStr">
        <is>
          <t>Lanchonete / Cafeteria</t>
        </is>
      </c>
      <c r="O1715" t="n">
        <v>8</v>
      </c>
      <c r="P1715" t="n">
        <v>9</v>
      </c>
      <c r="Q1715" t="n">
        <v>8</v>
      </c>
    </row>
    <row r="1716">
      <c r="A1716" t="n">
        <v>2026</v>
      </c>
      <c r="B1716" t="n">
        <v>7</v>
      </c>
      <c r="C1716" t="inlineStr">
        <is>
          <t>Chocolate em pó 50% 1 kg</t>
        </is>
      </c>
      <c r="D1716" t="inlineStr">
        <is>
          <t>Confeitaria</t>
        </is>
      </c>
      <c r="E1716" t="n">
        <v>94.54000000000001</v>
      </c>
      <c r="F1716" t="n">
        <v>2.04</v>
      </c>
      <c r="G1716" t="n">
        <v>2</v>
      </c>
      <c r="J1716" t="inlineStr">
        <is>
          <t>M</t>
        </is>
      </c>
      <c r="K1716" t="n">
        <v>2024</v>
      </c>
      <c r="L1716" t="n">
        <v>4</v>
      </c>
      <c r="M1716" t="inlineStr">
        <is>
          <t>Chocolate em pó 50% 1 kg</t>
        </is>
      </c>
      <c r="N1716" t="inlineStr">
        <is>
          <t>Lanchonete / Cafeteria</t>
        </is>
      </c>
      <c r="O1716" t="n">
        <v>2</v>
      </c>
      <c r="P1716" t="n">
        <v>2</v>
      </c>
      <c r="Q1716" t="n">
        <v>0</v>
      </c>
    </row>
    <row r="1717">
      <c r="A1717" t="n">
        <v>2026</v>
      </c>
      <c r="B1717" t="n">
        <v>7</v>
      </c>
      <c r="C1717" t="inlineStr">
        <is>
          <t>Chocolate em pó 50% 1 kg</t>
        </is>
      </c>
      <c r="D1717" t="inlineStr">
        <is>
          <t>Distribuidor Alimentos</t>
        </is>
      </c>
      <c r="E1717" t="n">
        <v>46.8</v>
      </c>
      <c r="F1717" t="n">
        <v>1.02</v>
      </c>
      <c r="G1717" t="n">
        <v>1</v>
      </c>
      <c r="J1717" t="inlineStr">
        <is>
          <t>A</t>
        </is>
      </c>
      <c r="K1717" t="n">
        <v>2024</v>
      </c>
      <c r="L1717" t="n">
        <v>5</v>
      </c>
      <c r="M1717" t="inlineStr">
        <is>
          <t>Chocolate em pó 50% 1 kg</t>
        </is>
      </c>
      <c r="N1717" t="inlineStr">
        <is>
          <t>Lanchonete / Cafeteria</t>
        </is>
      </c>
      <c r="O1717" t="n">
        <v>9</v>
      </c>
      <c r="P1717" t="n">
        <v>11</v>
      </c>
      <c r="Q1717" t="n">
        <v>9</v>
      </c>
    </row>
    <row r="1718">
      <c r="A1718" t="n">
        <v>2026</v>
      </c>
      <c r="B1718" t="n">
        <v>7</v>
      </c>
      <c r="C1718" t="inlineStr">
        <is>
          <t>Chocolate em pó 50% 1 kg</t>
        </is>
      </c>
      <c r="D1718" t="inlineStr">
        <is>
          <t>Esfiharia</t>
        </is>
      </c>
      <c r="E1718" t="n">
        <v>93.59999999999999</v>
      </c>
      <c r="F1718" t="n">
        <v>2.04</v>
      </c>
      <c r="G1718" t="n">
        <v>2</v>
      </c>
      <c r="J1718" t="inlineStr">
        <is>
          <t>M</t>
        </is>
      </c>
      <c r="K1718" t="n">
        <v>2024</v>
      </c>
      <c r="L1718" t="n">
        <v>5</v>
      </c>
      <c r="M1718" t="inlineStr">
        <is>
          <t>Chocolate em pó 50% 1 kg</t>
        </is>
      </c>
      <c r="N1718" t="inlineStr">
        <is>
          <t>Lanchonete / Cafeteria</t>
        </is>
      </c>
      <c r="O1718" t="n">
        <v>2</v>
      </c>
      <c r="P1718" t="n">
        <v>2</v>
      </c>
      <c r="Q1718" t="n">
        <v>0</v>
      </c>
    </row>
    <row r="1719">
      <c r="A1719" t="n">
        <v>2026</v>
      </c>
      <c r="B1719" t="n">
        <v>7</v>
      </c>
      <c r="C1719" t="inlineStr">
        <is>
          <t>Chocolate em pó 50% 1 kg</t>
        </is>
      </c>
      <c r="D1719" t="inlineStr">
        <is>
          <t>Fábrica de Massas</t>
        </is>
      </c>
      <c r="E1719" t="n">
        <v>47.27</v>
      </c>
      <c r="F1719" t="n">
        <v>1.02</v>
      </c>
      <c r="G1719" t="n">
        <v>1</v>
      </c>
      <c r="J1719" t="inlineStr">
        <is>
          <t>A</t>
        </is>
      </c>
      <c r="K1719" t="n">
        <v>2024</v>
      </c>
      <c r="L1719" t="n">
        <v>6</v>
      </c>
      <c r="M1719" t="inlineStr">
        <is>
          <t>Chocolate em pó 50% 1 kg</t>
        </is>
      </c>
      <c r="N1719" t="inlineStr">
        <is>
          <t>Lanchonete / Cafeteria</t>
        </is>
      </c>
      <c r="O1719" t="n">
        <v>9</v>
      </c>
      <c r="P1719" t="n">
        <v>12</v>
      </c>
      <c r="Q1719" t="n">
        <v>9</v>
      </c>
    </row>
    <row r="1720">
      <c r="A1720" t="n">
        <v>2026</v>
      </c>
      <c r="B1720" t="n">
        <v>7</v>
      </c>
      <c r="C1720" t="inlineStr">
        <is>
          <t>Chocolate em pó 50% 1 kg</t>
        </is>
      </c>
      <c r="D1720" t="inlineStr">
        <is>
          <t>Hospital / Casa de Repouso</t>
        </is>
      </c>
      <c r="E1720" t="n">
        <v>225</v>
      </c>
      <c r="F1720" t="n">
        <v>5.1</v>
      </c>
      <c r="G1720" t="n">
        <v>5</v>
      </c>
      <c r="J1720" t="inlineStr">
        <is>
          <t>M</t>
        </is>
      </c>
      <c r="K1720" t="n">
        <v>2024</v>
      </c>
      <c r="L1720" t="n">
        <v>6</v>
      </c>
      <c r="M1720" t="inlineStr">
        <is>
          <t>Chocolate em pó 50% 1 kg</t>
        </is>
      </c>
      <c r="N1720" t="inlineStr">
        <is>
          <t>Lanchonete / Cafeteria</t>
        </is>
      </c>
      <c r="O1720" t="n">
        <v>1</v>
      </c>
      <c r="P1720" t="n">
        <v>1</v>
      </c>
      <c r="Q1720" t="n">
        <v>0</v>
      </c>
    </row>
    <row r="1721">
      <c r="A1721" t="n">
        <v>2026</v>
      </c>
      <c r="B1721" t="n">
        <v>7</v>
      </c>
      <c r="C1721" t="inlineStr">
        <is>
          <t>Chocolate em pó 50% 1 kg</t>
        </is>
      </c>
      <c r="D1721" t="inlineStr">
        <is>
          <t>Hotel / Motel / Pousada</t>
        </is>
      </c>
      <c r="E1721" t="n">
        <v>3616.89</v>
      </c>
      <c r="F1721" t="n">
        <v>79.56</v>
      </c>
      <c r="G1721" t="n">
        <v>78</v>
      </c>
      <c r="J1721" t="inlineStr">
        <is>
          <t>A</t>
        </is>
      </c>
      <c r="K1721" t="n">
        <v>2024</v>
      </c>
      <c r="L1721" t="n">
        <v>7</v>
      </c>
      <c r="M1721" t="inlineStr">
        <is>
          <t>Chocolate em pó 50% 1 kg</t>
        </is>
      </c>
      <c r="N1721" t="inlineStr">
        <is>
          <t>Lanchonete / Cafeteria</t>
        </is>
      </c>
      <c r="O1721" t="n">
        <v>9</v>
      </c>
      <c r="P1721" t="n">
        <v>12</v>
      </c>
      <c r="Q1721" t="n">
        <v>9</v>
      </c>
    </row>
    <row r="1722">
      <c r="A1722" t="n">
        <v>2026</v>
      </c>
      <c r="B1722" t="n">
        <v>7</v>
      </c>
      <c r="C1722" t="inlineStr">
        <is>
          <t>Chocolate em pó 50% 1 kg</t>
        </is>
      </c>
      <c r="D1722" t="inlineStr">
        <is>
          <t>Instituição de Ensino</t>
        </is>
      </c>
      <c r="E1722" t="n">
        <v>468</v>
      </c>
      <c r="F1722" t="n">
        <v>10.2</v>
      </c>
      <c r="G1722" t="n">
        <v>10</v>
      </c>
      <c r="J1722" t="inlineStr">
        <is>
          <t>A</t>
        </is>
      </c>
      <c r="K1722" t="n">
        <v>2024</v>
      </c>
      <c r="L1722" t="n">
        <v>8</v>
      </c>
      <c r="M1722" t="inlineStr">
        <is>
          <t>Chocolate em pó 50% 1 kg</t>
        </is>
      </c>
      <c r="N1722" t="inlineStr">
        <is>
          <t>Lanchonete / Cafeteria</t>
        </is>
      </c>
      <c r="O1722" t="n">
        <v>11</v>
      </c>
      <c r="P1722" t="n">
        <v>15</v>
      </c>
      <c r="Q1722" t="n">
        <v>11</v>
      </c>
    </row>
    <row r="1723">
      <c r="A1723" t="n">
        <v>2026</v>
      </c>
      <c r="B1723" t="n">
        <v>7</v>
      </c>
      <c r="C1723" t="inlineStr">
        <is>
          <t>Chocolate em pó 50% 1 kg</t>
        </is>
      </c>
      <c r="D1723" t="inlineStr">
        <is>
          <t>Lanchonete / Cafeteria</t>
        </is>
      </c>
      <c r="E1723" t="n">
        <v>1210.73</v>
      </c>
      <c r="F1723" t="n">
        <v>26.52</v>
      </c>
      <c r="G1723" t="n">
        <v>26</v>
      </c>
      <c r="J1723" t="inlineStr">
        <is>
          <t>M</t>
        </is>
      </c>
      <c r="K1723" t="n">
        <v>2024</v>
      </c>
      <c r="L1723" t="n">
        <v>8</v>
      </c>
      <c r="M1723" t="inlineStr">
        <is>
          <t>Chocolate em pó 50% 1 kg</t>
        </is>
      </c>
      <c r="N1723" t="inlineStr">
        <is>
          <t>Lanchonete / Cafeteria</t>
        </is>
      </c>
      <c r="O1723" t="n">
        <v>2</v>
      </c>
      <c r="P1723" t="n">
        <v>3</v>
      </c>
      <c r="Q1723" t="n">
        <v>0</v>
      </c>
    </row>
    <row r="1724">
      <c r="A1724" t="n">
        <v>2026</v>
      </c>
      <c r="B1724" t="n">
        <v>7</v>
      </c>
      <c r="C1724" t="inlineStr">
        <is>
          <t>Chocolate em pó 50% 1 kg</t>
        </is>
      </c>
      <c r="D1724" t="inlineStr">
        <is>
          <t>Orgão Público</t>
        </is>
      </c>
      <c r="E1724" t="n">
        <v>234</v>
      </c>
      <c r="F1724" t="n">
        <v>5.1</v>
      </c>
      <c r="G1724" t="n">
        <v>5</v>
      </c>
      <c r="J1724" t="inlineStr">
        <is>
          <t>A</t>
        </is>
      </c>
      <c r="K1724" t="n">
        <v>2024</v>
      </c>
      <c r="L1724" t="n">
        <v>9</v>
      </c>
      <c r="M1724" t="inlineStr">
        <is>
          <t>Chocolate em pó 50% 1 kg</t>
        </is>
      </c>
      <c r="N1724" t="inlineStr">
        <is>
          <t>Lanchonete / Cafeteria</t>
        </is>
      </c>
      <c r="O1724" t="n">
        <v>12</v>
      </c>
      <c r="P1724" t="n">
        <v>18</v>
      </c>
      <c r="Q1724" t="n">
        <v>12</v>
      </c>
    </row>
    <row r="1725">
      <c r="A1725" t="n">
        <v>2026</v>
      </c>
      <c r="B1725" t="n">
        <v>7</v>
      </c>
      <c r="C1725" t="inlineStr">
        <is>
          <t>Chocolate em pó 50% 1 kg</t>
        </is>
      </c>
      <c r="D1725" t="inlineStr">
        <is>
          <t>Padaria</t>
        </is>
      </c>
      <c r="E1725" t="n">
        <v>2367.92</v>
      </c>
      <c r="F1725" t="n">
        <v>53.04</v>
      </c>
      <c r="G1725" t="n">
        <v>52</v>
      </c>
      <c r="J1725" t="inlineStr">
        <is>
          <t>M</t>
        </is>
      </c>
      <c r="K1725" t="n">
        <v>2024</v>
      </c>
      <c r="L1725" t="n">
        <v>9</v>
      </c>
      <c r="M1725" t="inlineStr">
        <is>
          <t>Chocolate em pó 50% 1 kg</t>
        </is>
      </c>
      <c r="N1725" t="inlineStr">
        <is>
          <t>Lanchonete / Cafeteria</t>
        </is>
      </c>
      <c r="O1725" t="n">
        <v>2</v>
      </c>
      <c r="P1725" t="n">
        <v>3</v>
      </c>
      <c r="Q1725" t="n">
        <v>0</v>
      </c>
    </row>
    <row r="1726">
      <c r="A1726" t="n">
        <v>2026</v>
      </c>
      <c r="B1726" t="n">
        <v>7</v>
      </c>
      <c r="C1726" t="inlineStr">
        <is>
          <t>Chocolate em pó 50% 1 kg</t>
        </is>
      </c>
      <c r="D1726" t="inlineStr">
        <is>
          <t>Pessoa Física</t>
        </is>
      </c>
      <c r="E1726" t="n">
        <v>139.3</v>
      </c>
      <c r="F1726" t="n">
        <v>3.06</v>
      </c>
      <c r="G1726" t="n">
        <v>3</v>
      </c>
      <c r="J1726" t="inlineStr">
        <is>
          <t>A</t>
        </is>
      </c>
      <c r="K1726" t="n">
        <v>2024</v>
      </c>
      <c r="L1726" t="n">
        <v>10</v>
      </c>
      <c r="M1726" t="inlineStr">
        <is>
          <t>Chocolate em pó 50% 1 kg</t>
        </is>
      </c>
      <c r="N1726" t="inlineStr">
        <is>
          <t>Lanchonete / Cafeteria</t>
        </is>
      </c>
      <c r="O1726" t="n">
        <v>12</v>
      </c>
      <c r="P1726" t="n">
        <v>18</v>
      </c>
      <c r="Q1726" t="n">
        <v>12</v>
      </c>
    </row>
    <row r="1727">
      <c r="A1727" t="n">
        <v>2026</v>
      </c>
      <c r="B1727" t="n">
        <v>7</v>
      </c>
      <c r="C1727" t="inlineStr">
        <is>
          <t>Chocolate em pó 50% 1 kg</t>
        </is>
      </c>
      <c r="D1727" t="inlineStr">
        <is>
          <t>Pizzaria</t>
        </is>
      </c>
      <c r="E1727" t="n">
        <v>2419.22</v>
      </c>
      <c r="F1727" t="n">
        <v>54.06</v>
      </c>
      <c r="G1727" t="n">
        <v>53</v>
      </c>
      <c r="J1727" t="inlineStr">
        <is>
          <t>A</t>
        </is>
      </c>
      <c r="K1727" t="n">
        <v>2024</v>
      </c>
      <c r="L1727" t="n">
        <v>11</v>
      </c>
      <c r="M1727" t="inlineStr">
        <is>
          <t>Chocolate em pó 50% 1 kg</t>
        </is>
      </c>
      <c r="N1727" t="inlineStr">
        <is>
          <t>Lanchonete / Cafeteria</t>
        </is>
      </c>
      <c r="O1727" t="n">
        <v>13</v>
      </c>
      <c r="P1727" t="n">
        <v>20</v>
      </c>
      <c r="Q1727" t="n">
        <v>13</v>
      </c>
    </row>
    <row r="1728">
      <c r="A1728" t="n">
        <v>2026</v>
      </c>
      <c r="B1728" t="n">
        <v>7</v>
      </c>
      <c r="C1728" t="inlineStr">
        <is>
          <t>Chocolate em pó 50% 1 kg</t>
        </is>
      </c>
      <c r="D1728" t="inlineStr">
        <is>
          <t>Restaurante / Cantina</t>
        </is>
      </c>
      <c r="E1728" t="n">
        <v>3677.15</v>
      </c>
      <c r="F1728" t="n">
        <v>80.58</v>
      </c>
      <c r="G1728" t="n">
        <v>79</v>
      </c>
      <c r="J1728" t="inlineStr">
        <is>
          <t>M</t>
        </is>
      </c>
      <c r="K1728" t="n">
        <v>2024</v>
      </c>
      <c r="L1728" t="n">
        <v>11</v>
      </c>
      <c r="M1728" t="inlineStr">
        <is>
          <t>Chocolate em pó 50% 1 kg</t>
        </is>
      </c>
      <c r="N1728" t="inlineStr">
        <is>
          <t>Lanchonete / Cafeteria</t>
        </is>
      </c>
      <c r="O1728" t="n">
        <v>2</v>
      </c>
      <c r="P1728" t="n">
        <v>2</v>
      </c>
      <c r="Q1728" t="n">
        <v>0</v>
      </c>
    </row>
    <row r="1729">
      <c r="A1729" t="n">
        <v>2026</v>
      </c>
      <c r="B1729" t="n">
        <v>7</v>
      </c>
      <c r="C1729" t="inlineStr">
        <is>
          <t>Chocolate em pó 50% 1 kg</t>
        </is>
      </c>
      <c r="D1729" t="inlineStr">
        <is>
          <t>Supermercado</t>
        </is>
      </c>
      <c r="E1729" t="n">
        <v>91.12</v>
      </c>
      <c r="F1729" t="n">
        <v>2.04</v>
      </c>
      <c r="G1729" t="n">
        <v>2</v>
      </c>
      <c r="J1729" t="inlineStr">
        <is>
          <t>A</t>
        </is>
      </c>
      <c r="K1729" t="n">
        <v>2024</v>
      </c>
      <c r="L1729" t="n">
        <v>12</v>
      </c>
      <c r="M1729" t="inlineStr">
        <is>
          <t>Chocolate em pó 50% 1 kg</t>
        </is>
      </c>
      <c r="N1729" t="inlineStr">
        <is>
          <t>Lanchonete / Cafeteria</t>
        </is>
      </c>
      <c r="O1729" t="n">
        <v>13</v>
      </c>
      <c r="P1729" t="n">
        <v>20</v>
      </c>
      <c r="Q1729" t="n">
        <v>13</v>
      </c>
    </row>
    <row r="1730">
      <c r="A1730" t="n">
        <v>2026</v>
      </c>
      <c r="B1730" t="n">
        <v>7</v>
      </c>
      <c r="C1730" t="inlineStr">
        <is>
          <t>Composto lácteo Alibralac 1 kg</t>
        </is>
      </c>
      <c r="D1730" t="inlineStr">
        <is>
          <t>Hamburgueria</t>
        </is>
      </c>
      <c r="E1730" t="n">
        <v>27.59</v>
      </c>
      <c r="F1730" t="n">
        <v>1.02</v>
      </c>
      <c r="G1730" t="n">
        <v>1</v>
      </c>
      <c r="J1730" t="inlineStr">
        <is>
          <t>A</t>
        </is>
      </c>
      <c r="K1730" t="n">
        <v>2024</v>
      </c>
      <c r="L1730" t="n">
        <v>1</v>
      </c>
      <c r="M1730" t="inlineStr">
        <is>
          <t>Chocolate em pó 50% 1 kg</t>
        </is>
      </c>
      <c r="N1730" t="inlineStr">
        <is>
          <t>Padaria</t>
        </is>
      </c>
      <c r="O1730" t="n">
        <v>1</v>
      </c>
      <c r="P1730" t="n">
        <v>1</v>
      </c>
      <c r="Q1730" t="n">
        <v>1</v>
      </c>
    </row>
    <row r="1731">
      <c r="A1731" t="n">
        <v>2026</v>
      </c>
      <c r="B1731" t="n">
        <v>7</v>
      </c>
      <c r="C1731" t="inlineStr">
        <is>
          <t>Composto lácteo Alibralac 1 kg</t>
        </is>
      </c>
      <c r="D1731" t="inlineStr">
        <is>
          <t>Lanchonete / Cafeteria</t>
        </is>
      </c>
      <c r="E1731" t="n">
        <v>827.75</v>
      </c>
      <c r="F1731" t="n">
        <v>30.6</v>
      </c>
      <c r="G1731" t="n">
        <v>30</v>
      </c>
      <c r="J1731" t="inlineStr">
        <is>
          <t>M</t>
        </is>
      </c>
      <c r="K1731" t="n">
        <v>2024</v>
      </c>
      <c r="L1731" t="n">
        <v>1</v>
      </c>
      <c r="M1731" t="inlineStr">
        <is>
          <t>Chocolate em pó 50% 1 kg</t>
        </is>
      </c>
      <c r="N1731" t="inlineStr">
        <is>
          <t>Padaria</t>
        </is>
      </c>
      <c r="O1731" t="n">
        <v>1</v>
      </c>
      <c r="P1731" t="n">
        <v>1</v>
      </c>
      <c r="Q1731" t="n">
        <v>0</v>
      </c>
    </row>
    <row r="1732">
      <c r="A1732" t="n">
        <v>2026</v>
      </c>
      <c r="B1732" t="n">
        <v>7</v>
      </c>
      <c r="C1732" t="inlineStr">
        <is>
          <t>Composto lácteo Alibralac 1 kg</t>
        </is>
      </c>
      <c r="D1732" t="inlineStr">
        <is>
          <t>Pessoa Física</t>
        </is>
      </c>
      <c r="E1732" t="n">
        <v>138.8</v>
      </c>
      <c r="F1732" t="n">
        <v>5.1</v>
      </c>
      <c r="G1732" t="n">
        <v>5</v>
      </c>
      <c r="J1732" t="inlineStr">
        <is>
          <t>A</t>
        </is>
      </c>
      <c r="K1732" t="n">
        <v>2024</v>
      </c>
      <c r="L1732" t="n">
        <v>2</v>
      </c>
      <c r="M1732" t="inlineStr">
        <is>
          <t>Chocolate em pó 50% 1 kg</t>
        </is>
      </c>
      <c r="N1732" t="inlineStr">
        <is>
          <t>Padaria</t>
        </is>
      </c>
      <c r="O1732" t="n">
        <v>1</v>
      </c>
      <c r="P1732" t="n">
        <v>3</v>
      </c>
      <c r="Q1732" t="n">
        <v>1</v>
      </c>
    </row>
    <row r="1733">
      <c r="A1733" t="n">
        <v>2026</v>
      </c>
      <c r="B1733" t="n">
        <v>7</v>
      </c>
      <c r="C1733" t="inlineStr">
        <is>
          <t>Composto lácteo Alibralac 1 kg</t>
        </is>
      </c>
      <c r="D1733" t="inlineStr">
        <is>
          <t>Pizzaria</t>
        </is>
      </c>
      <c r="E1733" t="n">
        <v>27.99</v>
      </c>
      <c r="F1733" t="n">
        <v>1.02</v>
      </c>
      <c r="G1733" t="n">
        <v>1</v>
      </c>
      <c r="J1733" t="inlineStr">
        <is>
          <t>M</t>
        </is>
      </c>
      <c r="K1733" t="n">
        <v>2024</v>
      </c>
      <c r="L1733" t="n">
        <v>2</v>
      </c>
      <c r="M1733" t="inlineStr">
        <is>
          <t>Chocolate em pó 50% 1 kg</t>
        </is>
      </c>
      <c r="N1733" t="inlineStr">
        <is>
          <t>Padaria</t>
        </is>
      </c>
      <c r="O1733" t="n">
        <v>1</v>
      </c>
      <c r="P1733" t="n">
        <v>2</v>
      </c>
      <c r="Q1733" t="n">
        <v>0</v>
      </c>
    </row>
    <row r="1734">
      <c r="A1734" t="n">
        <v>2026</v>
      </c>
      <c r="B1734" t="n">
        <v>7</v>
      </c>
      <c r="C1734" t="inlineStr">
        <is>
          <t>Composto lácteo Alibralac 1 kg</t>
        </is>
      </c>
      <c r="D1734" t="inlineStr">
        <is>
          <t>Restaurante / Cantina</t>
        </is>
      </c>
      <c r="E1734" t="n">
        <v>2829.46</v>
      </c>
      <c r="F1734" t="n">
        <v>106.08</v>
      </c>
      <c r="G1734" t="n">
        <v>104</v>
      </c>
      <c r="J1734" t="inlineStr">
        <is>
          <t>A</t>
        </is>
      </c>
      <c r="K1734" t="n">
        <v>2024</v>
      </c>
      <c r="L1734" t="n">
        <v>3</v>
      </c>
      <c r="M1734" t="inlineStr">
        <is>
          <t>Chocolate em pó 50% 1 kg</t>
        </is>
      </c>
      <c r="N1734" t="inlineStr">
        <is>
          <t>Padaria</t>
        </is>
      </c>
      <c r="O1734" t="n">
        <v>2</v>
      </c>
      <c r="P1734" t="n">
        <v>5</v>
      </c>
      <c r="Q1734" t="n">
        <v>2</v>
      </c>
    </row>
    <row r="1735">
      <c r="A1735" t="n">
        <v>2026</v>
      </c>
      <c r="B1735" t="n">
        <v>7</v>
      </c>
      <c r="C1735" t="inlineStr">
        <is>
          <t>Composto lácteo Merilú 400 g</t>
        </is>
      </c>
      <c r="D1735" t="inlineStr">
        <is>
          <t>Cozinha Industrial</t>
        </is>
      </c>
      <c r="E1735" t="n">
        <v>435.5</v>
      </c>
      <c r="F1735" t="n">
        <v>21</v>
      </c>
      <c r="G1735" t="n">
        <v>50</v>
      </c>
      <c r="J1735" t="inlineStr">
        <is>
          <t>M</t>
        </is>
      </c>
      <c r="K1735" t="n">
        <v>2024</v>
      </c>
      <c r="L1735" t="n">
        <v>3</v>
      </c>
      <c r="M1735" t="inlineStr">
        <is>
          <t>Chocolate em pó 50% 1 kg</t>
        </is>
      </c>
      <c r="N1735" t="inlineStr">
        <is>
          <t>Padaria</t>
        </is>
      </c>
      <c r="O1735" t="n">
        <v>1</v>
      </c>
      <c r="P1735" t="n">
        <v>2</v>
      </c>
      <c r="Q1735" t="n">
        <v>0</v>
      </c>
    </row>
    <row r="1736">
      <c r="A1736" t="n">
        <v>2026</v>
      </c>
      <c r="B1736" t="n">
        <v>7</v>
      </c>
      <c r="C1736" t="inlineStr">
        <is>
          <t>Composto lácteo Merilú 400 g</t>
        </is>
      </c>
      <c r="D1736" t="inlineStr">
        <is>
          <t>Esfiharia</t>
        </is>
      </c>
      <c r="E1736" t="n">
        <v>235.71</v>
      </c>
      <c r="F1736" t="n">
        <v>11.34</v>
      </c>
      <c r="G1736" t="n">
        <v>27</v>
      </c>
      <c r="J1736" t="inlineStr">
        <is>
          <t>A</t>
        </is>
      </c>
      <c r="K1736" t="n">
        <v>2024</v>
      </c>
      <c r="L1736" t="n">
        <v>4</v>
      </c>
      <c r="M1736" t="inlineStr">
        <is>
          <t>Chocolate em pó 50% 1 kg</t>
        </is>
      </c>
      <c r="N1736" t="inlineStr">
        <is>
          <t>Padaria</t>
        </is>
      </c>
      <c r="O1736" t="n">
        <v>2</v>
      </c>
      <c r="P1736" t="n">
        <v>8</v>
      </c>
      <c r="Q1736" t="n">
        <v>2</v>
      </c>
    </row>
    <row r="1737">
      <c r="A1737" t="n">
        <v>2026</v>
      </c>
      <c r="B1737" t="n">
        <v>7</v>
      </c>
      <c r="C1737" t="inlineStr">
        <is>
          <t>Composto lácteo Merilú 400 g</t>
        </is>
      </c>
      <c r="D1737" t="inlineStr">
        <is>
          <t>Padaria</t>
        </is>
      </c>
      <c r="E1737" t="n">
        <v>215.5</v>
      </c>
      <c r="F1737" t="n">
        <v>10.5</v>
      </c>
      <c r="G1737" t="n">
        <v>25</v>
      </c>
      <c r="J1737" t="inlineStr">
        <is>
          <t>M</t>
        </is>
      </c>
      <c r="K1737" t="n">
        <v>2024</v>
      </c>
      <c r="L1737" t="n">
        <v>4</v>
      </c>
      <c r="M1737" t="inlineStr">
        <is>
          <t>Chocolate em pó 50% 1 kg</t>
        </is>
      </c>
      <c r="N1737" t="inlineStr">
        <is>
          <t>Padaria</t>
        </is>
      </c>
      <c r="O1737" t="n">
        <v>1</v>
      </c>
      <c r="P1737" t="n">
        <v>3</v>
      </c>
      <c r="Q1737" t="n">
        <v>0</v>
      </c>
    </row>
    <row r="1738">
      <c r="A1738" t="n">
        <v>2026</v>
      </c>
      <c r="B1738" t="n">
        <v>7</v>
      </c>
      <c r="C1738" t="inlineStr">
        <is>
          <t>Composto lácteo Merilú 400 g</t>
        </is>
      </c>
      <c r="D1738" t="inlineStr">
        <is>
          <t>Pizzaria</t>
        </is>
      </c>
      <c r="E1738" t="n">
        <v>1938</v>
      </c>
      <c r="F1738" t="n">
        <v>94.5</v>
      </c>
      <c r="G1738" t="n">
        <v>225</v>
      </c>
      <c r="J1738" t="inlineStr">
        <is>
          <t>A</t>
        </is>
      </c>
      <c r="K1738" t="n">
        <v>2024</v>
      </c>
      <c r="L1738" t="n">
        <v>5</v>
      </c>
      <c r="M1738" t="inlineStr">
        <is>
          <t>Chocolate em pó 50% 1 kg</t>
        </is>
      </c>
      <c r="N1738" t="inlineStr">
        <is>
          <t>Padaria</t>
        </is>
      </c>
      <c r="O1738" t="n">
        <v>2</v>
      </c>
      <c r="P1738" t="n">
        <v>9</v>
      </c>
      <c r="Q1738" t="n">
        <v>2</v>
      </c>
    </row>
    <row r="1739">
      <c r="A1739" t="n">
        <v>2026</v>
      </c>
      <c r="B1739" t="n">
        <v>7</v>
      </c>
      <c r="C1739" t="inlineStr">
        <is>
          <t>Composto lácteo Merilú 400 g</t>
        </is>
      </c>
      <c r="D1739" t="inlineStr">
        <is>
          <t>Restaurante / Cantina</t>
        </is>
      </c>
      <c r="E1739" t="n">
        <v>439.96</v>
      </c>
      <c r="F1739" t="n">
        <v>21.42</v>
      </c>
      <c r="G1739" t="n">
        <v>51</v>
      </c>
      <c r="J1739" t="inlineStr">
        <is>
          <t>M</t>
        </is>
      </c>
      <c r="K1739" t="n">
        <v>2024</v>
      </c>
      <c r="L1739" t="n">
        <v>5</v>
      </c>
      <c r="M1739" t="inlineStr">
        <is>
          <t>Chocolate em pó 50% 1 kg</t>
        </is>
      </c>
      <c r="N1739" t="inlineStr">
        <is>
          <t>Padaria</t>
        </is>
      </c>
      <c r="O1739" t="n">
        <v>1</v>
      </c>
      <c r="P1739" t="n">
        <v>1</v>
      </c>
      <c r="Q1739" t="n">
        <v>0</v>
      </c>
    </row>
    <row r="1740">
      <c r="A1740" t="n">
        <v>2026</v>
      </c>
      <c r="B1740" t="n">
        <v>7</v>
      </c>
      <c r="C1740" t="inlineStr">
        <is>
          <t>Composto lácteo Merilú 400 g</t>
        </is>
      </c>
      <c r="D1740" t="inlineStr">
        <is>
          <t>Supermercado</t>
        </is>
      </c>
      <c r="E1740" t="n">
        <v>609.7</v>
      </c>
      <c r="F1740" t="n">
        <v>29.4</v>
      </c>
      <c r="G1740" t="n">
        <v>70</v>
      </c>
      <c r="J1740" t="inlineStr">
        <is>
          <t>A</t>
        </is>
      </c>
      <c r="K1740" t="n">
        <v>2024</v>
      </c>
      <c r="L1740" t="n">
        <v>6</v>
      </c>
      <c r="M1740" t="inlineStr">
        <is>
          <t>Chocolate em pó 50% 1 kg</t>
        </is>
      </c>
      <c r="N1740" t="inlineStr">
        <is>
          <t>Padaria</t>
        </is>
      </c>
      <c r="O1740" t="n">
        <v>3</v>
      </c>
      <c r="P1740" t="n">
        <v>12</v>
      </c>
      <c r="Q1740" t="n">
        <v>3</v>
      </c>
    </row>
    <row r="1741">
      <c r="A1741" t="n">
        <v>2026</v>
      </c>
      <c r="B1741" t="n">
        <v>7</v>
      </c>
      <c r="C1741" t="inlineStr">
        <is>
          <t>Muçarela Mozzalet 2 kg</t>
        </is>
      </c>
      <c r="D1741" t="inlineStr">
        <is>
          <t>Fábrica de Massas</t>
        </is>
      </c>
      <c r="E1741" t="n">
        <v>4696</v>
      </c>
      <c r="F1741" t="n">
        <v>200</v>
      </c>
      <c r="G1741" t="n">
        <v>100</v>
      </c>
      <c r="J1741" t="inlineStr">
        <is>
          <t>M</t>
        </is>
      </c>
      <c r="K1741" t="n">
        <v>2024</v>
      </c>
      <c r="L1741" t="n">
        <v>6</v>
      </c>
      <c r="M1741" t="inlineStr">
        <is>
          <t>Chocolate em pó 50% 1 kg</t>
        </is>
      </c>
      <c r="N1741" t="inlineStr">
        <is>
          <t>Padaria</t>
        </is>
      </c>
      <c r="O1741" t="n">
        <v>2</v>
      </c>
      <c r="P1741" t="n">
        <v>3</v>
      </c>
      <c r="Q1741" t="n">
        <v>0</v>
      </c>
    </row>
    <row r="1742">
      <c r="A1742" t="n">
        <v>2026</v>
      </c>
      <c r="B1742" t="n">
        <v>7</v>
      </c>
      <c r="C1742" t="inlineStr">
        <is>
          <t>Muçarela Mozzalet 2 kg</t>
        </is>
      </c>
      <c r="D1742" t="inlineStr">
        <is>
          <t>Hamburgueria</t>
        </is>
      </c>
      <c r="E1742" t="n">
        <v>47.55</v>
      </c>
      <c r="F1742" t="n">
        <v>2</v>
      </c>
      <c r="G1742" t="n">
        <v>1</v>
      </c>
      <c r="J1742" t="inlineStr">
        <is>
          <t>A</t>
        </is>
      </c>
      <c r="K1742" t="n">
        <v>2024</v>
      </c>
      <c r="L1742" t="n">
        <v>7</v>
      </c>
      <c r="M1742" t="inlineStr">
        <is>
          <t>Chocolate em pó 50% 1 kg</t>
        </is>
      </c>
      <c r="N1742" t="inlineStr">
        <is>
          <t>Padaria</t>
        </is>
      </c>
      <c r="O1742" t="n">
        <v>3</v>
      </c>
      <c r="P1742" t="n">
        <v>15</v>
      </c>
      <c r="Q1742" t="n">
        <v>3</v>
      </c>
    </row>
    <row r="1743">
      <c r="A1743" t="n">
        <v>2026</v>
      </c>
      <c r="B1743" t="n">
        <v>7</v>
      </c>
      <c r="C1743" t="inlineStr">
        <is>
          <t>Muçarela Mozzalet 2 kg</t>
        </is>
      </c>
      <c r="D1743" t="inlineStr">
        <is>
          <t>Pizzaria</t>
        </is>
      </c>
      <c r="E1743" t="n">
        <v>6306.38</v>
      </c>
      <c r="F1743" t="n">
        <v>262</v>
      </c>
      <c r="G1743" t="n">
        <v>131</v>
      </c>
      <c r="J1743" t="inlineStr">
        <is>
          <t>M</t>
        </is>
      </c>
      <c r="K1743" t="n">
        <v>2024</v>
      </c>
      <c r="L1743" t="n">
        <v>7</v>
      </c>
      <c r="M1743" t="inlineStr">
        <is>
          <t>Chocolate em pó 50% 1 kg</t>
        </is>
      </c>
      <c r="N1743" t="inlineStr">
        <is>
          <t>Padaria</t>
        </is>
      </c>
      <c r="O1743" t="n">
        <v>3</v>
      </c>
      <c r="P1743" t="n">
        <v>3</v>
      </c>
      <c r="Q1743" t="n">
        <v>0</v>
      </c>
    </row>
    <row r="1744">
      <c r="A1744" t="n">
        <v>2026</v>
      </c>
      <c r="B1744" t="n">
        <v>7</v>
      </c>
      <c r="C1744" t="inlineStr">
        <is>
          <t>Muçarela Mozzalet 2 kg</t>
        </is>
      </c>
      <c r="D1744" t="inlineStr">
        <is>
          <t>Restaurante / Cantina</t>
        </is>
      </c>
      <c r="E1744" t="n">
        <v>25751</v>
      </c>
      <c r="F1744" t="n">
        <v>1100</v>
      </c>
      <c r="G1744" t="n">
        <v>550</v>
      </c>
      <c r="J1744" t="inlineStr">
        <is>
          <t>A</t>
        </is>
      </c>
      <c r="K1744" t="n">
        <v>2024</v>
      </c>
      <c r="L1744" t="n">
        <v>8</v>
      </c>
      <c r="M1744" t="inlineStr">
        <is>
          <t>Chocolate em pó 50% 1 kg</t>
        </is>
      </c>
      <c r="N1744" t="inlineStr">
        <is>
          <t>Padaria</t>
        </is>
      </c>
      <c r="O1744" t="n">
        <v>4</v>
      </c>
      <c r="P1744" t="n">
        <v>21</v>
      </c>
      <c r="Q1744" t="n">
        <v>4</v>
      </c>
    </row>
    <row r="1745">
      <c r="A1745" t="n">
        <v>2026</v>
      </c>
      <c r="B1745" t="n">
        <v>7</v>
      </c>
      <c r="C1745" t="inlineStr">
        <is>
          <t>Muçarela Mozzana 2 kg</t>
        </is>
      </c>
      <c r="D1745" t="inlineStr">
        <is>
          <t>Adega</t>
        </is>
      </c>
      <c r="E1745" t="n">
        <v>1934.55</v>
      </c>
      <c r="F1745" t="n">
        <v>90.90000000000001</v>
      </c>
      <c r="G1745" t="n">
        <v>45</v>
      </c>
      <c r="J1745" t="inlineStr">
        <is>
          <t>M</t>
        </is>
      </c>
      <c r="K1745" t="n">
        <v>2024</v>
      </c>
      <c r="L1745" t="n">
        <v>8</v>
      </c>
      <c r="M1745" t="inlineStr">
        <is>
          <t>Chocolate em pó 50% 1 kg</t>
        </is>
      </c>
      <c r="N1745" t="inlineStr">
        <is>
          <t>Padaria</t>
        </is>
      </c>
      <c r="O1745" t="n">
        <v>3</v>
      </c>
      <c r="P1745" t="n">
        <v>6</v>
      </c>
      <c r="Q1745" t="n">
        <v>0</v>
      </c>
    </row>
    <row r="1746">
      <c r="A1746" t="n">
        <v>2026</v>
      </c>
      <c r="B1746" t="n">
        <v>7</v>
      </c>
      <c r="C1746" t="inlineStr">
        <is>
          <t>Muçarela Mozzana 2 kg</t>
        </is>
      </c>
      <c r="D1746" t="inlineStr">
        <is>
          <t>Bar / Chopperia</t>
        </is>
      </c>
      <c r="E1746" t="n">
        <v>42.9</v>
      </c>
      <c r="F1746" t="n">
        <v>2.02</v>
      </c>
      <c r="G1746" t="n">
        <v>1</v>
      </c>
      <c r="J1746" t="inlineStr">
        <is>
          <t>A</t>
        </is>
      </c>
      <c r="K1746" t="n">
        <v>2024</v>
      </c>
      <c r="L1746" t="n">
        <v>9</v>
      </c>
      <c r="M1746" t="inlineStr">
        <is>
          <t>Chocolate em pó 50% 1 kg</t>
        </is>
      </c>
      <c r="N1746" t="inlineStr">
        <is>
          <t>Padaria</t>
        </is>
      </c>
      <c r="O1746" t="n">
        <v>5</v>
      </c>
      <c r="P1746" t="n">
        <v>25</v>
      </c>
      <c r="Q1746" t="n">
        <v>5</v>
      </c>
    </row>
    <row r="1747">
      <c r="A1747" t="n">
        <v>2026</v>
      </c>
      <c r="B1747" t="n">
        <v>7</v>
      </c>
      <c r="C1747" t="inlineStr">
        <is>
          <t>Muçarela Mozzana 2 kg</t>
        </is>
      </c>
      <c r="D1747" t="inlineStr">
        <is>
          <t>Buffet</t>
        </is>
      </c>
      <c r="E1747" t="n">
        <v>4375.2</v>
      </c>
      <c r="F1747" t="n">
        <v>204.02</v>
      </c>
      <c r="G1747" t="n">
        <v>101</v>
      </c>
      <c r="J1747" t="inlineStr">
        <is>
          <t>M</t>
        </is>
      </c>
      <c r="K1747" t="n">
        <v>2024</v>
      </c>
      <c r="L1747" t="n">
        <v>9</v>
      </c>
      <c r="M1747" t="inlineStr">
        <is>
          <t>Chocolate em pó 50% 1 kg</t>
        </is>
      </c>
      <c r="N1747" t="inlineStr">
        <is>
          <t>Padaria</t>
        </is>
      </c>
      <c r="O1747" t="n">
        <v>3</v>
      </c>
      <c r="P1747" t="n">
        <v>4</v>
      </c>
      <c r="Q1747" t="n">
        <v>0</v>
      </c>
    </row>
    <row r="1748">
      <c r="A1748" t="n">
        <v>2026</v>
      </c>
      <c r="B1748" t="n">
        <v>7</v>
      </c>
      <c r="C1748" t="inlineStr">
        <is>
          <t>Muçarela Mozzana 2 kg</t>
        </is>
      </c>
      <c r="D1748" t="inlineStr">
        <is>
          <t>Cozinha Industrial</t>
        </is>
      </c>
      <c r="E1748" t="n">
        <v>31017.12</v>
      </c>
      <c r="F1748" t="n">
        <v>1502.88</v>
      </c>
      <c r="G1748" t="n">
        <v>744</v>
      </c>
      <c r="J1748" t="inlineStr">
        <is>
          <t>A</t>
        </is>
      </c>
      <c r="K1748" t="n">
        <v>2024</v>
      </c>
      <c r="L1748" t="n">
        <v>10</v>
      </c>
      <c r="M1748" t="inlineStr">
        <is>
          <t>Chocolate em pó 50% 1 kg</t>
        </is>
      </c>
      <c r="N1748" t="inlineStr">
        <is>
          <t>Padaria</t>
        </is>
      </c>
      <c r="O1748" t="n">
        <v>5</v>
      </c>
      <c r="P1748" t="n">
        <v>29</v>
      </c>
      <c r="Q1748" t="n">
        <v>5</v>
      </c>
    </row>
    <row r="1749">
      <c r="A1749" t="n">
        <v>2026</v>
      </c>
      <c r="B1749" t="n">
        <v>7</v>
      </c>
      <c r="C1749" t="inlineStr">
        <is>
          <t>Muçarela Mozzana 2 kg</t>
        </is>
      </c>
      <c r="D1749" t="inlineStr">
        <is>
          <t>Cozinha Oriental</t>
        </is>
      </c>
      <c r="E1749" t="n">
        <v>1114.2</v>
      </c>
      <c r="F1749" t="n">
        <v>54.54</v>
      </c>
      <c r="G1749" t="n">
        <v>27</v>
      </c>
      <c r="J1749" t="inlineStr">
        <is>
          <t>M</t>
        </is>
      </c>
      <c r="K1749" t="n">
        <v>2024</v>
      </c>
      <c r="L1749" t="n">
        <v>10</v>
      </c>
      <c r="M1749" t="inlineStr">
        <is>
          <t>Chocolate em pó 50% 1 kg</t>
        </is>
      </c>
      <c r="N1749" t="inlineStr">
        <is>
          <t>Padaria</t>
        </is>
      </c>
      <c r="O1749" t="n">
        <v>2</v>
      </c>
      <c r="P1749" t="n">
        <v>4</v>
      </c>
      <c r="Q1749" t="n">
        <v>0</v>
      </c>
    </row>
    <row r="1750">
      <c r="A1750" t="n">
        <v>2026</v>
      </c>
      <c r="B1750" t="n">
        <v>7</v>
      </c>
      <c r="C1750" t="inlineStr">
        <is>
          <t>Muçarela Mozzana 2 kg</t>
        </is>
      </c>
      <c r="D1750" t="inlineStr">
        <is>
          <t>Distribuidor Alimentos</t>
        </is>
      </c>
      <c r="E1750" t="n">
        <v>252</v>
      </c>
      <c r="F1750" t="n">
        <v>12.12</v>
      </c>
      <c r="G1750" t="n">
        <v>6</v>
      </c>
      <c r="J1750" t="inlineStr">
        <is>
          <t>A</t>
        </is>
      </c>
      <c r="K1750" t="n">
        <v>2024</v>
      </c>
      <c r="L1750" t="n">
        <v>11</v>
      </c>
      <c r="M1750" t="inlineStr">
        <is>
          <t>Chocolate em pó 50% 1 kg</t>
        </is>
      </c>
      <c r="N1750" t="inlineStr">
        <is>
          <t>Padaria</t>
        </is>
      </c>
      <c r="O1750" t="n">
        <v>6</v>
      </c>
      <c r="P1750" t="n">
        <v>33</v>
      </c>
      <c r="Q1750" t="n">
        <v>6</v>
      </c>
    </row>
    <row r="1751">
      <c r="A1751" t="n">
        <v>2026</v>
      </c>
      <c r="B1751" t="n">
        <v>7</v>
      </c>
      <c r="C1751" t="inlineStr">
        <is>
          <t>Muçarela Mozzana 2 kg</t>
        </is>
      </c>
      <c r="D1751" t="inlineStr">
        <is>
          <t>Esfiharia</t>
        </is>
      </c>
      <c r="E1751" t="n">
        <v>12056.36</v>
      </c>
      <c r="F1751" t="n">
        <v>563.58</v>
      </c>
      <c r="G1751" t="n">
        <v>279</v>
      </c>
      <c r="J1751" t="inlineStr">
        <is>
          <t>M</t>
        </is>
      </c>
      <c r="K1751" t="n">
        <v>2024</v>
      </c>
      <c r="L1751" t="n">
        <v>11</v>
      </c>
      <c r="M1751" t="inlineStr">
        <is>
          <t>Chocolate em pó 50% 1 kg</t>
        </is>
      </c>
      <c r="N1751" t="inlineStr">
        <is>
          <t>Padaria</t>
        </is>
      </c>
      <c r="O1751" t="n">
        <v>3</v>
      </c>
      <c r="P1751" t="n">
        <v>4</v>
      </c>
      <c r="Q1751" t="n">
        <v>0</v>
      </c>
    </row>
    <row r="1752">
      <c r="A1752" t="n">
        <v>2026</v>
      </c>
      <c r="B1752" t="n">
        <v>7</v>
      </c>
      <c r="C1752" t="inlineStr">
        <is>
          <t>Muçarela Mozzana 2 kg</t>
        </is>
      </c>
      <c r="D1752" t="inlineStr">
        <is>
          <t>Fábrica de Massas</t>
        </is>
      </c>
      <c r="E1752" t="n">
        <v>19714.51</v>
      </c>
      <c r="F1752" t="n">
        <v>945.36</v>
      </c>
      <c r="G1752" t="n">
        <v>468</v>
      </c>
      <c r="J1752" t="inlineStr">
        <is>
          <t>A</t>
        </is>
      </c>
      <c r="K1752" t="n">
        <v>2024</v>
      </c>
      <c r="L1752" t="n">
        <v>12</v>
      </c>
      <c r="M1752" t="inlineStr">
        <is>
          <t>Chocolate em pó 50% 1 kg</t>
        </is>
      </c>
      <c r="N1752" t="inlineStr">
        <is>
          <t>Padaria</t>
        </is>
      </c>
      <c r="O1752" t="n">
        <v>6</v>
      </c>
      <c r="P1752" t="n">
        <v>35</v>
      </c>
      <c r="Q1752" t="n">
        <v>6</v>
      </c>
    </row>
    <row r="1753">
      <c r="A1753" t="n">
        <v>2026</v>
      </c>
      <c r="B1753" t="n">
        <v>7</v>
      </c>
      <c r="C1753" t="inlineStr">
        <is>
          <t>Muçarela Mozzana 2 kg</t>
        </is>
      </c>
      <c r="D1753" t="inlineStr">
        <is>
          <t>Hamburgueria</t>
        </is>
      </c>
      <c r="E1753" t="n">
        <v>2382.16</v>
      </c>
      <c r="F1753" t="n">
        <v>113.12</v>
      </c>
      <c r="G1753" t="n">
        <v>56</v>
      </c>
      <c r="J1753" t="inlineStr">
        <is>
          <t>M</t>
        </is>
      </c>
      <c r="K1753" t="n">
        <v>2024</v>
      </c>
      <c r="L1753" t="n">
        <v>12</v>
      </c>
      <c r="M1753" t="inlineStr">
        <is>
          <t>Chocolate em pó 50% 1 kg</t>
        </is>
      </c>
      <c r="N1753" t="inlineStr">
        <is>
          <t>Padaria</t>
        </is>
      </c>
      <c r="O1753" t="n">
        <v>2</v>
      </c>
      <c r="P1753" t="n">
        <v>2</v>
      </c>
      <c r="Q1753" t="n">
        <v>0</v>
      </c>
    </row>
    <row r="1754">
      <c r="A1754" t="n">
        <v>2026</v>
      </c>
      <c r="B1754" t="n">
        <v>7</v>
      </c>
      <c r="C1754" t="inlineStr">
        <is>
          <t>Muçarela Mozzana 2 kg</t>
        </is>
      </c>
      <c r="D1754" t="inlineStr">
        <is>
          <t>Lanchonete / Cafeteria</t>
        </is>
      </c>
      <c r="E1754" t="n">
        <v>9039.26</v>
      </c>
      <c r="F1754" t="n">
        <v>432.28</v>
      </c>
      <c r="G1754" t="n">
        <v>214</v>
      </c>
      <c r="J1754" t="inlineStr">
        <is>
          <t>A</t>
        </is>
      </c>
      <c r="K1754" t="n">
        <v>2024</v>
      </c>
      <c r="L1754" t="n">
        <v>1</v>
      </c>
      <c r="M1754" t="inlineStr">
        <is>
          <t>Chocolate em pó 50% 1 kg</t>
        </is>
      </c>
      <c r="N1754" t="inlineStr">
        <is>
          <t>Supermercado</t>
        </is>
      </c>
      <c r="O1754" t="n">
        <v>3</v>
      </c>
      <c r="P1754" t="n">
        <v>3</v>
      </c>
      <c r="Q1754" t="n">
        <v>3</v>
      </c>
    </row>
    <row r="1755">
      <c r="A1755" t="n">
        <v>2026</v>
      </c>
      <c r="B1755" t="n">
        <v>7</v>
      </c>
      <c r="C1755" t="inlineStr">
        <is>
          <t>Muçarela Mozzana 2 kg</t>
        </is>
      </c>
      <c r="D1755" t="inlineStr">
        <is>
          <t>Mercearia / Sacolão</t>
        </is>
      </c>
      <c r="E1755" t="n">
        <v>7682.66</v>
      </c>
      <c r="F1755" t="n">
        <v>373.7</v>
      </c>
      <c r="G1755" t="n">
        <v>185</v>
      </c>
      <c r="J1755" t="inlineStr">
        <is>
          <t>M</t>
        </is>
      </c>
      <c r="K1755" t="n">
        <v>2024</v>
      </c>
      <c r="L1755" t="n">
        <v>1</v>
      </c>
      <c r="M1755" t="inlineStr">
        <is>
          <t>Chocolate em pó 50% 1 kg</t>
        </is>
      </c>
      <c r="N1755" t="inlineStr">
        <is>
          <t>Supermercado</t>
        </is>
      </c>
      <c r="O1755" t="n">
        <v>3</v>
      </c>
      <c r="P1755" t="n">
        <v>3</v>
      </c>
      <c r="Q1755" t="n">
        <v>0</v>
      </c>
    </row>
    <row r="1756">
      <c r="A1756" t="n">
        <v>2026</v>
      </c>
      <c r="B1756" t="n">
        <v>7</v>
      </c>
      <c r="C1756" t="inlineStr">
        <is>
          <t>Muçarela Mozzana 2 kg</t>
        </is>
      </c>
      <c r="D1756" t="inlineStr">
        <is>
          <t>Outros</t>
        </is>
      </c>
      <c r="E1756" t="n">
        <v>259.32</v>
      </c>
      <c r="F1756" t="n">
        <v>12.12</v>
      </c>
      <c r="G1756" t="n">
        <v>6</v>
      </c>
      <c r="J1756" t="inlineStr">
        <is>
          <t>A</t>
        </is>
      </c>
      <c r="K1756" t="n">
        <v>2024</v>
      </c>
      <c r="L1756" t="n">
        <v>2</v>
      </c>
      <c r="M1756" t="inlineStr">
        <is>
          <t>Chocolate em pó 50% 1 kg</t>
        </is>
      </c>
      <c r="N1756" t="inlineStr">
        <is>
          <t>Supermercado</t>
        </is>
      </c>
      <c r="O1756" t="n">
        <v>5</v>
      </c>
      <c r="P1756" t="n">
        <v>7</v>
      </c>
      <c r="Q1756" t="n">
        <v>5</v>
      </c>
    </row>
    <row r="1757">
      <c r="A1757" t="n">
        <v>2026</v>
      </c>
      <c r="B1757" t="n">
        <v>7</v>
      </c>
      <c r="C1757" t="inlineStr">
        <is>
          <t>Muçarela Mozzana 2 kg</t>
        </is>
      </c>
      <c r="D1757" t="inlineStr">
        <is>
          <t>Padaria</t>
        </is>
      </c>
      <c r="E1757" t="n">
        <v>4062.82</v>
      </c>
      <c r="F1757" t="n">
        <v>191.9</v>
      </c>
      <c r="G1757" t="n">
        <v>95</v>
      </c>
      <c r="J1757" t="inlineStr">
        <is>
          <t>M</t>
        </is>
      </c>
      <c r="K1757" t="n">
        <v>2024</v>
      </c>
      <c r="L1757" t="n">
        <v>2</v>
      </c>
      <c r="M1757" t="inlineStr">
        <is>
          <t>Chocolate em pó 50% 1 kg</t>
        </is>
      </c>
      <c r="N1757" t="inlineStr">
        <is>
          <t>Supermercado</t>
        </is>
      </c>
      <c r="O1757" t="n">
        <v>4</v>
      </c>
      <c r="P1757" t="n">
        <v>4</v>
      </c>
      <c r="Q1757" t="n">
        <v>0</v>
      </c>
    </row>
    <row r="1758">
      <c r="A1758" t="n">
        <v>2026</v>
      </c>
      <c r="B1758" t="n">
        <v>7</v>
      </c>
      <c r="C1758" t="inlineStr">
        <is>
          <t>Muçarela Mozzana 2 kg</t>
        </is>
      </c>
      <c r="D1758" t="inlineStr">
        <is>
          <t>Pastelaria</t>
        </is>
      </c>
      <c r="E1758" t="n">
        <v>6465.43</v>
      </c>
      <c r="F1758" t="n">
        <v>307.04</v>
      </c>
      <c r="G1758" t="n">
        <v>152</v>
      </c>
      <c r="J1758" t="inlineStr">
        <is>
          <t>A</t>
        </is>
      </c>
      <c r="K1758" t="n">
        <v>2024</v>
      </c>
      <c r="L1758" t="n">
        <v>3</v>
      </c>
      <c r="M1758" t="inlineStr">
        <is>
          <t>Chocolate em pó 50% 1 kg</t>
        </is>
      </c>
      <c r="N1758" t="inlineStr">
        <is>
          <t>Supermercado</t>
        </is>
      </c>
      <c r="O1758" t="n">
        <v>9</v>
      </c>
      <c r="P1758" t="n">
        <v>14</v>
      </c>
      <c r="Q1758" t="n">
        <v>9</v>
      </c>
    </row>
    <row r="1759">
      <c r="A1759" t="n">
        <v>2026</v>
      </c>
      <c r="B1759" t="n">
        <v>7</v>
      </c>
      <c r="C1759" t="inlineStr">
        <is>
          <t>Muçarela Mozzana 2 kg</t>
        </is>
      </c>
      <c r="D1759" t="inlineStr">
        <is>
          <t>Pessoa Física</t>
        </is>
      </c>
      <c r="E1759" t="n">
        <v>7172.74</v>
      </c>
      <c r="F1759" t="n">
        <v>339.36</v>
      </c>
      <c r="G1759" t="n">
        <v>168</v>
      </c>
      <c r="J1759" t="inlineStr">
        <is>
          <t>M</t>
        </is>
      </c>
      <c r="K1759" t="n">
        <v>2024</v>
      </c>
      <c r="L1759" t="n">
        <v>3</v>
      </c>
      <c r="M1759" t="inlineStr">
        <is>
          <t>Chocolate em pó 50% 1 kg</t>
        </is>
      </c>
      <c r="N1759" t="inlineStr">
        <is>
          <t>Supermercado</t>
        </is>
      </c>
      <c r="O1759" t="n">
        <v>7</v>
      </c>
      <c r="P1759" t="n">
        <v>7</v>
      </c>
      <c r="Q1759" t="n">
        <v>0</v>
      </c>
    </row>
    <row r="1760">
      <c r="A1760" t="n">
        <v>2026</v>
      </c>
      <c r="B1760" t="n">
        <v>7</v>
      </c>
      <c r="C1760" t="inlineStr">
        <is>
          <t>Muçarela Mozzana 2 kg</t>
        </is>
      </c>
      <c r="D1760" t="inlineStr">
        <is>
          <t>Pizzaria</t>
        </is>
      </c>
      <c r="E1760" t="n">
        <v>145369.27</v>
      </c>
      <c r="F1760" t="n">
        <v>6910.42</v>
      </c>
      <c r="G1760" t="n">
        <v>3421</v>
      </c>
      <c r="J1760" t="inlineStr">
        <is>
          <t>A</t>
        </is>
      </c>
      <c r="K1760" t="n">
        <v>2024</v>
      </c>
      <c r="L1760" t="n">
        <v>4</v>
      </c>
      <c r="M1760" t="inlineStr">
        <is>
          <t>Chocolate em pó 50% 1 kg</t>
        </is>
      </c>
      <c r="N1760" t="inlineStr">
        <is>
          <t>Supermercado</t>
        </is>
      </c>
      <c r="O1760" t="n">
        <v>9</v>
      </c>
      <c r="P1760" t="n">
        <v>14</v>
      </c>
      <c r="Q1760" t="n">
        <v>9</v>
      </c>
    </row>
    <row r="1761">
      <c r="A1761" t="n">
        <v>2026</v>
      </c>
      <c r="B1761" t="n">
        <v>7</v>
      </c>
      <c r="C1761" t="inlineStr">
        <is>
          <t>Muçarela Mozzana 2 kg</t>
        </is>
      </c>
      <c r="D1761" t="inlineStr">
        <is>
          <t>Restaurante / Cantina</t>
        </is>
      </c>
      <c r="E1761" t="n">
        <v>17808.24</v>
      </c>
      <c r="F1761" t="n">
        <v>858.5</v>
      </c>
      <c r="G1761" t="n">
        <v>425</v>
      </c>
      <c r="J1761" t="inlineStr">
        <is>
          <t>A</t>
        </is>
      </c>
      <c r="K1761" t="n">
        <v>2024</v>
      </c>
      <c r="L1761" t="n">
        <v>5</v>
      </c>
      <c r="M1761" t="inlineStr">
        <is>
          <t>Chocolate em pó 50% 1 kg</t>
        </is>
      </c>
      <c r="N1761" t="inlineStr">
        <is>
          <t>Supermercado</t>
        </is>
      </c>
      <c r="O1761" t="n">
        <v>9</v>
      </c>
      <c r="P1761" t="n">
        <v>14</v>
      </c>
      <c r="Q1761" t="n">
        <v>9</v>
      </c>
    </row>
    <row r="1762">
      <c r="A1762" t="n">
        <v>2026</v>
      </c>
      <c r="B1762" t="n">
        <v>7</v>
      </c>
      <c r="C1762" t="inlineStr">
        <is>
          <t>Muçarela Mozzana 2 kg</t>
        </is>
      </c>
      <c r="D1762" t="inlineStr">
        <is>
          <t>Rotisserie</t>
        </is>
      </c>
      <c r="E1762" t="n">
        <v>8837.34</v>
      </c>
      <c r="F1762" t="n">
        <v>416.12</v>
      </c>
      <c r="G1762" t="n">
        <v>206</v>
      </c>
      <c r="J1762" t="inlineStr">
        <is>
          <t>A</t>
        </is>
      </c>
      <c r="K1762" t="n">
        <v>2024</v>
      </c>
      <c r="L1762" t="n">
        <v>6</v>
      </c>
      <c r="M1762" t="inlineStr">
        <is>
          <t>Chocolate em pó 50% 1 kg</t>
        </is>
      </c>
      <c r="N1762" t="inlineStr">
        <is>
          <t>Supermercado</t>
        </is>
      </c>
      <c r="O1762" t="n">
        <v>9</v>
      </c>
      <c r="P1762" t="n">
        <v>14</v>
      </c>
      <c r="Q1762" t="n">
        <v>9</v>
      </c>
    </row>
    <row r="1763">
      <c r="A1763" t="n">
        <v>2026</v>
      </c>
      <c r="B1763" t="n">
        <v>7</v>
      </c>
      <c r="C1763" t="inlineStr">
        <is>
          <t>Muçarela Mozzana 2 kg</t>
        </is>
      </c>
      <c r="D1763" t="inlineStr">
        <is>
          <t>Supermercado</t>
        </is>
      </c>
      <c r="E1763" t="n">
        <v>5037.18</v>
      </c>
      <c r="F1763" t="n">
        <v>232.3</v>
      </c>
      <c r="G1763" t="n">
        <v>115</v>
      </c>
      <c r="J1763" t="inlineStr">
        <is>
          <t>A</t>
        </is>
      </c>
      <c r="K1763" t="n">
        <v>2024</v>
      </c>
      <c r="L1763" t="n">
        <v>7</v>
      </c>
      <c r="M1763" t="inlineStr">
        <is>
          <t>Chocolate em pó 50% 1 kg</t>
        </is>
      </c>
      <c r="N1763" t="inlineStr">
        <is>
          <t>Supermercado</t>
        </is>
      </c>
      <c r="O1763" t="n">
        <v>9</v>
      </c>
      <c r="P1763" t="n">
        <v>14</v>
      </c>
      <c r="Q1763" t="n">
        <v>9</v>
      </c>
    </row>
    <row r="1764">
      <c r="A1764" t="n">
        <v>2026</v>
      </c>
      <c r="B1764" t="n">
        <v>7</v>
      </c>
      <c r="C1764" t="inlineStr">
        <is>
          <t>Requeijão Pizzalet 1,8 kg</t>
        </is>
      </c>
      <c r="D1764" t="inlineStr">
        <is>
          <t>Bar / Chopperia</t>
        </is>
      </c>
      <c r="E1764" t="n">
        <v>270.4</v>
      </c>
      <c r="F1764" t="n">
        <v>29.44</v>
      </c>
      <c r="G1764" t="n">
        <v>16</v>
      </c>
      <c r="J1764" t="inlineStr">
        <is>
          <t>A</t>
        </is>
      </c>
      <c r="K1764" t="n">
        <v>2024</v>
      </c>
      <c r="L1764" t="n">
        <v>8</v>
      </c>
      <c r="M1764" t="inlineStr">
        <is>
          <t>Chocolate em pó 50% 1 kg</t>
        </is>
      </c>
      <c r="N1764" t="inlineStr">
        <is>
          <t>Supermercado</t>
        </is>
      </c>
      <c r="O1764" t="n">
        <v>9</v>
      </c>
      <c r="P1764" t="n">
        <v>14</v>
      </c>
      <c r="Q1764" t="n">
        <v>9</v>
      </c>
    </row>
    <row r="1765">
      <c r="A1765" t="n">
        <v>2026</v>
      </c>
      <c r="B1765" t="n">
        <v>7</v>
      </c>
      <c r="C1765" t="inlineStr">
        <is>
          <t>Requeijão Pizzalet 1,8 kg</t>
        </is>
      </c>
      <c r="D1765" t="inlineStr">
        <is>
          <t>Churrascaria</t>
        </is>
      </c>
      <c r="E1765" t="n">
        <v>33.98</v>
      </c>
      <c r="F1765" t="n">
        <v>3.68</v>
      </c>
      <c r="G1765" t="n">
        <v>2</v>
      </c>
      <c r="J1765" t="inlineStr">
        <is>
          <t>A</t>
        </is>
      </c>
      <c r="K1765" t="n">
        <v>2024</v>
      </c>
      <c r="L1765" t="n">
        <v>9</v>
      </c>
      <c r="M1765" t="inlineStr">
        <is>
          <t>Chocolate em pó 50% 1 kg</t>
        </is>
      </c>
      <c r="N1765" t="inlineStr">
        <is>
          <t>Supermercado</t>
        </is>
      </c>
      <c r="O1765" t="n">
        <v>9</v>
      </c>
      <c r="P1765" t="n">
        <v>14</v>
      </c>
      <c r="Q1765" t="n">
        <v>9</v>
      </c>
    </row>
    <row r="1766">
      <c r="A1766" t="n">
        <v>2026</v>
      </c>
      <c r="B1766" t="n">
        <v>7</v>
      </c>
      <c r="C1766" t="inlineStr">
        <is>
          <t>Requeijão Pizzalet 1,8 kg</t>
        </is>
      </c>
      <c r="D1766" t="inlineStr">
        <is>
          <t>Lanchonete / Cafeteria</t>
        </is>
      </c>
      <c r="E1766" t="n">
        <v>1700.8</v>
      </c>
      <c r="F1766" t="n">
        <v>187.68</v>
      </c>
      <c r="G1766" t="n">
        <v>102</v>
      </c>
      <c r="J1766" t="inlineStr">
        <is>
          <t>A</t>
        </is>
      </c>
      <c r="K1766" t="n">
        <v>2024</v>
      </c>
      <c r="L1766" t="n">
        <v>10</v>
      </c>
      <c r="M1766" t="inlineStr">
        <is>
          <t>Chocolate em pó 50% 1 kg</t>
        </is>
      </c>
      <c r="N1766" t="inlineStr">
        <is>
          <t>Supermercado</t>
        </is>
      </c>
      <c r="O1766" t="n">
        <v>9</v>
      </c>
      <c r="P1766" t="n">
        <v>14</v>
      </c>
      <c r="Q1766" t="n">
        <v>9</v>
      </c>
    </row>
    <row r="1767">
      <c r="A1767" t="n">
        <v>2026</v>
      </c>
      <c r="B1767" t="n">
        <v>7</v>
      </c>
      <c r="C1767" t="inlineStr">
        <is>
          <t>Requeijão Pizzalet 1,8 kg</t>
        </is>
      </c>
      <c r="D1767" t="inlineStr">
        <is>
          <t>Pastelaria</t>
        </is>
      </c>
      <c r="E1767" t="n">
        <v>1622.4</v>
      </c>
      <c r="F1767" t="n">
        <v>176.64</v>
      </c>
      <c r="G1767" t="n">
        <v>96</v>
      </c>
      <c r="J1767" t="inlineStr">
        <is>
          <t>A</t>
        </is>
      </c>
      <c r="K1767" t="n">
        <v>2024</v>
      </c>
      <c r="L1767" t="n">
        <v>11</v>
      </c>
      <c r="M1767" t="inlineStr">
        <is>
          <t>Chocolate em pó 50% 1 kg</t>
        </is>
      </c>
      <c r="N1767" t="inlineStr">
        <is>
          <t>Supermercado</t>
        </is>
      </c>
      <c r="O1767" t="n">
        <v>9</v>
      </c>
      <c r="P1767" t="n">
        <v>14</v>
      </c>
      <c r="Q1767" t="n">
        <v>9</v>
      </c>
    </row>
    <row r="1768">
      <c r="A1768" t="n">
        <v>2026</v>
      </c>
      <c r="B1768" t="n">
        <v>7</v>
      </c>
      <c r="C1768" t="inlineStr">
        <is>
          <t>Requeijão Pizzalet 1,8 kg</t>
        </is>
      </c>
      <c r="D1768" t="inlineStr">
        <is>
          <t>Pizzaria</t>
        </is>
      </c>
      <c r="E1768" t="n">
        <v>1492.68</v>
      </c>
      <c r="F1768" t="n">
        <v>158.24</v>
      </c>
      <c r="G1768" t="n">
        <v>86</v>
      </c>
      <c r="J1768" t="inlineStr">
        <is>
          <t>A</t>
        </is>
      </c>
      <c r="K1768" t="n">
        <v>2024</v>
      </c>
      <c r="L1768" t="n">
        <v>12</v>
      </c>
      <c r="M1768" t="inlineStr">
        <is>
          <t>Chocolate em pó 50% 1 kg</t>
        </is>
      </c>
      <c r="N1768" t="inlineStr">
        <is>
          <t>Supermercado</t>
        </is>
      </c>
      <c r="O1768" t="n">
        <v>9</v>
      </c>
      <c r="P1768" t="n">
        <v>15</v>
      </c>
      <c r="Q1768" t="n">
        <v>9</v>
      </c>
    </row>
    <row r="1769">
      <c r="A1769" t="n">
        <v>2026</v>
      </c>
      <c r="B1769" t="n">
        <v>7</v>
      </c>
      <c r="C1769" t="inlineStr">
        <is>
          <t>Requeijão Pizzalet 1,8 kg</t>
        </is>
      </c>
      <c r="D1769" t="inlineStr">
        <is>
          <t>Restaurante / Cantina</t>
        </is>
      </c>
      <c r="E1769" t="n">
        <v>182.71</v>
      </c>
      <c r="F1769" t="n">
        <v>20.24</v>
      </c>
      <c r="G1769" t="n">
        <v>11</v>
      </c>
      <c r="J1769" t="inlineStr">
        <is>
          <t>M</t>
        </is>
      </c>
      <c r="K1769" t="n">
        <v>2024</v>
      </c>
      <c r="L1769" t="n">
        <v>12</v>
      </c>
      <c r="M1769" t="inlineStr">
        <is>
          <t>Chocolate em pó 50% 1 kg</t>
        </is>
      </c>
      <c r="N1769" t="inlineStr">
        <is>
          <t>Supermercado</t>
        </is>
      </c>
      <c r="O1769" t="n">
        <v>1</v>
      </c>
      <c r="P1769" t="n">
        <v>1</v>
      </c>
      <c r="Q1769" t="n">
        <v>0</v>
      </c>
    </row>
    <row r="1770">
      <c r="A1770" t="n">
        <v>2026</v>
      </c>
      <c r="B1770" t="n">
        <v>8</v>
      </c>
      <c r="C1770" t="inlineStr">
        <is>
          <t>Composto lácteo Alibralac 1 kg</t>
        </is>
      </c>
      <c r="D1770" t="inlineStr">
        <is>
          <t>Hamburgueria</t>
        </is>
      </c>
      <c r="E1770" t="n">
        <v>27.59</v>
      </c>
      <c r="F1770" t="n">
        <v>1.02</v>
      </c>
      <c r="G1770" t="n">
        <v>1</v>
      </c>
      <c r="J1770" t="inlineStr">
        <is>
          <t>A</t>
        </is>
      </c>
      <c r="K1770" t="n">
        <v>2024</v>
      </c>
      <c r="L1770" t="n">
        <v>4</v>
      </c>
      <c r="M1770" t="inlineStr">
        <is>
          <t>Chocolate em pó 50% 1 kg</t>
        </is>
      </c>
      <c r="N1770" t="inlineStr">
        <is>
          <t>Rotisserie</t>
        </is>
      </c>
      <c r="O1770" t="n">
        <v>1</v>
      </c>
      <c r="P1770" t="n">
        <v>1</v>
      </c>
      <c r="Q1770" t="n">
        <v>1</v>
      </c>
    </row>
    <row r="1771">
      <c r="A1771" t="n">
        <v>2026</v>
      </c>
      <c r="B1771" t="n">
        <v>8</v>
      </c>
      <c r="C1771" t="inlineStr">
        <is>
          <t>Composto lácteo Alibralac 1 kg</t>
        </is>
      </c>
      <c r="D1771" t="inlineStr">
        <is>
          <t>Lanchonete / Cafeteria</t>
        </is>
      </c>
      <c r="E1771" t="n">
        <v>558</v>
      </c>
      <c r="F1771" t="n">
        <v>20.4</v>
      </c>
      <c r="G1771" t="n">
        <v>20</v>
      </c>
      <c r="J1771" t="inlineStr">
        <is>
          <t>M</t>
        </is>
      </c>
      <c r="K1771" t="n">
        <v>2024</v>
      </c>
      <c r="L1771" t="n">
        <v>4</v>
      </c>
      <c r="M1771" t="inlineStr">
        <is>
          <t>Chocolate em pó 50% 1 kg</t>
        </is>
      </c>
      <c r="N1771" t="inlineStr">
        <is>
          <t>Rotisserie</t>
        </is>
      </c>
      <c r="O1771" t="n">
        <v>1</v>
      </c>
      <c r="P1771" t="n">
        <v>1</v>
      </c>
      <c r="Q1771" t="n">
        <v>0</v>
      </c>
    </row>
    <row r="1772">
      <c r="A1772" t="n">
        <v>2026</v>
      </c>
      <c r="B1772" t="n">
        <v>8</v>
      </c>
      <c r="C1772" t="inlineStr">
        <is>
          <t>Composto lácteo Alibralac 1 kg</t>
        </is>
      </c>
      <c r="D1772" t="inlineStr">
        <is>
          <t>Pizzaria</t>
        </is>
      </c>
      <c r="E1772" t="n">
        <v>1366</v>
      </c>
      <c r="F1772" t="n">
        <v>51</v>
      </c>
      <c r="G1772" t="n">
        <v>50</v>
      </c>
      <c r="J1772" t="inlineStr">
        <is>
          <t>A</t>
        </is>
      </c>
      <c r="K1772" t="n">
        <v>2024</v>
      </c>
      <c r="L1772" t="n">
        <v>5</v>
      </c>
      <c r="M1772" t="inlineStr">
        <is>
          <t>Chocolate em pó 50% 1 kg</t>
        </is>
      </c>
      <c r="N1772" t="inlineStr">
        <is>
          <t>Rotisserie</t>
        </is>
      </c>
      <c r="O1772" t="n">
        <v>1</v>
      </c>
      <c r="P1772" t="n">
        <v>1</v>
      </c>
      <c r="Q1772" t="n">
        <v>1</v>
      </c>
    </row>
    <row r="1773">
      <c r="A1773" t="n">
        <v>2026</v>
      </c>
      <c r="B1773" t="n">
        <v>8</v>
      </c>
      <c r="C1773" t="inlineStr">
        <is>
          <t>Composto lácteo Alibralac 1 kg</t>
        </is>
      </c>
      <c r="D1773" t="inlineStr">
        <is>
          <t>Restaurante / Cantina</t>
        </is>
      </c>
      <c r="E1773" t="n">
        <v>1741.66</v>
      </c>
      <c r="F1773" t="n">
        <v>65.28</v>
      </c>
      <c r="G1773" t="n">
        <v>64</v>
      </c>
      <c r="J1773" t="inlineStr">
        <is>
          <t>A</t>
        </is>
      </c>
      <c r="K1773" t="n">
        <v>2024</v>
      </c>
      <c r="L1773" t="n">
        <v>6</v>
      </c>
      <c r="M1773" t="inlineStr">
        <is>
          <t>Chocolate em pó 50% 1 kg</t>
        </is>
      </c>
      <c r="N1773" t="inlineStr">
        <is>
          <t>Rotisserie</t>
        </is>
      </c>
      <c r="O1773" t="n">
        <v>1</v>
      </c>
      <c r="P1773" t="n">
        <v>1</v>
      </c>
      <c r="Q1773" t="n">
        <v>1</v>
      </c>
    </row>
    <row r="1774">
      <c r="A1774" t="n">
        <v>2026</v>
      </c>
      <c r="B1774" t="n">
        <v>8</v>
      </c>
      <c r="C1774" t="inlineStr">
        <is>
          <t>Composto lácteo Merilú 400 g</t>
        </is>
      </c>
      <c r="D1774" t="inlineStr">
        <is>
          <t>Buffet</t>
        </is>
      </c>
      <c r="E1774" t="n">
        <v>17.92</v>
      </c>
      <c r="F1774" t="n">
        <v>0.84</v>
      </c>
      <c r="G1774" t="n">
        <v>2</v>
      </c>
      <c r="J1774" t="inlineStr">
        <is>
          <t>A</t>
        </is>
      </c>
      <c r="K1774" t="n">
        <v>2024</v>
      </c>
      <c r="L1774" t="n">
        <v>7</v>
      </c>
      <c r="M1774" t="inlineStr">
        <is>
          <t>Chocolate em pó 50% 1 kg</t>
        </is>
      </c>
      <c r="N1774" t="inlineStr">
        <is>
          <t>Rotisserie</t>
        </is>
      </c>
      <c r="O1774" t="n">
        <v>1</v>
      </c>
      <c r="P1774" t="n">
        <v>1</v>
      </c>
      <c r="Q1774" t="n">
        <v>1</v>
      </c>
    </row>
    <row r="1775">
      <c r="A1775" t="n">
        <v>2026</v>
      </c>
      <c r="B1775" t="n">
        <v>8</v>
      </c>
      <c r="C1775" t="inlineStr">
        <is>
          <t>Composto lácteo Merilú 400 g</t>
        </is>
      </c>
      <c r="D1775" t="inlineStr">
        <is>
          <t>Cozinha Industrial</t>
        </is>
      </c>
      <c r="E1775" t="n">
        <v>217.75</v>
      </c>
      <c r="F1775" t="n">
        <v>10.5</v>
      </c>
      <c r="G1775" t="n">
        <v>25</v>
      </c>
      <c r="J1775" t="inlineStr">
        <is>
          <t>A</t>
        </is>
      </c>
      <c r="K1775" t="n">
        <v>2024</v>
      </c>
      <c r="L1775" t="n">
        <v>8</v>
      </c>
      <c r="M1775" t="inlineStr">
        <is>
          <t>Chocolate em pó 50% 1 kg</t>
        </is>
      </c>
      <c r="N1775" t="inlineStr">
        <is>
          <t>Rotisserie</t>
        </is>
      </c>
      <c r="O1775" t="n">
        <v>1</v>
      </c>
      <c r="P1775" t="n">
        <v>1</v>
      </c>
      <c r="Q1775" t="n">
        <v>1</v>
      </c>
    </row>
    <row r="1776">
      <c r="A1776" t="n">
        <v>2026</v>
      </c>
      <c r="B1776" t="n">
        <v>8</v>
      </c>
      <c r="C1776" t="inlineStr">
        <is>
          <t>Composto lácteo Merilú 400 g</t>
        </is>
      </c>
      <c r="D1776" t="inlineStr">
        <is>
          <t>Padaria</t>
        </is>
      </c>
      <c r="E1776" t="n">
        <v>1036.25</v>
      </c>
      <c r="F1776" t="n">
        <v>52.5</v>
      </c>
      <c r="G1776" t="n">
        <v>125</v>
      </c>
      <c r="J1776" t="inlineStr">
        <is>
          <t>A</t>
        </is>
      </c>
      <c r="K1776" t="n">
        <v>2024</v>
      </c>
      <c r="L1776" t="n">
        <v>9</v>
      </c>
      <c r="M1776" t="inlineStr">
        <is>
          <t>Chocolate em pó 50% 1 kg</t>
        </is>
      </c>
      <c r="N1776" t="inlineStr">
        <is>
          <t>Rotisserie</t>
        </is>
      </c>
      <c r="O1776" t="n">
        <v>1</v>
      </c>
      <c r="P1776" t="n">
        <v>1</v>
      </c>
      <c r="Q1776" t="n">
        <v>1</v>
      </c>
    </row>
    <row r="1777">
      <c r="A1777" t="n">
        <v>2026</v>
      </c>
      <c r="B1777" t="n">
        <v>8</v>
      </c>
      <c r="C1777" t="inlineStr">
        <is>
          <t>Composto lácteo Merilú 400 g</t>
        </is>
      </c>
      <c r="D1777" t="inlineStr">
        <is>
          <t>Pizzaria</t>
        </is>
      </c>
      <c r="E1777" t="n">
        <v>2153.5</v>
      </c>
      <c r="F1777" t="n">
        <v>105</v>
      </c>
      <c r="G1777" t="n">
        <v>250</v>
      </c>
      <c r="J1777" t="inlineStr">
        <is>
          <t>A</t>
        </is>
      </c>
      <c r="K1777" t="n">
        <v>2024</v>
      </c>
      <c r="L1777" t="n">
        <v>10</v>
      </c>
      <c r="M1777" t="inlineStr">
        <is>
          <t>Chocolate em pó 50% 1 kg</t>
        </is>
      </c>
      <c r="N1777" t="inlineStr">
        <is>
          <t>Rotisserie</t>
        </is>
      </c>
      <c r="O1777" t="n">
        <v>1</v>
      </c>
      <c r="P1777" t="n">
        <v>1</v>
      </c>
      <c r="Q1777" t="n">
        <v>1</v>
      </c>
    </row>
    <row r="1778">
      <c r="A1778" t="n">
        <v>2026</v>
      </c>
      <c r="B1778" t="n">
        <v>8</v>
      </c>
      <c r="C1778" t="inlineStr">
        <is>
          <t>Composto lácteo Merilú 400 g</t>
        </is>
      </c>
      <c r="D1778" t="inlineStr">
        <is>
          <t>Restaurante / Cantina</t>
        </is>
      </c>
      <c r="E1778" t="n">
        <v>888.42</v>
      </c>
      <c r="F1778" t="n">
        <v>42.84</v>
      </c>
      <c r="G1778" t="n">
        <v>102</v>
      </c>
      <c r="J1778" t="inlineStr">
        <is>
          <t>A</t>
        </is>
      </c>
      <c r="K1778" t="n">
        <v>2024</v>
      </c>
      <c r="L1778" t="n">
        <v>11</v>
      </c>
      <c r="M1778" t="inlineStr">
        <is>
          <t>Chocolate em pó 50% 1 kg</t>
        </is>
      </c>
      <c r="N1778" t="inlineStr">
        <is>
          <t>Rotisserie</t>
        </is>
      </c>
      <c r="O1778" t="n">
        <v>1</v>
      </c>
      <c r="P1778" t="n">
        <v>1</v>
      </c>
      <c r="Q1778" t="n">
        <v>1</v>
      </c>
    </row>
    <row r="1779">
      <c r="A1779" t="n">
        <v>2026</v>
      </c>
      <c r="B1779" t="n">
        <v>8</v>
      </c>
      <c r="C1779" t="inlineStr">
        <is>
          <t>Composto lácteo Merilú 400 g</t>
        </is>
      </c>
      <c r="D1779" t="inlineStr">
        <is>
          <t>Supermercado</t>
        </is>
      </c>
      <c r="E1779" t="n">
        <v>217.75</v>
      </c>
      <c r="F1779" t="n">
        <v>10.5</v>
      </c>
      <c r="G1779" t="n">
        <v>25</v>
      </c>
      <c r="J1779" t="inlineStr">
        <is>
          <t>A</t>
        </is>
      </c>
      <c r="K1779" t="n">
        <v>2024</v>
      </c>
      <c r="L1779" t="n">
        <v>12</v>
      </c>
      <c r="M1779" t="inlineStr">
        <is>
          <t>Chocolate em pó 50% 1 kg</t>
        </is>
      </c>
      <c r="N1779" t="inlineStr">
        <is>
          <t>Rotisserie</t>
        </is>
      </c>
      <c r="O1779" t="n">
        <v>1</v>
      </c>
      <c r="P1779" t="n">
        <v>1</v>
      </c>
      <c r="Q1779" t="n">
        <v>1</v>
      </c>
    </row>
    <row r="1780">
      <c r="A1780" t="n">
        <v>2026</v>
      </c>
      <c r="B1780" t="n">
        <v>8</v>
      </c>
      <c r="C1780" t="inlineStr">
        <is>
          <t>Muçarela Mozzalet 2 kg</t>
        </is>
      </c>
      <c r="D1780" t="inlineStr">
        <is>
          <t>Fábrica de Massas</t>
        </is>
      </c>
      <c r="E1780" t="n">
        <v>4914</v>
      </c>
      <c r="F1780" t="n">
        <v>200</v>
      </c>
      <c r="G1780" t="n">
        <v>100</v>
      </c>
      <c r="J1780" t="inlineStr">
        <is>
          <t>A</t>
        </is>
      </c>
      <c r="K1780" t="n">
        <v>2024</v>
      </c>
      <c r="L1780" t="n">
        <v>4</v>
      </c>
      <c r="M1780" t="inlineStr">
        <is>
          <t>Chocolate em pó 50% 1 kg</t>
        </is>
      </c>
      <c r="N1780" t="inlineStr">
        <is>
          <t>Buffet</t>
        </is>
      </c>
      <c r="O1780" t="n">
        <v>1</v>
      </c>
      <c r="P1780" t="n">
        <v>1</v>
      </c>
      <c r="Q1780" t="n">
        <v>1</v>
      </c>
    </row>
    <row r="1781">
      <c r="A1781" t="n">
        <v>2026</v>
      </c>
      <c r="B1781" t="n">
        <v>8</v>
      </c>
      <c r="C1781" t="inlineStr">
        <is>
          <t>Muçarela Mozzalet 2 kg</t>
        </is>
      </c>
      <c r="D1781" t="inlineStr">
        <is>
          <t>Lanchonete / Cafeteria</t>
        </is>
      </c>
      <c r="E1781" t="n">
        <v>48.72</v>
      </c>
      <c r="F1781" t="n">
        <v>2</v>
      </c>
      <c r="G1781" t="n">
        <v>1</v>
      </c>
      <c r="J1781" t="inlineStr">
        <is>
          <t>M</t>
        </is>
      </c>
      <c r="K1781" t="n">
        <v>2024</v>
      </c>
      <c r="L1781" t="n">
        <v>4</v>
      </c>
      <c r="M1781" t="inlineStr">
        <is>
          <t>Chocolate em pó 50% 1 kg</t>
        </is>
      </c>
      <c r="N1781" t="inlineStr">
        <is>
          <t>Buffet</t>
        </is>
      </c>
      <c r="O1781" t="n">
        <v>1</v>
      </c>
      <c r="P1781" t="n">
        <v>1</v>
      </c>
      <c r="Q1781" t="n">
        <v>0</v>
      </c>
    </row>
    <row r="1782">
      <c r="A1782" t="n">
        <v>2026</v>
      </c>
      <c r="B1782" t="n">
        <v>8</v>
      </c>
      <c r="C1782" t="inlineStr">
        <is>
          <t>Muçarela Mozzalet 2 kg</t>
        </is>
      </c>
      <c r="D1782" t="inlineStr">
        <is>
          <t>Padaria</t>
        </is>
      </c>
      <c r="E1782" t="n">
        <v>449.1</v>
      </c>
      <c r="F1782" t="n">
        <v>18</v>
      </c>
      <c r="G1782" t="n">
        <v>9</v>
      </c>
      <c r="J1782" t="inlineStr">
        <is>
          <t>A</t>
        </is>
      </c>
      <c r="K1782" t="n">
        <v>2024</v>
      </c>
      <c r="L1782" t="n">
        <v>5</v>
      </c>
      <c r="M1782" t="inlineStr">
        <is>
          <t>Chocolate em pó 50% 1 kg</t>
        </is>
      </c>
      <c r="N1782" t="inlineStr">
        <is>
          <t>Buffet</t>
        </is>
      </c>
      <c r="O1782" t="n">
        <v>2</v>
      </c>
      <c r="P1782" t="n">
        <v>2</v>
      </c>
      <c r="Q1782" t="n">
        <v>2</v>
      </c>
    </row>
    <row r="1783">
      <c r="A1783" t="n">
        <v>2026</v>
      </c>
      <c r="B1783" t="n">
        <v>8</v>
      </c>
      <c r="C1783" t="inlineStr">
        <is>
          <t>Muçarela Mozzalet 2 kg</t>
        </is>
      </c>
      <c r="D1783" t="inlineStr">
        <is>
          <t>Pessoa Física</t>
        </is>
      </c>
      <c r="E1783" t="n">
        <v>523.86</v>
      </c>
      <c r="F1783" t="n">
        <v>22</v>
      </c>
      <c r="G1783" t="n">
        <v>11</v>
      </c>
      <c r="J1783" t="inlineStr">
        <is>
          <t>M</t>
        </is>
      </c>
      <c r="K1783" t="n">
        <v>2024</v>
      </c>
      <c r="L1783" t="n">
        <v>5</v>
      </c>
      <c r="M1783" t="inlineStr">
        <is>
          <t>Chocolate em pó 50% 1 kg</t>
        </is>
      </c>
      <c r="N1783" t="inlineStr">
        <is>
          <t>Buffet</t>
        </is>
      </c>
      <c r="O1783" t="n">
        <v>1</v>
      </c>
      <c r="P1783" t="n">
        <v>1</v>
      </c>
      <c r="Q1783" t="n">
        <v>0</v>
      </c>
    </row>
    <row r="1784">
      <c r="A1784" t="n">
        <v>2026</v>
      </c>
      <c r="B1784" t="n">
        <v>8</v>
      </c>
      <c r="C1784" t="inlineStr">
        <is>
          <t>Muçarela Mozzalet 2 kg</t>
        </is>
      </c>
      <c r="D1784" t="inlineStr">
        <is>
          <t>Pizzaria</t>
        </is>
      </c>
      <c r="E1784" t="n">
        <v>8130.78</v>
      </c>
      <c r="F1784" t="n">
        <v>332</v>
      </c>
      <c r="G1784" t="n">
        <v>166</v>
      </c>
      <c r="J1784" t="inlineStr">
        <is>
          <t>A</t>
        </is>
      </c>
      <c r="K1784" t="n">
        <v>2024</v>
      </c>
      <c r="L1784" t="n">
        <v>6</v>
      </c>
      <c r="M1784" t="inlineStr">
        <is>
          <t>Chocolate em pó 50% 1 kg</t>
        </is>
      </c>
      <c r="N1784" t="inlineStr">
        <is>
          <t>Buffet</t>
        </is>
      </c>
      <c r="O1784" t="n">
        <v>2</v>
      </c>
      <c r="P1784" t="n">
        <v>2</v>
      </c>
      <c r="Q1784" t="n">
        <v>2</v>
      </c>
    </row>
    <row r="1785">
      <c r="A1785" t="n">
        <v>2026</v>
      </c>
      <c r="B1785" t="n">
        <v>8</v>
      </c>
      <c r="C1785" t="inlineStr">
        <is>
          <t>Muçarela Mozzalet 2 kg</t>
        </is>
      </c>
      <c r="D1785" t="inlineStr">
        <is>
          <t>Restaurante / Cantina</t>
        </is>
      </c>
      <c r="E1785" t="n">
        <v>36344.32</v>
      </c>
      <c r="F1785" t="n">
        <v>1532</v>
      </c>
      <c r="G1785" t="n">
        <v>766</v>
      </c>
      <c r="J1785" t="inlineStr">
        <is>
          <t>A</t>
        </is>
      </c>
      <c r="K1785" t="n">
        <v>2024</v>
      </c>
      <c r="L1785" t="n">
        <v>7</v>
      </c>
      <c r="M1785" t="inlineStr">
        <is>
          <t>Chocolate em pó 50% 1 kg</t>
        </is>
      </c>
      <c r="N1785" t="inlineStr">
        <is>
          <t>Buffet</t>
        </is>
      </c>
      <c r="O1785" t="n">
        <v>2</v>
      </c>
      <c r="P1785" t="n">
        <v>2</v>
      </c>
      <c r="Q1785" t="n">
        <v>2</v>
      </c>
    </row>
    <row r="1786">
      <c r="A1786" t="n">
        <v>2026</v>
      </c>
      <c r="B1786" t="n">
        <v>8</v>
      </c>
      <c r="C1786" t="inlineStr">
        <is>
          <t>Muçarela Mozzana 2 kg</t>
        </is>
      </c>
      <c r="D1786" t="inlineStr">
        <is>
          <t>Adega</t>
        </is>
      </c>
      <c r="E1786" t="n">
        <v>2464.2</v>
      </c>
      <c r="F1786" t="n">
        <v>109.08</v>
      </c>
      <c r="G1786" t="n">
        <v>54</v>
      </c>
      <c r="J1786" t="inlineStr">
        <is>
          <t>A</t>
        </is>
      </c>
      <c r="K1786" t="n">
        <v>2024</v>
      </c>
      <c r="L1786" t="n">
        <v>8</v>
      </c>
      <c r="M1786" t="inlineStr">
        <is>
          <t>Chocolate em pó 50% 1 kg</t>
        </is>
      </c>
      <c r="N1786" t="inlineStr">
        <is>
          <t>Buffet</t>
        </is>
      </c>
      <c r="O1786" t="n">
        <v>2</v>
      </c>
      <c r="P1786" t="n">
        <v>2</v>
      </c>
      <c r="Q1786" t="n">
        <v>2</v>
      </c>
    </row>
    <row r="1787">
      <c r="A1787" t="n">
        <v>2026</v>
      </c>
      <c r="B1787" t="n">
        <v>8</v>
      </c>
      <c r="C1787" t="inlineStr">
        <is>
          <t>Muçarela Mozzana 2 kg</t>
        </is>
      </c>
      <c r="D1787" t="inlineStr">
        <is>
          <t>Bar / Chopperia</t>
        </is>
      </c>
      <c r="E1787" t="n">
        <v>46.48</v>
      </c>
      <c r="F1787" t="n">
        <v>2.02</v>
      </c>
      <c r="G1787" t="n">
        <v>1</v>
      </c>
      <c r="J1787" t="inlineStr">
        <is>
          <t>A</t>
        </is>
      </c>
      <c r="K1787" t="n">
        <v>2024</v>
      </c>
      <c r="L1787" t="n">
        <v>9</v>
      </c>
      <c r="M1787" t="inlineStr">
        <is>
          <t>Chocolate em pó 50% 1 kg</t>
        </is>
      </c>
      <c r="N1787" t="inlineStr">
        <is>
          <t>Buffet</t>
        </is>
      </c>
      <c r="O1787" t="n">
        <v>2</v>
      </c>
      <c r="P1787" t="n">
        <v>2</v>
      </c>
      <c r="Q1787" t="n">
        <v>2</v>
      </c>
    </row>
    <row r="1788">
      <c r="A1788" t="n">
        <v>2026</v>
      </c>
      <c r="B1788" t="n">
        <v>8</v>
      </c>
      <c r="C1788" t="inlineStr">
        <is>
          <t>Muçarela Mozzana 2 kg</t>
        </is>
      </c>
      <c r="D1788" t="inlineStr">
        <is>
          <t>Buffet</t>
        </is>
      </c>
      <c r="E1788" t="n">
        <v>3571.73</v>
      </c>
      <c r="F1788" t="n">
        <v>157.56</v>
      </c>
      <c r="G1788" t="n">
        <v>78</v>
      </c>
      <c r="J1788" t="inlineStr">
        <is>
          <t>A</t>
        </is>
      </c>
      <c r="K1788" t="n">
        <v>2024</v>
      </c>
      <c r="L1788" t="n">
        <v>10</v>
      </c>
      <c r="M1788" t="inlineStr">
        <is>
          <t>Chocolate em pó 50% 1 kg</t>
        </is>
      </c>
      <c r="N1788" t="inlineStr">
        <is>
          <t>Buffet</t>
        </is>
      </c>
      <c r="O1788" t="n">
        <v>2</v>
      </c>
      <c r="P1788" t="n">
        <v>3</v>
      </c>
      <c r="Q1788" t="n">
        <v>2</v>
      </c>
    </row>
    <row r="1789">
      <c r="A1789" t="n">
        <v>2026</v>
      </c>
      <c r="B1789" t="n">
        <v>8</v>
      </c>
      <c r="C1789" t="inlineStr">
        <is>
          <t>Muçarela Mozzana 2 kg</t>
        </is>
      </c>
      <c r="D1789" t="inlineStr">
        <is>
          <t>Cozinha Industrial</t>
        </is>
      </c>
      <c r="E1789" t="n">
        <v>23838.95</v>
      </c>
      <c r="F1789" t="n">
        <v>1113.02</v>
      </c>
      <c r="G1789" t="n">
        <v>551</v>
      </c>
      <c r="J1789" t="inlineStr">
        <is>
          <t>M</t>
        </is>
      </c>
      <c r="K1789" t="n">
        <v>2024</v>
      </c>
      <c r="L1789" t="n">
        <v>10</v>
      </c>
      <c r="M1789" t="inlineStr">
        <is>
          <t>Chocolate em pó 50% 1 kg</t>
        </is>
      </c>
      <c r="N1789" t="inlineStr">
        <is>
          <t>Buffet</t>
        </is>
      </c>
      <c r="O1789" t="n">
        <v>1</v>
      </c>
      <c r="P1789" t="n">
        <v>1</v>
      </c>
      <c r="Q1789" t="n">
        <v>0</v>
      </c>
    </row>
    <row r="1790">
      <c r="A1790" t="n">
        <v>2026</v>
      </c>
      <c r="B1790" t="n">
        <v>8</v>
      </c>
      <c r="C1790" t="inlineStr">
        <is>
          <t>Muçarela Mozzana 2 kg</t>
        </is>
      </c>
      <c r="D1790" t="inlineStr">
        <is>
          <t>Cozinha Oriental</t>
        </is>
      </c>
      <c r="E1790" t="n">
        <v>1276.5</v>
      </c>
      <c r="F1790" t="n">
        <v>58.58</v>
      </c>
      <c r="G1790" t="n">
        <v>29</v>
      </c>
      <c r="J1790" t="inlineStr">
        <is>
          <t>A</t>
        </is>
      </c>
      <c r="K1790" t="n">
        <v>2024</v>
      </c>
      <c r="L1790" t="n">
        <v>11</v>
      </c>
      <c r="M1790" t="inlineStr">
        <is>
          <t>Chocolate em pó 50% 1 kg</t>
        </is>
      </c>
      <c r="N1790" t="inlineStr">
        <is>
          <t>Buffet</t>
        </is>
      </c>
      <c r="O1790" t="n">
        <v>2</v>
      </c>
      <c r="P1790" t="n">
        <v>3</v>
      </c>
      <c r="Q1790" t="n">
        <v>2</v>
      </c>
    </row>
    <row r="1791">
      <c r="A1791" t="n">
        <v>2026</v>
      </c>
      <c r="B1791" t="n">
        <v>8</v>
      </c>
      <c r="C1791" t="inlineStr">
        <is>
          <t>Muçarela Mozzana 2 kg</t>
        </is>
      </c>
      <c r="D1791" t="inlineStr">
        <is>
          <t>Distribuidor Alimentos</t>
        </is>
      </c>
      <c r="E1791" t="n">
        <v>134.52</v>
      </c>
      <c r="F1791" t="n">
        <v>6.06</v>
      </c>
      <c r="G1791" t="n">
        <v>3</v>
      </c>
      <c r="J1791" t="inlineStr">
        <is>
          <t>A</t>
        </is>
      </c>
      <c r="K1791" t="n">
        <v>2024</v>
      </c>
      <c r="L1791" t="n">
        <v>12</v>
      </c>
      <c r="M1791" t="inlineStr">
        <is>
          <t>Chocolate em pó 50% 1 kg</t>
        </is>
      </c>
      <c r="N1791" t="inlineStr">
        <is>
          <t>Buffet</t>
        </is>
      </c>
      <c r="O1791" t="n">
        <v>2</v>
      </c>
      <c r="P1791" t="n">
        <v>3</v>
      </c>
      <c r="Q1791" t="n">
        <v>2</v>
      </c>
    </row>
    <row r="1792">
      <c r="A1792" t="n">
        <v>2026</v>
      </c>
      <c r="B1792" t="n">
        <v>8</v>
      </c>
      <c r="C1792" t="inlineStr">
        <is>
          <t>Muçarela Mozzana 2 kg</t>
        </is>
      </c>
      <c r="D1792" t="inlineStr">
        <is>
          <t>Esfiharia</t>
        </is>
      </c>
      <c r="E1792" t="n">
        <v>7710.33</v>
      </c>
      <c r="F1792" t="n">
        <v>339.36</v>
      </c>
      <c r="G1792" t="n">
        <v>168</v>
      </c>
      <c r="J1792" t="inlineStr">
        <is>
          <t>A</t>
        </is>
      </c>
      <c r="K1792" t="n">
        <v>2024</v>
      </c>
      <c r="L1792" t="n">
        <v>1</v>
      </c>
      <c r="M1792" t="inlineStr">
        <is>
          <t>Chocolate em pó 50% 1 kg</t>
        </is>
      </c>
      <c r="N1792" t="inlineStr">
        <is>
          <t>Hotel / Motel / Pousada</t>
        </is>
      </c>
      <c r="O1792" t="n">
        <v>7</v>
      </c>
      <c r="P1792" t="n">
        <v>9</v>
      </c>
      <c r="Q1792" t="n">
        <v>7</v>
      </c>
    </row>
    <row r="1793">
      <c r="A1793" t="n">
        <v>2026</v>
      </c>
      <c r="B1793" t="n">
        <v>8</v>
      </c>
      <c r="C1793" t="inlineStr">
        <is>
          <t>Muçarela Mozzana 2 kg</t>
        </is>
      </c>
      <c r="D1793" t="inlineStr">
        <is>
          <t>Fábrica de Massas</t>
        </is>
      </c>
      <c r="E1793" t="n">
        <v>14304.71</v>
      </c>
      <c r="F1793" t="n">
        <v>652.46</v>
      </c>
      <c r="G1793" t="n">
        <v>323</v>
      </c>
      <c r="J1793" t="inlineStr">
        <is>
          <t>M</t>
        </is>
      </c>
      <c r="K1793" t="n">
        <v>2024</v>
      </c>
      <c r="L1793" t="n">
        <v>1</v>
      </c>
      <c r="M1793" t="inlineStr">
        <is>
          <t>Chocolate em pó 50% 1 kg</t>
        </is>
      </c>
      <c r="N1793" t="inlineStr">
        <is>
          <t>Hotel / Motel / Pousada</t>
        </is>
      </c>
      <c r="O1793" t="n">
        <v>7</v>
      </c>
      <c r="P1793" t="n">
        <v>9</v>
      </c>
      <c r="Q1793" t="n">
        <v>0</v>
      </c>
    </row>
    <row r="1794">
      <c r="A1794" t="n">
        <v>2026</v>
      </c>
      <c r="B1794" t="n">
        <v>8</v>
      </c>
      <c r="C1794" t="inlineStr">
        <is>
          <t>Muçarela Mozzana 2 kg</t>
        </is>
      </c>
      <c r="D1794" t="inlineStr">
        <is>
          <t>Hamburgueria</t>
        </is>
      </c>
      <c r="E1794" t="n">
        <v>2708.39</v>
      </c>
      <c r="F1794" t="n">
        <v>121.2</v>
      </c>
      <c r="G1794" t="n">
        <v>60</v>
      </c>
      <c r="J1794" t="inlineStr">
        <is>
          <t>A</t>
        </is>
      </c>
      <c r="K1794" t="n">
        <v>2024</v>
      </c>
      <c r="L1794" t="n">
        <v>2</v>
      </c>
      <c r="M1794" t="inlineStr">
        <is>
          <t>Chocolate em pó 50% 1 kg</t>
        </is>
      </c>
      <c r="N1794" t="inlineStr">
        <is>
          <t>Hotel / Motel / Pousada</t>
        </is>
      </c>
      <c r="O1794" t="n">
        <v>12</v>
      </c>
      <c r="P1794" t="n">
        <v>21</v>
      </c>
      <c r="Q1794" t="n">
        <v>12</v>
      </c>
    </row>
    <row r="1795">
      <c r="A1795" t="n">
        <v>2026</v>
      </c>
      <c r="B1795" t="n">
        <v>8</v>
      </c>
      <c r="C1795" t="inlineStr">
        <is>
          <t>Muçarela Mozzana 2 kg</t>
        </is>
      </c>
      <c r="D1795" t="inlineStr">
        <is>
          <t>Lanchonete / Cafeteria</t>
        </is>
      </c>
      <c r="E1795" t="n">
        <v>7143.64</v>
      </c>
      <c r="F1795" t="n">
        <v>319.16</v>
      </c>
      <c r="G1795" t="n">
        <v>158</v>
      </c>
      <c r="J1795" t="inlineStr">
        <is>
          <t>M</t>
        </is>
      </c>
      <c r="K1795" t="n">
        <v>2024</v>
      </c>
      <c r="L1795" t="n">
        <v>2</v>
      </c>
      <c r="M1795" t="inlineStr">
        <is>
          <t>Chocolate em pó 50% 1 kg</t>
        </is>
      </c>
      <c r="N1795" t="inlineStr">
        <is>
          <t>Hotel / Motel / Pousada</t>
        </is>
      </c>
      <c r="O1795" t="n">
        <v>8</v>
      </c>
      <c r="P1795" t="n">
        <v>12</v>
      </c>
      <c r="Q1795" t="n">
        <v>0</v>
      </c>
    </row>
    <row r="1796">
      <c r="A1796" t="n">
        <v>2026</v>
      </c>
      <c r="B1796" t="n">
        <v>8</v>
      </c>
      <c r="C1796" t="inlineStr">
        <is>
          <t>Muçarela Mozzana 2 kg</t>
        </is>
      </c>
      <c r="D1796" t="inlineStr">
        <is>
          <t>Mercearia / Sacolão</t>
        </is>
      </c>
      <c r="E1796" t="n">
        <v>8461.92</v>
      </c>
      <c r="F1796" t="n">
        <v>387.84</v>
      </c>
      <c r="G1796" t="n">
        <v>192</v>
      </c>
      <c r="J1796" t="inlineStr">
        <is>
          <t>A</t>
        </is>
      </c>
      <c r="K1796" t="n">
        <v>2024</v>
      </c>
      <c r="L1796" t="n">
        <v>3</v>
      </c>
      <c r="M1796" t="inlineStr">
        <is>
          <t>Chocolate em pó 50% 1 kg</t>
        </is>
      </c>
      <c r="N1796" t="inlineStr">
        <is>
          <t>Hotel / Motel / Pousada</t>
        </is>
      </c>
      <c r="O1796" t="n">
        <v>15</v>
      </c>
      <c r="P1796" t="n">
        <v>31</v>
      </c>
      <c r="Q1796" t="n">
        <v>15</v>
      </c>
    </row>
    <row r="1797">
      <c r="A1797" t="n">
        <v>2026</v>
      </c>
      <c r="B1797" t="n">
        <v>8</v>
      </c>
      <c r="C1797" t="inlineStr">
        <is>
          <t>Muçarela Mozzana 2 kg</t>
        </is>
      </c>
      <c r="D1797" t="inlineStr">
        <is>
          <t>Padaria</t>
        </is>
      </c>
      <c r="E1797" t="n">
        <v>2081.07</v>
      </c>
      <c r="F1797" t="n">
        <v>92.92</v>
      </c>
      <c r="G1797" t="n">
        <v>46</v>
      </c>
      <c r="J1797" t="inlineStr">
        <is>
          <t>M</t>
        </is>
      </c>
      <c r="K1797" t="n">
        <v>2024</v>
      </c>
      <c r="L1797" t="n">
        <v>3</v>
      </c>
      <c r="M1797" t="inlineStr">
        <is>
          <t>Chocolate em pó 50% 1 kg</t>
        </is>
      </c>
      <c r="N1797" t="inlineStr">
        <is>
          <t>Hotel / Motel / Pousada</t>
        </is>
      </c>
      <c r="O1797" t="n">
        <v>9</v>
      </c>
      <c r="P1797" t="n">
        <v>10</v>
      </c>
      <c r="Q1797" t="n">
        <v>0</v>
      </c>
    </row>
    <row r="1798">
      <c r="A1798" t="n">
        <v>2026</v>
      </c>
      <c r="B1798" t="n">
        <v>8</v>
      </c>
      <c r="C1798" t="inlineStr">
        <is>
          <t>Muçarela Mozzana 2 kg</t>
        </is>
      </c>
      <c r="D1798" t="inlineStr">
        <is>
          <t>Pastelaria</t>
        </is>
      </c>
      <c r="E1798" t="n">
        <v>8307.42</v>
      </c>
      <c r="F1798" t="n">
        <v>371.68</v>
      </c>
      <c r="G1798" t="n">
        <v>184</v>
      </c>
      <c r="J1798" t="inlineStr">
        <is>
          <t>A</t>
        </is>
      </c>
      <c r="K1798" t="n">
        <v>2024</v>
      </c>
      <c r="L1798" t="n">
        <v>4</v>
      </c>
      <c r="M1798" t="inlineStr">
        <is>
          <t>Chocolate em pó 50% 1 kg</t>
        </is>
      </c>
      <c r="N1798" t="inlineStr">
        <is>
          <t>Hotel / Motel / Pousada</t>
        </is>
      </c>
      <c r="O1798" t="n">
        <v>21</v>
      </c>
      <c r="P1798" t="n">
        <v>46</v>
      </c>
      <c r="Q1798" t="n">
        <v>21</v>
      </c>
    </row>
    <row r="1799">
      <c r="A1799" t="n">
        <v>2026</v>
      </c>
      <c r="B1799" t="n">
        <v>8</v>
      </c>
      <c r="C1799" t="inlineStr">
        <is>
          <t>Muçarela Mozzana 2 kg</t>
        </is>
      </c>
      <c r="D1799" t="inlineStr">
        <is>
          <t>Pessoa Física</t>
        </is>
      </c>
      <c r="E1799" t="n">
        <v>18066.11</v>
      </c>
      <c r="F1799" t="n">
        <v>818.1</v>
      </c>
      <c r="G1799" t="n">
        <v>405</v>
      </c>
      <c r="J1799" t="inlineStr">
        <is>
          <t>M</t>
        </is>
      </c>
      <c r="K1799" t="n">
        <v>2024</v>
      </c>
      <c r="L1799" t="n">
        <v>4</v>
      </c>
      <c r="M1799" t="inlineStr">
        <is>
          <t>Chocolate em pó 50% 1 kg</t>
        </is>
      </c>
      <c r="N1799" t="inlineStr">
        <is>
          <t>Hotel / Motel / Pousada</t>
        </is>
      </c>
      <c r="O1799" t="n">
        <v>11</v>
      </c>
      <c r="P1799" t="n">
        <v>15</v>
      </c>
      <c r="Q1799" t="n">
        <v>0</v>
      </c>
    </row>
    <row r="1800">
      <c r="A1800" t="n">
        <v>2026</v>
      </c>
      <c r="B1800" t="n">
        <v>8</v>
      </c>
      <c r="C1800" t="inlineStr">
        <is>
          <t>Muçarela Mozzana 2 kg</t>
        </is>
      </c>
      <c r="D1800" t="inlineStr">
        <is>
          <t>Pizzaria</t>
        </is>
      </c>
      <c r="E1800" t="n">
        <v>152477.84</v>
      </c>
      <c r="F1800" t="n">
        <v>6831.64</v>
      </c>
      <c r="G1800" t="n">
        <v>3382</v>
      </c>
      <c r="J1800" t="inlineStr">
        <is>
          <t>A</t>
        </is>
      </c>
      <c r="K1800" t="n">
        <v>2024</v>
      </c>
      <c r="L1800" t="n">
        <v>5</v>
      </c>
      <c r="M1800" t="inlineStr">
        <is>
          <t>Chocolate em pó 50% 1 kg</t>
        </is>
      </c>
      <c r="N1800" t="inlineStr">
        <is>
          <t>Hotel / Motel / Pousada</t>
        </is>
      </c>
      <c r="O1800" t="n">
        <v>24</v>
      </c>
      <c r="P1800" t="n">
        <v>56</v>
      </c>
      <c r="Q1800" t="n">
        <v>24</v>
      </c>
    </row>
    <row r="1801">
      <c r="A1801" t="n">
        <v>2026</v>
      </c>
      <c r="B1801" t="n">
        <v>8</v>
      </c>
      <c r="C1801" t="inlineStr">
        <is>
          <t>Muçarela Mozzana 2 kg</t>
        </is>
      </c>
      <c r="D1801" t="inlineStr">
        <is>
          <t>Restaurante / Cantina</t>
        </is>
      </c>
      <c r="E1801" t="n">
        <v>13876.21</v>
      </c>
      <c r="F1801" t="n">
        <v>622.16</v>
      </c>
      <c r="G1801" t="n">
        <v>308</v>
      </c>
      <c r="J1801" t="inlineStr">
        <is>
          <t>M</t>
        </is>
      </c>
      <c r="K1801" t="n">
        <v>2024</v>
      </c>
      <c r="L1801" t="n">
        <v>5</v>
      </c>
      <c r="M1801" t="inlineStr">
        <is>
          <t>Chocolate em pó 50% 1 kg</t>
        </is>
      </c>
      <c r="N1801" t="inlineStr">
        <is>
          <t>Hotel / Motel / Pousada</t>
        </is>
      </c>
      <c r="O1801" t="n">
        <v>10</v>
      </c>
      <c r="P1801" t="n">
        <v>10</v>
      </c>
      <c r="Q1801" t="n">
        <v>0</v>
      </c>
    </row>
    <row r="1802">
      <c r="A1802" t="n">
        <v>2026</v>
      </c>
      <c r="B1802" t="n">
        <v>8</v>
      </c>
      <c r="C1802" t="inlineStr">
        <is>
          <t>Muçarela Mozzana 2 kg</t>
        </is>
      </c>
      <c r="D1802" t="inlineStr">
        <is>
          <t>Rotisserie</t>
        </is>
      </c>
      <c r="E1802" t="n">
        <v>19446.82</v>
      </c>
      <c r="F1802" t="n">
        <v>894.86</v>
      </c>
      <c r="G1802" t="n">
        <v>443</v>
      </c>
      <c r="J1802" t="inlineStr">
        <is>
          <t>A</t>
        </is>
      </c>
      <c r="K1802" t="n">
        <v>2024</v>
      </c>
      <c r="L1802" t="n">
        <v>6</v>
      </c>
      <c r="M1802" t="inlineStr">
        <is>
          <t>Chocolate em pó 50% 1 kg</t>
        </is>
      </c>
      <c r="N1802" t="inlineStr">
        <is>
          <t>Hotel / Motel / Pousada</t>
        </is>
      </c>
      <c r="O1802" t="n">
        <v>25</v>
      </c>
      <c r="P1802" t="n">
        <v>62</v>
      </c>
      <c r="Q1802" t="n">
        <v>25</v>
      </c>
    </row>
    <row r="1803">
      <c r="A1803" t="n">
        <v>2026</v>
      </c>
      <c r="B1803" t="n">
        <v>8</v>
      </c>
      <c r="C1803" t="inlineStr">
        <is>
          <t>Muçarela Mozzana 2 kg</t>
        </is>
      </c>
      <c r="D1803" t="inlineStr">
        <is>
          <t>Supermercado</t>
        </is>
      </c>
      <c r="E1803" t="n">
        <v>2557.01</v>
      </c>
      <c r="F1803" t="n">
        <v>109.08</v>
      </c>
      <c r="G1803" t="n">
        <v>54</v>
      </c>
      <c r="J1803" t="inlineStr">
        <is>
          <t>M</t>
        </is>
      </c>
      <c r="K1803" t="n">
        <v>2024</v>
      </c>
      <c r="L1803" t="n">
        <v>6</v>
      </c>
      <c r="M1803" t="inlineStr">
        <is>
          <t>Chocolate em pó 50% 1 kg</t>
        </is>
      </c>
      <c r="N1803" t="inlineStr">
        <is>
          <t>Hotel / Motel / Pousada</t>
        </is>
      </c>
      <c r="O1803" t="n">
        <v>5</v>
      </c>
      <c r="P1803" t="n">
        <v>6</v>
      </c>
      <c r="Q1803" t="n">
        <v>0</v>
      </c>
    </row>
    <row r="1804">
      <c r="A1804" t="n">
        <v>2026</v>
      </c>
      <c r="B1804" t="n">
        <v>8</v>
      </c>
      <c r="C1804" t="inlineStr">
        <is>
          <t>Requeijão Pizzalet 1,8 kg</t>
        </is>
      </c>
      <c r="D1804" t="inlineStr">
        <is>
          <t>Bar / Chopperia</t>
        </is>
      </c>
      <c r="E1804" t="n">
        <v>67.59999999999999</v>
      </c>
      <c r="F1804" t="n">
        <v>7.36</v>
      </c>
      <c r="G1804" t="n">
        <v>4</v>
      </c>
      <c r="J1804" t="inlineStr">
        <is>
          <t>A</t>
        </is>
      </c>
      <c r="K1804" t="n">
        <v>2024</v>
      </c>
      <c r="L1804" t="n">
        <v>7</v>
      </c>
      <c r="M1804" t="inlineStr">
        <is>
          <t>Chocolate em pó 50% 1 kg</t>
        </is>
      </c>
      <c r="N1804" t="inlineStr">
        <is>
          <t>Hotel / Motel / Pousada</t>
        </is>
      </c>
      <c r="O1804" t="n">
        <v>25</v>
      </c>
      <c r="P1804" t="n">
        <v>72</v>
      </c>
      <c r="Q1804" t="n">
        <v>25</v>
      </c>
    </row>
    <row r="1805">
      <c r="A1805" t="n">
        <v>2026</v>
      </c>
      <c r="B1805" t="n">
        <v>8</v>
      </c>
      <c r="C1805" t="inlineStr">
        <is>
          <t>Requeijão Pizzalet 1,8 kg</t>
        </is>
      </c>
      <c r="D1805" t="inlineStr">
        <is>
          <t>Lanchonete / Cafeteria</t>
        </is>
      </c>
      <c r="E1805" t="n">
        <v>941.1799999999999</v>
      </c>
      <c r="F1805" t="n">
        <v>103.04</v>
      </c>
      <c r="G1805" t="n">
        <v>56</v>
      </c>
      <c r="J1805" t="inlineStr">
        <is>
          <t>M</t>
        </is>
      </c>
      <c r="K1805" t="n">
        <v>2024</v>
      </c>
      <c r="L1805" t="n">
        <v>7</v>
      </c>
      <c r="M1805" t="inlineStr">
        <is>
          <t>Chocolate em pó 50% 1 kg</t>
        </is>
      </c>
      <c r="N1805" t="inlineStr">
        <is>
          <t>Hotel / Motel / Pousada</t>
        </is>
      </c>
      <c r="O1805" t="n">
        <v>6</v>
      </c>
      <c r="P1805" t="n">
        <v>10</v>
      </c>
      <c r="Q1805" t="n">
        <v>0</v>
      </c>
    </row>
    <row r="1806">
      <c r="A1806" t="n">
        <v>2026</v>
      </c>
      <c r="B1806" t="n">
        <v>8</v>
      </c>
      <c r="C1806" t="inlineStr">
        <is>
          <t>Requeijão Pizzalet 1,8 kg</t>
        </is>
      </c>
      <c r="D1806" t="inlineStr">
        <is>
          <t>Pastelaria</t>
        </is>
      </c>
      <c r="E1806" t="n">
        <v>2013.12</v>
      </c>
      <c r="F1806" t="n">
        <v>218.96</v>
      </c>
      <c r="G1806" t="n">
        <v>119</v>
      </c>
      <c r="J1806" t="inlineStr">
        <is>
          <t>A</t>
        </is>
      </c>
      <c r="K1806" t="n">
        <v>2024</v>
      </c>
      <c r="L1806" t="n">
        <v>8</v>
      </c>
      <c r="M1806" t="inlineStr">
        <is>
          <t>Chocolate em pó 50% 1 kg</t>
        </is>
      </c>
      <c r="N1806" t="inlineStr">
        <is>
          <t>Hotel / Motel / Pousada</t>
        </is>
      </c>
      <c r="O1806" t="n">
        <v>29</v>
      </c>
      <c r="P1806" t="n">
        <v>84</v>
      </c>
      <c r="Q1806" t="n">
        <v>29</v>
      </c>
    </row>
    <row r="1807">
      <c r="A1807" t="n">
        <v>2026</v>
      </c>
      <c r="B1807" t="n">
        <v>8</v>
      </c>
      <c r="C1807" t="inlineStr">
        <is>
          <t>Requeijão Pizzalet 1,8 kg</t>
        </is>
      </c>
      <c r="D1807" t="inlineStr">
        <is>
          <t>Pizzaria</t>
        </is>
      </c>
      <c r="E1807" t="n">
        <v>1536.74</v>
      </c>
      <c r="F1807" t="n">
        <v>163.76</v>
      </c>
      <c r="G1807" t="n">
        <v>89</v>
      </c>
      <c r="J1807" t="inlineStr">
        <is>
          <t>M</t>
        </is>
      </c>
      <c r="K1807" t="n">
        <v>2024</v>
      </c>
      <c r="L1807" t="n">
        <v>8</v>
      </c>
      <c r="M1807" t="inlineStr">
        <is>
          <t>Chocolate em pó 50% 1 kg</t>
        </is>
      </c>
      <c r="N1807" t="inlineStr">
        <is>
          <t>Hotel / Motel / Pousada</t>
        </is>
      </c>
      <c r="O1807" t="n">
        <v>9</v>
      </c>
      <c r="P1807" t="n">
        <v>12</v>
      </c>
      <c r="Q1807" t="n">
        <v>0</v>
      </c>
    </row>
    <row r="1808">
      <c r="A1808" t="n">
        <v>2026</v>
      </c>
      <c r="B1808" t="n">
        <v>8</v>
      </c>
      <c r="C1808" t="inlineStr">
        <is>
          <t>Requeijão Pizzalet 1,8 kg</t>
        </is>
      </c>
      <c r="D1808" t="inlineStr">
        <is>
          <t>Restaurante / Cantina</t>
        </is>
      </c>
      <c r="E1808" t="n">
        <v>185.9</v>
      </c>
      <c r="F1808" t="n">
        <v>20.24</v>
      </c>
      <c r="G1808" t="n">
        <v>11</v>
      </c>
      <c r="J1808" t="inlineStr">
        <is>
          <t>A</t>
        </is>
      </c>
      <c r="K1808" t="n">
        <v>2024</v>
      </c>
      <c r="L1808" t="n">
        <v>9</v>
      </c>
      <c r="M1808" t="inlineStr">
        <is>
          <t>Chocolate em pó 50% 1 kg</t>
        </is>
      </c>
      <c r="N1808" t="inlineStr">
        <is>
          <t>Hotel / Motel / Pousada</t>
        </is>
      </c>
      <c r="O1808" t="n">
        <v>29</v>
      </c>
      <c r="P1808" t="n">
        <v>93</v>
      </c>
      <c r="Q1808" t="n">
        <v>29</v>
      </c>
    </row>
    <row r="1809">
      <c r="A1809" t="n">
        <v>2026</v>
      </c>
      <c r="B1809" t="n">
        <v>9</v>
      </c>
      <c r="C1809" t="inlineStr">
        <is>
          <t>Composto lácteo Alibralac 1 kg</t>
        </is>
      </c>
      <c r="D1809" t="inlineStr">
        <is>
          <t>Distribuidor Alimentos</t>
        </is>
      </c>
      <c r="E1809" t="n">
        <v>832.8</v>
      </c>
      <c r="F1809" t="n">
        <v>30.6</v>
      </c>
      <c r="G1809" t="n">
        <v>30</v>
      </c>
      <c r="J1809" t="inlineStr">
        <is>
          <t>M</t>
        </is>
      </c>
      <c r="K1809" t="n">
        <v>2024</v>
      </c>
      <c r="L1809" t="n">
        <v>9</v>
      </c>
      <c r="M1809" t="inlineStr">
        <is>
          <t>Chocolate em pó 50% 1 kg</t>
        </is>
      </c>
      <c r="N1809" t="inlineStr">
        <is>
          <t>Hotel / Motel / Pousada</t>
        </is>
      </c>
      <c r="O1809" t="n">
        <v>8</v>
      </c>
      <c r="P1809" t="n">
        <v>9</v>
      </c>
      <c r="Q1809" t="n">
        <v>0</v>
      </c>
    </row>
    <row r="1810">
      <c r="A1810" t="n">
        <v>2026</v>
      </c>
      <c r="B1810" t="n">
        <v>9</v>
      </c>
      <c r="C1810" t="inlineStr">
        <is>
          <t>Composto lácteo Alibralac 1 kg</t>
        </is>
      </c>
      <c r="D1810" t="inlineStr">
        <is>
          <t>Fábrica de Massas</t>
        </is>
      </c>
      <c r="E1810" t="n">
        <v>54.98</v>
      </c>
      <c r="F1810" t="n">
        <v>2.04</v>
      </c>
      <c r="G1810" t="n">
        <v>2</v>
      </c>
      <c r="J1810" t="inlineStr">
        <is>
          <t>A</t>
        </is>
      </c>
      <c r="K1810" t="n">
        <v>2024</v>
      </c>
      <c r="L1810" t="n">
        <v>10</v>
      </c>
      <c r="M1810" t="inlineStr">
        <is>
          <t>Chocolate em pó 50% 1 kg</t>
        </is>
      </c>
      <c r="N1810" t="inlineStr">
        <is>
          <t>Hotel / Motel / Pousada</t>
        </is>
      </c>
      <c r="O1810" t="n">
        <v>29</v>
      </c>
      <c r="P1810" t="n">
        <v>103</v>
      </c>
      <c r="Q1810" t="n">
        <v>29</v>
      </c>
    </row>
    <row r="1811">
      <c r="A1811" t="n">
        <v>2026</v>
      </c>
      <c r="B1811" t="n">
        <v>9</v>
      </c>
      <c r="C1811" t="inlineStr">
        <is>
          <t>Composto lácteo Alibralac 1 kg</t>
        </is>
      </c>
      <c r="D1811" t="inlineStr">
        <is>
          <t>Hamburgueria</t>
        </is>
      </c>
      <c r="E1811" t="n">
        <v>54.44</v>
      </c>
      <c r="F1811" t="n">
        <v>2.04</v>
      </c>
      <c r="G1811" t="n">
        <v>2</v>
      </c>
      <c r="J1811" t="inlineStr">
        <is>
          <t>M</t>
        </is>
      </c>
      <c r="K1811" t="n">
        <v>2024</v>
      </c>
      <c r="L1811" t="n">
        <v>10</v>
      </c>
      <c r="M1811" t="inlineStr">
        <is>
          <t>Chocolate em pó 50% 1 kg</t>
        </is>
      </c>
      <c r="N1811" t="inlineStr">
        <is>
          <t>Hotel / Motel / Pousada</t>
        </is>
      </c>
      <c r="O1811" t="n">
        <v>9</v>
      </c>
      <c r="P1811" t="n">
        <v>10</v>
      </c>
      <c r="Q1811" t="n">
        <v>0</v>
      </c>
    </row>
    <row r="1812">
      <c r="A1812" t="n">
        <v>2026</v>
      </c>
      <c r="B1812" t="n">
        <v>9</v>
      </c>
      <c r="C1812" t="inlineStr">
        <is>
          <t>Composto lácteo Alibralac 1 kg</t>
        </is>
      </c>
      <c r="D1812" t="inlineStr">
        <is>
          <t>Lanchonete / Cafeteria</t>
        </is>
      </c>
      <c r="E1812" t="n">
        <v>306</v>
      </c>
      <c r="F1812" t="n">
        <v>11.22</v>
      </c>
      <c r="G1812" t="n">
        <v>11</v>
      </c>
      <c r="J1812" t="inlineStr">
        <is>
          <t>A</t>
        </is>
      </c>
      <c r="K1812" t="n">
        <v>2024</v>
      </c>
      <c r="L1812" t="n">
        <v>11</v>
      </c>
      <c r="M1812" t="inlineStr">
        <is>
          <t>Chocolate em pó 50% 1 kg</t>
        </is>
      </c>
      <c r="N1812" t="inlineStr">
        <is>
          <t>Hotel / Motel / Pousada</t>
        </is>
      </c>
      <c r="O1812" t="n">
        <v>30</v>
      </c>
      <c r="P1812" t="n">
        <v>112</v>
      </c>
      <c r="Q1812" t="n">
        <v>30</v>
      </c>
    </row>
    <row r="1813">
      <c r="A1813" t="n">
        <v>2026</v>
      </c>
      <c r="B1813" t="n">
        <v>9</v>
      </c>
      <c r="C1813" t="inlineStr">
        <is>
          <t>Composto lácteo Alibralac 1 kg</t>
        </is>
      </c>
      <c r="D1813" t="inlineStr">
        <is>
          <t>Padaria</t>
        </is>
      </c>
      <c r="E1813" t="n">
        <v>274.9</v>
      </c>
      <c r="F1813" t="n">
        <v>10.2</v>
      </c>
      <c r="G1813" t="n">
        <v>10</v>
      </c>
      <c r="J1813" t="inlineStr">
        <is>
          <t>M</t>
        </is>
      </c>
      <c r="K1813" t="n">
        <v>2024</v>
      </c>
      <c r="L1813" t="n">
        <v>11</v>
      </c>
      <c r="M1813" t="inlineStr">
        <is>
          <t>Chocolate em pó 50% 1 kg</t>
        </is>
      </c>
      <c r="N1813" t="inlineStr">
        <is>
          <t>Hotel / Motel / Pousada</t>
        </is>
      </c>
      <c r="O1813" t="n">
        <v>7</v>
      </c>
      <c r="P1813" t="n">
        <v>9</v>
      </c>
      <c r="Q1813" t="n">
        <v>0</v>
      </c>
    </row>
    <row r="1814">
      <c r="A1814" t="n">
        <v>2026</v>
      </c>
      <c r="B1814" t="n">
        <v>9</v>
      </c>
      <c r="C1814" t="inlineStr">
        <is>
          <t>Composto lácteo Alibralac 1 kg</t>
        </is>
      </c>
      <c r="D1814" t="inlineStr">
        <is>
          <t>Pessoa Física</t>
        </is>
      </c>
      <c r="E1814" t="n">
        <v>489.6</v>
      </c>
      <c r="F1814" t="n">
        <v>18.36</v>
      </c>
      <c r="G1814" t="n">
        <v>18</v>
      </c>
      <c r="J1814" t="inlineStr">
        <is>
          <t>A</t>
        </is>
      </c>
      <c r="K1814" t="n">
        <v>2024</v>
      </c>
      <c r="L1814" t="n">
        <v>12</v>
      </c>
      <c r="M1814" t="inlineStr">
        <is>
          <t>Chocolate em pó 50% 1 kg</t>
        </is>
      </c>
      <c r="N1814" t="inlineStr">
        <is>
          <t>Hotel / Motel / Pousada</t>
        </is>
      </c>
      <c r="O1814" t="n">
        <v>30</v>
      </c>
      <c r="P1814" t="n">
        <v>119</v>
      </c>
      <c r="Q1814" t="n">
        <v>30</v>
      </c>
    </row>
    <row r="1815">
      <c r="A1815" t="n">
        <v>2026</v>
      </c>
      <c r="B1815" t="n">
        <v>9</v>
      </c>
      <c r="C1815" t="inlineStr">
        <is>
          <t>Composto lácteo Alibralac 1 kg</t>
        </is>
      </c>
      <c r="D1815" t="inlineStr">
        <is>
          <t>Restaurante / Cantina</t>
        </is>
      </c>
      <c r="E1815" t="n">
        <v>1197.56</v>
      </c>
      <c r="F1815" t="n">
        <v>44.88</v>
      </c>
      <c r="G1815" t="n">
        <v>44</v>
      </c>
      <c r="J1815" t="inlineStr">
        <is>
          <t>M</t>
        </is>
      </c>
      <c r="K1815" t="n">
        <v>2024</v>
      </c>
      <c r="L1815" t="n">
        <v>12</v>
      </c>
      <c r="M1815" t="inlineStr">
        <is>
          <t>Chocolate em pó 50% 1 kg</t>
        </is>
      </c>
      <c r="N1815" t="inlineStr">
        <is>
          <t>Hotel / Motel / Pousada</t>
        </is>
      </c>
      <c r="O1815" t="n">
        <v>6</v>
      </c>
      <c r="P1815" t="n">
        <v>7</v>
      </c>
      <c r="Q1815" t="n">
        <v>0</v>
      </c>
    </row>
    <row r="1816">
      <c r="A1816" t="n">
        <v>2026</v>
      </c>
      <c r="B1816" t="n">
        <v>9</v>
      </c>
      <c r="C1816" t="inlineStr">
        <is>
          <t>Composto lácteo Alibralac 1 kg</t>
        </is>
      </c>
      <c r="D1816" t="inlineStr">
        <is>
          <t>Supermercado</t>
        </is>
      </c>
      <c r="E1816" t="n">
        <v>222.08</v>
      </c>
      <c r="F1816" t="n">
        <v>8.16</v>
      </c>
      <c r="G1816" t="n">
        <v>8</v>
      </c>
      <c r="J1816" t="inlineStr">
        <is>
          <t>A</t>
        </is>
      </c>
      <c r="K1816" t="n">
        <v>2024</v>
      </c>
      <c r="L1816" t="n">
        <v>1</v>
      </c>
      <c r="M1816" t="inlineStr">
        <is>
          <t>Chocolate em pó 50% 1 kg</t>
        </is>
      </c>
      <c r="N1816" t="inlineStr">
        <is>
          <t>Hamburgueria</t>
        </is>
      </c>
      <c r="O1816" t="n">
        <v>1</v>
      </c>
      <c r="P1816" t="n">
        <v>1</v>
      </c>
      <c r="Q1816" t="n">
        <v>1</v>
      </c>
    </row>
    <row r="1817">
      <c r="A1817" t="n">
        <v>2026</v>
      </c>
      <c r="B1817" t="n">
        <v>9</v>
      </c>
      <c r="C1817" t="inlineStr">
        <is>
          <t>Composto lácteo Merilú 400 g</t>
        </is>
      </c>
      <c r="D1817" t="inlineStr">
        <is>
          <t>Esfiharia</t>
        </is>
      </c>
      <c r="E1817" t="n">
        <v>17.5</v>
      </c>
      <c r="F1817" t="n">
        <v>0.84</v>
      </c>
      <c r="G1817" t="n">
        <v>2</v>
      </c>
      <c r="J1817" t="inlineStr">
        <is>
          <t>M</t>
        </is>
      </c>
      <c r="K1817" t="n">
        <v>2024</v>
      </c>
      <c r="L1817" t="n">
        <v>1</v>
      </c>
      <c r="M1817" t="inlineStr">
        <is>
          <t>Chocolate em pó 50% 1 kg</t>
        </is>
      </c>
      <c r="N1817" t="inlineStr">
        <is>
          <t>Hamburgueria</t>
        </is>
      </c>
      <c r="O1817" t="n">
        <v>1</v>
      </c>
      <c r="P1817" t="n">
        <v>1</v>
      </c>
      <c r="Q1817" t="n">
        <v>0</v>
      </c>
    </row>
    <row r="1818">
      <c r="A1818" t="n">
        <v>2026</v>
      </c>
      <c r="B1818" t="n">
        <v>9</v>
      </c>
      <c r="C1818" t="inlineStr">
        <is>
          <t>Composto lácteo Merilú 400 g</t>
        </is>
      </c>
      <c r="D1818" t="inlineStr">
        <is>
          <t>Pizzaria</t>
        </is>
      </c>
      <c r="E1818" t="n">
        <v>401.8</v>
      </c>
      <c r="F1818" t="n">
        <v>18.9</v>
      </c>
      <c r="G1818" t="n">
        <v>45</v>
      </c>
      <c r="J1818" t="inlineStr">
        <is>
          <t>A</t>
        </is>
      </c>
      <c r="K1818" t="n">
        <v>2024</v>
      </c>
      <c r="L1818" t="n">
        <v>2</v>
      </c>
      <c r="M1818" t="inlineStr">
        <is>
          <t>Chocolate em pó 50% 1 kg</t>
        </is>
      </c>
      <c r="N1818" t="inlineStr">
        <is>
          <t>Hamburgueria</t>
        </is>
      </c>
      <c r="O1818" t="n">
        <v>2</v>
      </c>
      <c r="P1818" t="n">
        <v>3</v>
      </c>
      <c r="Q1818" t="n">
        <v>2</v>
      </c>
    </row>
    <row r="1819">
      <c r="A1819" t="n">
        <v>2026</v>
      </c>
      <c r="B1819" t="n">
        <v>9</v>
      </c>
      <c r="C1819" t="inlineStr">
        <is>
          <t>Composto lácteo Merilú 400 g</t>
        </is>
      </c>
      <c r="D1819" t="inlineStr">
        <is>
          <t>Restaurante / Cantina</t>
        </is>
      </c>
      <c r="E1819" t="n">
        <v>577.54</v>
      </c>
      <c r="F1819" t="n">
        <v>28.14</v>
      </c>
      <c r="G1819" t="n">
        <v>67</v>
      </c>
      <c r="J1819" t="inlineStr">
        <is>
          <t>M</t>
        </is>
      </c>
      <c r="K1819" t="n">
        <v>2024</v>
      </c>
      <c r="L1819" t="n">
        <v>2</v>
      </c>
      <c r="M1819" t="inlineStr">
        <is>
          <t>Chocolate em pó 50% 1 kg</t>
        </is>
      </c>
      <c r="N1819" t="inlineStr">
        <is>
          <t>Hamburgueria</t>
        </is>
      </c>
      <c r="O1819" t="n">
        <v>2</v>
      </c>
      <c r="P1819" t="n">
        <v>2</v>
      </c>
      <c r="Q1819" t="n">
        <v>0</v>
      </c>
    </row>
    <row r="1820">
      <c r="A1820" t="n">
        <v>2026</v>
      </c>
      <c r="B1820" t="n">
        <v>9</v>
      </c>
      <c r="C1820" t="inlineStr">
        <is>
          <t>Composto lácteo Merilú 400 g</t>
        </is>
      </c>
      <c r="D1820" t="inlineStr">
        <is>
          <t>Supermercado</t>
        </is>
      </c>
      <c r="E1820" t="n">
        <v>87.09999999999999</v>
      </c>
      <c r="F1820" t="n">
        <v>4.2</v>
      </c>
      <c r="G1820" t="n">
        <v>10</v>
      </c>
      <c r="J1820" t="inlineStr">
        <is>
          <t>A</t>
        </is>
      </c>
      <c r="K1820" t="n">
        <v>2024</v>
      </c>
      <c r="L1820" t="n">
        <v>3</v>
      </c>
      <c r="M1820" t="inlineStr">
        <is>
          <t>Chocolate em pó 50% 1 kg</t>
        </is>
      </c>
      <c r="N1820" t="inlineStr">
        <is>
          <t>Hamburgueria</t>
        </is>
      </c>
      <c r="O1820" t="n">
        <v>6</v>
      </c>
      <c r="P1820" t="n">
        <v>8</v>
      </c>
      <c r="Q1820" t="n">
        <v>6</v>
      </c>
    </row>
    <row r="1821">
      <c r="A1821" t="n">
        <v>2026</v>
      </c>
      <c r="B1821" t="n">
        <v>9</v>
      </c>
      <c r="C1821" t="inlineStr">
        <is>
          <t>Muçarela Mozzalet 2 kg</t>
        </is>
      </c>
      <c r="D1821" t="inlineStr">
        <is>
          <t>Fábrica de Massas</t>
        </is>
      </c>
      <c r="E1821" t="n">
        <v>4899</v>
      </c>
      <c r="F1821" t="n">
        <v>200</v>
      </c>
      <c r="G1821" t="n">
        <v>100</v>
      </c>
      <c r="J1821" t="inlineStr">
        <is>
          <t>M</t>
        </is>
      </c>
      <c r="K1821" t="n">
        <v>2024</v>
      </c>
      <c r="L1821" t="n">
        <v>3</v>
      </c>
      <c r="M1821" t="inlineStr">
        <is>
          <t>Chocolate em pó 50% 1 kg</t>
        </is>
      </c>
      <c r="N1821" t="inlineStr">
        <is>
          <t>Hamburgueria</t>
        </is>
      </c>
      <c r="O1821" t="n">
        <v>5</v>
      </c>
      <c r="P1821" t="n">
        <v>5</v>
      </c>
      <c r="Q1821" t="n">
        <v>0</v>
      </c>
    </row>
    <row r="1822">
      <c r="A1822" t="n">
        <v>2026</v>
      </c>
      <c r="B1822" t="n">
        <v>9</v>
      </c>
      <c r="C1822" t="inlineStr">
        <is>
          <t>Muçarela Mozzalet 2 kg</t>
        </is>
      </c>
      <c r="D1822" t="inlineStr">
        <is>
          <t>Pizzaria</t>
        </is>
      </c>
      <c r="E1822" t="n">
        <v>1992.14</v>
      </c>
      <c r="F1822" t="n">
        <v>80</v>
      </c>
      <c r="G1822" t="n">
        <v>40</v>
      </c>
      <c r="J1822" t="inlineStr">
        <is>
          <t>A</t>
        </is>
      </c>
      <c r="K1822" t="n">
        <v>2024</v>
      </c>
      <c r="L1822" t="n">
        <v>4</v>
      </c>
      <c r="M1822" t="inlineStr">
        <is>
          <t>Chocolate em pó 50% 1 kg</t>
        </is>
      </c>
      <c r="N1822" t="inlineStr">
        <is>
          <t>Hamburgueria</t>
        </is>
      </c>
      <c r="O1822" t="n">
        <v>6</v>
      </c>
      <c r="P1822" t="n">
        <v>9</v>
      </c>
      <c r="Q1822" t="n">
        <v>6</v>
      </c>
    </row>
    <row r="1823">
      <c r="A1823" t="n">
        <v>2026</v>
      </c>
      <c r="B1823" t="n">
        <v>9</v>
      </c>
      <c r="C1823" t="inlineStr">
        <is>
          <t>Muçarela Mozzalet 2 kg</t>
        </is>
      </c>
      <c r="D1823" t="inlineStr">
        <is>
          <t>Restaurante / Cantina</t>
        </is>
      </c>
      <c r="E1823" t="n">
        <v>35780</v>
      </c>
      <c r="F1823" t="n">
        <v>1500</v>
      </c>
      <c r="G1823" t="n">
        <v>750</v>
      </c>
      <c r="J1823" t="inlineStr">
        <is>
          <t>M</t>
        </is>
      </c>
      <c r="K1823" t="n">
        <v>2024</v>
      </c>
      <c r="L1823" t="n">
        <v>4</v>
      </c>
      <c r="M1823" t="inlineStr">
        <is>
          <t>Chocolate em pó 50% 1 kg</t>
        </is>
      </c>
      <c r="N1823" t="inlineStr">
        <is>
          <t>Hamburgueria</t>
        </is>
      </c>
      <c r="O1823" t="n">
        <v>1</v>
      </c>
      <c r="P1823" t="n">
        <v>1</v>
      </c>
      <c r="Q1823" t="n">
        <v>0</v>
      </c>
    </row>
    <row r="1824">
      <c r="A1824" t="n">
        <v>2026</v>
      </c>
      <c r="B1824" t="n">
        <v>9</v>
      </c>
      <c r="C1824" t="inlineStr">
        <is>
          <t>Muçarela Mozzana 2 kg</t>
        </is>
      </c>
      <c r="D1824" t="inlineStr">
        <is>
          <t>Adega</t>
        </is>
      </c>
      <c r="E1824" t="n">
        <v>1214.73</v>
      </c>
      <c r="F1824" t="n">
        <v>54.54</v>
      </c>
      <c r="G1824" t="n">
        <v>27</v>
      </c>
      <c r="J1824" t="inlineStr">
        <is>
          <t>A</t>
        </is>
      </c>
      <c r="K1824" t="n">
        <v>2024</v>
      </c>
      <c r="L1824" t="n">
        <v>5</v>
      </c>
      <c r="M1824" t="inlineStr">
        <is>
          <t>Chocolate em pó 50% 1 kg</t>
        </is>
      </c>
      <c r="N1824" t="inlineStr">
        <is>
          <t>Hamburgueria</t>
        </is>
      </c>
      <c r="O1824" t="n">
        <v>6</v>
      </c>
      <c r="P1824" t="n">
        <v>10</v>
      </c>
      <c r="Q1824" t="n">
        <v>6</v>
      </c>
    </row>
    <row r="1825">
      <c r="A1825" t="n">
        <v>2026</v>
      </c>
      <c r="B1825" t="n">
        <v>9</v>
      </c>
      <c r="C1825" t="inlineStr">
        <is>
          <t>Muçarela Mozzana 2 kg</t>
        </is>
      </c>
      <c r="D1825" t="inlineStr">
        <is>
          <t>Buffet</t>
        </is>
      </c>
      <c r="E1825" t="n">
        <v>2576.91</v>
      </c>
      <c r="F1825" t="n">
        <v>115.14</v>
      </c>
      <c r="G1825" t="n">
        <v>57</v>
      </c>
      <c r="J1825" t="inlineStr">
        <is>
          <t>M</t>
        </is>
      </c>
      <c r="K1825" t="n">
        <v>2024</v>
      </c>
      <c r="L1825" t="n">
        <v>5</v>
      </c>
      <c r="M1825" t="inlineStr">
        <is>
          <t>Chocolate em pó 50% 1 kg</t>
        </is>
      </c>
      <c r="N1825" t="inlineStr">
        <is>
          <t>Hamburgueria</t>
        </is>
      </c>
      <c r="O1825" t="n">
        <v>1</v>
      </c>
      <c r="P1825" t="n">
        <v>1</v>
      </c>
      <c r="Q1825" t="n">
        <v>0</v>
      </c>
    </row>
    <row r="1826">
      <c r="A1826" t="n">
        <v>2026</v>
      </c>
      <c r="B1826" t="n">
        <v>9</v>
      </c>
      <c r="C1826" t="inlineStr">
        <is>
          <t>Muçarela Mozzana 2 kg</t>
        </is>
      </c>
      <c r="D1826" t="inlineStr">
        <is>
          <t>Churrascaria</t>
        </is>
      </c>
      <c r="E1826" t="n">
        <v>89.23999999999999</v>
      </c>
      <c r="F1826" t="n">
        <v>4.04</v>
      </c>
      <c r="G1826" t="n">
        <v>2</v>
      </c>
      <c r="J1826" t="inlineStr">
        <is>
          <t>A</t>
        </is>
      </c>
      <c r="K1826" t="n">
        <v>2024</v>
      </c>
      <c r="L1826" t="n">
        <v>6</v>
      </c>
      <c r="M1826" t="inlineStr">
        <is>
          <t>Chocolate em pó 50% 1 kg</t>
        </is>
      </c>
      <c r="N1826" t="inlineStr">
        <is>
          <t>Hamburgueria</t>
        </is>
      </c>
      <c r="O1826" t="n">
        <v>7</v>
      </c>
      <c r="P1826" t="n">
        <v>15</v>
      </c>
      <c r="Q1826" t="n">
        <v>7</v>
      </c>
    </row>
    <row r="1827">
      <c r="A1827" t="n">
        <v>2026</v>
      </c>
      <c r="B1827" t="n">
        <v>9</v>
      </c>
      <c r="C1827" t="inlineStr">
        <is>
          <t>Muçarela Mozzana 2 kg</t>
        </is>
      </c>
      <c r="D1827" t="inlineStr">
        <is>
          <t>Cozinha Industrial</t>
        </is>
      </c>
      <c r="E1827" t="n">
        <v>13910.88</v>
      </c>
      <c r="F1827" t="n">
        <v>622.16</v>
      </c>
      <c r="G1827" t="n">
        <v>308</v>
      </c>
      <c r="J1827" t="inlineStr">
        <is>
          <t>M</t>
        </is>
      </c>
      <c r="K1827" t="n">
        <v>2024</v>
      </c>
      <c r="L1827" t="n">
        <v>6</v>
      </c>
      <c r="M1827" t="inlineStr">
        <is>
          <t>Chocolate em pó 50% 1 kg</t>
        </is>
      </c>
      <c r="N1827" t="inlineStr">
        <is>
          <t>Hamburgueria</t>
        </is>
      </c>
      <c r="O1827" t="n">
        <v>2</v>
      </c>
      <c r="P1827" t="n">
        <v>5</v>
      </c>
      <c r="Q1827" t="n">
        <v>0</v>
      </c>
    </row>
    <row r="1828">
      <c r="A1828" t="n">
        <v>2026</v>
      </c>
      <c r="B1828" t="n">
        <v>9</v>
      </c>
      <c r="C1828" t="inlineStr">
        <is>
          <t>Muçarela Mozzana 2 kg</t>
        </is>
      </c>
      <c r="D1828" t="inlineStr">
        <is>
          <t>Cozinha Oriental</t>
        </is>
      </c>
      <c r="E1828" t="n">
        <v>783</v>
      </c>
      <c r="F1828" t="n">
        <v>36.36</v>
      </c>
      <c r="G1828" t="n">
        <v>18</v>
      </c>
      <c r="J1828" t="inlineStr">
        <is>
          <t>A</t>
        </is>
      </c>
      <c r="K1828" t="n">
        <v>2024</v>
      </c>
      <c r="L1828" t="n">
        <v>7</v>
      </c>
      <c r="M1828" t="inlineStr">
        <is>
          <t>Chocolate em pó 50% 1 kg</t>
        </is>
      </c>
      <c r="N1828" t="inlineStr">
        <is>
          <t>Hamburgueria</t>
        </is>
      </c>
      <c r="O1828" t="n">
        <v>7</v>
      </c>
      <c r="P1828" t="n">
        <v>16</v>
      </c>
      <c r="Q1828" t="n">
        <v>7</v>
      </c>
    </row>
    <row r="1829">
      <c r="A1829" t="n">
        <v>2026</v>
      </c>
      <c r="B1829" t="n">
        <v>9</v>
      </c>
      <c r="C1829" t="inlineStr">
        <is>
          <t>Muçarela Mozzana 2 kg</t>
        </is>
      </c>
      <c r="D1829" t="inlineStr">
        <is>
          <t>Distribuidor Alimentos</t>
        </is>
      </c>
      <c r="E1829" t="n">
        <v>176.32</v>
      </c>
      <c r="F1829" t="n">
        <v>8.08</v>
      </c>
      <c r="G1829" t="n">
        <v>4</v>
      </c>
      <c r="J1829" t="inlineStr">
        <is>
          <t>M</t>
        </is>
      </c>
      <c r="K1829" t="n">
        <v>2024</v>
      </c>
      <c r="L1829" t="n">
        <v>7</v>
      </c>
      <c r="M1829" t="inlineStr">
        <is>
          <t>Chocolate em pó 50% 1 kg</t>
        </is>
      </c>
      <c r="N1829" t="inlineStr">
        <is>
          <t>Hamburgueria</t>
        </is>
      </c>
      <c r="O1829" t="n">
        <v>1</v>
      </c>
      <c r="P1829" t="n">
        <v>1</v>
      </c>
      <c r="Q1829" t="n">
        <v>0</v>
      </c>
    </row>
    <row r="1830">
      <c r="A1830" t="n">
        <v>2026</v>
      </c>
      <c r="B1830" t="n">
        <v>9</v>
      </c>
      <c r="C1830" t="inlineStr">
        <is>
          <t>Muçarela Mozzana 2 kg</t>
        </is>
      </c>
      <c r="D1830" t="inlineStr">
        <is>
          <t>Esfiharia</t>
        </is>
      </c>
      <c r="E1830" t="n">
        <v>10145.11</v>
      </c>
      <c r="F1830" t="n">
        <v>446.42</v>
      </c>
      <c r="G1830" t="n">
        <v>221</v>
      </c>
      <c r="J1830" t="inlineStr">
        <is>
          <t>A</t>
        </is>
      </c>
      <c r="K1830" t="n">
        <v>2024</v>
      </c>
      <c r="L1830" t="n">
        <v>8</v>
      </c>
      <c r="M1830" t="inlineStr">
        <is>
          <t>Chocolate em pó 50% 1 kg</t>
        </is>
      </c>
      <c r="N1830" t="inlineStr">
        <is>
          <t>Hamburgueria</t>
        </is>
      </c>
      <c r="O1830" t="n">
        <v>7</v>
      </c>
      <c r="P1830" t="n">
        <v>16</v>
      </c>
      <c r="Q1830" t="n">
        <v>7</v>
      </c>
    </row>
    <row r="1831">
      <c r="A1831" t="n">
        <v>2026</v>
      </c>
      <c r="B1831" t="n">
        <v>9</v>
      </c>
      <c r="C1831" t="inlineStr">
        <is>
          <t>Muçarela Mozzana 2 kg</t>
        </is>
      </c>
      <c r="D1831" t="inlineStr">
        <is>
          <t>Fábrica de Massas</t>
        </is>
      </c>
      <c r="E1831" t="n">
        <v>8454.290000000001</v>
      </c>
      <c r="F1831" t="n">
        <v>387.84</v>
      </c>
      <c r="G1831" t="n">
        <v>192</v>
      </c>
      <c r="J1831" t="inlineStr">
        <is>
          <t>A</t>
        </is>
      </c>
      <c r="K1831" t="n">
        <v>2024</v>
      </c>
      <c r="L1831" t="n">
        <v>9</v>
      </c>
      <c r="M1831" t="inlineStr">
        <is>
          <t>Chocolate em pó 50% 1 kg</t>
        </is>
      </c>
      <c r="N1831" t="inlineStr">
        <is>
          <t>Hamburgueria</t>
        </is>
      </c>
      <c r="O1831" t="n">
        <v>7</v>
      </c>
      <c r="P1831" t="n">
        <v>17</v>
      </c>
      <c r="Q1831" t="n">
        <v>7</v>
      </c>
    </row>
    <row r="1832">
      <c r="A1832" t="n">
        <v>2026</v>
      </c>
      <c r="B1832" t="n">
        <v>9</v>
      </c>
      <c r="C1832" t="inlineStr">
        <is>
          <t>Muçarela Mozzana 2 kg</t>
        </is>
      </c>
      <c r="D1832" t="inlineStr">
        <is>
          <t>Hamburgueria</t>
        </is>
      </c>
      <c r="E1832" t="n">
        <v>358.98</v>
      </c>
      <c r="F1832" t="n">
        <v>16.16</v>
      </c>
      <c r="G1832" t="n">
        <v>8</v>
      </c>
      <c r="J1832" t="inlineStr">
        <is>
          <t>M</t>
        </is>
      </c>
      <c r="K1832" t="n">
        <v>2024</v>
      </c>
      <c r="L1832" t="n">
        <v>9</v>
      </c>
      <c r="M1832" t="inlineStr">
        <is>
          <t>Chocolate em pó 50% 1 kg</t>
        </is>
      </c>
      <c r="N1832" t="inlineStr">
        <is>
          <t>Hamburgueria</t>
        </is>
      </c>
      <c r="O1832" t="n">
        <v>1</v>
      </c>
      <c r="P1832" t="n">
        <v>1</v>
      </c>
      <c r="Q1832" t="n">
        <v>0</v>
      </c>
    </row>
    <row r="1833">
      <c r="A1833" t="n">
        <v>2026</v>
      </c>
      <c r="B1833" t="n">
        <v>9</v>
      </c>
      <c r="C1833" t="inlineStr">
        <is>
          <t>Muçarela Mozzana 2 kg</t>
        </is>
      </c>
      <c r="D1833" t="inlineStr">
        <is>
          <t>Lanchonete / Cafeteria</t>
        </is>
      </c>
      <c r="E1833" t="n">
        <v>12442.89</v>
      </c>
      <c r="F1833" t="n">
        <v>559.54</v>
      </c>
      <c r="G1833" t="n">
        <v>277</v>
      </c>
      <c r="J1833" t="inlineStr">
        <is>
          <t>A</t>
        </is>
      </c>
      <c r="K1833" t="n">
        <v>2024</v>
      </c>
      <c r="L1833" t="n">
        <v>10</v>
      </c>
      <c r="M1833" t="inlineStr">
        <is>
          <t>Chocolate em pó 50% 1 kg</t>
        </is>
      </c>
      <c r="N1833" t="inlineStr">
        <is>
          <t>Hamburgueria</t>
        </is>
      </c>
      <c r="O1833" t="n">
        <v>7</v>
      </c>
      <c r="P1833" t="n">
        <v>17</v>
      </c>
      <c r="Q1833" t="n">
        <v>7</v>
      </c>
    </row>
    <row r="1834">
      <c r="A1834" t="n">
        <v>2026</v>
      </c>
      <c r="B1834" t="n">
        <v>9</v>
      </c>
      <c r="C1834" t="inlineStr">
        <is>
          <t>Muçarela Mozzana 2 kg</t>
        </is>
      </c>
      <c r="D1834" t="inlineStr">
        <is>
          <t>Mercearia / Sacolão</t>
        </is>
      </c>
      <c r="E1834" t="n">
        <v>8673.66</v>
      </c>
      <c r="F1834" t="n">
        <v>399.96</v>
      </c>
      <c r="G1834" t="n">
        <v>198</v>
      </c>
      <c r="J1834" t="inlineStr">
        <is>
          <t>A</t>
        </is>
      </c>
      <c r="K1834" t="n">
        <v>2024</v>
      </c>
      <c r="L1834" t="n">
        <v>11</v>
      </c>
      <c r="M1834" t="inlineStr">
        <is>
          <t>Chocolate em pó 50% 1 kg</t>
        </is>
      </c>
      <c r="N1834" t="inlineStr">
        <is>
          <t>Hamburgueria</t>
        </is>
      </c>
      <c r="O1834" t="n">
        <v>7</v>
      </c>
      <c r="P1834" t="n">
        <v>17</v>
      </c>
      <c r="Q1834" t="n">
        <v>7</v>
      </c>
    </row>
    <row r="1835">
      <c r="A1835" t="n">
        <v>2026</v>
      </c>
      <c r="B1835" t="n">
        <v>9</v>
      </c>
      <c r="C1835" t="inlineStr">
        <is>
          <t>Muçarela Mozzana 2 kg</t>
        </is>
      </c>
      <c r="D1835" t="inlineStr">
        <is>
          <t>Padaria</t>
        </is>
      </c>
      <c r="E1835" t="n">
        <v>1671.18</v>
      </c>
      <c r="F1835" t="n">
        <v>74.73999999999999</v>
      </c>
      <c r="G1835" t="n">
        <v>37</v>
      </c>
      <c r="J1835" t="inlineStr">
        <is>
          <t>A</t>
        </is>
      </c>
      <c r="K1835" t="n">
        <v>2024</v>
      </c>
      <c r="L1835" t="n">
        <v>12</v>
      </c>
      <c r="M1835" t="inlineStr">
        <is>
          <t>Chocolate em pó 50% 1 kg</t>
        </is>
      </c>
      <c r="N1835" t="inlineStr">
        <is>
          <t>Hamburgueria</t>
        </is>
      </c>
      <c r="O1835" t="n">
        <v>7</v>
      </c>
      <c r="P1835" t="n">
        <v>17</v>
      </c>
      <c r="Q1835" t="n">
        <v>7</v>
      </c>
    </row>
    <row r="1836">
      <c r="A1836" t="n">
        <v>2026</v>
      </c>
      <c r="B1836" t="n">
        <v>9</v>
      </c>
      <c r="C1836" t="inlineStr">
        <is>
          <t>Muçarela Mozzana 2 kg</t>
        </is>
      </c>
      <c r="D1836" t="inlineStr">
        <is>
          <t>Pastelaria</t>
        </is>
      </c>
      <c r="E1836" t="n">
        <v>3703.68</v>
      </c>
      <c r="F1836" t="n">
        <v>165.64</v>
      </c>
      <c r="G1836" t="n">
        <v>82</v>
      </c>
      <c r="J1836" t="inlineStr">
        <is>
          <t>A</t>
        </is>
      </c>
      <c r="K1836" t="n">
        <v>2024</v>
      </c>
      <c r="L1836" t="n">
        <v>2</v>
      </c>
      <c r="M1836" t="inlineStr">
        <is>
          <t>Chocolate em pó 50% 1 kg</t>
        </is>
      </c>
      <c r="N1836" t="inlineStr">
        <is>
          <t>Laticínios / Distribuidor</t>
        </is>
      </c>
      <c r="O1836" t="n">
        <v>1</v>
      </c>
      <c r="P1836" t="n">
        <v>1</v>
      </c>
      <c r="Q1836" t="n">
        <v>1</v>
      </c>
    </row>
    <row r="1837">
      <c r="A1837" t="n">
        <v>2026</v>
      </c>
      <c r="B1837" t="n">
        <v>9</v>
      </c>
      <c r="C1837" t="inlineStr">
        <is>
          <t>Muçarela Mozzana 2 kg</t>
        </is>
      </c>
      <c r="D1837" t="inlineStr">
        <is>
          <t>Pessoa Física</t>
        </is>
      </c>
      <c r="E1837" t="n">
        <v>28917.38</v>
      </c>
      <c r="F1837" t="n">
        <v>1321.08</v>
      </c>
      <c r="G1837" t="n">
        <v>654</v>
      </c>
      <c r="J1837" t="inlineStr">
        <is>
          <t>M</t>
        </is>
      </c>
      <c r="K1837" t="n">
        <v>2024</v>
      </c>
      <c r="L1837" t="n">
        <v>2</v>
      </c>
      <c r="M1837" t="inlineStr">
        <is>
          <t>Chocolate em pó 50% 1 kg</t>
        </is>
      </c>
      <c r="N1837" t="inlineStr">
        <is>
          <t>Laticínios / Distribuidor</t>
        </is>
      </c>
      <c r="O1837" t="n">
        <v>1</v>
      </c>
      <c r="P1837" t="n">
        <v>1</v>
      </c>
      <c r="Q1837" t="n">
        <v>0</v>
      </c>
    </row>
    <row r="1838">
      <c r="A1838" t="n">
        <v>2026</v>
      </c>
      <c r="B1838" t="n">
        <v>9</v>
      </c>
      <c r="C1838" t="inlineStr">
        <is>
          <t>Muçarela Mozzana 2 kg</t>
        </is>
      </c>
      <c r="D1838" t="inlineStr">
        <is>
          <t>Pizzaria</t>
        </is>
      </c>
      <c r="E1838" t="n">
        <v>210344.17</v>
      </c>
      <c r="F1838" t="n">
        <v>9421.280000000001</v>
      </c>
      <c r="G1838" t="n">
        <v>4664</v>
      </c>
      <c r="J1838" t="inlineStr">
        <is>
          <t>A</t>
        </is>
      </c>
      <c r="K1838" t="n">
        <v>2024</v>
      </c>
      <c r="L1838" t="n">
        <v>3</v>
      </c>
      <c r="M1838" t="inlineStr">
        <is>
          <t>Chocolate em pó 50% 1 kg</t>
        </is>
      </c>
      <c r="N1838" t="inlineStr">
        <is>
          <t>Laticínios / Distribuidor</t>
        </is>
      </c>
      <c r="O1838" t="n">
        <v>1</v>
      </c>
      <c r="P1838" t="n">
        <v>1</v>
      </c>
      <c r="Q1838" t="n">
        <v>1</v>
      </c>
    </row>
    <row r="1839">
      <c r="A1839" t="n">
        <v>2026</v>
      </c>
      <c r="B1839" t="n">
        <v>9</v>
      </c>
      <c r="C1839" t="inlineStr">
        <is>
          <t>Muçarela Mozzana 2 kg</t>
        </is>
      </c>
      <c r="D1839" t="inlineStr">
        <is>
          <t>Restaurante / Cantina</t>
        </is>
      </c>
      <c r="E1839" t="n">
        <v>27061.25</v>
      </c>
      <c r="F1839" t="n">
        <v>1234.22</v>
      </c>
      <c r="G1839" t="n">
        <v>611</v>
      </c>
      <c r="J1839" t="inlineStr">
        <is>
          <t>A</t>
        </is>
      </c>
      <c r="K1839" t="n">
        <v>2024</v>
      </c>
      <c r="L1839" t="n">
        <v>4</v>
      </c>
      <c r="M1839" t="inlineStr">
        <is>
          <t>Chocolate em pó 50% 1 kg</t>
        </is>
      </c>
      <c r="N1839" t="inlineStr">
        <is>
          <t>Laticínios / Distribuidor</t>
        </is>
      </c>
      <c r="O1839" t="n">
        <v>1</v>
      </c>
      <c r="P1839" t="n">
        <v>1</v>
      </c>
      <c r="Q1839" t="n">
        <v>1</v>
      </c>
    </row>
    <row r="1840">
      <c r="A1840" t="n">
        <v>2026</v>
      </c>
      <c r="B1840" t="n">
        <v>9</v>
      </c>
      <c r="C1840" t="inlineStr">
        <is>
          <t>Muçarela Mozzana 2 kg</t>
        </is>
      </c>
      <c r="D1840" t="inlineStr">
        <is>
          <t>Rotisserie</t>
        </is>
      </c>
      <c r="E1840" t="n">
        <v>9005.969999999999</v>
      </c>
      <c r="F1840" t="n">
        <v>410.06</v>
      </c>
      <c r="G1840" t="n">
        <v>203</v>
      </c>
      <c r="J1840" t="inlineStr">
        <is>
          <t>A</t>
        </is>
      </c>
      <c r="K1840" t="n">
        <v>2024</v>
      </c>
      <c r="L1840" t="n">
        <v>5</v>
      </c>
      <c r="M1840" t="inlineStr">
        <is>
          <t>Chocolate em pó 50% 1 kg</t>
        </is>
      </c>
      <c r="N1840" t="inlineStr">
        <is>
          <t>Laticínios / Distribuidor</t>
        </is>
      </c>
      <c r="O1840" t="n">
        <v>1</v>
      </c>
      <c r="P1840" t="n">
        <v>1</v>
      </c>
      <c r="Q1840" t="n">
        <v>1</v>
      </c>
    </row>
    <row r="1841">
      <c r="A1841" t="n">
        <v>2026</v>
      </c>
      <c r="B1841" t="n">
        <v>9</v>
      </c>
      <c r="C1841" t="inlineStr">
        <is>
          <t>Muçarela Mozzana 2 kg</t>
        </is>
      </c>
      <c r="D1841" t="inlineStr">
        <is>
          <t>Supermercado</t>
        </is>
      </c>
      <c r="E1841" t="n">
        <v>4255.73</v>
      </c>
      <c r="F1841" t="n">
        <v>179.78</v>
      </c>
      <c r="G1841" t="n">
        <v>89</v>
      </c>
      <c r="J1841" t="inlineStr">
        <is>
          <t>A</t>
        </is>
      </c>
      <c r="K1841" t="n">
        <v>2024</v>
      </c>
      <c r="L1841" t="n">
        <v>6</v>
      </c>
      <c r="M1841" t="inlineStr">
        <is>
          <t>Chocolate em pó 50% 1 kg</t>
        </is>
      </c>
      <c r="N1841" t="inlineStr">
        <is>
          <t>Laticínios / Distribuidor</t>
        </is>
      </c>
      <c r="O1841" t="n">
        <v>1</v>
      </c>
      <c r="P1841" t="n">
        <v>1</v>
      </c>
      <c r="Q1841" t="n">
        <v>1</v>
      </c>
    </row>
    <row r="1842">
      <c r="J1842" t="inlineStr">
        <is>
          <t>A</t>
        </is>
      </c>
      <c r="K1842" t="n">
        <v>2024</v>
      </c>
      <c r="L1842" t="n">
        <v>7</v>
      </c>
      <c r="M1842" t="inlineStr">
        <is>
          <t>Chocolate em pó 50% 1 kg</t>
        </is>
      </c>
      <c r="N1842" t="inlineStr">
        <is>
          <t>Laticínios / Distribuidor</t>
        </is>
      </c>
      <c r="O1842" t="n">
        <v>1</v>
      </c>
      <c r="P1842" t="n">
        <v>1</v>
      </c>
      <c r="Q1842" t="n">
        <v>1</v>
      </c>
    </row>
    <row r="1843">
      <c r="J1843" t="inlineStr">
        <is>
          <t>A</t>
        </is>
      </c>
      <c r="K1843" t="n">
        <v>2024</v>
      </c>
      <c r="L1843" t="n">
        <v>8</v>
      </c>
      <c r="M1843" t="inlineStr">
        <is>
          <t>Chocolate em pó 50% 1 kg</t>
        </is>
      </c>
      <c r="N1843" t="inlineStr">
        <is>
          <t>Laticínios / Distribuidor</t>
        </is>
      </c>
      <c r="O1843" t="n">
        <v>1</v>
      </c>
      <c r="P1843" t="n">
        <v>1</v>
      </c>
      <c r="Q1843" t="n">
        <v>1</v>
      </c>
    </row>
    <row r="1844">
      <c r="J1844" t="inlineStr">
        <is>
          <t>A</t>
        </is>
      </c>
      <c r="K1844" t="n">
        <v>2024</v>
      </c>
      <c r="L1844" t="n">
        <v>9</v>
      </c>
      <c r="M1844" t="inlineStr">
        <is>
          <t>Chocolate em pó 50% 1 kg</t>
        </is>
      </c>
      <c r="N1844" t="inlineStr">
        <is>
          <t>Laticínios / Distribuidor</t>
        </is>
      </c>
      <c r="O1844" t="n">
        <v>1</v>
      </c>
      <c r="P1844" t="n">
        <v>1</v>
      </c>
      <c r="Q1844" t="n">
        <v>1</v>
      </c>
    </row>
    <row r="1845">
      <c r="J1845" t="inlineStr">
        <is>
          <t>A</t>
        </is>
      </c>
      <c r="K1845" t="n">
        <v>2024</v>
      </c>
      <c r="L1845" t="n">
        <v>10</v>
      </c>
      <c r="M1845" t="inlineStr">
        <is>
          <t>Chocolate em pó 50% 1 kg</t>
        </is>
      </c>
      <c r="N1845" t="inlineStr">
        <is>
          <t>Laticínios / Distribuidor</t>
        </is>
      </c>
      <c r="O1845" t="n">
        <v>1</v>
      </c>
      <c r="P1845" t="n">
        <v>1</v>
      </c>
      <c r="Q1845" t="n">
        <v>1</v>
      </c>
    </row>
    <row r="1846">
      <c r="J1846" t="inlineStr">
        <is>
          <t>A</t>
        </is>
      </c>
      <c r="K1846" t="n">
        <v>2024</v>
      </c>
      <c r="L1846" t="n">
        <v>11</v>
      </c>
      <c r="M1846" t="inlineStr">
        <is>
          <t>Chocolate em pó 50% 1 kg</t>
        </is>
      </c>
      <c r="N1846" t="inlineStr">
        <is>
          <t>Laticínios / Distribuidor</t>
        </is>
      </c>
      <c r="O1846" t="n">
        <v>1</v>
      </c>
      <c r="P1846" t="n">
        <v>1</v>
      </c>
      <c r="Q1846" t="n">
        <v>1</v>
      </c>
    </row>
    <row r="1847">
      <c r="J1847" t="inlineStr">
        <is>
          <t>A</t>
        </is>
      </c>
      <c r="K1847" t="n">
        <v>2024</v>
      </c>
      <c r="L1847" t="n">
        <v>12</v>
      </c>
      <c r="M1847" t="inlineStr">
        <is>
          <t>Chocolate em pó 50% 1 kg</t>
        </is>
      </c>
      <c r="N1847" t="inlineStr">
        <is>
          <t>Laticínios / Distribuidor</t>
        </is>
      </c>
      <c r="O1847" t="n">
        <v>1</v>
      </c>
      <c r="P1847" t="n">
        <v>1</v>
      </c>
      <c r="Q1847" t="n">
        <v>1</v>
      </c>
    </row>
    <row r="1848">
      <c r="J1848" t="inlineStr">
        <is>
          <t>A</t>
        </is>
      </c>
      <c r="K1848" t="n">
        <v>2024</v>
      </c>
      <c r="L1848" t="n">
        <v>9</v>
      </c>
      <c r="M1848" t="inlineStr">
        <is>
          <t>Chocolate em pó 50% 1 kg</t>
        </is>
      </c>
      <c r="N1848" t="inlineStr">
        <is>
          <t>Cozinha Oriental</t>
        </is>
      </c>
      <c r="O1848" t="n">
        <v>2</v>
      </c>
      <c r="P1848" t="n">
        <v>2</v>
      </c>
      <c r="Q1848" t="n">
        <v>2</v>
      </c>
    </row>
    <row r="1849">
      <c r="J1849" t="inlineStr">
        <is>
          <t>M</t>
        </is>
      </c>
      <c r="K1849" t="n">
        <v>2024</v>
      </c>
      <c r="L1849" t="n">
        <v>9</v>
      </c>
      <c r="M1849" t="inlineStr">
        <is>
          <t>Chocolate em pó 50% 1 kg</t>
        </is>
      </c>
      <c r="N1849" t="inlineStr">
        <is>
          <t>Cozinha Oriental</t>
        </is>
      </c>
      <c r="O1849" t="n">
        <v>2</v>
      </c>
      <c r="P1849" t="n">
        <v>2</v>
      </c>
      <c r="Q1849" t="n">
        <v>0</v>
      </c>
    </row>
    <row r="1850">
      <c r="J1850" t="inlineStr">
        <is>
          <t>A</t>
        </is>
      </c>
      <c r="K1850" t="n">
        <v>2024</v>
      </c>
      <c r="L1850" t="n">
        <v>10</v>
      </c>
      <c r="M1850" t="inlineStr">
        <is>
          <t>Chocolate em pó 50% 1 kg</t>
        </is>
      </c>
      <c r="N1850" t="inlineStr">
        <is>
          <t>Cozinha Oriental</t>
        </is>
      </c>
      <c r="O1850" t="n">
        <v>2</v>
      </c>
      <c r="P1850" t="n">
        <v>2</v>
      </c>
      <c r="Q1850" t="n">
        <v>2</v>
      </c>
    </row>
    <row r="1851">
      <c r="J1851" t="inlineStr">
        <is>
          <t>A</t>
        </is>
      </c>
      <c r="K1851" t="n">
        <v>2024</v>
      </c>
      <c r="L1851" t="n">
        <v>11</v>
      </c>
      <c r="M1851" t="inlineStr">
        <is>
          <t>Chocolate em pó 50% 1 kg</t>
        </is>
      </c>
      <c r="N1851" t="inlineStr">
        <is>
          <t>Cozinha Oriental</t>
        </is>
      </c>
      <c r="O1851" t="n">
        <v>2</v>
      </c>
      <c r="P1851" t="n">
        <v>2</v>
      </c>
      <c r="Q1851" t="n">
        <v>2</v>
      </c>
    </row>
    <row r="1852">
      <c r="J1852" t="inlineStr">
        <is>
          <t>A</t>
        </is>
      </c>
      <c r="K1852" t="n">
        <v>2024</v>
      </c>
      <c r="L1852" t="n">
        <v>12</v>
      </c>
      <c r="M1852" t="inlineStr">
        <is>
          <t>Chocolate em pó 50% 1 kg</t>
        </is>
      </c>
      <c r="N1852" t="inlineStr">
        <is>
          <t>Cozinha Oriental</t>
        </is>
      </c>
      <c r="O1852" t="n">
        <v>2</v>
      </c>
      <c r="P1852" t="n">
        <v>2</v>
      </c>
      <c r="Q1852" t="n">
        <v>2</v>
      </c>
    </row>
    <row r="1853">
      <c r="J1853" t="inlineStr">
        <is>
          <t>A</t>
        </is>
      </c>
      <c r="K1853" t="n">
        <v>2024</v>
      </c>
      <c r="L1853" t="n">
        <v>1</v>
      </c>
      <c r="M1853" t="inlineStr">
        <is>
          <t>Chocolate em pó 50% 1 kg</t>
        </is>
      </c>
      <c r="N1853" t="inlineStr">
        <is>
          <t>Bar / Chopperia</t>
        </is>
      </c>
      <c r="O1853" t="n">
        <v>1</v>
      </c>
      <c r="P1853" t="n">
        <v>1</v>
      </c>
      <c r="Q1853" t="n">
        <v>1</v>
      </c>
    </row>
    <row r="1854">
      <c r="J1854" t="inlineStr">
        <is>
          <t>M</t>
        </is>
      </c>
      <c r="K1854" t="n">
        <v>2024</v>
      </c>
      <c r="L1854" t="n">
        <v>1</v>
      </c>
      <c r="M1854" t="inlineStr">
        <is>
          <t>Chocolate em pó 50% 1 kg</t>
        </is>
      </c>
      <c r="N1854" t="inlineStr">
        <is>
          <t>Bar / Chopperia</t>
        </is>
      </c>
      <c r="O1854" t="n">
        <v>1</v>
      </c>
      <c r="P1854" t="n">
        <v>1</v>
      </c>
      <c r="Q1854" t="n">
        <v>0</v>
      </c>
    </row>
    <row r="1855">
      <c r="J1855" t="inlineStr">
        <is>
          <t>A</t>
        </is>
      </c>
      <c r="K1855" t="n">
        <v>2024</v>
      </c>
      <c r="L1855" t="n">
        <v>2</v>
      </c>
      <c r="M1855" t="inlineStr">
        <is>
          <t>Chocolate em pó 50% 1 kg</t>
        </is>
      </c>
      <c r="N1855" t="inlineStr">
        <is>
          <t>Bar / Chopperia</t>
        </is>
      </c>
      <c r="O1855" t="n">
        <v>2</v>
      </c>
      <c r="P1855" t="n">
        <v>2</v>
      </c>
      <c r="Q1855" t="n">
        <v>2</v>
      </c>
    </row>
    <row r="1856">
      <c r="J1856" t="inlineStr">
        <is>
          <t>M</t>
        </is>
      </c>
      <c r="K1856" t="n">
        <v>2024</v>
      </c>
      <c r="L1856" t="n">
        <v>2</v>
      </c>
      <c r="M1856" t="inlineStr">
        <is>
          <t>Chocolate em pó 50% 1 kg</t>
        </is>
      </c>
      <c r="N1856" t="inlineStr">
        <is>
          <t>Bar / Chopperia</t>
        </is>
      </c>
      <c r="O1856" t="n">
        <v>1</v>
      </c>
      <c r="P1856" t="n">
        <v>1</v>
      </c>
      <c r="Q1856" t="n">
        <v>0</v>
      </c>
    </row>
    <row r="1857">
      <c r="J1857" t="inlineStr">
        <is>
          <t>A</t>
        </is>
      </c>
      <c r="K1857" t="n">
        <v>2024</v>
      </c>
      <c r="L1857" t="n">
        <v>3</v>
      </c>
      <c r="M1857" t="inlineStr">
        <is>
          <t>Chocolate em pó 50% 1 kg</t>
        </is>
      </c>
      <c r="N1857" t="inlineStr">
        <is>
          <t>Bar / Chopperia</t>
        </is>
      </c>
      <c r="O1857" t="n">
        <v>2</v>
      </c>
      <c r="P1857" t="n">
        <v>2</v>
      </c>
      <c r="Q1857" t="n">
        <v>2</v>
      </c>
    </row>
    <row r="1858">
      <c r="J1858" t="inlineStr">
        <is>
          <t>A</t>
        </is>
      </c>
      <c r="K1858" t="n">
        <v>2024</v>
      </c>
      <c r="L1858" t="n">
        <v>4</v>
      </c>
      <c r="M1858" t="inlineStr">
        <is>
          <t>Chocolate em pó 50% 1 kg</t>
        </is>
      </c>
      <c r="N1858" t="inlineStr">
        <is>
          <t>Bar / Chopperia</t>
        </is>
      </c>
      <c r="O1858" t="n">
        <v>2</v>
      </c>
      <c r="P1858" t="n">
        <v>2</v>
      </c>
      <c r="Q1858" t="n">
        <v>2</v>
      </c>
    </row>
    <row r="1859">
      <c r="J1859" t="inlineStr">
        <is>
          <t>A</t>
        </is>
      </c>
      <c r="K1859" t="n">
        <v>2024</v>
      </c>
      <c r="L1859" t="n">
        <v>5</v>
      </c>
      <c r="M1859" t="inlineStr">
        <is>
          <t>Chocolate em pó 50% 1 kg</t>
        </is>
      </c>
      <c r="N1859" t="inlineStr">
        <is>
          <t>Bar / Chopperia</t>
        </is>
      </c>
      <c r="O1859" t="n">
        <v>4</v>
      </c>
      <c r="P1859" t="n">
        <v>4</v>
      </c>
      <c r="Q1859" t="n">
        <v>4</v>
      </c>
    </row>
    <row r="1860">
      <c r="J1860" t="inlineStr">
        <is>
          <t>M</t>
        </is>
      </c>
      <c r="K1860" t="n">
        <v>2024</v>
      </c>
      <c r="L1860" t="n">
        <v>5</v>
      </c>
      <c r="M1860" t="inlineStr">
        <is>
          <t>Chocolate em pó 50% 1 kg</t>
        </is>
      </c>
      <c r="N1860" t="inlineStr">
        <is>
          <t>Bar / Chopperia</t>
        </is>
      </c>
      <c r="O1860" t="n">
        <v>2</v>
      </c>
      <c r="P1860" t="n">
        <v>2</v>
      </c>
      <c r="Q1860" t="n">
        <v>0</v>
      </c>
    </row>
    <row r="1861">
      <c r="J1861" t="inlineStr">
        <is>
          <t>A</t>
        </is>
      </c>
      <c r="K1861" t="n">
        <v>2024</v>
      </c>
      <c r="L1861" t="n">
        <v>6</v>
      </c>
      <c r="M1861" t="inlineStr">
        <is>
          <t>Chocolate em pó 50% 1 kg</t>
        </is>
      </c>
      <c r="N1861" t="inlineStr">
        <is>
          <t>Bar / Chopperia</t>
        </is>
      </c>
      <c r="O1861" t="n">
        <v>4</v>
      </c>
      <c r="P1861" t="n">
        <v>4</v>
      </c>
      <c r="Q1861" t="n">
        <v>4</v>
      </c>
    </row>
    <row r="1862">
      <c r="J1862" t="inlineStr">
        <is>
          <t>A</t>
        </is>
      </c>
      <c r="K1862" t="n">
        <v>2024</v>
      </c>
      <c r="L1862" t="n">
        <v>7</v>
      </c>
      <c r="M1862" t="inlineStr">
        <is>
          <t>Chocolate em pó 50% 1 kg</t>
        </is>
      </c>
      <c r="N1862" t="inlineStr">
        <is>
          <t>Bar / Chopperia</t>
        </is>
      </c>
      <c r="O1862" t="n">
        <v>4</v>
      </c>
      <c r="P1862" t="n">
        <v>4</v>
      </c>
      <c r="Q1862" t="n">
        <v>4</v>
      </c>
    </row>
    <row r="1863">
      <c r="J1863" t="inlineStr">
        <is>
          <t>A</t>
        </is>
      </c>
      <c r="K1863" t="n">
        <v>2024</v>
      </c>
      <c r="L1863" t="n">
        <v>8</v>
      </c>
      <c r="M1863" t="inlineStr">
        <is>
          <t>Chocolate em pó 50% 1 kg</t>
        </is>
      </c>
      <c r="N1863" t="inlineStr">
        <is>
          <t>Bar / Chopperia</t>
        </is>
      </c>
      <c r="O1863" t="n">
        <v>4</v>
      </c>
      <c r="P1863" t="n">
        <v>4</v>
      </c>
      <c r="Q1863" t="n">
        <v>4</v>
      </c>
    </row>
    <row r="1864">
      <c r="J1864" t="inlineStr">
        <is>
          <t>A</t>
        </is>
      </c>
      <c r="K1864" t="n">
        <v>2024</v>
      </c>
      <c r="L1864" t="n">
        <v>9</v>
      </c>
      <c r="M1864" t="inlineStr">
        <is>
          <t>Chocolate em pó 50% 1 kg</t>
        </is>
      </c>
      <c r="N1864" t="inlineStr">
        <is>
          <t>Bar / Chopperia</t>
        </is>
      </c>
      <c r="O1864" t="n">
        <v>4</v>
      </c>
      <c r="P1864" t="n">
        <v>4</v>
      </c>
      <c r="Q1864" t="n">
        <v>4</v>
      </c>
    </row>
    <row r="1865">
      <c r="J1865" t="inlineStr">
        <is>
          <t>A</t>
        </is>
      </c>
      <c r="K1865" t="n">
        <v>2024</v>
      </c>
      <c r="L1865" t="n">
        <v>10</v>
      </c>
      <c r="M1865" t="inlineStr">
        <is>
          <t>Chocolate em pó 50% 1 kg</t>
        </is>
      </c>
      <c r="N1865" t="inlineStr">
        <is>
          <t>Bar / Chopperia</t>
        </is>
      </c>
      <c r="O1865" t="n">
        <v>4</v>
      </c>
      <c r="P1865" t="n">
        <v>4</v>
      </c>
      <c r="Q1865" t="n">
        <v>4</v>
      </c>
    </row>
    <row r="1866">
      <c r="J1866" t="inlineStr">
        <is>
          <t>A</t>
        </is>
      </c>
      <c r="K1866" t="n">
        <v>2024</v>
      </c>
      <c r="L1866" t="n">
        <v>11</v>
      </c>
      <c r="M1866" t="inlineStr">
        <is>
          <t>Chocolate em pó 50% 1 kg</t>
        </is>
      </c>
      <c r="N1866" t="inlineStr">
        <is>
          <t>Bar / Chopperia</t>
        </is>
      </c>
      <c r="O1866" t="n">
        <v>4</v>
      </c>
      <c r="P1866" t="n">
        <v>4</v>
      </c>
      <c r="Q1866" t="n">
        <v>4</v>
      </c>
    </row>
    <row r="1867">
      <c r="J1867" t="inlineStr">
        <is>
          <t>A</t>
        </is>
      </c>
      <c r="K1867" t="n">
        <v>2024</v>
      </c>
      <c r="L1867" t="n">
        <v>12</v>
      </c>
      <c r="M1867" t="inlineStr">
        <is>
          <t>Chocolate em pó 50% 1 kg</t>
        </is>
      </c>
      <c r="N1867" t="inlineStr">
        <is>
          <t>Bar / Chopperia</t>
        </is>
      </c>
      <c r="O1867" t="n">
        <v>4</v>
      </c>
      <c r="P1867" t="n">
        <v>5</v>
      </c>
      <c r="Q1867" t="n">
        <v>4</v>
      </c>
    </row>
    <row r="1868">
      <c r="J1868" t="inlineStr">
        <is>
          <t>M</t>
        </is>
      </c>
      <c r="K1868" t="n">
        <v>2024</v>
      </c>
      <c r="L1868" t="n">
        <v>12</v>
      </c>
      <c r="M1868" t="inlineStr">
        <is>
          <t>Chocolate em pó 50% 1 kg</t>
        </is>
      </c>
      <c r="N1868" t="inlineStr">
        <is>
          <t>Bar / Chopperia</t>
        </is>
      </c>
      <c r="O1868" t="n">
        <v>1</v>
      </c>
      <c r="P1868" t="n">
        <v>1</v>
      </c>
      <c r="Q1868" t="n">
        <v>0</v>
      </c>
    </row>
    <row r="1869">
      <c r="J1869" t="inlineStr">
        <is>
          <t>A</t>
        </is>
      </c>
      <c r="K1869" t="n">
        <v>2024</v>
      </c>
      <c r="L1869" t="n">
        <v>3</v>
      </c>
      <c r="M1869" t="inlineStr">
        <is>
          <t>Chocolate em pó 50% 1 kg</t>
        </is>
      </c>
      <c r="N1869" t="inlineStr">
        <is>
          <t>Confeitaria</t>
        </is>
      </c>
      <c r="O1869" t="n">
        <v>1</v>
      </c>
      <c r="P1869" t="n">
        <v>1</v>
      </c>
      <c r="Q1869" t="n">
        <v>1</v>
      </c>
    </row>
    <row r="1870">
      <c r="J1870" t="inlineStr">
        <is>
          <t>M</t>
        </is>
      </c>
      <c r="K1870" t="n">
        <v>2024</v>
      </c>
      <c r="L1870" t="n">
        <v>3</v>
      </c>
      <c r="M1870" t="inlineStr">
        <is>
          <t>Chocolate em pó 50% 1 kg</t>
        </is>
      </c>
      <c r="N1870" t="inlineStr">
        <is>
          <t>Confeitaria</t>
        </is>
      </c>
      <c r="O1870" t="n">
        <v>1</v>
      </c>
      <c r="P1870" t="n">
        <v>1</v>
      </c>
      <c r="Q1870" t="n">
        <v>0</v>
      </c>
    </row>
    <row r="1871">
      <c r="J1871" t="inlineStr">
        <is>
          <t>A</t>
        </is>
      </c>
      <c r="K1871" t="n">
        <v>2024</v>
      </c>
      <c r="L1871" t="n">
        <v>4</v>
      </c>
      <c r="M1871" t="inlineStr">
        <is>
          <t>Chocolate em pó 50% 1 kg</t>
        </is>
      </c>
      <c r="N1871" t="inlineStr">
        <is>
          <t>Confeitaria</t>
        </is>
      </c>
      <c r="O1871" t="n">
        <v>1</v>
      </c>
      <c r="P1871" t="n">
        <v>1</v>
      </c>
      <c r="Q1871" t="n">
        <v>1</v>
      </c>
    </row>
    <row r="1872">
      <c r="J1872" t="inlineStr">
        <is>
          <t>A</t>
        </is>
      </c>
      <c r="K1872" t="n">
        <v>2024</v>
      </c>
      <c r="L1872" t="n">
        <v>5</v>
      </c>
      <c r="M1872" t="inlineStr">
        <is>
          <t>Chocolate em pó 50% 1 kg</t>
        </is>
      </c>
      <c r="N1872" t="inlineStr">
        <is>
          <t>Confeitaria</t>
        </is>
      </c>
      <c r="O1872" t="n">
        <v>1</v>
      </c>
      <c r="P1872" t="n">
        <v>1</v>
      </c>
      <c r="Q1872" t="n">
        <v>1</v>
      </c>
    </row>
    <row r="1873">
      <c r="J1873" t="inlineStr">
        <is>
          <t>A</t>
        </is>
      </c>
      <c r="K1873" t="n">
        <v>2024</v>
      </c>
      <c r="L1873" t="n">
        <v>6</v>
      </c>
      <c r="M1873" t="inlineStr">
        <is>
          <t>Chocolate em pó 50% 1 kg</t>
        </is>
      </c>
      <c r="N1873" t="inlineStr">
        <is>
          <t>Confeitaria</t>
        </is>
      </c>
      <c r="O1873" t="n">
        <v>1</v>
      </c>
      <c r="P1873" t="n">
        <v>1</v>
      </c>
      <c r="Q1873" t="n">
        <v>1</v>
      </c>
    </row>
    <row r="1874">
      <c r="J1874" t="inlineStr">
        <is>
          <t>A</t>
        </is>
      </c>
      <c r="K1874" t="n">
        <v>2024</v>
      </c>
      <c r="L1874" t="n">
        <v>7</v>
      </c>
      <c r="M1874" t="inlineStr">
        <is>
          <t>Chocolate em pó 50% 1 kg</t>
        </is>
      </c>
      <c r="N1874" t="inlineStr">
        <is>
          <t>Confeitaria</t>
        </is>
      </c>
      <c r="O1874" t="n">
        <v>1</v>
      </c>
      <c r="P1874" t="n">
        <v>1</v>
      </c>
      <c r="Q1874" t="n">
        <v>1</v>
      </c>
    </row>
    <row r="1875">
      <c r="J1875" t="inlineStr">
        <is>
          <t>A</t>
        </is>
      </c>
      <c r="K1875" t="n">
        <v>2024</v>
      </c>
      <c r="L1875" t="n">
        <v>8</v>
      </c>
      <c r="M1875" t="inlineStr">
        <is>
          <t>Chocolate em pó 50% 1 kg</t>
        </is>
      </c>
      <c r="N1875" t="inlineStr">
        <is>
          <t>Confeitaria</t>
        </is>
      </c>
      <c r="O1875" t="n">
        <v>1</v>
      </c>
      <c r="P1875" t="n">
        <v>1</v>
      </c>
      <c r="Q1875" t="n">
        <v>1</v>
      </c>
    </row>
    <row r="1876">
      <c r="J1876" t="inlineStr">
        <is>
          <t>A</t>
        </is>
      </c>
      <c r="K1876" t="n">
        <v>2024</v>
      </c>
      <c r="L1876" t="n">
        <v>9</v>
      </c>
      <c r="M1876" t="inlineStr">
        <is>
          <t>Chocolate em pó 50% 1 kg</t>
        </is>
      </c>
      <c r="N1876" t="inlineStr">
        <is>
          <t>Confeitaria</t>
        </is>
      </c>
      <c r="O1876" t="n">
        <v>3</v>
      </c>
      <c r="P1876" t="n">
        <v>3</v>
      </c>
      <c r="Q1876" t="n">
        <v>3</v>
      </c>
    </row>
    <row r="1877">
      <c r="J1877" t="inlineStr">
        <is>
          <t>M</t>
        </is>
      </c>
      <c r="K1877" t="n">
        <v>2024</v>
      </c>
      <c r="L1877" t="n">
        <v>9</v>
      </c>
      <c r="M1877" t="inlineStr">
        <is>
          <t>Chocolate em pó 50% 1 kg</t>
        </is>
      </c>
      <c r="N1877" t="inlineStr">
        <is>
          <t>Confeitaria</t>
        </is>
      </c>
      <c r="O1877" t="n">
        <v>2</v>
      </c>
      <c r="P1877" t="n">
        <v>2</v>
      </c>
      <c r="Q1877" t="n">
        <v>0</v>
      </c>
    </row>
    <row r="1878">
      <c r="J1878" t="inlineStr">
        <is>
          <t>A</t>
        </is>
      </c>
      <c r="K1878" t="n">
        <v>2024</v>
      </c>
      <c r="L1878" t="n">
        <v>10</v>
      </c>
      <c r="M1878" t="inlineStr">
        <is>
          <t>Chocolate em pó 50% 1 kg</t>
        </is>
      </c>
      <c r="N1878" t="inlineStr">
        <is>
          <t>Confeitaria</t>
        </is>
      </c>
      <c r="O1878" t="n">
        <v>4</v>
      </c>
      <c r="P1878" t="n">
        <v>4</v>
      </c>
      <c r="Q1878" t="n">
        <v>4</v>
      </c>
    </row>
    <row r="1879">
      <c r="J1879" t="inlineStr">
        <is>
          <t>M</t>
        </is>
      </c>
      <c r="K1879" t="n">
        <v>2024</v>
      </c>
      <c r="L1879" t="n">
        <v>10</v>
      </c>
      <c r="M1879" t="inlineStr">
        <is>
          <t>Chocolate em pó 50% 1 kg</t>
        </is>
      </c>
      <c r="N1879" t="inlineStr">
        <is>
          <t>Confeitaria</t>
        </is>
      </c>
      <c r="O1879" t="n">
        <v>1</v>
      </c>
      <c r="P1879" t="n">
        <v>1</v>
      </c>
      <c r="Q1879" t="n">
        <v>0</v>
      </c>
    </row>
    <row r="1880">
      <c r="J1880" t="inlineStr">
        <is>
          <t>A</t>
        </is>
      </c>
      <c r="K1880" t="n">
        <v>2024</v>
      </c>
      <c r="L1880" t="n">
        <v>11</v>
      </c>
      <c r="M1880" t="inlineStr">
        <is>
          <t>Chocolate em pó 50% 1 kg</t>
        </is>
      </c>
      <c r="N1880" t="inlineStr">
        <is>
          <t>Confeitaria</t>
        </is>
      </c>
      <c r="O1880" t="n">
        <v>4</v>
      </c>
      <c r="P1880" t="n">
        <v>4</v>
      </c>
      <c r="Q1880" t="n">
        <v>4</v>
      </c>
    </row>
    <row r="1881">
      <c r="J1881" t="inlineStr">
        <is>
          <t>A</t>
        </is>
      </c>
      <c r="K1881" t="n">
        <v>2024</v>
      </c>
      <c r="L1881" t="n">
        <v>12</v>
      </c>
      <c r="M1881" t="inlineStr">
        <is>
          <t>Chocolate em pó 50% 1 kg</t>
        </is>
      </c>
      <c r="N1881" t="inlineStr">
        <is>
          <t>Confeitaria</t>
        </is>
      </c>
      <c r="O1881" t="n">
        <v>4</v>
      </c>
      <c r="P1881" t="n">
        <v>5</v>
      </c>
      <c r="Q1881" t="n">
        <v>4</v>
      </c>
    </row>
    <row r="1882">
      <c r="J1882" t="inlineStr">
        <is>
          <t>M</t>
        </is>
      </c>
      <c r="K1882" t="n">
        <v>2024</v>
      </c>
      <c r="L1882" t="n">
        <v>12</v>
      </c>
      <c r="M1882" t="inlineStr">
        <is>
          <t>Chocolate em pó 50% 1 kg</t>
        </is>
      </c>
      <c r="N1882" t="inlineStr">
        <is>
          <t>Confeitaria</t>
        </is>
      </c>
      <c r="O1882" t="n">
        <v>1</v>
      </c>
      <c r="P1882" t="n">
        <v>1</v>
      </c>
      <c r="Q1882" t="n">
        <v>0</v>
      </c>
    </row>
    <row r="1883">
      <c r="J1883" t="inlineStr">
        <is>
          <t>A</t>
        </is>
      </c>
      <c r="K1883" t="n">
        <v>2024</v>
      </c>
      <c r="L1883" t="n">
        <v>1</v>
      </c>
      <c r="M1883" t="inlineStr">
        <is>
          <t>Chocolate em pó 50% 1 kg</t>
        </is>
      </c>
      <c r="N1883" t="inlineStr">
        <is>
          <t>Churrascaria</t>
        </is>
      </c>
      <c r="O1883" t="n">
        <v>1</v>
      </c>
      <c r="P1883" t="n">
        <v>1</v>
      </c>
      <c r="Q1883" t="n">
        <v>1</v>
      </c>
    </row>
    <row r="1884">
      <c r="J1884" t="inlineStr">
        <is>
          <t>M</t>
        </is>
      </c>
      <c r="K1884" t="n">
        <v>2024</v>
      </c>
      <c r="L1884" t="n">
        <v>1</v>
      </c>
      <c r="M1884" t="inlineStr">
        <is>
          <t>Chocolate em pó 50% 1 kg</t>
        </is>
      </c>
      <c r="N1884" t="inlineStr">
        <is>
          <t>Churrascaria</t>
        </is>
      </c>
      <c r="O1884" t="n">
        <v>1</v>
      </c>
      <c r="P1884" t="n">
        <v>1</v>
      </c>
      <c r="Q1884" t="n">
        <v>0</v>
      </c>
    </row>
    <row r="1885">
      <c r="J1885" t="inlineStr">
        <is>
          <t>A</t>
        </is>
      </c>
      <c r="K1885" t="n">
        <v>2024</v>
      </c>
      <c r="L1885" t="n">
        <v>2</v>
      </c>
      <c r="M1885" t="inlineStr">
        <is>
          <t>Chocolate em pó 50% 1 kg</t>
        </is>
      </c>
      <c r="N1885" t="inlineStr">
        <is>
          <t>Churrascaria</t>
        </is>
      </c>
      <c r="O1885" t="n">
        <v>1</v>
      </c>
      <c r="P1885" t="n">
        <v>1</v>
      </c>
      <c r="Q1885" t="n">
        <v>1</v>
      </c>
    </row>
    <row r="1886">
      <c r="J1886" t="inlineStr">
        <is>
          <t>A</t>
        </is>
      </c>
      <c r="K1886" t="n">
        <v>2024</v>
      </c>
      <c r="L1886" t="n">
        <v>3</v>
      </c>
      <c r="M1886" t="inlineStr">
        <is>
          <t>Chocolate em pó 50% 1 kg</t>
        </is>
      </c>
      <c r="N1886" t="inlineStr">
        <is>
          <t>Churrascaria</t>
        </is>
      </c>
      <c r="O1886" t="n">
        <v>1</v>
      </c>
      <c r="P1886" t="n">
        <v>1</v>
      </c>
      <c r="Q1886" t="n">
        <v>1</v>
      </c>
    </row>
    <row r="1887">
      <c r="J1887" t="inlineStr">
        <is>
          <t>A</t>
        </is>
      </c>
      <c r="K1887" t="n">
        <v>2024</v>
      </c>
      <c r="L1887" t="n">
        <v>4</v>
      </c>
      <c r="M1887" t="inlineStr">
        <is>
          <t>Chocolate em pó 50% 1 kg</t>
        </is>
      </c>
      <c r="N1887" t="inlineStr">
        <is>
          <t>Churrascaria</t>
        </is>
      </c>
      <c r="O1887" t="n">
        <v>3</v>
      </c>
      <c r="P1887" t="n">
        <v>5</v>
      </c>
      <c r="Q1887" t="n">
        <v>3</v>
      </c>
    </row>
    <row r="1888">
      <c r="J1888" t="inlineStr">
        <is>
          <t>M</t>
        </is>
      </c>
      <c r="K1888" t="n">
        <v>2024</v>
      </c>
      <c r="L1888" t="n">
        <v>4</v>
      </c>
      <c r="M1888" t="inlineStr">
        <is>
          <t>Chocolate em pó 50% 1 kg</t>
        </is>
      </c>
      <c r="N1888" t="inlineStr">
        <is>
          <t>Churrascaria</t>
        </is>
      </c>
      <c r="O1888" t="n">
        <v>3</v>
      </c>
      <c r="P1888" t="n">
        <v>4</v>
      </c>
      <c r="Q1888" t="n">
        <v>0</v>
      </c>
    </row>
    <row r="1889">
      <c r="J1889" t="inlineStr">
        <is>
          <t>A</t>
        </is>
      </c>
      <c r="K1889" t="n">
        <v>2024</v>
      </c>
      <c r="L1889" t="n">
        <v>5</v>
      </c>
      <c r="M1889" t="inlineStr">
        <is>
          <t>Chocolate em pó 50% 1 kg</t>
        </is>
      </c>
      <c r="N1889" t="inlineStr">
        <is>
          <t>Churrascaria</t>
        </is>
      </c>
      <c r="O1889" t="n">
        <v>4</v>
      </c>
      <c r="P1889" t="n">
        <v>10</v>
      </c>
      <c r="Q1889" t="n">
        <v>4</v>
      </c>
    </row>
    <row r="1890">
      <c r="J1890" t="inlineStr">
        <is>
          <t>M</t>
        </is>
      </c>
      <c r="K1890" t="n">
        <v>2024</v>
      </c>
      <c r="L1890" t="n">
        <v>5</v>
      </c>
      <c r="M1890" t="inlineStr">
        <is>
          <t>Chocolate em pó 50% 1 kg</t>
        </is>
      </c>
      <c r="N1890" t="inlineStr">
        <is>
          <t>Churrascaria</t>
        </is>
      </c>
      <c r="O1890" t="n">
        <v>3</v>
      </c>
      <c r="P1890" t="n">
        <v>5</v>
      </c>
      <c r="Q1890" t="n">
        <v>0</v>
      </c>
    </row>
    <row r="1891">
      <c r="J1891" t="inlineStr">
        <is>
          <t>A</t>
        </is>
      </c>
      <c r="K1891" t="n">
        <v>2024</v>
      </c>
      <c r="L1891" t="n">
        <v>6</v>
      </c>
      <c r="M1891" t="inlineStr">
        <is>
          <t>Chocolate em pó 50% 1 kg</t>
        </is>
      </c>
      <c r="N1891" t="inlineStr">
        <is>
          <t>Churrascaria</t>
        </is>
      </c>
      <c r="O1891" t="n">
        <v>4</v>
      </c>
      <c r="P1891" t="n">
        <v>11</v>
      </c>
      <c r="Q1891" t="n">
        <v>4</v>
      </c>
    </row>
    <row r="1892">
      <c r="J1892" t="inlineStr">
        <is>
          <t>M</t>
        </is>
      </c>
      <c r="K1892" t="n">
        <v>2024</v>
      </c>
      <c r="L1892" t="n">
        <v>6</v>
      </c>
      <c r="M1892" t="inlineStr">
        <is>
          <t>Chocolate em pó 50% 1 kg</t>
        </is>
      </c>
      <c r="N1892" t="inlineStr">
        <is>
          <t>Churrascaria</t>
        </is>
      </c>
      <c r="O1892" t="n">
        <v>1</v>
      </c>
      <c r="P1892" t="n">
        <v>1</v>
      </c>
      <c r="Q1892" t="n">
        <v>0</v>
      </c>
    </row>
    <row r="1893">
      <c r="J1893" t="inlineStr">
        <is>
          <t>A</t>
        </is>
      </c>
      <c r="K1893" t="n">
        <v>2024</v>
      </c>
      <c r="L1893" t="n">
        <v>7</v>
      </c>
      <c r="M1893" t="inlineStr">
        <is>
          <t>Chocolate em pó 50% 1 kg</t>
        </is>
      </c>
      <c r="N1893" t="inlineStr">
        <is>
          <t>Churrascaria</t>
        </is>
      </c>
      <c r="O1893" t="n">
        <v>5</v>
      </c>
      <c r="P1893" t="n">
        <v>14</v>
      </c>
      <c r="Q1893" t="n">
        <v>5</v>
      </c>
    </row>
    <row r="1894">
      <c r="J1894" t="inlineStr">
        <is>
          <t>M</t>
        </is>
      </c>
      <c r="K1894" t="n">
        <v>2024</v>
      </c>
      <c r="L1894" t="n">
        <v>7</v>
      </c>
      <c r="M1894" t="inlineStr">
        <is>
          <t>Chocolate em pó 50% 1 kg</t>
        </is>
      </c>
      <c r="N1894" t="inlineStr">
        <is>
          <t>Churrascaria</t>
        </is>
      </c>
      <c r="O1894" t="n">
        <v>2</v>
      </c>
      <c r="P1894" t="n">
        <v>3</v>
      </c>
      <c r="Q1894" t="n">
        <v>0</v>
      </c>
    </row>
    <row r="1895">
      <c r="J1895" t="inlineStr">
        <is>
          <t>A</t>
        </is>
      </c>
      <c r="K1895" t="n">
        <v>2024</v>
      </c>
      <c r="L1895" t="n">
        <v>8</v>
      </c>
      <c r="M1895" t="inlineStr">
        <is>
          <t>Chocolate em pó 50% 1 kg</t>
        </is>
      </c>
      <c r="N1895" t="inlineStr">
        <is>
          <t>Churrascaria</t>
        </is>
      </c>
      <c r="O1895" t="n">
        <v>5</v>
      </c>
      <c r="P1895" t="n">
        <v>15</v>
      </c>
      <c r="Q1895" t="n">
        <v>5</v>
      </c>
    </row>
    <row r="1896">
      <c r="J1896" t="inlineStr">
        <is>
          <t>M</t>
        </is>
      </c>
      <c r="K1896" t="n">
        <v>2024</v>
      </c>
      <c r="L1896" t="n">
        <v>8</v>
      </c>
      <c r="M1896" t="inlineStr">
        <is>
          <t>Chocolate em pó 50% 1 kg</t>
        </is>
      </c>
      <c r="N1896" t="inlineStr">
        <is>
          <t>Churrascaria</t>
        </is>
      </c>
      <c r="O1896" t="n">
        <v>1</v>
      </c>
      <c r="P1896" t="n">
        <v>1</v>
      </c>
      <c r="Q1896" t="n">
        <v>0</v>
      </c>
    </row>
    <row r="1897">
      <c r="J1897" t="inlineStr">
        <is>
          <t>A</t>
        </is>
      </c>
      <c r="K1897" t="n">
        <v>2024</v>
      </c>
      <c r="L1897" t="n">
        <v>9</v>
      </c>
      <c r="M1897" t="inlineStr">
        <is>
          <t>Chocolate em pó 50% 1 kg</t>
        </is>
      </c>
      <c r="N1897" t="inlineStr">
        <is>
          <t>Churrascaria</t>
        </is>
      </c>
      <c r="O1897" t="n">
        <v>7</v>
      </c>
      <c r="P1897" t="n">
        <v>20</v>
      </c>
      <c r="Q1897" t="n">
        <v>7</v>
      </c>
    </row>
    <row r="1898">
      <c r="J1898" t="inlineStr">
        <is>
          <t>M</t>
        </is>
      </c>
      <c r="K1898" t="n">
        <v>2024</v>
      </c>
      <c r="L1898" t="n">
        <v>9</v>
      </c>
      <c r="M1898" t="inlineStr">
        <is>
          <t>Chocolate em pó 50% 1 kg</t>
        </is>
      </c>
      <c r="N1898" t="inlineStr">
        <is>
          <t>Churrascaria</t>
        </is>
      </c>
      <c r="O1898" t="n">
        <v>3</v>
      </c>
      <c r="P1898" t="n">
        <v>5</v>
      </c>
      <c r="Q1898" t="n">
        <v>0</v>
      </c>
    </row>
    <row r="1899">
      <c r="J1899" t="inlineStr">
        <is>
          <t>A</t>
        </is>
      </c>
      <c r="K1899" t="n">
        <v>2024</v>
      </c>
      <c r="L1899" t="n">
        <v>10</v>
      </c>
      <c r="M1899" t="inlineStr">
        <is>
          <t>Chocolate em pó 50% 1 kg</t>
        </is>
      </c>
      <c r="N1899" t="inlineStr">
        <is>
          <t>Churrascaria</t>
        </is>
      </c>
      <c r="O1899" t="n">
        <v>7</v>
      </c>
      <c r="P1899" t="n">
        <v>20</v>
      </c>
      <c r="Q1899" t="n">
        <v>7</v>
      </c>
    </row>
    <row r="1900">
      <c r="J1900" t="inlineStr">
        <is>
          <t>A</t>
        </is>
      </c>
      <c r="K1900" t="n">
        <v>2024</v>
      </c>
      <c r="L1900" t="n">
        <v>11</v>
      </c>
      <c r="M1900" t="inlineStr">
        <is>
          <t>Chocolate em pó 50% 1 kg</t>
        </is>
      </c>
      <c r="N1900" t="inlineStr">
        <is>
          <t>Churrascaria</t>
        </is>
      </c>
      <c r="O1900" t="n">
        <v>8</v>
      </c>
      <c r="P1900" t="n">
        <v>21</v>
      </c>
      <c r="Q1900" t="n">
        <v>8</v>
      </c>
    </row>
    <row r="1901">
      <c r="J1901" t="inlineStr">
        <is>
          <t>M</t>
        </is>
      </c>
      <c r="K1901" t="n">
        <v>2024</v>
      </c>
      <c r="L1901" t="n">
        <v>11</v>
      </c>
      <c r="M1901" t="inlineStr">
        <is>
          <t>Chocolate em pó 50% 1 kg</t>
        </is>
      </c>
      <c r="N1901" t="inlineStr">
        <is>
          <t>Churrascaria</t>
        </is>
      </c>
      <c r="O1901" t="n">
        <v>1</v>
      </c>
      <c r="P1901" t="n">
        <v>1</v>
      </c>
      <c r="Q1901" t="n">
        <v>0</v>
      </c>
    </row>
    <row r="1902">
      <c r="J1902" t="inlineStr">
        <is>
          <t>A</t>
        </is>
      </c>
      <c r="K1902" t="n">
        <v>2024</v>
      </c>
      <c r="L1902" t="n">
        <v>12</v>
      </c>
      <c r="M1902" t="inlineStr">
        <is>
          <t>Chocolate em pó 50% 1 kg</t>
        </is>
      </c>
      <c r="N1902" t="inlineStr">
        <is>
          <t>Churrascaria</t>
        </is>
      </c>
      <c r="O1902" t="n">
        <v>8</v>
      </c>
      <c r="P1902" t="n">
        <v>22</v>
      </c>
      <c r="Q1902" t="n">
        <v>8</v>
      </c>
    </row>
    <row r="1903">
      <c r="J1903" t="inlineStr">
        <is>
          <t>M</t>
        </is>
      </c>
      <c r="K1903" t="n">
        <v>2024</v>
      </c>
      <c r="L1903" t="n">
        <v>12</v>
      </c>
      <c r="M1903" t="inlineStr">
        <is>
          <t>Chocolate em pó 50% 1 kg</t>
        </is>
      </c>
      <c r="N1903" t="inlineStr">
        <is>
          <t>Churrascaria</t>
        </is>
      </c>
      <c r="O1903" t="n">
        <v>1</v>
      </c>
      <c r="P1903" t="n">
        <v>1</v>
      </c>
      <c r="Q1903" t="n">
        <v>0</v>
      </c>
    </row>
    <row r="1904">
      <c r="J1904" t="inlineStr">
        <is>
          <t>A</t>
        </is>
      </c>
      <c r="K1904" t="n">
        <v>2024</v>
      </c>
      <c r="L1904" t="n">
        <v>1</v>
      </c>
      <c r="M1904" t="inlineStr">
        <is>
          <t>Chocolate em pó 50% 1 kg</t>
        </is>
      </c>
      <c r="N1904" t="inlineStr">
        <is>
          <t>Casa Noturna</t>
        </is>
      </c>
      <c r="O1904" t="n">
        <v>1</v>
      </c>
      <c r="P1904" t="n">
        <v>1</v>
      </c>
      <c r="Q1904" t="n">
        <v>1</v>
      </c>
    </row>
    <row r="1905">
      <c r="J1905" t="inlineStr">
        <is>
          <t>M</t>
        </is>
      </c>
      <c r="K1905" t="n">
        <v>2024</v>
      </c>
      <c r="L1905" t="n">
        <v>1</v>
      </c>
      <c r="M1905" t="inlineStr">
        <is>
          <t>Chocolate em pó 50% 1 kg</t>
        </is>
      </c>
      <c r="N1905" t="inlineStr">
        <is>
          <t>Casa Noturna</t>
        </is>
      </c>
      <c r="O1905" t="n">
        <v>1</v>
      </c>
      <c r="P1905" t="n">
        <v>1</v>
      </c>
      <c r="Q1905" t="n">
        <v>0</v>
      </c>
    </row>
    <row r="1906">
      <c r="J1906" t="inlineStr">
        <is>
          <t>A</t>
        </is>
      </c>
      <c r="K1906" t="n">
        <v>2024</v>
      </c>
      <c r="L1906" t="n">
        <v>2</v>
      </c>
      <c r="M1906" t="inlineStr">
        <is>
          <t>Chocolate em pó 50% 1 kg</t>
        </is>
      </c>
      <c r="N1906" t="inlineStr">
        <is>
          <t>Casa Noturna</t>
        </is>
      </c>
      <c r="O1906" t="n">
        <v>1</v>
      </c>
      <c r="P1906" t="n">
        <v>1</v>
      </c>
      <c r="Q1906" t="n">
        <v>1</v>
      </c>
    </row>
    <row r="1907">
      <c r="J1907" t="inlineStr">
        <is>
          <t>A</t>
        </is>
      </c>
      <c r="K1907" t="n">
        <v>2024</v>
      </c>
      <c r="L1907" t="n">
        <v>3</v>
      </c>
      <c r="M1907" t="inlineStr">
        <is>
          <t>Chocolate em pó 50% 1 kg</t>
        </is>
      </c>
      <c r="N1907" t="inlineStr">
        <is>
          <t>Casa Noturna</t>
        </is>
      </c>
      <c r="O1907" t="n">
        <v>1</v>
      </c>
      <c r="P1907" t="n">
        <v>1</v>
      </c>
      <c r="Q1907" t="n">
        <v>1</v>
      </c>
    </row>
    <row r="1908">
      <c r="J1908" t="inlineStr">
        <is>
          <t>A</t>
        </is>
      </c>
      <c r="K1908" t="n">
        <v>2024</v>
      </c>
      <c r="L1908" t="n">
        <v>4</v>
      </c>
      <c r="M1908" t="inlineStr">
        <is>
          <t>Chocolate em pó 50% 1 kg</t>
        </is>
      </c>
      <c r="N1908" t="inlineStr">
        <is>
          <t>Casa Noturna</t>
        </is>
      </c>
      <c r="O1908" t="n">
        <v>1</v>
      </c>
      <c r="P1908" t="n">
        <v>1</v>
      </c>
      <c r="Q1908" t="n">
        <v>1</v>
      </c>
    </row>
    <row r="1909">
      <c r="J1909" t="inlineStr">
        <is>
          <t>A</t>
        </is>
      </c>
      <c r="K1909" t="n">
        <v>2024</v>
      </c>
      <c r="L1909" t="n">
        <v>5</v>
      </c>
      <c r="M1909" t="inlineStr">
        <is>
          <t>Chocolate em pó 50% 1 kg</t>
        </is>
      </c>
      <c r="N1909" t="inlineStr">
        <is>
          <t>Casa Noturna</t>
        </is>
      </c>
      <c r="O1909" t="n">
        <v>1</v>
      </c>
      <c r="P1909" t="n">
        <v>1</v>
      </c>
      <c r="Q1909" t="n">
        <v>1</v>
      </c>
    </row>
    <row r="1910">
      <c r="J1910" t="inlineStr">
        <is>
          <t>A</t>
        </is>
      </c>
      <c r="K1910" t="n">
        <v>2024</v>
      </c>
      <c r="L1910" t="n">
        <v>6</v>
      </c>
      <c r="M1910" t="inlineStr">
        <is>
          <t>Chocolate em pó 50% 1 kg</t>
        </is>
      </c>
      <c r="N1910" t="inlineStr">
        <is>
          <t>Casa Noturna</t>
        </is>
      </c>
      <c r="O1910" t="n">
        <v>2</v>
      </c>
      <c r="P1910" t="n">
        <v>2</v>
      </c>
      <c r="Q1910" t="n">
        <v>2</v>
      </c>
    </row>
    <row r="1911">
      <c r="J1911" t="inlineStr">
        <is>
          <t>M</t>
        </is>
      </c>
      <c r="K1911" t="n">
        <v>2024</v>
      </c>
      <c r="L1911" t="n">
        <v>6</v>
      </c>
      <c r="M1911" t="inlineStr">
        <is>
          <t>Chocolate em pó 50% 1 kg</t>
        </is>
      </c>
      <c r="N1911" t="inlineStr">
        <is>
          <t>Casa Noturna</t>
        </is>
      </c>
      <c r="O1911" t="n">
        <v>1</v>
      </c>
      <c r="P1911" t="n">
        <v>1</v>
      </c>
      <c r="Q1911" t="n">
        <v>0</v>
      </c>
    </row>
    <row r="1912">
      <c r="J1912" t="inlineStr">
        <is>
          <t>A</t>
        </is>
      </c>
      <c r="K1912" t="n">
        <v>2024</v>
      </c>
      <c r="L1912" t="n">
        <v>7</v>
      </c>
      <c r="M1912" t="inlineStr">
        <is>
          <t>Chocolate em pó 50% 1 kg</t>
        </is>
      </c>
      <c r="N1912" t="inlineStr">
        <is>
          <t>Casa Noturna</t>
        </is>
      </c>
      <c r="O1912" t="n">
        <v>2</v>
      </c>
      <c r="P1912" t="n">
        <v>2</v>
      </c>
      <c r="Q1912" t="n">
        <v>2</v>
      </c>
    </row>
    <row r="1913">
      <c r="J1913" t="inlineStr">
        <is>
          <t>A</t>
        </is>
      </c>
      <c r="K1913" t="n">
        <v>2024</v>
      </c>
      <c r="L1913" t="n">
        <v>8</v>
      </c>
      <c r="M1913" t="inlineStr">
        <is>
          <t>Chocolate em pó 50% 1 kg</t>
        </is>
      </c>
      <c r="N1913" t="inlineStr">
        <is>
          <t>Casa Noturna</t>
        </is>
      </c>
      <c r="O1913" t="n">
        <v>2</v>
      </c>
      <c r="P1913" t="n">
        <v>2</v>
      </c>
      <c r="Q1913" t="n">
        <v>2</v>
      </c>
    </row>
    <row r="1914">
      <c r="J1914" t="inlineStr">
        <is>
          <t>A</t>
        </is>
      </c>
      <c r="K1914" t="n">
        <v>2024</v>
      </c>
      <c r="L1914" t="n">
        <v>9</v>
      </c>
      <c r="M1914" t="inlineStr">
        <is>
          <t>Chocolate em pó 50% 1 kg</t>
        </is>
      </c>
      <c r="N1914" t="inlineStr">
        <is>
          <t>Casa Noturna</t>
        </is>
      </c>
      <c r="O1914" t="n">
        <v>2</v>
      </c>
      <c r="P1914" t="n">
        <v>2</v>
      </c>
      <c r="Q1914" t="n">
        <v>2</v>
      </c>
    </row>
    <row r="1915">
      <c r="J1915" t="inlineStr">
        <is>
          <t>A</t>
        </is>
      </c>
      <c r="K1915" t="n">
        <v>2024</v>
      </c>
      <c r="L1915" t="n">
        <v>10</v>
      </c>
      <c r="M1915" t="inlineStr">
        <is>
          <t>Chocolate em pó 50% 1 kg</t>
        </is>
      </c>
      <c r="N1915" t="inlineStr">
        <is>
          <t>Casa Noturna</t>
        </is>
      </c>
      <c r="O1915" t="n">
        <v>2</v>
      </c>
      <c r="P1915" t="n">
        <v>2</v>
      </c>
      <c r="Q1915" t="n">
        <v>2</v>
      </c>
    </row>
    <row r="1916">
      <c r="J1916" t="inlineStr">
        <is>
          <t>A</t>
        </is>
      </c>
      <c r="K1916" t="n">
        <v>2024</v>
      </c>
      <c r="L1916" t="n">
        <v>11</v>
      </c>
      <c r="M1916" t="inlineStr">
        <is>
          <t>Chocolate em pó 50% 1 kg</t>
        </is>
      </c>
      <c r="N1916" t="inlineStr">
        <is>
          <t>Casa Noturna</t>
        </is>
      </c>
      <c r="O1916" t="n">
        <v>2</v>
      </c>
      <c r="P1916" t="n">
        <v>2</v>
      </c>
      <c r="Q1916" t="n">
        <v>2</v>
      </c>
    </row>
    <row r="1917">
      <c r="J1917" t="inlineStr">
        <is>
          <t>A</t>
        </is>
      </c>
      <c r="K1917" t="n">
        <v>2024</v>
      </c>
      <c r="L1917" t="n">
        <v>12</v>
      </c>
      <c r="M1917" t="inlineStr">
        <is>
          <t>Chocolate em pó 50% 1 kg</t>
        </is>
      </c>
      <c r="N1917" t="inlineStr">
        <is>
          <t>Casa Noturna</t>
        </is>
      </c>
      <c r="O1917" t="n">
        <v>2</v>
      </c>
      <c r="P1917" t="n">
        <v>2</v>
      </c>
      <c r="Q1917" t="n">
        <v>2</v>
      </c>
    </row>
    <row r="1918">
      <c r="J1918" t="inlineStr">
        <is>
          <t>A</t>
        </is>
      </c>
      <c r="K1918" t="n">
        <v>2024</v>
      </c>
      <c r="L1918" t="n">
        <v>7</v>
      </c>
      <c r="M1918" t="inlineStr">
        <is>
          <t>Chocolate em pó 50% 1 kg</t>
        </is>
      </c>
      <c r="N1918" t="inlineStr">
        <is>
          <t>Colaborador</t>
        </is>
      </c>
      <c r="O1918" t="n">
        <v>1</v>
      </c>
      <c r="P1918" t="n">
        <v>1</v>
      </c>
      <c r="Q1918" t="n">
        <v>1</v>
      </c>
    </row>
    <row r="1919">
      <c r="J1919" t="inlineStr">
        <is>
          <t>M</t>
        </is>
      </c>
      <c r="K1919" t="n">
        <v>2024</v>
      </c>
      <c r="L1919" t="n">
        <v>7</v>
      </c>
      <c r="M1919" t="inlineStr">
        <is>
          <t>Chocolate em pó 50% 1 kg</t>
        </is>
      </c>
      <c r="N1919" t="inlineStr">
        <is>
          <t>Colaborador</t>
        </is>
      </c>
      <c r="O1919" t="n">
        <v>1</v>
      </c>
      <c r="P1919" t="n">
        <v>1</v>
      </c>
      <c r="Q1919" t="n">
        <v>0</v>
      </c>
    </row>
    <row r="1920">
      <c r="J1920" t="inlineStr">
        <is>
          <t>A</t>
        </is>
      </c>
      <c r="K1920" t="n">
        <v>2024</v>
      </c>
      <c r="L1920" t="n">
        <v>8</v>
      </c>
      <c r="M1920" t="inlineStr">
        <is>
          <t>Chocolate em pó 50% 1 kg</t>
        </is>
      </c>
      <c r="N1920" t="inlineStr">
        <is>
          <t>Colaborador</t>
        </is>
      </c>
      <c r="O1920" t="n">
        <v>1</v>
      </c>
      <c r="P1920" t="n">
        <v>1</v>
      </c>
      <c r="Q1920" t="n">
        <v>1</v>
      </c>
    </row>
    <row r="1921">
      <c r="J1921" t="inlineStr">
        <is>
          <t>A</t>
        </is>
      </c>
      <c r="K1921" t="n">
        <v>2024</v>
      </c>
      <c r="L1921" t="n">
        <v>9</v>
      </c>
      <c r="M1921" t="inlineStr">
        <is>
          <t>Chocolate em pó 50% 1 kg</t>
        </is>
      </c>
      <c r="N1921" t="inlineStr">
        <is>
          <t>Colaborador</t>
        </is>
      </c>
      <c r="O1921" t="n">
        <v>2</v>
      </c>
      <c r="P1921" t="n">
        <v>2</v>
      </c>
      <c r="Q1921" t="n">
        <v>2</v>
      </c>
    </row>
    <row r="1922">
      <c r="J1922" t="inlineStr">
        <is>
          <t>M</t>
        </is>
      </c>
      <c r="K1922" t="n">
        <v>2024</v>
      </c>
      <c r="L1922" t="n">
        <v>9</v>
      </c>
      <c r="M1922" t="inlineStr">
        <is>
          <t>Chocolate em pó 50% 1 kg</t>
        </is>
      </c>
      <c r="N1922" t="inlineStr">
        <is>
          <t>Colaborador</t>
        </is>
      </c>
      <c r="O1922" t="n">
        <v>1</v>
      </c>
      <c r="P1922" t="n">
        <v>1</v>
      </c>
      <c r="Q1922" t="n">
        <v>0</v>
      </c>
    </row>
    <row r="1923">
      <c r="J1923" t="inlineStr">
        <is>
          <t>A</t>
        </is>
      </c>
      <c r="K1923" t="n">
        <v>2024</v>
      </c>
      <c r="L1923" t="n">
        <v>10</v>
      </c>
      <c r="M1923" t="inlineStr">
        <is>
          <t>Chocolate em pó 50% 1 kg</t>
        </is>
      </c>
      <c r="N1923" t="inlineStr">
        <is>
          <t>Colaborador</t>
        </is>
      </c>
      <c r="O1923" t="n">
        <v>2</v>
      </c>
      <c r="P1923" t="n">
        <v>2</v>
      </c>
      <c r="Q1923" t="n">
        <v>2</v>
      </c>
    </row>
    <row r="1924">
      <c r="J1924" t="inlineStr">
        <is>
          <t>A</t>
        </is>
      </c>
      <c r="K1924" t="n">
        <v>2024</v>
      </c>
      <c r="L1924" t="n">
        <v>11</v>
      </c>
      <c r="M1924" t="inlineStr">
        <is>
          <t>Chocolate em pó 50% 1 kg</t>
        </is>
      </c>
      <c r="N1924" t="inlineStr">
        <is>
          <t>Colaborador</t>
        </is>
      </c>
      <c r="O1924" t="n">
        <v>2</v>
      </c>
      <c r="P1924" t="n">
        <v>2</v>
      </c>
      <c r="Q1924" t="n">
        <v>2</v>
      </c>
    </row>
    <row r="1925">
      <c r="J1925" t="inlineStr">
        <is>
          <t>A</t>
        </is>
      </c>
      <c r="K1925" t="n">
        <v>2024</v>
      </c>
      <c r="L1925" t="n">
        <v>12</v>
      </c>
      <c r="M1925" t="inlineStr">
        <is>
          <t>Chocolate em pó 50% 1 kg</t>
        </is>
      </c>
      <c r="N1925" t="inlineStr">
        <is>
          <t>Colaborador</t>
        </is>
      </c>
      <c r="O1925" t="n">
        <v>2</v>
      </c>
      <c r="P1925" t="n">
        <v>2</v>
      </c>
      <c r="Q1925" t="n">
        <v>2</v>
      </c>
    </row>
    <row r="1926">
      <c r="J1926" t="inlineStr">
        <is>
          <t>A</t>
        </is>
      </c>
      <c r="K1926" t="n">
        <v>2024</v>
      </c>
      <c r="L1926" t="n">
        <v>1</v>
      </c>
      <c r="M1926" t="inlineStr">
        <is>
          <t>Chocolate em pó 50% 1 kg</t>
        </is>
      </c>
      <c r="N1926" t="inlineStr">
        <is>
          <t>Instituição Religiosa</t>
        </is>
      </c>
      <c r="O1926" t="n">
        <v>1</v>
      </c>
      <c r="P1926" t="n">
        <v>1</v>
      </c>
      <c r="Q1926" t="n">
        <v>1</v>
      </c>
    </row>
    <row r="1927">
      <c r="J1927" t="inlineStr">
        <is>
          <t>M</t>
        </is>
      </c>
      <c r="K1927" t="n">
        <v>2024</v>
      </c>
      <c r="L1927" t="n">
        <v>1</v>
      </c>
      <c r="M1927" t="inlineStr">
        <is>
          <t>Chocolate em pó 50% 1 kg</t>
        </is>
      </c>
      <c r="N1927" t="inlineStr">
        <is>
          <t>Instituição Religiosa</t>
        </is>
      </c>
      <c r="O1927" t="n">
        <v>1</v>
      </c>
      <c r="P1927" t="n">
        <v>1</v>
      </c>
      <c r="Q1927" t="n">
        <v>0</v>
      </c>
    </row>
    <row r="1928">
      <c r="J1928" t="inlineStr">
        <is>
          <t>A</t>
        </is>
      </c>
      <c r="K1928" t="n">
        <v>2024</v>
      </c>
      <c r="L1928" t="n">
        <v>2</v>
      </c>
      <c r="M1928" t="inlineStr">
        <is>
          <t>Chocolate em pó 50% 1 kg</t>
        </is>
      </c>
      <c r="N1928" t="inlineStr">
        <is>
          <t>Instituição Religiosa</t>
        </is>
      </c>
      <c r="O1928" t="n">
        <v>1</v>
      </c>
      <c r="P1928" t="n">
        <v>1</v>
      </c>
      <c r="Q1928" t="n">
        <v>1</v>
      </c>
    </row>
    <row r="1929">
      <c r="J1929" t="inlineStr">
        <is>
          <t>A</t>
        </is>
      </c>
      <c r="K1929" t="n">
        <v>2024</v>
      </c>
      <c r="L1929" t="n">
        <v>3</v>
      </c>
      <c r="M1929" t="inlineStr">
        <is>
          <t>Chocolate em pó 50% 1 kg</t>
        </is>
      </c>
      <c r="N1929" t="inlineStr">
        <is>
          <t>Instituição Religiosa</t>
        </is>
      </c>
      <c r="O1929" t="n">
        <v>1</v>
      </c>
      <c r="P1929" t="n">
        <v>1</v>
      </c>
      <c r="Q1929" t="n">
        <v>1</v>
      </c>
    </row>
    <row r="1930">
      <c r="J1930" t="inlineStr">
        <is>
          <t>A</t>
        </is>
      </c>
      <c r="K1930" t="n">
        <v>2024</v>
      </c>
      <c r="L1930" t="n">
        <v>4</v>
      </c>
      <c r="M1930" t="inlineStr">
        <is>
          <t>Chocolate em pó 50% 1 kg</t>
        </is>
      </c>
      <c r="N1930" t="inlineStr">
        <is>
          <t>Instituição Religiosa</t>
        </is>
      </c>
      <c r="O1930" t="n">
        <v>1</v>
      </c>
      <c r="P1930" t="n">
        <v>1</v>
      </c>
      <c r="Q1930" t="n">
        <v>1</v>
      </c>
    </row>
    <row r="1931">
      <c r="J1931" t="inlineStr">
        <is>
          <t>A</t>
        </is>
      </c>
      <c r="K1931" t="n">
        <v>2024</v>
      </c>
      <c r="L1931" t="n">
        <v>5</v>
      </c>
      <c r="M1931" t="inlineStr">
        <is>
          <t>Chocolate em pó 50% 1 kg</t>
        </is>
      </c>
      <c r="N1931" t="inlineStr">
        <is>
          <t>Instituição Religiosa</t>
        </is>
      </c>
      <c r="O1931" t="n">
        <v>1</v>
      </c>
      <c r="P1931" t="n">
        <v>1</v>
      </c>
      <c r="Q1931" t="n">
        <v>1</v>
      </c>
    </row>
    <row r="1932">
      <c r="J1932" t="inlineStr">
        <is>
          <t>A</t>
        </is>
      </c>
      <c r="K1932" t="n">
        <v>2024</v>
      </c>
      <c r="L1932" t="n">
        <v>6</v>
      </c>
      <c r="M1932" t="inlineStr">
        <is>
          <t>Chocolate em pó 50% 1 kg</t>
        </is>
      </c>
      <c r="N1932" t="inlineStr">
        <is>
          <t>Instituição Religiosa</t>
        </is>
      </c>
      <c r="O1932" t="n">
        <v>1</v>
      </c>
      <c r="P1932" t="n">
        <v>1</v>
      </c>
      <c r="Q1932" t="n">
        <v>1</v>
      </c>
    </row>
    <row r="1933">
      <c r="J1933" t="inlineStr">
        <is>
          <t>A</t>
        </is>
      </c>
      <c r="K1933" t="n">
        <v>2024</v>
      </c>
      <c r="L1933" t="n">
        <v>7</v>
      </c>
      <c r="M1933" t="inlineStr">
        <is>
          <t>Chocolate em pó 50% 1 kg</t>
        </is>
      </c>
      <c r="N1933" t="inlineStr">
        <is>
          <t>Instituição Religiosa</t>
        </is>
      </c>
      <c r="O1933" t="n">
        <v>1</v>
      </c>
      <c r="P1933" t="n">
        <v>1</v>
      </c>
      <c r="Q1933" t="n">
        <v>1</v>
      </c>
    </row>
    <row r="1934">
      <c r="J1934" t="inlineStr">
        <is>
          <t>A</t>
        </is>
      </c>
      <c r="K1934" t="n">
        <v>2024</v>
      </c>
      <c r="L1934" t="n">
        <v>8</v>
      </c>
      <c r="M1934" t="inlineStr">
        <is>
          <t>Chocolate em pó 50% 1 kg</t>
        </is>
      </c>
      <c r="N1934" t="inlineStr">
        <is>
          <t>Instituição Religiosa</t>
        </is>
      </c>
      <c r="O1934" t="n">
        <v>1</v>
      </c>
      <c r="P1934" t="n">
        <v>1</v>
      </c>
      <c r="Q1934" t="n">
        <v>1</v>
      </c>
    </row>
    <row r="1935">
      <c r="J1935" t="inlineStr">
        <is>
          <t>A</t>
        </is>
      </c>
      <c r="K1935" t="n">
        <v>2024</v>
      </c>
      <c r="L1935" t="n">
        <v>9</v>
      </c>
      <c r="M1935" t="inlineStr">
        <is>
          <t>Chocolate em pó 50% 1 kg</t>
        </is>
      </c>
      <c r="N1935" t="inlineStr">
        <is>
          <t>Instituição Religiosa</t>
        </is>
      </c>
      <c r="O1935" t="n">
        <v>1</v>
      </c>
      <c r="P1935" t="n">
        <v>1</v>
      </c>
      <c r="Q1935" t="n">
        <v>1</v>
      </c>
    </row>
    <row r="1936">
      <c r="J1936" t="inlineStr">
        <is>
          <t>A</t>
        </is>
      </c>
      <c r="K1936" t="n">
        <v>2024</v>
      </c>
      <c r="L1936" t="n">
        <v>10</v>
      </c>
      <c r="M1936" t="inlineStr">
        <is>
          <t>Chocolate em pó 50% 1 kg</t>
        </is>
      </c>
      <c r="N1936" t="inlineStr">
        <is>
          <t>Instituição Religiosa</t>
        </is>
      </c>
      <c r="O1936" t="n">
        <v>1</v>
      </c>
      <c r="P1936" t="n">
        <v>1</v>
      </c>
      <c r="Q1936" t="n">
        <v>1</v>
      </c>
    </row>
    <row r="1937">
      <c r="J1937" t="inlineStr">
        <is>
          <t>A</t>
        </is>
      </c>
      <c r="K1937" t="n">
        <v>2024</v>
      </c>
      <c r="L1937" t="n">
        <v>11</v>
      </c>
      <c r="M1937" t="inlineStr">
        <is>
          <t>Chocolate em pó 50% 1 kg</t>
        </is>
      </c>
      <c r="N1937" t="inlineStr">
        <is>
          <t>Instituição Religiosa</t>
        </is>
      </c>
      <c r="O1937" t="n">
        <v>1</v>
      </c>
      <c r="P1937" t="n">
        <v>1</v>
      </c>
      <c r="Q1937" t="n">
        <v>1</v>
      </c>
    </row>
    <row r="1938">
      <c r="J1938" t="inlineStr">
        <is>
          <t>A</t>
        </is>
      </c>
      <c r="K1938" t="n">
        <v>2024</v>
      </c>
      <c r="L1938" t="n">
        <v>12</v>
      </c>
      <c r="M1938" t="inlineStr">
        <is>
          <t>Chocolate em pó 50% 1 kg</t>
        </is>
      </c>
      <c r="N1938" t="inlineStr">
        <is>
          <t>Instituição Religiosa</t>
        </is>
      </c>
      <c r="O1938" t="n">
        <v>1</v>
      </c>
      <c r="P1938" t="n">
        <v>1</v>
      </c>
      <c r="Q1938" t="n">
        <v>1</v>
      </c>
    </row>
    <row r="1939">
      <c r="J1939" t="inlineStr">
        <is>
          <t>A</t>
        </is>
      </c>
      <c r="K1939" t="n">
        <v>2024</v>
      </c>
      <c r="L1939" t="n">
        <v>1</v>
      </c>
      <c r="M1939" t="inlineStr">
        <is>
          <t>Composto lácteo Alibralac 1 kg</t>
        </is>
      </c>
      <c r="N1939" t="inlineStr">
        <is>
          <t>Todos</t>
        </is>
      </c>
      <c r="O1939" t="n">
        <v>4</v>
      </c>
      <c r="P1939" t="n">
        <v>9</v>
      </c>
      <c r="Q1939" t="n">
        <v>4</v>
      </c>
    </row>
    <row r="1940">
      <c r="J1940" t="inlineStr">
        <is>
          <t>M</t>
        </is>
      </c>
      <c r="K1940" t="n">
        <v>2024</v>
      </c>
      <c r="L1940" t="n">
        <v>1</v>
      </c>
      <c r="M1940" t="inlineStr">
        <is>
          <t>Composto lácteo Alibralac 1 kg</t>
        </is>
      </c>
      <c r="N1940" t="inlineStr">
        <is>
          <t>Todos</t>
        </is>
      </c>
      <c r="O1940" t="n">
        <v>4</v>
      </c>
      <c r="P1940" t="n">
        <v>9</v>
      </c>
      <c r="Q1940" t="n">
        <v>0</v>
      </c>
    </row>
    <row r="1941">
      <c r="J1941" t="inlineStr">
        <is>
          <t>A</t>
        </is>
      </c>
      <c r="K1941" t="n">
        <v>2024</v>
      </c>
      <c r="L1941" t="n">
        <v>2</v>
      </c>
      <c r="M1941" t="inlineStr">
        <is>
          <t>Composto lácteo Alibralac 1 kg</t>
        </is>
      </c>
      <c r="N1941" t="inlineStr">
        <is>
          <t>Todos</t>
        </is>
      </c>
      <c r="O1941" t="n">
        <v>8</v>
      </c>
      <c r="P1941" t="n">
        <v>18</v>
      </c>
      <c r="Q1941" t="n">
        <v>8</v>
      </c>
    </row>
    <row r="1942">
      <c r="J1942" t="inlineStr">
        <is>
          <t>M</t>
        </is>
      </c>
      <c r="K1942" t="n">
        <v>2024</v>
      </c>
      <c r="L1942" t="n">
        <v>2</v>
      </c>
      <c r="M1942" t="inlineStr">
        <is>
          <t>Composto lácteo Alibralac 1 kg</t>
        </is>
      </c>
      <c r="N1942" t="inlineStr">
        <is>
          <t>Todos</t>
        </is>
      </c>
      <c r="O1942" t="n">
        <v>7</v>
      </c>
      <c r="P1942" t="n">
        <v>9</v>
      </c>
      <c r="Q1942" t="n">
        <v>0</v>
      </c>
    </row>
    <row r="1943">
      <c r="J1943" t="inlineStr">
        <is>
          <t>A</t>
        </is>
      </c>
      <c r="K1943" t="n">
        <v>2024</v>
      </c>
      <c r="L1943" t="n">
        <v>3</v>
      </c>
      <c r="M1943" t="inlineStr">
        <is>
          <t>Composto lácteo Alibralac 1 kg</t>
        </is>
      </c>
      <c r="N1943" t="inlineStr">
        <is>
          <t>Todos</t>
        </is>
      </c>
      <c r="O1943" t="n">
        <v>11</v>
      </c>
      <c r="P1943" t="n">
        <v>31</v>
      </c>
      <c r="Q1943" t="n">
        <v>11</v>
      </c>
    </row>
    <row r="1944">
      <c r="J1944" t="inlineStr">
        <is>
          <t>M</t>
        </is>
      </c>
      <c r="K1944" t="n">
        <v>2024</v>
      </c>
      <c r="L1944" t="n">
        <v>3</v>
      </c>
      <c r="M1944" t="inlineStr">
        <is>
          <t>Composto lácteo Alibralac 1 kg</t>
        </is>
      </c>
      <c r="N1944" t="inlineStr">
        <is>
          <t>Todos</t>
        </is>
      </c>
      <c r="O1944" t="n">
        <v>8</v>
      </c>
      <c r="P1944" t="n">
        <v>13</v>
      </c>
      <c r="Q1944" t="n">
        <v>0</v>
      </c>
    </row>
    <row r="1945">
      <c r="J1945" t="inlineStr">
        <is>
          <t>A</t>
        </is>
      </c>
      <c r="K1945" t="n">
        <v>2024</v>
      </c>
      <c r="L1945" t="n">
        <v>4</v>
      </c>
      <c r="M1945" t="inlineStr">
        <is>
          <t>Composto lácteo Alibralac 1 kg</t>
        </is>
      </c>
      <c r="N1945" t="inlineStr">
        <is>
          <t>Todos</t>
        </is>
      </c>
      <c r="O1945" t="n">
        <v>13</v>
      </c>
      <c r="P1945" t="n">
        <v>40</v>
      </c>
      <c r="Q1945" t="n">
        <v>13</v>
      </c>
    </row>
    <row r="1946">
      <c r="J1946" t="inlineStr">
        <is>
          <t>M</t>
        </is>
      </c>
      <c r="K1946" t="n">
        <v>2024</v>
      </c>
      <c r="L1946" t="n">
        <v>4</v>
      </c>
      <c r="M1946" t="inlineStr">
        <is>
          <t>Composto lácteo Alibralac 1 kg</t>
        </is>
      </c>
      <c r="N1946" t="inlineStr">
        <is>
          <t>Todos</t>
        </is>
      </c>
      <c r="O1946" t="n">
        <v>6</v>
      </c>
      <c r="P1946" t="n">
        <v>9</v>
      </c>
      <c r="Q1946" t="n">
        <v>0</v>
      </c>
    </row>
    <row r="1947">
      <c r="J1947" t="inlineStr">
        <is>
          <t>A</t>
        </is>
      </c>
      <c r="K1947" t="n">
        <v>2024</v>
      </c>
      <c r="L1947" t="n">
        <v>5</v>
      </c>
      <c r="M1947" t="inlineStr">
        <is>
          <t>Composto lácteo Alibralac 1 kg</t>
        </is>
      </c>
      <c r="N1947" t="inlineStr">
        <is>
          <t>Todos</t>
        </is>
      </c>
      <c r="O1947" t="n">
        <v>15</v>
      </c>
      <c r="P1947" t="n">
        <v>57</v>
      </c>
      <c r="Q1947" t="n">
        <v>15</v>
      </c>
    </row>
    <row r="1948">
      <c r="J1948" t="inlineStr">
        <is>
          <t>M</t>
        </is>
      </c>
      <c r="K1948" t="n">
        <v>2024</v>
      </c>
      <c r="L1948" t="n">
        <v>5</v>
      </c>
      <c r="M1948" t="inlineStr">
        <is>
          <t>Composto lácteo Alibralac 1 kg</t>
        </is>
      </c>
      <c r="N1948" t="inlineStr">
        <is>
          <t>Todos</t>
        </is>
      </c>
      <c r="O1948" t="n">
        <v>10</v>
      </c>
      <c r="P1948" t="n">
        <v>17</v>
      </c>
      <c r="Q1948" t="n">
        <v>0</v>
      </c>
    </row>
    <row r="1949">
      <c r="J1949" t="inlineStr">
        <is>
          <t>A</t>
        </is>
      </c>
      <c r="K1949" t="n">
        <v>2024</v>
      </c>
      <c r="L1949" t="n">
        <v>6</v>
      </c>
      <c r="M1949" t="inlineStr">
        <is>
          <t>Composto lácteo Alibralac 1 kg</t>
        </is>
      </c>
      <c r="N1949" t="inlineStr">
        <is>
          <t>Todos</t>
        </is>
      </c>
      <c r="O1949" t="n">
        <v>16</v>
      </c>
      <c r="P1949" t="n">
        <v>66</v>
      </c>
      <c r="Q1949" t="n">
        <v>16</v>
      </c>
    </row>
    <row r="1950">
      <c r="J1950" t="inlineStr">
        <is>
          <t>M</t>
        </is>
      </c>
      <c r="K1950" t="n">
        <v>2024</v>
      </c>
      <c r="L1950" t="n">
        <v>6</v>
      </c>
      <c r="M1950" t="inlineStr">
        <is>
          <t>Composto lácteo Alibralac 1 kg</t>
        </is>
      </c>
      <c r="N1950" t="inlineStr">
        <is>
          <t>Todos</t>
        </is>
      </c>
      <c r="O1950" t="n">
        <v>4</v>
      </c>
      <c r="P1950" t="n">
        <v>9</v>
      </c>
      <c r="Q1950" t="n">
        <v>0</v>
      </c>
    </row>
    <row r="1951">
      <c r="J1951" t="inlineStr">
        <is>
          <t>A</t>
        </is>
      </c>
      <c r="K1951" t="n">
        <v>2024</v>
      </c>
      <c r="L1951" t="n">
        <v>7</v>
      </c>
      <c r="M1951" t="inlineStr">
        <is>
          <t>Composto lácteo Alibralac 1 kg</t>
        </is>
      </c>
      <c r="N1951" t="inlineStr">
        <is>
          <t>Todos</t>
        </is>
      </c>
      <c r="O1951" t="n">
        <v>19</v>
      </c>
      <c r="P1951" t="n">
        <v>80</v>
      </c>
      <c r="Q1951" t="n">
        <v>19</v>
      </c>
    </row>
    <row r="1952">
      <c r="J1952" t="inlineStr">
        <is>
          <t>M</t>
        </is>
      </c>
      <c r="K1952" t="n">
        <v>2024</v>
      </c>
      <c r="L1952" t="n">
        <v>7</v>
      </c>
      <c r="M1952" t="inlineStr">
        <is>
          <t>Composto lácteo Alibralac 1 kg</t>
        </is>
      </c>
      <c r="N1952" t="inlineStr">
        <is>
          <t>Todos</t>
        </is>
      </c>
      <c r="O1952" t="n">
        <v>9</v>
      </c>
      <c r="P1952" t="n">
        <v>14</v>
      </c>
      <c r="Q1952" t="n">
        <v>0</v>
      </c>
    </row>
    <row r="1953">
      <c r="J1953" t="inlineStr">
        <is>
          <t>A</t>
        </is>
      </c>
      <c r="K1953" t="n">
        <v>2024</v>
      </c>
      <c r="L1953" t="n">
        <v>8</v>
      </c>
      <c r="M1953" t="inlineStr">
        <is>
          <t>Composto lácteo Alibralac 1 kg</t>
        </is>
      </c>
      <c r="N1953" t="inlineStr">
        <is>
          <t>Todos</t>
        </is>
      </c>
      <c r="O1953" t="n">
        <v>21</v>
      </c>
      <c r="P1953" t="n">
        <v>96</v>
      </c>
      <c r="Q1953" t="n">
        <v>21</v>
      </c>
    </row>
    <row r="1954">
      <c r="J1954" t="inlineStr">
        <is>
          <t>M</t>
        </is>
      </c>
      <c r="K1954" t="n">
        <v>2024</v>
      </c>
      <c r="L1954" t="n">
        <v>8</v>
      </c>
      <c r="M1954" t="inlineStr">
        <is>
          <t>Composto lácteo Alibralac 1 kg</t>
        </is>
      </c>
      <c r="N1954" t="inlineStr">
        <is>
          <t>Todos</t>
        </is>
      </c>
      <c r="O1954" t="n">
        <v>8</v>
      </c>
      <c r="P1954" t="n">
        <v>16</v>
      </c>
      <c r="Q1954" t="n">
        <v>0</v>
      </c>
    </row>
    <row r="1955">
      <c r="J1955" t="inlineStr">
        <is>
          <t>A</t>
        </is>
      </c>
      <c r="K1955" t="n">
        <v>2024</v>
      </c>
      <c r="L1955" t="n">
        <v>9</v>
      </c>
      <c r="M1955" t="inlineStr">
        <is>
          <t>Composto lácteo Alibralac 1 kg</t>
        </is>
      </c>
      <c r="N1955" t="inlineStr">
        <is>
          <t>Todos</t>
        </is>
      </c>
      <c r="O1955" t="n">
        <v>23</v>
      </c>
      <c r="P1955" t="n">
        <v>108</v>
      </c>
      <c r="Q1955" t="n">
        <v>23</v>
      </c>
    </row>
    <row r="1956">
      <c r="J1956" t="inlineStr">
        <is>
          <t>M</t>
        </is>
      </c>
      <c r="K1956" t="n">
        <v>2024</v>
      </c>
      <c r="L1956" t="n">
        <v>9</v>
      </c>
      <c r="M1956" t="inlineStr">
        <is>
          <t>Composto lácteo Alibralac 1 kg</t>
        </is>
      </c>
      <c r="N1956" t="inlineStr">
        <is>
          <t>Todos</t>
        </is>
      </c>
      <c r="O1956" t="n">
        <v>7</v>
      </c>
      <c r="P1956" t="n">
        <v>12</v>
      </c>
      <c r="Q1956" t="n">
        <v>0</v>
      </c>
    </row>
    <row r="1957">
      <c r="J1957" t="inlineStr">
        <is>
          <t>A</t>
        </is>
      </c>
      <c r="K1957" t="n">
        <v>2024</v>
      </c>
      <c r="L1957" t="n">
        <v>10</v>
      </c>
      <c r="M1957" t="inlineStr">
        <is>
          <t>Composto lácteo Alibralac 1 kg</t>
        </is>
      </c>
      <c r="N1957" t="inlineStr">
        <is>
          <t>Todos</t>
        </is>
      </c>
      <c r="O1957" t="n">
        <v>25</v>
      </c>
      <c r="P1957" t="n">
        <v>119</v>
      </c>
      <c r="Q1957" t="n">
        <v>25</v>
      </c>
    </row>
    <row r="1958">
      <c r="J1958" t="inlineStr">
        <is>
          <t>M</t>
        </is>
      </c>
      <c r="K1958" t="n">
        <v>2024</v>
      </c>
      <c r="L1958" t="n">
        <v>10</v>
      </c>
      <c r="M1958" t="inlineStr">
        <is>
          <t>Composto lácteo Alibralac 1 kg</t>
        </is>
      </c>
      <c r="N1958" t="inlineStr">
        <is>
          <t>Todos</t>
        </is>
      </c>
      <c r="O1958" t="n">
        <v>6</v>
      </c>
      <c r="P1958" t="n">
        <v>11</v>
      </c>
      <c r="Q1958" t="n">
        <v>0</v>
      </c>
    </row>
    <row r="1959">
      <c r="J1959" t="inlineStr">
        <is>
          <t>A</t>
        </is>
      </c>
      <c r="K1959" t="n">
        <v>2024</v>
      </c>
      <c r="L1959" t="n">
        <v>11</v>
      </c>
      <c r="M1959" t="inlineStr">
        <is>
          <t>Composto lácteo Alibralac 1 kg</t>
        </is>
      </c>
      <c r="N1959" t="inlineStr">
        <is>
          <t>Todos</t>
        </is>
      </c>
      <c r="O1959" t="n">
        <v>27</v>
      </c>
      <c r="P1959" t="n">
        <v>130</v>
      </c>
      <c r="Q1959" t="n">
        <v>27</v>
      </c>
    </row>
    <row r="1960">
      <c r="J1960" t="inlineStr">
        <is>
          <t>M</t>
        </is>
      </c>
      <c r="K1960" t="n">
        <v>2024</v>
      </c>
      <c r="L1960" t="n">
        <v>11</v>
      </c>
      <c r="M1960" t="inlineStr">
        <is>
          <t>Composto lácteo Alibralac 1 kg</t>
        </is>
      </c>
      <c r="N1960" t="inlineStr">
        <is>
          <t>Todos</t>
        </is>
      </c>
      <c r="O1960" t="n">
        <v>7</v>
      </c>
      <c r="P1960" t="n">
        <v>11</v>
      </c>
      <c r="Q1960" t="n">
        <v>0</v>
      </c>
    </row>
    <row r="1961">
      <c r="J1961" t="inlineStr">
        <is>
          <t>A</t>
        </is>
      </c>
      <c r="K1961" t="n">
        <v>2024</v>
      </c>
      <c r="L1961" t="n">
        <v>12</v>
      </c>
      <c r="M1961" t="inlineStr">
        <is>
          <t>Composto lácteo Alibralac 1 kg</t>
        </is>
      </c>
      <c r="N1961" t="inlineStr">
        <is>
          <t>Todos</t>
        </is>
      </c>
      <c r="O1961" t="n">
        <v>29</v>
      </c>
      <c r="P1961" t="n">
        <v>140</v>
      </c>
      <c r="Q1961" t="n">
        <v>29</v>
      </c>
    </row>
    <row r="1962">
      <c r="J1962" t="inlineStr">
        <is>
          <t>M</t>
        </is>
      </c>
      <c r="K1962" t="n">
        <v>2024</v>
      </c>
      <c r="L1962" t="n">
        <v>12</v>
      </c>
      <c r="M1962" t="inlineStr">
        <is>
          <t>Composto lácteo Alibralac 1 kg</t>
        </is>
      </c>
      <c r="N1962" t="inlineStr">
        <is>
          <t>Todos</t>
        </is>
      </c>
      <c r="O1962" t="n">
        <v>7</v>
      </c>
      <c r="P1962" t="n">
        <v>10</v>
      </c>
      <c r="Q1962" t="n">
        <v>0</v>
      </c>
    </row>
    <row r="1963">
      <c r="J1963" t="inlineStr">
        <is>
          <t>A</t>
        </is>
      </c>
      <c r="K1963" t="n">
        <v>2024</v>
      </c>
      <c r="L1963" t="n">
        <v>1</v>
      </c>
      <c r="M1963" t="inlineStr">
        <is>
          <t>Composto lácteo Alibralac 1 kg</t>
        </is>
      </c>
      <c r="N1963" t="inlineStr">
        <is>
          <t>Pizzaria</t>
        </is>
      </c>
      <c r="O1963" t="n">
        <v>1</v>
      </c>
      <c r="P1963" t="n">
        <v>1</v>
      </c>
      <c r="Q1963" t="n">
        <v>1</v>
      </c>
    </row>
    <row r="1964">
      <c r="J1964" t="inlineStr">
        <is>
          <t>M</t>
        </is>
      </c>
      <c r="K1964" t="n">
        <v>2024</v>
      </c>
      <c r="L1964" t="n">
        <v>1</v>
      </c>
      <c r="M1964" t="inlineStr">
        <is>
          <t>Composto lácteo Alibralac 1 kg</t>
        </is>
      </c>
      <c r="N1964" t="inlineStr">
        <is>
          <t>Pizzaria</t>
        </is>
      </c>
      <c r="O1964" t="n">
        <v>1</v>
      </c>
      <c r="P1964" t="n">
        <v>1</v>
      </c>
      <c r="Q1964" t="n">
        <v>0</v>
      </c>
    </row>
    <row r="1965">
      <c r="J1965" t="inlineStr">
        <is>
          <t>A</t>
        </is>
      </c>
      <c r="K1965" t="n">
        <v>2024</v>
      </c>
      <c r="L1965" t="n">
        <v>2</v>
      </c>
      <c r="M1965" t="inlineStr">
        <is>
          <t>Composto lácteo Alibralac 1 kg</t>
        </is>
      </c>
      <c r="N1965" t="inlineStr">
        <is>
          <t>Pizzaria</t>
        </is>
      </c>
      <c r="O1965" t="n">
        <v>1</v>
      </c>
      <c r="P1965" t="n">
        <v>1</v>
      </c>
      <c r="Q1965" t="n">
        <v>1</v>
      </c>
    </row>
    <row r="1966">
      <c r="J1966" t="inlineStr">
        <is>
          <t>A</t>
        </is>
      </c>
      <c r="K1966" t="n">
        <v>2024</v>
      </c>
      <c r="L1966" t="n">
        <v>3</v>
      </c>
      <c r="M1966" t="inlineStr">
        <is>
          <t>Composto lácteo Alibralac 1 kg</t>
        </is>
      </c>
      <c r="N1966" t="inlineStr">
        <is>
          <t>Pizzaria</t>
        </is>
      </c>
      <c r="O1966" t="n">
        <v>1</v>
      </c>
      <c r="P1966" t="n">
        <v>1</v>
      </c>
      <c r="Q1966" t="n">
        <v>1</v>
      </c>
    </row>
    <row r="1967">
      <c r="J1967" t="inlineStr">
        <is>
          <t>A</t>
        </is>
      </c>
      <c r="K1967" t="n">
        <v>2024</v>
      </c>
      <c r="L1967" t="n">
        <v>4</v>
      </c>
      <c r="M1967" t="inlineStr">
        <is>
          <t>Composto lácteo Alibralac 1 kg</t>
        </is>
      </c>
      <c r="N1967" t="inlineStr">
        <is>
          <t>Pizzaria</t>
        </is>
      </c>
      <c r="O1967" t="n">
        <v>1</v>
      </c>
      <c r="P1967" t="n">
        <v>1</v>
      </c>
      <c r="Q1967" t="n">
        <v>1</v>
      </c>
    </row>
    <row r="1968">
      <c r="J1968" t="inlineStr">
        <is>
          <t>A</t>
        </is>
      </c>
      <c r="K1968" t="n">
        <v>2024</v>
      </c>
      <c r="L1968" t="n">
        <v>5</v>
      </c>
      <c r="M1968" t="inlineStr">
        <is>
          <t>Composto lácteo Alibralac 1 kg</t>
        </is>
      </c>
      <c r="N1968" t="inlineStr">
        <is>
          <t>Pizzaria</t>
        </is>
      </c>
      <c r="O1968" t="n">
        <v>2</v>
      </c>
      <c r="P1968" t="n">
        <v>2</v>
      </c>
      <c r="Q1968" t="n">
        <v>2</v>
      </c>
    </row>
    <row r="1969">
      <c r="J1969" t="inlineStr">
        <is>
          <t>M</t>
        </is>
      </c>
      <c r="K1969" t="n">
        <v>2024</v>
      </c>
      <c r="L1969" t="n">
        <v>5</v>
      </c>
      <c r="M1969" t="inlineStr">
        <is>
          <t>Composto lácteo Alibralac 1 kg</t>
        </is>
      </c>
      <c r="N1969" t="inlineStr">
        <is>
          <t>Pizzaria</t>
        </is>
      </c>
      <c r="O1969" t="n">
        <v>1</v>
      </c>
      <c r="P1969" t="n">
        <v>1</v>
      </c>
      <c r="Q1969" t="n">
        <v>0</v>
      </c>
    </row>
    <row r="1970">
      <c r="J1970" t="inlineStr">
        <is>
          <t>A</t>
        </is>
      </c>
      <c r="K1970" t="n">
        <v>2024</v>
      </c>
      <c r="L1970" t="n">
        <v>6</v>
      </c>
      <c r="M1970" t="inlineStr">
        <is>
          <t>Composto lácteo Alibralac 1 kg</t>
        </is>
      </c>
      <c r="N1970" t="inlineStr">
        <is>
          <t>Pizzaria</t>
        </is>
      </c>
      <c r="O1970" t="n">
        <v>3</v>
      </c>
      <c r="P1970" t="n">
        <v>3</v>
      </c>
      <c r="Q1970" t="n">
        <v>3</v>
      </c>
    </row>
    <row r="1971">
      <c r="J1971" t="inlineStr">
        <is>
          <t>M</t>
        </is>
      </c>
      <c r="K1971" t="n">
        <v>2024</v>
      </c>
      <c r="L1971" t="n">
        <v>6</v>
      </c>
      <c r="M1971" t="inlineStr">
        <is>
          <t>Composto lácteo Alibralac 1 kg</t>
        </is>
      </c>
      <c r="N1971" t="inlineStr">
        <is>
          <t>Pizzaria</t>
        </is>
      </c>
      <c r="O1971" t="n">
        <v>1</v>
      </c>
      <c r="P1971" t="n">
        <v>1</v>
      </c>
      <c r="Q1971" t="n">
        <v>0</v>
      </c>
    </row>
    <row r="1972">
      <c r="J1972" t="inlineStr">
        <is>
          <t>A</t>
        </is>
      </c>
      <c r="K1972" t="n">
        <v>2024</v>
      </c>
      <c r="L1972" t="n">
        <v>7</v>
      </c>
      <c r="M1972" t="inlineStr">
        <is>
          <t>Composto lácteo Alibralac 1 kg</t>
        </is>
      </c>
      <c r="N1972" t="inlineStr">
        <is>
          <t>Pizzaria</t>
        </is>
      </c>
      <c r="O1972" t="n">
        <v>4</v>
      </c>
      <c r="P1972" t="n">
        <v>5</v>
      </c>
      <c r="Q1972" t="n">
        <v>4</v>
      </c>
    </row>
    <row r="1973">
      <c r="J1973" t="inlineStr">
        <is>
          <t>M</t>
        </is>
      </c>
      <c r="K1973" t="n">
        <v>2024</v>
      </c>
      <c r="L1973" t="n">
        <v>7</v>
      </c>
      <c r="M1973" t="inlineStr">
        <is>
          <t>Composto lácteo Alibralac 1 kg</t>
        </is>
      </c>
      <c r="N1973" t="inlineStr">
        <is>
          <t>Pizzaria</t>
        </is>
      </c>
      <c r="O1973" t="n">
        <v>2</v>
      </c>
      <c r="P1973" t="n">
        <v>2</v>
      </c>
      <c r="Q1973" t="n">
        <v>0</v>
      </c>
    </row>
    <row r="1974">
      <c r="J1974" t="inlineStr">
        <is>
          <t>A</t>
        </is>
      </c>
      <c r="K1974" t="n">
        <v>2024</v>
      </c>
      <c r="L1974" t="n">
        <v>8</v>
      </c>
      <c r="M1974" t="inlineStr">
        <is>
          <t>Composto lácteo Alibralac 1 kg</t>
        </is>
      </c>
      <c r="N1974" t="inlineStr">
        <is>
          <t>Pizzaria</t>
        </is>
      </c>
      <c r="O1974" t="n">
        <v>4</v>
      </c>
      <c r="P1974" t="n">
        <v>8</v>
      </c>
      <c r="Q1974" t="n">
        <v>4</v>
      </c>
    </row>
    <row r="1975">
      <c r="J1975" t="inlineStr">
        <is>
          <t>M</t>
        </is>
      </c>
      <c r="K1975" t="n">
        <v>2024</v>
      </c>
      <c r="L1975" t="n">
        <v>8</v>
      </c>
      <c r="M1975" t="inlineStr">
        <is>
          <t>Composto lácteo Alibralac 1 kg</t>
        </is>
      </c>
      <c r="N1975" t="inlineStr">
        <is>
          <t>Pizzaria</t>
        </is>
      </c>
      <c r="O1975" t="n">
        <v>2</v>
      </c>
      <c r="P1975" t="n">
        <v>3</v>
      </c>
      <c r="Q1975" t="n">
        <v>0</v>
      </c>
    </row>
    <row r="1976">
      <c r="J1976" t="inlineStr">
        <is>
          <t>A</t>
        </is>
      </c>
      <c r="K1976" t="n">
        <v>2024</v>
      </c>
      <c r="L1976" t="n">
        <v>9</v>
      </c>
      <c r="M1976" t="inlineStr">
        <is>
          <t>Composto lácteo Alibralac 1 kg</t>
        </is>
      </c>
      <c r="N1976" t="inlineStr">
        <is>
          <t>Pizzaria</t>
        </is>
      </c>
      <c r="O1976" t="n">
        <v>6</v>
      </c>
      <c r="P1976" t="n">
        <v>11</v>
      </c>
      <c r="Q1976" t="n">
        <v>6</v>
      </c>
    </row>
    <row r="1977">
      <c r="J1977" t="inlineStr">
        <is>
          <t>M</t>
        </is>
      </c>
      <c r="K1977" t="n">
        <v>2024</v>
      </c>
      <c r="L1977" t="n">
        <v>9</v>
      </c>
      <c r="M1977" t="inlineStr">
        <is>
          <t>Composto lácteo Alibralac 1 kg</t>
        </is>
      </c>
      <c r="N1977" t="inlineStr">
        <is>
          <t>Pizzaria</t>
        </is>
      </c>
      <c r="O1977" t="n">
        <v>3</v>
      </c>
      <c r="P1977" t="n">
        <v>3</v>
      </c>
      <c r="Q1977" t="n">
        <v>0</v>
      </c>
    </row>
    <row r="1978">
      <c r="J1978" t="inlineStr">
        <is>
          <t>A</t>
        </is>
      </c>
      <c r="K1978" t="n">
        <v>2024</v>
      </c>
      <c r="L1978" t="n">
        <v>10</v>
      </c>
      <c r="M1978" t="inlineStr">
        <is>
          <t>Composto lácteo Alibralac 1 kg</t>
        </is>
      </c>
      <c r="N1978" t="inlineStr">
        <is>
          <t>Pizzaria</t>
        </is>
      </c>
      <c r="O1978" t="n">
        <v>6</v>
      </c>
      <c r="P1978" t="n">
        <v>12</v>
      </c>
      <c r="Q1978" t="n">
        <v>6</v>
      </c>
    </row>
    <row r="1979">
      <c r="J1979" t="inlineStr">
        <is>
          <t>M</t>
        </is>
      </c>
      <c r="K1979" t="n">
        <v>2024</v>
      </c>
      <c r="L1979" t="n">
        <v>10</v>
      </c>
      <c r="M1979" t="inlineStr">
        <is>
          <t>Composto lácteo Alibralac 1 kg</t>
        </is>
      </c>
      <c r="N1979" t="inlineStr">
        <is>
          <t>Pizzaria</t>
        </is>
      </c>
      <c r="O1979" t="n">
        <v>1</v>
      </c>
      <c r="P1979" t="n">
        <v>1</v>
      </c>
      <c r="Q1979" t="n">
        <v>0</v>
      </c>
    </row>
    <row r="1980">
      <c r="J1980" t="inlineStr">
        <is>
          <t>A</t>
        </is>
      </c>
      <c r="K1980" t="n">
        <v>2024</v>
      </c>
      <c r="L1980" t="n">
        <v>11</v>
      </c>
      <c r="M1980" t="inlineStr">
        <is>
          <t>Composto lácteo Alibralac 1 kg</t>
        </is>
      </c>
      <c r="N1980" t="inlineStr">
        <is>
          <t>Pizzaria</t>
        </is>
      </c>
      <c r="O1980" t="n">
        <v>6</v>
      </c>
      <c r="P1980" t="n">
        <v>15</v>
      </c>
      <c r="Q1980" t="n">
        <v>6</v>
      </c>
    </row>
    <row r="1981">
      <c r="J1981" t="inlineStr">
        <is>
          <t>M</t>
        </is>
      </c>
      <c r="K1981" t="n">
        <v>2024</v>
      </c>
      <c r="L1981" t="n">
        <v>11</v>
      </c>
      <c r="M1981" t="inlineStr">
        <is>
          <t>Composto lácteo Alibralac 1 kg</t>
        </is>
      </c>
      <c r="N1981" t="inlineStr">
        <is>
          <t>Pizzaria</t>
        </is>
      </c>
      <c r="O1981" t="n">
        <v>2</v>
      </c>
      <c r="P1981" t="n">
        <v>3</v>
      </c>
      <c r="Q1981" t="n">
        <v>0</v>
      </c>
    </row>
    <row r="1982">
      <c r="J1982" t="inlineStr">
        <is>
          <t>A</t>
        </is>
      </c>
      <c r="K1982" t="n">
        <v>2024</v>
      </c>
      <c r="L1982" t="n">
        <v>12</v>
      </c>
      <c r="M1982" t="inlineStr">
        <is>
          <t>Composto lácteo Alibralac 1 kg</t>
        </is>
      </c>
      <c r="N1982" t="inlineStr">
        <is>
          <t>Pizzaria</t>
        </is>
      </c>
      <c r="O1982" t="n">
        <v>7</v>
      </c>
      <c r="P1982" t="n">
        <v>18</v>
      </c>
      <c r="Q1982" t="n">
        <v>7</v>
      </c>
    </row>
    <row r="1983">
      <c r="J1983" t="inlineStr">
        <is>
          <t>M</t>
        </is>
      </c>
      <c r="K1983" t="n">
        <v>2024</v>
      </c>
      <c r="L1983" t="n">
        <v>12</v>
      </c>
      <c r="M1983" t="inlineStr">
        <is>
          <t>Composto lácteo Alibralac 1 kg</t>
        </is>
      </c>
      <c r="N1983" t="inlineStr">
        <is>
          <t>Pizzaria</t>
        </is>
      </c>
      <c r="O1983" t="n">
        <v>3</v>
      </c>
      <c r="P1983" t="n">
        <v>3</v>
      </c>
      <c r="Q1983" t="n">
        <v>0</v>
      </c>
    </row>
    <row r="1984">
      <c r="J1984" t="inlineStr">
        <is>
          <t>A</t>
        </is>
      </c>
      <c r="K1984" t="n">
        <v>2024</v>
      </c>
      <c r="L1984" t="n">
        <v>4</v>
      </c>
      <c r="M1984" t="inlineStr">
        <is>
          <t>Composto lácteo Alibralac 1 kg</t>
        </is>
      </c>
      <c r="N1984" t="inlineStr">
        <is>
          <t>Restaurante / Cantina</t>
        </is>
      </c>
      <c r="O1984" t="n">
        <v>2</v>
      </c>
      <c r="P1984" t="n">
        <v>3</v>
      </c>
      <c r="Q1984" t="n">
        <v>2</v>
      </c>
    </row>
    <row r="1985">
      <c r="J1985" t="inlineStr">
        <is>
          <t>M</t>
        </is>
      </c>
      <c r="K1985" t="n">
        <v>2024</v>
      </c>
      <c r="L1985" t="n">
        <v>4</v>
      </c>
      <c r="M1985" t="inlineStr">
        <is>
          <t>Composto lácteo Alibralac 1 kg</t>
        </is>
      </c>
      <c r="N1985" t="inlineStr">
        <is>
          <t>Restaurante / Cantina</t>
        </is>
      </c>
      <c r="O1985" t="n">
        <v>2</v>
      </c>
      <c r="P1985" t="n">
        <v>3</v>
      </c>
      <c r="Q1985" t="n">
        <v>0</v>
      </c>
    </row>
    <row r="1986">
      <c r="J1986" t="inlineStr">
        <is>
          <t>A</t>
        </is>
      </c>
      <c r="K1986" t="n">
        <v>2024</v>
      </c>
      <c r="L1986" t="n">
        <v>5</v>
      </c>
      <c r="M1986" t="inlineStr">
        <is>
          <t>Composto lácteo Alibralac 1 kg</t>
        </is>
      </c>
      <c r="N1986" t="inlineStr">
        <is>
          <t>Restaurante / Cantina</t>
        </is>
      </c>
      <c r="O1986" t="n">
        <v>2</v>
      </c>
      <c r="P1986" t="n">
        <v>7</v>
      </c>
      <c r="Q1986" t="n">
        <v>2</v>
      </c>
    </row>
    <row r="1987">
      <c r="J1987" t="inlineStr">
        <is>
          <t>M</t>
        </is>
      </c>
      <c r="K1987" t="n">
        <v>2024</v>
      </c>
      <c r="L1987" t="n">
        <v>5</v>
      </c>
      <c r="M1987" t="inlineStr">
        <is>
          <t>Composto lácteo Alibralac 1 kg</t>
        </is>
      </c>
      <c r="N1987" t="inlineStr">
        <is>
          <t>Restaurante / Cantina</t>
        </is>
      </c>
      <c r="O1987" t="n">
        <v>2</v>
      </c>
      <c r="P1987" t="n">
        <v>4</v>
      </c>
      <c r="Q1987" t="n">
        <v>0</v>
      </c>
    </row>
    <row r="1988">
      <c r="J1988" t="inlineStr">
        <is>
          <t>A</t>
        </is>
      </c>
      <c r="K1988" t="n">
        <v>2024</v>
      </c>
      <c r="L1988" t="n">
        <v>6</v>
      </c>
      <c r="M1988" t="inlineStr">
        <is>
          <t>Composto lácteo Alibralac 1 kg</t>
        </is>
      </c>
      <c r="N1988" t="inlineStr">
        <is>
          <t>Restaurante / Cantina</t>
        </is>
      </c>
      <c r="O1988" t="n">
        <v>2</v>
      </c>
      <c r="P1988" t="n">
        <v>10</v>
      </c>
      <c r="Q1988" t="n">
        <v>2</v>
      </c>
    </row>
    <row r="1989">
      <c r="J1989" t="inlineStr">
        <is>
          <t>M</t>
        </is>
      </c>
      <c r="K1989" t="n">
        <v>2024</v>
      </c>
      <c r="L1989" t="n">
        <v>6</v>
      </c>
      <c r="M1989" t="inlineStr">
        <is>
          <t>Composto lácteo Alibralac 1 kg</t>
        </is>
      </c>
      <c r="N1989" t="inlineStr">
        <is>
          <t>Restaurante / Cantina</t>
        </is>
      </c>
      <c r="O1989" t="n">
        <v>1</v>
      </c>
      <c r="P1989" t="n">
        <v>3</v>
      </c>
      <c r="Q1989" t="n">
        <v>0</v>
      </c>
    </row>
    <row r="1990">
      <c r="J1990" t="inlineStr">
        <is>
          <t>A</t>
        </is>
      </c>
      <c r="K1990" t="n">
        <v>2024</v>
      </c>
      <c r="L1990" t="n">
        <v>7</v>
      </c>
      <c r="M1990" t="inlineStr">
        <is>
          <t>Composto lácteo Alibralac 1 kg</t>
        </is>
      </c>
      <c r="N1990" t="inlineStr">
        <is>
          <t>Restaurante / Cantina</t>
        </is>
      </c>
      <c r="O1990" t="n">
        <v>4</v>
      </c>
      <c r="P1990" t="n">
        <v>17</v>
      </c>
      <c r="Q1990" t="n">
        <v>4</v>
      </c>
    </row>
    <row r="1991">
      <c r="J1991" t="inlineStr">
        <is>
          <t>M</t>
        </is>
      </c>
      <c r="K1991" t="n">
        <v>2024</v>
      </c>
      <c r="L1991" t="n">
        <v>7</v>
      </c>
      <c r="M1991" t="inlineStr">
        <is>
          <t>Composto lácteo Alibralac 1 kg</t>
        </is>
      </c>
      <c r="N1991" t="inlineStr">
        <is>
          <t>Restaurante / Cantina</t>
        </is>
      </c>
      <c r="O1991" t="n">
        <v>3</v>
      </c>
      <c r="P1991" t="n">
        <v>7</v>
      </c>
      <c r="Q1991" t="n">
        <v>0</v>
      </c>
    </row>
    <row r="1992">
      <c r="J1992" t="inlineStr">
        <is>
          <t>A</t>
        </is>
      </c>
      <c r="K1992" t="n">
        <v>2024</v>
      </c>
      <c r="L1992" t="n">
        <v>8</v>
      </c>
      <c r="M1992" t="inlineStr">
        <is>
          <t>Composto lácteo Alibralac 1 kg</t>
        </is>
      </c>
      <c r="N1992" t="inlineStr">
        <is>
          <t>Restaurante / Cantina</t>
        </is>
      </c>
      <c r="O1992" t="n">
        <v>4</v>
      </c>
      <c r="P1992" t="n">
        <v>22</v>
      </c>
      <c r="Q1992" t="n">
        <v>4</v>
      </c>
    </row>
    <row r="1993">
      <c r="J1993" t="inlineStr">
        <is>
          <t>M</t>
        </is>
      </c>
      <c r="K1993" t="n">
        <v>2024</v>
      </c>
      <c r="L1993" t="n">
        <v>8</v>
      </c>
      <c r="M1993" t="inlineStr">
        <is>
          <t>Composto lácteo Alibralac 1 kg</t>
        </is>
      </c>
      <c r="N1993" t="inlineStr">
        <is>
          <t>Restaurante / Cantina</t>
        </is>
      </c>
      <c r="O1993" t="n">
        <v>2</v>
      </c>
      <c r="P1993" t="n">
        <v>5</v>
      </c>
      <c r="Q1993" t="n">
        <v>0</v>
      </c>
    </row>
    <row r="1994">
      <c r="J1994" t="inlineStr">
        <is>
          <t>A</t>
        </is>
      </c>
      <c r="K1994" t="n">
        <v>2024</v>
      </c>
      <c r="L1994" t="n">
        <v>9</v>
      </c>
      <c r="M1994" t="inlineStr">
        <is>
          <t>Composto lácteo Alibralac 1 kg</t>
        </is>
      </c>
      <c r="N1994" t="inlineStr">
        <is>
          <t>Restaurante / Cantina</t>
        </is>
      </c>
      <c r="O1994" t="n">
        <v>4</v>
      </c>
      <c r="P1994" t="n">
        <v>26</v>
      </c>
      <c r="Q1994" t="n">
        <v>4</v>
      </c>
    </row>
    <row r="1995">
      <c r="J1995" t="inlineStr">
        <is>
          <t>M</t>
        </is>
      </c>
      <c r="K1995" t="n">
        <v>2024</v>
      </c>
      <c r="L1995" t="n">
        <v>9</v>
      </c>
      <c r="M1995" t="inlineStr">
        <is>
          <t>Composto lácteo Alibralac 1 kg</t>
        </is>
      </c>
      <c r="N1995" t="inlineStr">
        <is>
          <t>Restaurante / Cantina</t>
        </is>
      </c>
      <c r="O1995" t="n">
        <v>2</v>
      </c>
      <c r="P1995" t="n">
        <v>4</v>
      </c>
      <c r="Q1995" t="n">
        <v>0</v>
      </c>
    </row>
    <row r="1996">
      <c r="J1996" t="inlineStr">
        <is>
          <t>A</t>
        </is>
      </c>
      <c r="K1996" t="n">
        <v>2024</v>
      </c>
      <c r="L1996" t="n">
        <v>10</v>
      </c>
      <c r="M1996" t="inlineStr">
        <is>
          <t>Composto lácteo Alibralac 1 kg</t>
        </is>
      </c>
      <c r="N1996" t="inlineStr">
        <is>
          <t>Restaurante / Cantina</t>
        </is>
      </c>
      <c r="O1996" t="n">
        <v>4</v>
      </c>
      <c r="P1996" t="n">
        <v>26</v>
      </c>
      <c r="Q1996" t="n">
        <v>4</v>
      </c>
    </row>
    <row r="1997">
      <c r="J1997" t="inlineStr">
        <is>
          <t>A</t>
        </is>
      </c>
      <c r="K1997" t="n">
        <v>2024</v>
      </c>
      <c r="L1997" t="n">
        <v>11</v>
      </c>
      <c r="M1997" t="inlineStr">
        <is>
          <t>Composto lácteo Alibralac 1 kg</t>
        </is>
      </c>
      <c r="N1997" t="inlineStr">
        <is>
          <t>Restaurante / Cantina</t>
        </is>
      </c>
      <c r="O1997" t="n">
        <v>5</v>
      </c>
      <c r="P1997" t="n">
        <v>29</v>
      </c>
      <c r="Q1997" t="n">
        <v>5</v>
      </c>
    </row>
    <row r="1998">
      <c r="J1998" t="inlineStr">
        <is>
          <t>M</t>
        </is>
      </c>
      <c r="K1998" t="n">
        <v>2024</v>
      </c>
      <c r="L1998" t="n">
        <v>11</v>
      </c>
      <c r="M1998" t="inlineStr">
        <is>
          <t>Composto lácteo Alibralac 1 kg</t>
        </is>
      </c>
      <c r="N1998" t="inlineStr">
        <is>
          <t>Restaurante / Cantina</t>
        </is>
      </c>
      <c r="O1998" t="n">
        <v>2</v>
      </c>
      <c r="P1998" t="n">
        <v>3</v>
      </c>
      <c r="Q1998" t="n">
        <v>0</v>
      </c>
    </row>
    <row r="1999">
      <c r="J1999" t="inlineStr">
        <is>
          <t>A</t>
        </is>
      </c>
      <c r="K1999" t="n">
        <v>2024</v>
      </c>
      <c r="L1999" t="n">
        <v>12</v>
      </c>
      <c r="M1999" t="inlineStr">
        <is>
          <t>Composto lácteo Alibralac 1 kg</t>
        </is>
      </c>
      <c r="N1999" t="inlineStr">
        <is>
          <t>Restaurante / Cantina</t>
        </is>
      </c>
      <c r="O1999" t="n">
        <v>5</v>
      </c>
      <c r="P1999" t="n">
        <v>29</v>
      </c>
      <c r="Q1999" t="n">
        <v>5</v>
      </c>
    </row>
    <row r="2000">
      <c r="J2000" t="inlineStr">
        <is>
          <t>A</t>
        </is>
      </c>
      <c r="K2000" t="n">
        <v>2024</v>
      </c>
      <c r="L2000" t="n">
        <v>2</v>
      </c>
      <c r="M2000" t="inlineStr">
        <is>
          <t>Composto lácteo Alibralac 1 kg</t>
        </is>
      </c>
      <c r="N2000" t="inlineStr">
        <is>
          <t>Cozinha Industrial</t>
        </is>
      </c>
      <c r="O2000" t="n">
        <v>1</v>
      </c>
      <c r="P2000" t="n">
        <v>1</v>
      </c>
      <c r="Q2000" t="n">
        <v>1</v>
      </c>
    </row>
    <row r="2001">
      <c r="J2001" t="inlineStr">
        <is>
          <t>M</t>
        </is>
      </c>
      <c r="K2001" t="n">
        <v>2024</v>
      </c>
      <c r="L2001" t="n">
        <v>2</v>
      </c>
      <c r="M2001" t="inlineStr">
        <is>
          <t>Composto lácteo Alibralac 1 kg</t>
        </is>
      </c>
      <c r="N2001" t="inlineStr">
        <is>
          <t>Cozinha Industrial</t>
        </is>
      </c>
      <c r="O2001" t="n">
        <v>1</v>
      </c>
      <c r="P2001" t="n">
        <v>1</v>
      </c>
      <c r="Q2001" t="n">
        <v>0</v>
      </c>
    </row>
    <row r="2002">
      <c r="J2002" t="inlineStr">
        <is>
          <t>A</t>
        </is>
      </c>
      <c r="K2002" t="n">
        <v>2024</v>
      </c>
      <c r="L2002" t="n">
        <v>3</v>
      </c>
      <c r="M2002" t="inlineStr">
        <is>
          <t>Composto lácteo Alibralac 1 kg</t>
        </is>
      </c>
      <c r="N2002" t="inlineStr">
        <is>
          <t>Cozinha Industrial</t>
        </is>
      </c>
      <c r="O2002" t="n">
        <v>3</v>
      </c>
      <c r="P2002" t="n">
        <v>6</v>
      </c>
      <c r="Q2002" t="n">
        <v>3</v>
      </c>
    </row>
    <row r="2003">
      <c r="J2003" t="inlineStr">
        <is>
          <t>M</t>
        </is>
      </c>
      <c r="K2003" t="n">
        <v>2024</v>
      </c>
      <c r="L2003" t="n">
        <v>3</v>
      </c>
      <c r="M2003" t="inlineStr">
        <is>
          <t>Composto lácteo Alibralac 1 kg</t>
        </is>
      </c>
      <c r="N2003" t="inlineStr">
        <is>
          <t>Cozinha Industrial</t>
        </is>
      </c>
      <c r="O2003" t="n">
        <v>3</v>
      </c>
      <c r="P2003" t="n">
        <v>5</v>
      </c>
      <c r="Q2003" t="n">
        <v>0</v>
      </c>
    </row>
    <row r="2004">
      <c r="J2004" t="inlineStr">
        <is>
          <t>A</t>
        </is>
      </c>
      <c r="K2004" t="n">
        <v>2024</v>
      </c>
      <c r="L2004" t="n">
        <v>4</v>
      </c>
      <c r="M2004" t="inlineStr">
        <is>
          <t>Composto lácteo Alibralac 1 kg</t>
        </is>
      </c>
      <c r="N2004" t="inlineStr">
        <is>
          <t>Cozinha Industrial</t>
        </is>
      </c>
      <c r="O2004" t="n">
        <v>3</v>
      </c>
      <c r="P2004" t="n">
        <v>7</v>
      </c>
      <c r="Q2004" t="n">
        <v>3</v>
      </c>
    </row>
    <row r="2005">
      <c r="J2005" t="inlineStr">
        <is>
          <t>M</t>
        </is>
      </c>
      <c r="K2005" t="n">
        <v>2024</v>
      </c>
      <c r="L2005" t="n">
        <v>4</v>
      </c>
      <c r="M2005" t="inlineStr">
        <is>
          <t>Composto lácteo Alibralac 1 kg</t>
        </is>
      </c>
      <c r="N2005" t="inlineStr">
        <is>
          <t>Cozinha Industrial</t>
        </is>
      </c>
      <c r="O2005" t="n">
        <v>1</v>
      </c>
      <c r="P2005" t="n">
        <v>1</v>
      </c>
      <c r="Q2005" t="n">
        <v>0</v>
      </c>
    </row>
    <row r="2006">
      <c r="J2006" t="inlineStr">
        <is>
          <t>A</t>
        </is>
      </c>
      <c r="K2006" t="n">
        <v>2024</v>
      </c>
      <c r="L2006" t="n">
        <v>5</v>
      </c>
      <c r="M2006" t="inlineStr">
        <is>
          <t>Composto lácteo Alibralac 1 kg</t>
        </is>
      </c>
      <c r="N2006" t="inlineStr">
        <is>
          <t>Cozinha Industrial</t>
        </is>
      </c>
      <c r="O2006" t="n">
        <v>3</v>
      </c>
      <c r="P2006" t="n">
        <v>13</v>
      </c>
      <c r="Q2006" t="n">
        <v>3</v>
      </c>
    </row>
    <row r="2007">
      <c r="J2007" t="inlineStr">
        <is>
          <t>M</t>
        </is>
      </c>
      <c r="K2007" t="n">
        <v>2024</v>
      </c>
      <c r="L2007" t="n">
        <v>5</v>
      </c>
      <c r="M2007" t="inlineStr">
        <is>
          <t>Composto lácteo Alibralac 1 kg</t>
        </is>
      </c>
      <c r="N2007" t="inlineStr">
        <is>
          <t>Cozinha Industrial</t>
        </is>
      </c>
      <c r="O2007" t="n">
        <v>3</v>
      </c>
      <c r="P2007" t="n">
        <v>6</v>
      </c>
      <c r="Q2007" t="n">
        <v>0</v>
      </c>
    </row>
    <row r="2008">
      <c r="J2008" t="inlineStr">
        <is>
          <t>A</t>
        </is>
      </c>
      <c r="K2008" t="n">
        <v>2024</v>
      </c>
      <c r="L2008" t="n">
        <v>6</v>
      </c>
      <c r="M2008" t="inlineStr">
        <is>
          <t>Composto lácteo Alibralac 1 kg</t>
        </is>
      </c>
      <c r="N2008" t="inlineStr">
        <is>
          <t>Cozinha Industrial</t>
        </is>
      </c>
      <c r="O2008" t="n">
        <v>3</v>
      </c>
      <c r="P2008" t="n">
        <v>13</v>
      </c>
      <c r="Q2008" t="n">
        <v>3</v>
      </c>
    </row>
    <row r="2009">
      <c r="J2009" t="inlineStr">
        <is>
          <t>A</t>
        </is>
      </c>
      <c r="K2009" t="n">
        <v>2024</v>
      </c>
      <c r="L2009" t="n">
        <v>7</v>
      </c>
      <c r="M2009" t="inlineStr">
        <is>
          <t>Composto lácteo Alibralac 1 kg</t>
        </is>
      </c>
      <c r="N2009" t="inlineStr">
        <is>
          <t>Cozinha Industrial</t>
        </is>
      </c>
      <c r="O2009" t="n">
        <v>3</v>
      </c>
      <c r="P2009" t="n">
        <v>13</v>
      </c>
      <c r="Q2009" t="n">
        <v>3</v>
      </c>
    </row>
    <row r="2010">
      <c r="J2010" t="inlineStr">
        <is>
          <t>A</t>
        </is>
      </c>
      <c r="K2010" t="n">
        <v>2024</v>
      </c>
      <c r="L2010" t="n">
        <v>8</v>
      </c>
      <c r="M2010" t="inlineStr">
        <is>
          <t>Composto lácteo Alibralac 1 kg</t>
        </is>
      </c>
      <c r="N2010" t="inlineStr">
        <is>
          <t>Cozinha Industrial</t>
        </is>
      </c>
      <c r="O2010" t="n">
        <v>3</v>
      </c>
      <c r="P2010" t="n">
        <v>13</v>
      </c>
      <c r="Q2010" t="n">
        <v>3</v>
      </c>
    </row>
    <row r="2011">
      <c r="J2011" t="inlineStr">
        <is>
          <t>A</t>
        </is>
      </c>
      <c r="K2011" t="n">
        <v>2024</v>
      </c>
      <c r="L2011" t="n">
        <v>9</v>
      </c>
      <c r="M2011" t="inlineStr">
        <is>
          <t>Composto lácteo Alibralac 1 kg</t>
        </is>
      </c>
      <c r="N2011" t="inlineStr">
        <is>
          <t>Cozinha Industrial</t>
        </is>
      </c>
      <c r="O2011" t="n">
        <v>3</v>
      </c>
      <c r="P2011" t="n">
        <v>13</v>
      </c>
      <c r="Q2011" t="n">
        <v>3</v>
      </c>
    </row>
    <row r="2012">
      <c r="J2012" t="inlineStr">
        <is>
          <t>A</t>
        </is>
      </c>
      <c r="K2012" t="n">
        <v>2024</v>
      </c>
      <c r="L2012" t="n">
        <v>10</v>
      </c>
      <c r="M2012" t="inlineStr">
        <is>
          <t>Composto lácteo Alibralac 1 kg</t>
        </is>
      </c>
      <c r="N2012" t="inlineStr">
        <is>
          <t>Cozinha Industrial</t>
        </is>
      </c>
      <c r="O2012" t="n">
        <v>4</v>
      </c>
      <c r="P2012" t="n">
        <v>14</v>
      </c>
      <c r="Q2012" t="n">
        <v>4</v>
      </c>
    </row>
    <row r="2013">
      <c r="J2013" t="inlineStr">
        <is>
          <t>M</t>
        </is>
      </c>
      <c r="K2013" t="n">
        <v>2024</v>
      </c>
      <c r="L2013" t="n">
        <v>10</v>
      </c>
      <c r="M2013" t="inlineStr">
        <is>
          <t>Composto lácteo Alibralac 1 kg</t>
        </is>
      </c>
      <c r="N2013" t="inlineStr">
        <is>
          <t>Cozinha Industrial</t>
        </is>
      </c>
      <c r="O2013" t="n">
        <v>1</v>
      </c>
      <c r="P2013" t="n">
        <v>1</v>
      </c>
      <c r="Q2013" t="n">
        <v>0</v>
      </c>
    </row>
    <row r="2014">
      <c r="J2014" t="inlineStr">
        <is>
          <t>A</t>
        </is>
      </c>
      <c r="K2014" t="n">
        <v>2024</v>
      </c>
      <c r="L2014" t="n">
        <v>11</v>
      </c>
      <c r="M2014" t="inlineStr">
        <is>
          <t>Composto lácteo Alibralac 1 kg</t>
        </is>
      </c>
      <c r="N2014" t="inlineStr">
        <is>
          <t>Cozinha Industrial</t>
        </is>
      </c>
      <c r="O2014" t="n">
        <v>4</v>
      </c>
      <c r="P2014" t="n">
        <v>14</v>
      </c>
      <c r="Q2014" t="n">
        <v>4</v>
      </c>
    </row>
    <row r="2015">
      <c r="J2015" t="inlineStr">
        <is>
          <t>A</t>
        </is>
      </c>
      <c r="K2015" t="n">
        <v>2024</v>
      </c>
      <c r="L2015" t="n">
        <v>12</v>
      </c>
      <c r="M2015" t="inlineStr">
        <is>
          <t>Composto lácteo Alibralac 1 kg</t>
        </is>
      </c>
      <c r="N2015" t="inlineStr">
        <is>
          <t>Cozinha Industrial</t>
        </is>
      </c>
      <c r="O2015" t="n">
        <v>4</v>
      </c>
      <c r="P2015" t="n">
        <v>14</v>
      </c>
      <c r="Q2015" t="n">
        <v>4</v>
      </c>
    </row>
    <row r="2016">
      <c r="J2016" t="inlineStr">
        <is>
          <t>A</t>
        </is>
      </c>
      <c r="K2016" t="n">
        <v>2024</v>
      </c>
      <c r="L2016" t="n">
        <v>1</v>
      </c>
      <c r="M2016" t="inlineStr">
        <is>
          <t>Composto lácteo Alibralac 1 kg</t>
        </is>
      </c>
      <c r="N2016" t="inlineStr">
        <is>
          <t>Fábrica de Massas</t>
        </is>
      </c>
      <c r="O2016" t="n">
        <v>1</v>
      </c>
      <c r="P2016" t="n">
        <v>2</v>
      </c>
      <c r="Q2016" t="n">
        <v>1</v>
      </c>
    </row>
    <row r="2017">
      <c r="J2017" t="inlineStr">
        <is>
          <t>M</t>
        </is>
      </c>
      <c r="K2017" t="n">
        <v>2024</v>
      </c>
      <c r="L2017" t="n">
        <v>1</v>
      </c>
      <c r="M2017" t="inlineStr">
        <is>
          <t>Composto lácteo Alibralac 1 kg</t>
        </is>
      </c>
      <c r="N2017" t="inlineStr">
        <is>
          <t>Fábrica de Massas</t>
        </is>
      </c>
      <c r="O2017" t="n">
        <v>1</v>
      </c>
      <c r="P2017" t="n">
        <v>2</v>
      </c>
      <c r="Q2017" t="n">
        <v>0</v>
      </c>
    </row>
    <row r="2018">
      <c r="J2018" t="inlineStr">
        <is>
          <t>A</t>
        </is>
      </c>
      <c r="K2018" t="n">
        <v>2024</v>
      </c>
      <c r="L2018" t="n">
        <v>2</v>
      </c>
      <c r="M2018" t="inlineStr">
        <is>
          <t>Composto lácteo Alibralac 1 kg</t>
        </is>
      </c>
      <c r="N2018" t="inlineStr">
        <is>
          <t>Fábrica de Massas</t>
        </is>
      </c>
      <c r="O2018" t="n">
        <v>1</v>
      </c>
      <c r="P2018" t="n">
        <v>3</v>
      </c>
      <c r="Q2018" t="n">
        <v>1</v>
      </c>
    </row>
    <row r="2019">
      <c r="J2019" t="inlineStr">
        <is>
          <t>M</t>
        </is>
      </c>
      <c r="K2019" t="n">
        <v>2024</v>
      </c>
      <c r="L2019" t="n">
        <v>2</v>
      </c>
      <c r="M2019" t="inlineStr">
        <is>
          <t>Composto lácteo Alibralac 1 kg</t>
        </is>
      </c>
      <c r="N2019" t="inlineStr">
        <is>
          <t>Fábrica de Massas</t>
        </is>
      </c>
      <c r="O2019" t="n">
        <v>1</v>
      </c>
      <c r="P2019" t="n">
        <v>1</v>
      </c>
      <c r="Q2019" t="n">
        <v>0</v>
      </c>
    </row>
    <row r="2020">
      <c r="J2020" t="inlineStr">
        <is>
          <t>A</t>
        </is>
      </c>
      <c r="K2020" t="n">
        <v>2024</v>
      </c>
      <c r="L2020" t="n">
        <v>3</v>
      </c>
      <c r="M2020" t="inlineStr">
        <is>
          <t>Composto lácteo Alibralac 1 kg</t>
        </is>
      </c>
      <c r="N2020" t="inlineStr">
        <is>
          <t>Fábrica de Massas</t>
        </is>
      </c>
      <c r="O2020" t="n">
        <v>1</v>
      </c>
      <c r="P2020" t="n">
        <v>4</v>
      </c>
      <c r="Q2020" t="n">
        <v>1</v>
      </c>
    </row>
    <row r="2021">
      <c r="J2021" t="inlineStr">
        <is>
          <t>M</t>
        </is>
      </c>
      <c r="K2021" t="n">
        <v>2024</v>
      </c>
      <c r="L2021" t="n">
        <v>3</v>
      </c>
      <c r="M2021" t="inlineStr">
        <is>
          <t>Composto lácteo Alibralac 1 kg</t>
        </is>
      </c>
      <c r="N2021" t="inlineStr">
        <is>
          <t>Fábrica de Massas</t>
        </is>
      </c>
      <c r="O2021" t="n">
        <v>1</v>
      </c>
      <c r="P2021" t="n">
        <v>1</v>
      </c>
      <c r="Q2021" t="n">
        <v>0</v>
      </c>
    </row>
    <row r="2022">
      <c r="J2022" t="inlineStr">
        <is>
          <t>A</t>
        </is>
      </c>
      <c r="K2022" t="n">
        <v>2024</v>
      </c>
      <c r="L2022" t="n">
        <v>4</v>
      </c>
      <c r="M2022" t="inlineStr">
        <is>
          <t>Composto lácteo Alibralac 1 kg</t>
        </is>
      </c>
      <c r="N2022" t="inlineStr">
        <is>
          <t>Fábrica de Massas</t>
        </is>
      </c>
      <c r="O2022" t="n">
        <v>1</v>
      </c>
      <c r="P2022" t="n">
        <v>5</v>
      </c>
      <c r="Q2022" t="n">
        <v>1</v>
      </c>
    </row>
    <row r="2023">
      <c r="J2023" t="inlineStr">
        <is>
          <t>M</t>
        </is>
      </c>
      <c r="K2023" t="n">
        <v>2024</v>
      </c>
      <c r="L2023" t="n">
        <v>4</v>
      </c>
      <c r="M2023" t="inlineStr">
        <is>
          <t>Composto lácteo Alibralac 1 kg</t>
        </is>
      </c>
      <c r="N2023" t="inlineStr">
        <is>
          <t>Fábrica de Massas</t>
        </is>
      </c>
      <c r="O2023" t="n">
        <v>1</v>
      </c>
      <c r="P2023" t="n">
        <v>1</v>
      </c>
      <c r="Q2023" t="n">
        <v>0</v>
      </c>
    </row>
    <row r="2024">
      <c r="J2024" t="inlineStr">
        <is>
          <t>A</t>
        </is>
      </c>
      <c r="K2024" t="n">
        <v>2024</v>
      </c>
      <c r="L2024" t="n">
        <v>5</v>
      </c>
      <c r="M2024" t="inlineStr">
        <is>
          <t>Composto lácteo Alibralac 1 kg</t>
        </is>
      </c>
      <c r="N2024" t="inlineStr">
        <is>
          <t>Fábrica de Massas</t>
        </is>
      </c>
      <c r="O2024" t="n">
        <v>1</v>
      </c>
      <c r="P2024" t="n">
        <v>6</v>
      </c>
      <c r="Q2024" t="n">
        <v>1</v>
      </c>
    </row>
    <row r="2025">
      <c r="J2025" t="inlineStr">
        <is>
          <t>M</t>
        </is>
      </c>
      <c r="K2025" t="n">
        <v>2024</v>
      </c>
      <c r="L2025" t="n">
        <v>5</v>
      </c>
      <c r="M2025" t="inlineStr">
        <is>
          <t>Composto lácteo Alibralac 1 kg</t>
        </is>
      </c>
      <c r="N2025" t="inlineStr">
        <is>
          <t>Fábrica de Massas</t>
        </is>
      </c>
      <c r="O2025" t="n">
        <v>1</v>
      </c>
      <c r="P2025" t="n">
        <v>1</v>
      </c>
      <c r="Q2025" t="n">
        <v>0</v>
      </c>
    </row>
    <row r="2026">
      <c r="J2026" t="inlineStr">
        <is>
          <t>A</t>
        </is>
      </c>
      <c r="K2026" t="n">
        <v>2024</v>
      </c>
      <c r="L2026" t="n">
        <v>6</v>
      </c>
      <c r="M2026" t="inlineStr">
        <is>
          <t>Composto lácteo Alibralac 1 kg</t>
        </is>
      </c>
      <c r="N2026" t="inlineStr">
        <is>
          <t>Fábrica de Massas</t>
        </is>
      </c>
      <c r="O2026" t="n">
        <v>1</v>
      </c>
      <c r="P2026" t="n">
        <v>8</v>
      </c>
      <c r="Q2026" t="n">
        <v>1</v>
      </c>
    </row>
    <row r="2027">
      <c r="J2027" t="inlineStr">
        <is>
          <t>M</t>
        </is>
      </c>
      <c r="K2027" t="n">
        <v>2024</v>
      </c>
      <c r="L2027" t="n">
        <v>6</v>
      </c>
      <c r="M2027" t="inlineStr">
        <is>
          <t>Composto lácteo Alibralac 1 kg</t>
        </is>
      </c>
      <c r="N2027" t="inlineStr">
        <is>
          <t>Fábrica de Massas</t>
        </is>
      </c>
      <c r="O2027" t="n">
        <v>1</v>
      </c>
      <c r="P2027" t="n">
        <v>2</v>
      </c>
      <c r="Q2027" t="n">
        <v>0</v>
      </c>
    </row>
    <row r="2028">
      <c r="J2028" t="inlineStr">
        <is>
          <t>A</t>
        </is>
      </c>
      <c r="K2028" t="n">
        <v>2024</v>
      </c>
      <c r="L2028" t="n">
        <v>7</v>
      </c>
      <c r="M2028" t="inlineStr">
        <is>
          <t>Composto lácteo Alibralac 1 kg</t>
        </is>
      </c>
      <c r="N2028" t="inlineStr">
        <is>
          <t>Fábrica de Massas</t>
        </is>
      </c>
      <c r="O2028" t="n">
        <v>1</v>
      </c>
      <c r="P2028" t="n">
        <v>10</v>
      </c>
      <c r="Q2028" t="n">
        <v>1</v>
      </c>
    </row>
    <row r="2029">
      <c r="J2029" t="inlineStr">
        <is>
          <t>M</t>
        </is>
      </c>
      <c r="K2029" t="n">
        <v>2024</v>
      </c>
      <c r="L2029" t="n">
        <v>7</v>
      </c>
      <c r="M2029" t="inlineStr">
        <is>
          <t>Composto lácteo Alibralac 1 kg</t>
        </is>
      </c>
      <c r="N2029" t="inlineStr">
        <is>
          <t>Fábrica de Massas</t>
        </is>
      </c>
      <c r="O2029" t="n">
        <v>1</v>
      </c>
      <c r="P2029" t="n">
        <v>2</v>
      </c>
      <c r="Q2029" t="n">
        <v>0</v>
      </c>
    </row>
    <row r="2030">
      <c r="J2030" t="inlineStr">
        <is>
          <t>A</t>
        </is>
      </c>
      <c r="K2030" t="n">
        <v>2024</v>
      </c>
      <c r="L2030" t="n">
        <v>8</v>
      </c>
      <c r="M2030" t="inlineStr">
        <is>
          <t>Composto lácteo Alibralac 1 kg</t>
        </is>
      </c>
      <c r="N2030" t="inlineStr">
        <is>
          <t>Fábrica de Massas</t>
        </is>
      </c>
      <c r="O2030" t="n">
        <v>1</v>
      </c>
      <c r="P2030" t="n">
        <v>10</v>
      </c>
      <c r="Q2030" t="n">
        <v>1</v>
      </c>
    </row>
    <row r="2031">
      <c r="J2031" t="inlineStr">
        <is>
          <t>A</t>
        </is>
      </c>
      <c r="K2031" t="n">
        <v>2024</v>
      </c>
      <c r="L2031" t="n">
        <v>9</v>
      </c>
      <c r="M2031" t="inlineStr">
        <is>
          <t>Composto lácteo Alibralac 1 kg</t>
        </is>
      </c>
      <c r="N2031" t="inlineStr">
        <is>
          <t>Fábrica de Massas</t>
        </is>
      </c>
      <c r="O2031" t="n">
        <v>1</v>
      </c>
      <c r="P2031" t="n">
        <v>10</v>
      </c>
      <c r="Q2031" t="n">
        <v>1</v>
      </c>
    </row>
    <row r="2032">
      <c r="J2032" t="inlineStr">
        <is>
          <t>A</t>
        </is>
      </c>
      <c r="K2032" t="n">
        <v>2024</v>
      </c>
      <c r="L2032" t="n">
        <v>10</v>
      </c>
      <c r="M2032" t="inlineStr">
        <is>
          <t>Composto lácteo Alibralac 1 kg</t>
        </is>
      </c>
      <c r="N2032" t="inlineStr">
        <is>
          <t>Fábrica de Massas</t>
        </is>
      </c>
      <c r="O2032" t="n">
        <v>1</v>
      </c>
      <c r="P2032" t="n">
        <v>11</v>
      </c>
      <c r="Q2032" t="n">
        <v>1</v>
      </c>
    </row>
    <row r="2033">
      <c r="J2033" t="inlineStr">
        <is>
          <t>M</t>
        </is>
      </c>
      <c r="K2033" t="n">
        <v>2024</v>
      </c>
      <c r="L2033" t="n">
        <v>10</v>
      </c>
      <c r="M2033" t="inlineStr">
        <is>
          <t>Composto lácteo Alibralac 1 kg</t>
        </is>
      </c>
      <c r="N2033" t="inlineStr">
        <is>
          <t>Fábrica de Massas</t>
        </is>
      </c>
      <c r="O2033" t="n">
        <v>1</v>
      </c>
      <c r="P2033" t="n">
        <v>1</v>
      </c>
      <c r="Q2033" t="n">
        <v>0</v>
      </c>
    </row>
    <row r="2034">
      <c r="J2034" t="inlineStr">
        <is>
          <t>A</t>
        </is>
      </c>
      <c r="K2034" t="n">
        <v>2024</v>
      </c>
      <c r="L2034" t="n">
        <v>11</v>
      </c>
      <c r="M2034" t="inlineStr">
        <is>
          <t>Composto lácteo Alibralac 1 kg</t>
        </is>
      </c>
      <c r="N2034" t="inlineStr">
        <is>
          <t>Fábrica de Massas</t>
        </is>
      </c>
      <c r="O2034" t="n">
        <v>1</v>
      </c>
      <c r="P2034" t="n">
        <v>11</v>
      </c>
      <c r="Q2034" t="n">
        <v>1</v>
      </c>
    </row>
    <row r="2035">
      <c r="J2035" t="inlineStr">
        <is>
          <t>A</t>
        </is>
      </c>
      <c r="K2035" t="n">
        <v>2024</v>
      </c>
      <c r="L2035" t="n">
        <v>12</v>
      </c>
      <c r="M2035" t="inlineStr">
        <is>
          <t>Composto lácteo Alibralac 1 kg</t>
        </is>
      </c>
      <c r="N2035" t="inlineStr">
        <is>
          <t>Fábrica de Massas</t>
        </is>
      </c>
      <c r="O2035" t="n">
        <v>1</v>
      </c>
      <c r="P2035" t="n">
        <v>11</v>
      </c>
      <c r="Q2035" t="n">
        <v>1</v>
      </c>
    </row>
    <row r="2036">
      <c r="J2036" t="inlineStr">
        <is>
          <t>A</t>
        </is>
      </c>
      <c r="K2036" t="n">
        <v>2024</v>
      </c>
      <c r="L2036" t="n">
        <v>8</v>
      </c>
      <c r="M2036" t="inlineStr">
        <is>
          <t>Composto lácteo Alibralac 1 kg</t>
        </is>
      </c>
      <c r="N2036" t="inlineStr">
        <is>
          <t>Outros</t>
        </is>
      </c>
      <c r="O2036" t="n">
        <v>1</v>
      </c>
      <c r="P2036" t="n">
        <v>1</v>
      </c>
      <c r="Q2036" t="n">
        <v>1</v>
      </c>
    </row>
    <row r="2037">
      <c r="J2037" t="inlineStr">
        <is>
          <t>M</t>
        </is>
      </c>
      <c r="K2037" t="n">
        <v>2024</v>
      </c>
      <c r="L2037" t="n">
        <v>8</v>
      </c>
      <c r="M2037" t="inlineStr">
        <is>
          <t>Composto lácteo Alibralac 1 kg</t>
        </is>
      </c>
      <c r="N2037" t="inlineStr">
        <is>
          <t>Outros</t>
        </is>
      </c>
      <c r="O2037" t="n">
        <v>1</v>
      </c>
      <c r="P2037" t="n">
        <v>1</v>
      </c>
      <c r="Q2037" t="n">
        <v>0</v>
      </c>
    </row>
    <row r="2038">
      <c r="J2038" t="inlineStr">
        <is>
          <t>A</t>
        </is>
      </c>
      <c r="K2038" t="n">
        <v>2024</v>
      </c>
      <c r="L2038" t="n">
        <v>9</v>
      </c>
      <c r="M2038" t="inlineStr">
        <is>
          <t>Composto lácteo Alibralac 1 kg</t>
        </is>
      </c>
      <c r="N2038" t="inlineStr">
        <is>
          <t>Outros</t>
        </is>
      </c>
      <c r="O2038" t="n">
        <v>1</v>
      </c>
      <c r="P2038" t="n">
        <v>1</v>
      </c>
      <c r="Q2038" t="n">
        <v>1</v>
      </c>
    </row>
    <row r="2039">
      <c r="J2039" t="inlineStr">
        <is>
          <t>A</t>
        </is>
      </c>
      <c r="K2039" t="n">
        <v>2024</v>
      </c>
      <c r="L2039" t="n">
        <v>10</v>
      </c>
      <c r="M2039" t="inlineStr">
        <is>
          <t>Composto lácteo Alibralac 1 kg</t>
        </is>
      </c>
      <c r="N2039" t="inlineStr">
        <is>
          <t>Outros</t>
        </is>
      </c>
      <c r="O2039" t="n">
        <v>1</v>
      </c>
      <c r="P2039" t="n">
        <v>1</v>
      </c>
      <c r="Q2039" t="n">
        <v>1</v>
      </c>
    </row>
    <row r="2040">
      <c r="J2040" t="inlineStr">
        <is>
          <t>A</t>
        </is>
      </c>
      <c r="K2040" t="n">
        <v>2024</v>
      </c>
      <c r="L2040" t="n">
        <v>11</v>
      </c>
      <c r="M2040" t="inlineStr">
        <is>
          <t>Composto lácteo Alibralac 1 kg</t>
        </is>
      </c>
      <c r="N2040" t="inlineStr">
        <is>
          <t>Outros</t>
        </is>
      </c>
      <c r="O2040" t="n">
        <v>2</v>
      </c>
      <c r="P2040" t="n">
        <v>2</v>
      </c>
      <c r="Q2040" t="n">
        <v>2</v>
      </c>
    </row>
    <row r="2041">
      <c r="J2041" t="inlineStr">
        <is>
          <t>M</t>
        </is>
      </c>
      <c r="K2041" t="n">
        <v>2024</v>
      </c>
      <c r="L2041" t="n">
        <v>11</v>
      </c>
      <c r="M2041" t="inlineStr">
        <is>
          <t>Composto lácteo Alibralac 1 kg</t>
        </is>
      </c>
      <c r="N2041" t="inlineStr">
        <is>
          <t>Outros</t>
        </is>
      </c>
      <c r="O2041" t="n">
        <v>1</v>
      </c>
      <c r="P2041" t="n">
        <v>1</v>
      </c>
      <c r="Q2041" t="n">
        <v>0</v>
      </c>
    </row>
    <row r="2042">
      <c r="J2042" t="inlineStr">
        <is>
          <t>A</t>
        </is>
      </c>
      <c r="K2042" t="n">
        <v>2024</v>
      </c>
      <c r="L2042" t="n">
        <v>12</v>
      </c>
      <c r="M2042" t="inlineStr">
        <is>
          <t>Composto lácteo Alibralac 1 kg</t>
        </is>
      </c>
      <c r="N2042" t="inlineStr">
        <is>
          <t>Outros</t>
        </is>
      </c>
      <c r="O2042" t="n">
        <v>2</v>
      </c>
      <c r="P2042" t="n">
        <v>3</v>
      </c>
      <c r="Q2042" t="n">
        <v>2</v>
      </c>
    </row>
    <row r="2043">
      <c r="J2043" t="inlineStr">
        <is>
          <t>M</t>
        </is>
      </c>
      <c r="K2043" t="n">
        <v>2024</v>
      </c>
      <c r="L2043" t="n">
        <v>12</v>
      </c>
      <c r="M2043" t="inlineStr">
        <is>
          <t>Composto lácteo Alibralac 1 kg</t>
        </is>
      </c>
      <c r="N2043" t="inlineStr">
        <is>
          <t>Outros</t>
        </is>
      </c>
      <c r="O2043" t="n">
        <v>1</v>
      </c>
      <c r="P2043" t="n">
        <v>1</v>
      </c>
      <c r="Q2043" t="n">
        <v>0</v>
      </c>
    </row>
    <row r="2044">
      <c r="J2044" t="inlineStr">
        <is>
          <t>A</t>
        </is>
      </c>
      <c r="K2044" t="n">
        <v>2024</v>
      </c>
      <c r="L2044" t="n">
        <v>2</v>
      </c>
      <c r="M2044" t="inlineStr">
        <is>
          <t>Composto lácteo Alibralac 1 kg</t>
        </is>
      </c>
      <c r="N2044" t="inlineStr">
        <is>
          <t>Lanchonete / Cafeteria</t>
        </is>
      </c>
      <c r="O2044" t="n">
        <v>1</v>
      </c>
      <c r="P2044" t="n">
        <v>1</v>
      </c>
      <c r="Q2044" t="n">
        <v>1</v>
      </c>
    </row>
    <row r="2045">
      <c r="J2045" t="inlineStr">
        <is>
          <t>M</t>
        </is>
      </c>
      <c r="K2045" t="n">
        <v>2024</v>
      </c>
      <c r="L2045" t="n">
        <v>2</v>
      </c>
      <c r="M2045" t="inlineStr">
        <is>
          <t>Composto lácteo Alibralac 1 kg</t>
        </is>
      </c>
      <c r="N2045" t="inlineStr">
        <is>
          <t>Lanchonete / Cafeteria</t>
        </is>
      </c>
      <c r="O2045" t="n">
        <v>1</v>
      </c>
      <c r="P2045" t="n">
        <v>1</v>
      </c>
      <c r="Q2045" t="n">
        <v>0</v>
      </c>
    </row>
    <row r="2046">
      <c r="J2046" t="inlineStr">
        <is>
          <t>A</t>
        </is>
      </c>
      <c r="K2046" t="n">
        <v>2024</v>
      </c>
      <c r="L2046" t="n">
        <v>3</v>
      </c>
      <c r="M2046" t="inlineStr">
        <is>
          <t>Composto lácteo Alibralac 1 kg</t>
        </is>
      </c>
      <c r="N2046" t="inlineStr">
        <is>
          <t>Lanchonete / Cafeteria</t>
        </is>
      </c>
      <c r="O2046" t="n">
        <v>1</v>
      </c>
      <c r="P2046" t="n">
        <v>1</v>
      </c>
      <c r="Q2046" t="n">
        <v>1</v>
      </c>
    </row>
    <row r="2047">
      <c r="J2047" t="inlineStr">
        <is>
          <t>A</t>
        </is>
      </c>
      <c r="K2047" t="n">
        <v>2024</v>
      </c>
      <c r="L2047" t="n">
        <v>4</v>
      </c>
      <c r="M2047" t="inlineStr">
        <is>
          <t>Composto lácteo Alibralac 1 kg</t>
        </is>
      </c>
      <c r="N2047" t="inlineStr">
        <is>
          <t>Lanchonete / Cafeteria</t>
        </is>
      </c>
      <c r="O2047" t="n">
        <v>1</v>
      </c>
      <c r="P2047" t="n">
        <v>1</v>
      </c>
      <c r="Q2047" t="n">
        <v>1</v>
      </c>
    </row>
    <row r="2048">
      <c r="J2048" t="inlineStr">
        <is>
          <t>A</t>
        </is>
      </c>
      <c r="K2048" t="n">
        <v>2024</v>
      </c>
      <c r="L2048" t="n">
        <v>5</v>
      </c>
      <c r="M2048" t="inlineStr">
        <is>
          <t>Composto lácteo Alibralac 1 kg</t>
        </is>
      </c>
      <c r="N2048" t="inlineStr">
        <is>
          <t>Lanchonete / Cafeteria</t>
        </is>
      </c>
      <c r="O2048" t="n">
        <v>1</v>
      </c>
      <c r="P2048" t="n">
        <v>1</v>
      </c>
      <c r="Q2048" t="n">
        <v>1</v>
      </c>
    </row>
    <row r="2049">
      <c r="J2049" t="inlineStr">
        <is>
          <t>A</t>
        </is>
      </c>
      <c r="K2049" t="n">
        <v>2024</v>
      </c>
      <c r="L2049" t="n">
        <v>6</v>
      </c>
      <c r="M2049" t="inlineStr">
        <is>
          <t>Composto lácteo Alibralac 1 kg</t>
        </is>
      </c>
      <c r="N2049" t="inlineStr">
        <is>
          <t>Lanchonete / Cafeteria</t>
        </is>
      </c>
      <c r="O2049" t="n">
        <v>1</v>
      </c>
      <c r="P2049" t="n">
        <v>1</v>
      </c>
      <c r="Q2049" t="n">
        <v>1</v>
      </c>
    </row>
    <row r="2050">
      <c r="J2050" t="inlineStr">
        <is>
          <t>A</t>
        </is>
      </c>
      <c r="K2050" t="n">
        <v>2024</v>
      </c>
      <c r="L2050" t="n">
        <v>7</v>
      </c>
      <c r="M2050" t="inlineStr">
        <is>
          <t>Composto lácteo Alibralac 1 kg</t>
        </is>
      </c>
      <c r="N2050" t="inlineStr">
        <is>
          <t>Lanchonete / Cafeteria</t>
        </is>
      </c>
      <c r="O2050" t="n">
        <v>1</v>
      </c>
      <c r="P2050" t="n">
        <v>1</v>
      </c>
      <c r="Q2050" t="n">
        <v>1</v>
      </c>
    </row>
    <row r="2051">
      <c r="J2051" t="inlineStr">
        <is>
          <t>A</t>
        </is>
      </c>
      <c r="K2051" t="n">
        <v>2024</v>
      </c>
      <c r="L2051" t="n">
        <v>8</v>
      </c>
      <c r="M2051" t="inlineStr">
        <is>
          <t>Composto lácteo Alibralac 1 kg</t>
        </is>
      </c>
      <c r="N2051" t="inlineStr">
        <is>
          <t>Lanchonete / Cafeteria</t>
        </is>
      </c>
      <c r="O2051" t="n">
        <v>2</v>
      </c>
      <c r="P2051" t="n">
        <v>2</v>
      </c>
      <c r="Q2051" t="n">
        <v>2</v>
      </c>
    </row>
    <row r="2052">
      <c r="J2052" t="inlineStr">
        <is>
          <t>M</t>
        </is>
      </c>
      <c r="K2052" t="n">
        <v>2024</v>
      </c>
      <c r="L2052" t="n">
        <v>8</v>
      </c>
      <c r="M2052" t="inlineStr">
        <is>
          <t>Composto lácteo Alibralac 1 kg</t>
        </is>
      </c>
      <c r="N2052" t="inlineStr">
        <is>
          <t>Lanchonete / Cafeteria</t>
        </is>
      </c>
      <c r="O2052" t="n">
        <v>1</v>
      </c>
      <c r="P2052" t="n">
        <v>1</v>
      </c>
      <c r="Q2052" t="n">
        <v>0</v>
      </c>
    </row>
    <row r="2053">
      <c r="J2053" t="inlineStr">
        <is>
          <t>A</t>
        </is>
      </c>
      <c r="K2053" t="n">
        <v>2024</v>
      </c>
      <c r="L2053" t="n">
        <v>9</v>
      </c>
      <c r="M2053" t="inlineStr">
        <is>
          <t>Composto lácteo Alibralac 1 kg</t>
        </is>
      </c>
      <c r="N2053" t="inlineStr">
        <is>
          <t>Lanchonete / Cafeteria</t>
        </is>
      </c>
      <c r="O2053" t="n">
        <v>2</v>
      </c>
      <c r="P2053" t="n">
        <v>2</v>
      </c>
      <c r="Q2053" t="n">
        <v>2</v>
      </c>
    </row>
    <row r="2054">
      <c r="J2054" t="inlineStr">
        <is>
          <t>A</t>
        </is>
      </c>
      <c r="K2054" t="n">
        <v>2024</v>
      </c>
      <c r="L2054" t="n">
        <v>10</v>
      </c>
      <c r="M2054" t="inlineStr">
        <is>
          <t>Composto lácteo Alibralac 1 kg</t>
        </is>
      </c>
      <c r="N2054" t="inlineStr">
        <is>
          <t>Lanchonete / Cafeteria</t>
        </is>
      </c>
      <c r="O2054" t="n">
        <v>2</v>
      </c>
      <c r="P2054" t="n">
        <v>2</v>
      </c>
      <c r="Q2054" t="n">
        <v>2</v>
      </c>
    </row>
    <row r="2055">
      <c r="J2055" t="inlineStr">
        <is>
          <t>A</t>
        </is>
      </c>
      <c r="K2055" t="n">
        <v>2024</v>
      </c>
      <c r="L2055" t="n">
        <v>11</v>
      </c>
      <c r="M2055" t="inlineStr">
        <is>
          <t>Composto lácteo Alibralac 1 kg</t>
        </is>
      </c>
      <c r="N2055" t="inlineStr">
        <is>
          <t>Lanchonete / Cafeteria</t>
        </is>
      </c>
      <c r="O2055" t="n">
        <v>2</v>
      </c>
      <c r="P2055" t="n">
        <v>2</v>
      </c>
      <c r="Q2055" t="n">
        <v>2</v>
      </c>
    </row>
    <row r="2056">
      <c r="J2056" t="inlineStr">
        <is>
          <t>A</t>
        </is>
      </c>
      <c r="K2056" t="n">
        <v>2024</v>
      </c>
      <c r="L2056" t="n">
        <v>12</v>
      </c>
      <c r="M2056" t="inlineStr">
        <is>
          <t>Composto lácteo Alibralac 1 kg</t>
        </is>
      </c>
      <c r="N2056" t="inlineStr">
        <is>
          <t>Lanchonete / Cafeteria</t>
        </is>
      </c>
      <c r="O2056" t="n">
        <v>2</v>
      </c>
      <c r="P2056" t="n">
        <v>2</v>
      </c>
      <c r="Q2056" t="n">
        <v>2</v>
      </c>
    </row>
    <row r="2057">
      <c r="J2057" t="inlineStr">
        <is>
          <t>A</t>
        </is>
      </c>
      <c r="K2057" t="n">
        <v>2024</v>
      </c>
      <c r="L2057" t="n">
        <v>2</v>
      </c>
      <c r="M2057" t="inlineStr">
        <is>
          <t>Composto lácteo Alibralac 1 kg</t>
        </is>
      </c>
      <c r="N2057" t="inlineStr">
        <is>
          <t>Padaria</t>
        </is>
      </c>
      <c r="O2057" t="n">
        <v>1</v>
      </c>
      <c r="P2057" t="n">
        <v>1</v>
      </c>
      <c r="Q2057" t="n">
        <v>1</v>
      </c>
    </row>
    <row r="2058">
      <c r="J2058" t="inlineStr">
        <is>
          <t>M</t>
        </is>
      </c>
      <c r="K2058" t="n">
        <v>2024</v>
      </c>
      <c r="L2058" t="n">
        <v>2</v>
      </c>
      <c r="M2058" t="inlineStr">
        <is>
          <t>Composto lácteo Alibralac 1 kg</t>
        </is>
      </c>
      <c r="N2058" t="inlineStr">
        <is>
          <t>Padaria</t>
        </is>
      </c>
      <c r="O2058" t="n">
        <v>1</v>
      </c>
      <c r="P2058" t="n">
        <v>1</v>
      </c>
      <c r="Q2058" t="n">
        <v>0</v>
      </c>
    </row>
    <row r="2059">
      <c r="J2059" t="inlineStr">
        <is>
          <t>A</t>
        </is>
      </c>
      <c r="K2059" t="n">
        <v>2024</v>
      </c>
      <c r="L2059" t="n">
        <v>3</v>
      </c>
      <c r="M2059" t="inlineStr">
        <is>
          <t>Composto lácteo Alibralac 1 kg</t>
        </is>
      </c>
      <c r="N2059" t="inlineStr">
        <is>
          <t>Padaria</t>
        </is>
      </c>
      <c r="O2059" t="n">
        <v>2</v>
      </c>
      <c r="P2059" t="n">
        <v>3</v>
      </c>
      <c r="Q2059" t="n">
        <v>2</v>
      </c>
    </row>
    <row r="2060">
      <c r="J2060" t="inlineStr">
        <is>
          <t>M</t>
        </is>
      </c>
      <c r="K2060" t="n">
        <v>2024</v>
      </c>
      <c r="L2060" t="n">
        <v>3</v>
      </c>
      <c r="M2060" t="inlineStr">
        <is>
          <t>Composto lácteo Alibralac 1 kg</t>
        </is>
      </c>
      <c r="N2060" t="inlineStr">
        <is>
          <t>Padaria</t>
        </is>
      </c>
      <c r="O2060" t="n">
        <v>2</v>
      </c>
      <c r="P2060" t="n">
        <v>2</v>
      </c>
      <c r="Q2060" t="n">
        <v>0</v>
      </c>
    </row>
    <row r="2061">
      <c r="J2061" t="inlineStr">
        <is>
          <t>A</t>
        </is>
      </c>
      <c r="K2061" t="n">
        <v>2024</v>
      </c>
      <c r="L2061" t="n">
        <v>4</v>
      </c>
      <c r="M2061" t="inlineStr">
        <is>
          <t>Composto lácteo Alibralac 1 kg</t>
        </is>
      </c>
      <c r="N2061" t="inlineStr">
        <is>
          <t>Padaria</t>
        </is>
      </c>
      <c r="O2061" t="n">
        <v>2</v>
      </c>
      <c r="P2061" t="n">
        <v>6</v>
      </c>
      <c r="Q2061" t="n">
        <v>2</v>
      </c>
    </row>
    <row r="2062">
      <c r="J2062" t="inlineStr">
        <is>
          <t>M</t>
        </is>
      </c>
      <c r="K2062" t="n">
        <v>2024</v>
      </c>
      <c r="L2062" t="n">
        <v>4</v>
      </c>
      <c r="M2062" t="inlineStr">
        <is>
          <t>Composto lácteo Alibralac 1 kg</t>
        </is>
      </c>
      <c r="N2062" t="inlineStr">
        <is>
          <t>Padaria</t>
        </is>
      </c>
      <c r="O2062" t="n">
        <v>1</v>
      </c>
      <c r="P2062" t="n">
        <v>3</v>
      </c>
      <c r="Q2062" t="n">
        <v>0</v>
      </c>
    </row>
    <row r="2063">
      <c r="J2063" t="inlineStr">
        <is>
          <t>A</t>
        </is>
      </c>
      <c r="K2063" t="n">
        <v>2024</v>
      </c>
      <c r="L2063" t="n">
        <v>5</v>
      </c>
      <c r="M2063" t="inlineStr">
        <is>
          <t>Composto lácteo Alibralac 1 kg</t>
        </is>
      </c>
      <c r="N2063" t="inlineStr">
        <is>
          <t>Padaria</t>
        </is>
      </c>
      <c r="O2063" t="n">
        <v>3</v>
      </c>
      <c r="P2063" t="n">
        <v>9</v>
      </c>
      <c r="Q2063" t="n">
        <v>3</v>
      </c>
    </row>
    <row r="2064">
      <c r="J2064" t="inlineStr">
        <is>
          <t>M</t>
        </is>
      </c>
      <c r="K2064" t="n">
        <v>2024</v>
      </c>
      <c r="L2064" t="n">
        <v>5</v>
      </c>
      <c r="M2064" t="inlineStr">
        <is>
          <t>Composto lácteo Alibralac 1 kg</t>
        </is>
      </c>
      <c r="N2064" t="inlineStr">
        <is>
          <t>Padaria</t>
        </is>
      </c>
      <c r="O2064" t="n">
        <v>2</v>
      </c>
      <c r="P2064" t="n">
        <v>3</v>
      </c>
      <c r="Q2064" t="n">
        <v>0</v>
      </c>
    </row>
    <row r="2065">
      <c r="J2065" t="inlineStr">
        <is>
          <t>A</t>
        </is>
      </c>
      <c r="K2065" t="n">
        <v>2024</v>
      </c>
      <c r="L2065" t="n">
        <v>6</v>
      </c>
      <c r="M2065" t="inlineStr">
        <is>
          <t>Composto lácteo Alibralac 1 kg</t>
        </is>
      </c>
      <c r="N2065" t="inlineStr">
        <is>
          <t>Padaria</t>
        </is>
      </c>
      <c r="O2065" t="n">
        <v>3</v>
      </c>
      <c r="P2065" t="n">
        <v>9</v>
      </c>
      <c r="Q2065" t="n">
        <v>3</v>
      </c>
    </row>
    <row r="2066">
      <c r="J2066" t="inlineStr">
        <is>
          <t>A</t>
        </is>
      </c>
      <c r="K2066" t="n">
        <v>2024</v>
      </c>
      <c r="L2066" t="n">
        <v>7</v>
      </c>
      <c r="M2066" t="inlineStr">
        <is>
          <t>Composto lácteo Alibralac 1 kg</t>
        </is>
      </c>
      <c r="N2066" t="inlineStr">
        <is>
          <t>Padaria</t>
        </is>
      </c>
      <c r="O2066" t="n">
        <v>3</v>
      </c>
      <c r="P2066" t="n">
        <v>10</v>
      </c>
      <c r="Q2066" t="n">
        <v>3</v>
      </c>
    </row>
    <row r="2067">
      <c r="J2067" t="inlineStr">
        <is>
          <t>M</t>
        </is>
      </c>
      <c r="K2067" t="n">
        <v>2024</v>
      </c>
      <c r="L2067" t="n">
        <v>7</v>
      </c>
      <c r="M2067" t="inlineStr">
        <is>
          <t>Composto lácteo Alibralac 1 kg</t>
        </is>
      </c>
      <c r="N2067" t="inlineStr">
        <is>
          <t>Padaria</t>
        </is>
      </c>
      <c r="O2067" t="n">
        <v>1</v>
      </c>
      <c r="P2067" t="n">
        <v>1</v>
      </c>
      <c r="Q2067" t="n">
        <v>0</v>
      </c>
    </row>
    <row r="2068">
      <c r="J2068" t="inlineStr">
        <is>
          <t>A</t>
        </is>
      </c>
      <c r="K2068" t="n">
        <v>2024</v>
      </c>
      <c r="L2068" t="n">
        <v>8</v>
      </c>
      <c r="M2068" t="inlineStr">
        <is>
          <t>Composto lácteo Alibralac 1 kg</t>
        </is>
      </c>
      <c r="N2068" t="inlineStr">
        <is>
          <t>Padaria</t>
        </is>
      </c>
      <c r="O2068" t="n">
        <v>3</v>
      </c>
      <c r="P2068" t="n">
        <v>13</v>
      </c>
      <c r="Q2068" t="n">
        <v>3</v>
      </c>
    </row>
    <row r="2069">
      <c r="J2069" t="inlineStr">
        <is>
          <t>M</t>
        </is>
      </c>
      <c r="K2069" t="n">
        <v>2024</v>
      </c>
      <c r="L2069" t="n">
        <v>8</v>
      </c>
      <c r="M2069" t="inlineStr">
        <is>
          <t>Composto lácteo Alibralac 1 kg</t>
        </is>
      </c>
      <c r="N2069" t="inlineStr">
        <is>
          <t>Padaria</t>
        </is>
      </c>
      <c r="O2069" t="n">
        <v>1</v>
      </c>
      <c r="P2069" t="n">
        <v>3</v>
      </c>
      <c r="Q2069" t="n">
        <v>0</v>
      </c>
    </row>
    <row r="2070">
      <c r="J2070" t="inlineStr">
        <is>
          <t>A</t>
        </is>
      </c>
      <c r="K2070" t="n">
        <v>2024</v>
      </c>
      <c r="L2070" t="n">
        <v>9</v>
      </c>
      <c r="M2070" t="inlineStr">
        <is>
          <t>Composto lácteo Alibralac 1 kg</t>
        </is>
      </c>
      <c r="N2070" t="inlineStr">
        <is>
          <t>Padaria</t>
        </is>
      </c>
      <c r="O2070" t="n">
        <v>3</v>
      </c>
      <c r="P2070" t="n">
        <v>14</v>
      </c>
      <c r="Q2070" t="n">
        <v>3</v>
      </c>
    </row>
    <row r="2071">
      <c r="J2071" t="inlineStr">
        <is>
          <t>M</t>
        </is>
      </c>
      <c r="K2071" t="n">
        <v>2024</v>
      </c>
      <c r="L2071" t="n">
        <v>9</v>
      </c>
      <c r="M2071" t="inlineStr">
        <is>
          <t>Composto lácteo Alibralac 1 kg</t>
        </is>
      </c>
      <c r="N2071" t="inlineStr">
        <is>
          <t>Padaria</t>
        </is>
      </c>
      <c r="O2071" t="n">
        <v>1</v>
      </c>
      <c r="P2071" t="n">
        <v>1</v>
      </c>
      <c r="Q2071" t="n">
        <v>0</v>
      </c>
    </row>
    <row r="2072">
      <c r="J2072" t="inlineStr">
        <is>
          <t>A</t>
        </is>
      </c>
      <c r="K2072" t="n">
        <v>2024</v>
      </c>
      <c r="L2072" t="n">
        <v>10</v>
      </c>
      <c r="M2072" t="inlineStr">
        <is>
          <t>Composto lácteo Alibralac 1 kg</t>
        </is>
      </c>
      <c r="N2072" t="inlineStr">
        <is>
          <t>Padaria</t>
        </is>
      </c>
      <c r="O2072" t="n">
        <v>3</v>
      </c>
      <c r="P2072" t="n">
        <v>16</v>
      </c>
      <c r="Q2072" t="n">
        <v>3</v>
      </c>
    </row>
    <row r="2073">
      <c r="J2073" t="inlineStr">
        <is>
          <t>M</t>
        </is>
      </c>
      <c r="K2073" t="n">
        <v>2024</v>
      </c>
      <c r="L2073" t="n">
        <v>10</v>
      </c>
      <c r="M2073" t="inlineStr">
        <is>
          <t>Composto lácteo Alibralac 1 kg</t>
        </is>
      </c>
      <c r="N2073" t="inlineStr">
        <is>
          <t>Padaria</t>
        </is>
      </c>
      <c r="O2073" t="n">
        <v>1</v>
      </c>
      <c r="P2073" t="n">
        <v>2</v>
      </c>
      <c r="Q2073" t="n">
        <v>0</v>
      </c>
    </row>
    <row r="2074">
      <c r="J2074" t="inlineStr">
        <is>
          <t>A</t>
        </is>
      </c>
      <c r="K2074" t="n">
        <v>2024</v>
      </c>
      <c r="L2074" t="n">
        <v>11</v>
      </c>
      <c r="M2074" t="inlineStr">
        <is>
          <t>Composto lácteo Alibralac 1 kg</t>
        </is>
      </c>
      <c r="N2074" t="inlineStr">
        <is>
          <t>Padaria</t>
        </is>
      </c>
      <c r="O2074" t="n">
        <v>3</v>
      </c>
      <c r="P2074" t="n">
        <v>17</v>
      </c>
      <c r="Q2074" t="n">
        <v>3</v>
      </c>
    </row>
    <row r="2075">
      <c r="J2075" t="inlineStr">
        <is>
          <t>M</t>
        </is>
      </c>
      <c r="K2075" t="n">
        <v>2024</v>
      </c>
      <c r="L2075" t="n">
        <v>11</v>
      </c>
      <c r="M2075" t="inlineStr">
        <is>
          <t>Composto lácteo Alibralac 1 kg</t>
        </is>
      </c>
      <c r="N2075" t="inlineStr">
        <is>
          <t>Padaria</t>
        </is>
      </c>
      <c r="O2075" t="n">
        <v>1</v>
      </c>
      <c r="P2075" t="n">
        <v>1</v>
      </c>
      <c r="Q2075" t="n">
        <v>0</v>
      </c>
    </row>
    <row r="2076">
      <c r="J2076" t="inlineStr">
        <is>
          <t>A</t>
        </is>
      </c>
      <c r="K2076" t="n">
        <v>2024</v>
      </c>
      <c r="L2076" t="n">
        <v>12</v>
      </c>
      <c r="M2076" t="inlineStr">
        <is>
          <t>Composto lácteo Alibralac 1 kg</t>
        </is>
      </c>
      <c r="N2076" t="inlineStr">
        <is>
          <t>Padaria</t>
        </is>
      </c>
      <c r="O2076" t="n">
        <v>4</v>
      </c>
      <c r="P2076" t="n">
        <v>19</v>
      </c>
      <c r="Q2076" t="n">
        <v>4</v>
      </c>
    </row>
    <row r="2077">
      <c r="J2077" t="inlineStr">
        <is>
          <t>M</t>
        </is>
      </c>
      <c r="K2077" t="n">
        <v>2024</v>
      </c>
      <c r="L2077" t="n">
        <v>12</v>
      </c>
      <c r="M2077" t="inlineStr">
        <is>
          <t>Composto lácteo Alibralac 1 kg</t>
        </is>
      </c>
      <c r="N2077" t="inlineStr">
        <is>
          <t>Padaria</t>
        </is>
      </c>
      <c r="O2077" t="n">
        <v>2</v>
      </c>
      <c r="P2077" t="n">
        <v>2</v>
      </c>
      <c r="Q2077" t="n">
        <v>0</v>
      </c>
    </row>
    <row r="2078">
      <c r="J2078" t="inlineStr">
        <is>
          <t>A</t>
        </is>
      </c>
      <c r="K2078" t="n">
        <v>2024</v>
      </c>
      <c r="L2078" t="n">
        <v>1</v>
      </c>
      <c r="M2078" t="inlineStr">
        <is>
          <t>Composto lácteo Alibralac 1 kg</t>
        </is>
      </c>
      <c r="N2078" t="inlineStr">
        <is>
          <t>Mercearia / Sacolão</t>
        </is>
      </c>
      <c r="O2078" t="n">
        <v>1</v>
      </c>
      <c r="P2078" t="n">
        <v>1</v>
      </c>
      <c r="Q2078" t="n">
        <v>1</v>
      </c>
    </row>
    <row r="2079">
      <c r="J2079" t="inlineStr">
        <is>
          <t>M</t>
        </is>
      </c>
      <c r="K2079" t="n">
        <v>2024</v>
      </c>
      <c r="L2079" t="n">
        <v>1</v>
      </c>
      <c r="M2079" t="inlineStr">
        <is>
          <t>Composto lácteo Alibralac 1 kg</t>
        </is>
      </c>
      <c r="N2079" t="inlineStr">
        <is>
          <t>Mercearia / Sacolão</t>
        </is>
      </c>
      <c r="O2079" t="n">
        <v>1</v>
      </c>
      <c r="P2079" t="n">
        <v>1</v>
      </c>
      <c r="Q2079" t="n">
        <v>0</v>
      </c>
    </row>
    <row r="2080">
      <c r="J2080" t="inlineStr">
        <is>
          <t>A</t>
        </is>
      </c>
      <c r="K2080" t="n">
        <v>2024</v>
      </c>
      <c r="L2080" t="n">
        <v>2</v>
      </c>
      <c r="M2080" t="inlineStr">
        <is>
          <t>Composto lácteo Alibralac 1 kg</t>
        </is>
      </c>
      <c r="N2080" t="inlineStr">
        <is>
          <t>Mercearia / Sacolão</t>
        </is>
      </c>
      <c r="O2080" t="n">
        <v>1</v>
      </c>
      <c r="P2080" t="n">
        <v>3</v>
      </c>
      <c r="Q2080" t="n">
        <v>1</v>
      </c>
    </row>
    <row r="2081">
      <c r="J2081" t="inlineStr">
        <is>
          <t>M</t>
        </is>
      </c>
      <c r="K2081" t="n">
        <v>2024</v>
      </c>
      <c r="L2081" t="n">
        <v>2</v>
      </c>
      <c r="M2081" t="inlineStr">
        <is>
          <t>Composto lácteo Alibralac 1 kg</t>
        </is>
      </c>
      <c r="N2081" t="inlineStr">
        <is>
          <t>Mercearia / Sacolão</t>
        </is>
      </c>
      <c r="O2081" t="n">
        <v>1</v>
      </c>
      <c r="P2081" t="n">
        <v>2</v>
      </c>
      <c r="Q2081" t="n">
        <v>0</v>
      </c>
    </row>
    <row r="2082">
      <c r="J2082" t="inlineStr">
        <is>
          <t>A</t>
        </is>
      </c>
      <c r="K2082" t="n">
        <v>2024</v>
      </c>
      <c r="L2082" t="n">
        <v>3</v>
      </c>
      <c r="M2082" t="inlineStr">
        <is>
          <t>Composto lácteo Alibralac 1 kg</t>
        </is>
      </c>
      <c r="N2082" t="inlineStr">
        <is>
          <t>Mercearia / Sacolão</t>
        </is>
      </c>
      <c r="O2082" t="n">
        <v>1</v>
      </c>
      <c r="P2082" t="n">
        <v>5</v>
      </c>
      <c r="Q2082" t="n">
        <v>1</v>
      </c>
    </row>
    <row r="2083">
      <c r="J2083" t="inlineStr">
        <is>
          <t>M</t>
        </is>
      </c>
      <c r="K2083" t="n">
        <v>2024</v>
      </c>
      <c r="L2083" t="n">
        <v>3</v>
      </c>
      <c r="M2083" t="inlineStr">
        <is>
          <t>Composto lácteo Alibralac 1 kg</t>
        </is>
      </c>
      <c r="N2083" t="inlineStr">
        <is>
          <t>Mercearia / Sacolão</t>
        </is>
      </c>
      <c r="O2083" t="n">
        <v>1</v>
      </c>
      <c r="P2083" t="n">
        <v>2</v>
      </c>
      <c r="Q2083" t="n">
        <v>0</v>
      </c>
    </row>
    <row r="2084">
      <c r="J2084" t="inlineStr">
        <is>
          <t>A</t>
        </is>
      </c>
      <c r="K2084" t="n">
        <v>2024</v>
      </c>
      <c r="L2084" t="n">
        <v>4</v>
      </c>
      <c r="M2084" t="inlineStr">
        <is>
          <t>Composto lácteo Alibralac 1 kg</t>
        </is>
      </c>
      <c r="N2084" t="inlineStr">
        <is>
          <t>Mercearia / Sacolão</t>
        </is>
      </c>
      <c r="O2084" t="n">
        <v>1</v>
      </c>
      <c r="P2084" t="n">
        <v>5</v>
      </c>
      <c r="Q2084" t="n">
        <v>1</v>
      </c>
    </row>
    <row r="2085">
      <c r="J2085" t="inlineStr">
        <is>
          <t>A</t>
        </is>
      </c>
      <c r="K2085" t="n">
        <v>2024</v>
      </c>
      <c r="L2085" t="n">
        <v>5</v>
      </c>
      <c r="M2085" t="inlineStr">
        <is>
          <t>Composto lácteo Alibralac 1 kg</t>
        </is>
      </c>
      <c r="N2085" t="inlineStr">
        <is>
          <t>Mercearia / Sacolão</t>
        </is>
      </c>
      <c r="O2085" t="n">
        <v>1</v>
      </c>
      <c r="P2085" t="n">
        <v>5</v>
      </c>
      <c r="Q2085" t="n">
        <v>1</v>
      </c>
    </row>
    <row r="2086">
      <c r="J2086" t="inlineStr">
        <is>
          <t>A</t>
        </is>
      </c>
      <c r="K2086" t="n">
        <v>2024</v>
      </c>
      <c r="L2086" t="n">
        <v>6</v>
      </c>
      <c r="M2086" t="inlineStr">
        <is>
          <t>Composto lácteo Alibralac 1 kg</t>
        </is>
      </c>
      <c r="N2086" t="inlineStr">
        <is>
          <t>Mercearia / Sacolão</t>
        </is>
      </c>
      <c r="O2086" t="n">
        <v>1</v>
      </c>
      <c r="P2086" t="n">
        <v>5</v>
      </c>
      <c r="Q2086" t="n">
        <v>1</v>
      </c>
    </row>
    <row r="2087">
      <c r="J2087" t="inlineStr">
        <is>
          <t>A</t>
        </is>
      </c>
      <c r="K2087" t="n">
        <v>2024</v>
      </c>
      <c r="L2087" t="n">
        <v>7</v>
      </c>
      <c r="M2087" t="inlineStr">
        <is>
          <t>Composto lácteo Alibralac 1 kg</t>
        </is>
      </c>
      <c r="N2087" t="inlineStr">
        <is>
          <t>Mercearia / Sacolão</t>
        </is>
      </c>
      <c r="O2087" t="n">
        <v>1</v>
      </c>
      <c r="P2087" t="n">
        <v>6</v>
      </c>
      <c r="Q2087" t="n">
        <v>1</v>
      </c>
    </row>
    <row r="2088">
      <c r="J2088" t="inlineStr">
        <is>
          <t>M</t>
        </is>
      </c>
      <c r="K2088" t="n">
        <v>2024</v>
      </c>
      <c r="L2088" t="n">
        <v>7</v>
      </c>
      <c r="M2088" t="inlineStr">
        <is>
          <t>Composto lácteo Alibralac 1 kg</t>
        </is>
      </c>
      <c r="N2088" t="inlineStr">
        <is>
          <t>Mercearia / Sacolão</t>
        </is>
      </c>
      <c r="O2088" t="n">
        <v>1</v>
      </c>
      <c r="P2088" t="n">
        <v>1</v>
      </c>
      <c r="Q2088" t="n">
        <v>0</v>
      </c>
    </row>
    <row r="2089">
      <c r="J2089" t="inlineStr">
        <is>
          <t>A</t>
        </is>
      </c>
      <c r="K2089" t="n">
        <v>2024</v>
      </c>
      <c r="L2089" t="n">
        <v>8</v>
      </c>
      <c r="M2089" t="inlineStr">
        <is>
          <t>Composto lácteo Alibralac 1 kg</t>
        </is>
      </c>
      <c r="N2089" t="inlineStr">
        <is>
          <t>Mercearia / Sacolão</t>
        </is>
      </c>
      <c r="O2089" t="n">
        <v>1</v>
      </c>
      <c r="P2089" t="n">
        <v>6</v>
      </c>
      <c r="Q2089" t="n">
        <v>1</v>
      </c>
    </row>
    <row r="2090">
      <c r="J2090" t="inlineStr">
        <is>
          <t>A</t>
        </is>
      </c>
      <c r="K2090" t="n">
        <v>2024</v>
      </c>
      <c r="L2090" t="n">
        <v>9</v>
      </c>
      <c r="M2090" t="inlineStr">
        <is>
          <t>Composto lácteo Alibralac 1 kg</t>
        </is>
      </c>
      <c r="N2090" t="inlineStr">
        <is>
          <t>Mercearia / Sacolão</t>
        </is>
      </c>
      <c r="O2090" t="n">
        <v>1</v>
      </c>
      <c r="P2090" t="n">
        <v>6</v>
      </c>
      <c r="Q2090" t="n">
        <v>1</v>
      </c>
    </row>
    <row r="2091">
      <c r="J2091" t="inlineStr">
        <is>
          <t>A</t>
        </is>
      </c>
      <c r="K2091" t="n">
        <v>2024</v>
      </c>
      <c r="L2091" t="n">
        <v>10</v>
      </c>
      <c r="M2091" t="inlineStr">
        <is>
          <t>Composto lácteo Alibralac 1 kg</t>
        </is>
      </c>
      <c r="N2091" t="inlineStr">
        <is>
          <t>Mercearia / Sacolão</t>
        </is>
      </c>
      <c r="O2091" t="n">
        <v>1</v>
      </c>
      <c r="P2091" t="n">
        <v>6</v>
      </c>
      <c r="Q2091" t="n">
        <v>1</v>
      </c>
    </row>
    <row r="2092">
      <c r="J2092" t="inlineStr">
        <is>
          <t>A</t>
        </is>
      </c>
      <c r="K2092" t="n">
        <v>2024</v>
      </c>
      <c r="L2092" t="n">
        <v>11</v>
      </c>
      <c r="M2092" t="inlineStr">
        <is>
          <t>Composto lácteo Alibralac 1 kg</t>
        </is>
      </c>
      <c r="N2092" t="inlineStr">
        <is>
          <t>Mercearia / Sacolão</t>
        </is>
      </c>
      <c r="O2092" t="n">
        <v>1</v>
      </c>
      <c r="P2092" t="n">
        <v>6</v>
      </c>
      <c r="Q2092" t="n">
        <v>1</v>
      </c>
    </row>
    <row r="2093">
      <c r="J2093" t="inlineStr">
        <is>
          <t>A</t>
        </is>
      </c>
      <c r="K2093" t="n">
        <v>2024</v>
      </c>
      <c r="L2093" t="n">
        <v>12</v>
      </c>
      <c r="M2093" t="inlineStr">
        <is>
          <t>Composto lácteo Alibralac 1 kg</t>
        </is>
      </c>
      <c r="N2093" t="inlineStr">
        <is>
          <t>Mercearia / Sacolão</t>
        </is>
      </c>
      <c r="O2093" t="n">
        <v>1</v>
      </c>
      <c r="P2093" t="n">
        <v>6</v>
      </c>
      <c r="Q2093" t="n">
        <v>1</v>
      </c>
    </row>
    <row r="2094">
      <c r="J2094" t="inlineStr">
        <is>
          <t>A</t>
        </is>
      </c>
      <c r="K2094" t="n">
        <v>2024</v>
      </c>
      <c r="L2094" t="n">
        <v>10</v>
      </c>
      <c r="M2094" t="inlineStr">
        <is>
          <t>Composto lácteo Alibralac 1 kg</t>
        </is>
      </c>
      <c r="N2094" t="inlineStr">
        <is>
          <t>Buffet</t>
        </is>
      </c>
      <c r="O2094" t="n">
        <v>1</v>
      </c>
      <c r="P2094" t="n">
        <v>1</v>
      </c>
      <c r="Q2094" t="n">
        <v>1</v>
      </c>
    </row>
    <row r="2095">
      <c r="J2095" t="inlineStr">
        <is>
          <t>M</t>
        </is>
      </c>
      <c r="K2095" t="n">
        <v>2024</v>
      </c>
      <c r="L2095" t="n">
        <v>10</v>
      </c>
      <c r="M2095" t="inlineStr">
        <is>
          <t>Composto lácteo Alibralac 1 kg</t>
        </is>
      </c>
      <c r="N2095" t="inlineStr">
        <is>
          <t>Buffet</t>
        </is>
      </c>
      <c r="O2095" t="n">
        <v>1</v>
      </c>
      <c r="P2095" t="n">
        <v>1</v>
      </c>
      <c r="Q2095" t="n">
        <v>0</v>
      </c>
    </row>
    <row r="2096">
      <c r="J2096" t="inlineStr">
        <is>
          <t>A</t>
        </is>
      </c>
      <c r="K2096" t="n">
        <v>2024</v>
      </c>
      <c r="L2096" t="n">
        <v>11</v>
      </c>
      <c r="M2096" t="inlineStr">
        <is>
          <t>Composto lácteo Alibralac 1 kg</t>
        </is>
      </c>
      <c r="N2096" t="inlineStr">
        <is>
          <t>Buffet</t>
        </is>
      </c>
      <c r="O2096" t="n">
        <v>1</v>
      </c>
      <c r="P2096" t="n">
        <v>1</v>
      </c>
      <c r="Q2096" t="n">
        <v>1</v>
      </c>
    </row>
    <row r="2097">
      <c r="J2097" t="inlineStr">
        <is>
          <t>A</t>
        </is>
      </c>
      <c r="K2097" t="n">
        <v>2024</v>
      </c>
      <c r="L2097" t="n">
        <v>12</v>
      </c>
      <c r="M2097" t="inlineStr">
        <is>
          <t>Composto lácteo Alibralac 1 kg</t>
        </is>
      </c>
      <c r="N2097" t="inlineStr">
        <is>
          <t>Buffet</t>
        </is>
      </c>
      <c r="O2097" t="n">
        <v>1</v>
      </c>
      <c r="P2097" t="n">
        <v>1</v>
      </c>
      <c r="Q2097" t="n">
        <v>1</v>
      </c>
    </row>
    <row r="2098">
      <c r="J2098" t="inlineStr">
        <is>
          <t>A</t>
        </is>
      </c>
      <c r="K2098" t="n">
        <v>2024</v>
      </c>
      <c r="L2098" t="n">
        <v>1</v>
      </c>
      <c r="M2098" t="inlineStr">
        <is>
          <t>Composto lácteo Alibralac 1 kg</t>
        </is>
      </c>
      <c r="N2098" t="inlineStr">
        <is>
          <t>Hotel / Motel / Pousada</t>
        </is>
      </c>
      <c r="O2098" t="n">
        <v>1</v>
      </c>
      <c r="P2098" t="n">
        <v>5</v>
      </c>
      <c r="Q2098" t="n">
        <v>1</v>
      </c>
    </row>
    <row r="2099">
      <c r="J2099" t="inlineStr">
        <is>
          <t>M</t>
        </is>
      </c>
      <c r="K2099" t="n">
        <v>2024</v>
      </c>
      <c r="L2099" t="n">
        <v>1</v>
      </c>
      <c r="M2099" t="inlineStr">
        <is>
          <t>Composto lácteo Alibralac 1 kg</t>
        </is>
      </c>
      <c r="N2099" t="inlineStr">
        <is>
          <t>Hotel / Motel / Pousada</t>
        </is>
      </c>
      <c r="O2099" t="n">
        <v>1</v>
      </c>
      <c r="P2099" t="n">
        <v>5</v>
      </c>
      <c r="Q2099" t="n">
        <v>0</v>
      </c>
    </row>
    <row r="2100">
      <c r="J2100" t="inlineStr">
        <is>
          <t>A</t>
        </is>
      </c>
      <c r="K2100" t="n">
        <v>2024</v>
      </c>
      <c r="L2100" t="n">
        <v>2</v>
      </c>
      <c r="M2100" t="inlineStr">
        <is>
          <t>Composto lácteo Alibralac 1 kg</t>
        </is>
      </c>
      <c r="N2100" t="inlineStr">
        <is>
          <t>Hotel / Motel / Pousada</t>
        </is>
      </c>
      <c r="O2100" t="n">
        <v>1</v>
      </c>
      <c r="P2100" t="n">
        <v>7</v>
      </c>
      <c r="Q2100" t="n">
        <v>1</v>
      </c>
    </row>
    <row r="2101">
      <c r="J2101" t="inlineStr">
        <is>
          <t>M</t>
        </is>
      </c>
      <c r="K2101" t="n">
        <v>2024</v>
      </c>
      <c r="L2101" t="n">
        <v>2</v>
      </c>
      <c r="M2101" t="inlineStr">
        <is>
          <t>Composto lácteo Alibralac 1 kg</t>
        </is>
      </c>
      <c r="N2101" t="inlineStr">
        <is>
          <t>Hotel / Motel / Pousada</t>
        </is>
      </c>
      <c r="O2101" t="n">
        <v>1</v>
      </c>
      <c r="P2101" t="n">
        <v>2</v>
      </c>
      <c r="Q2101" t="n">
        <v>0</v>
      </c>
    </row>
    <row r="2102">
      <c r="J2102" t="inlineStr">
        <is>
          <t>A</t>
        </is>
      </c>
      <c r="K2102" t="n">
        <v>2024</v>
      </c>
      <c r="L2102" t="n">
        <v>3</v>
      </c>
      <c r="M2102" t="inlineStr">
        <is>
          <t>Composto lácteo Alibralac 1 kg</t>
        </is>
      </c>
      <c r="N2102" t="inlineStr">
        <is>
          <t>Hotel / Motel / Pousada</t>
        </is>
      </c>
      <c r="O2102" t="n">
        <v>1</v>
      </c>
      <c r="P2102" t="n">
        <v>10</v>
      </c>
      <c r="Q2102" t="n">
        <v>1</v>
      </c>
    </row>
    <row r="2103">
      <c r="J2103" t="inlineStr">
        <is>
          <t>M</t>
        </is>
      </c>
      <c r="K2103" t="n">
        <v>2024</v>
      </c>
      <c r="L2103" t="n">
        <v>3</v>
      </c>
      <c r="M2103" t="inlineStr">
        <is>
          <t>Composto lácteo Alibralac 1 kg</t>
        </is>
      </c>
      <c r="N2103" t="inlineStr">
        <is>
          <t>Hotel / Motel / Pousada</t>
        </is>
      </c>
      <c r="O2103" t="n">
        <v>1</v>
      </c>
      <c r="P2103" t="n">
        <v>3</v>
      </c>
      <c r="Q2103" t="n">
        <v>0</v>
      </c>
    </row>
    <row r="2104">
      <c r="J2104" t="inlineStr">
        <is>
          <t>A</t>
        </is>
      </c>
      <c r="K2104" t="n">
        <v>2024</v>
      </c>
      <c r="L2104" t="n">
        <v>4</v>
      </c>
      <c r="M2104" t="inlineStr">
        <is>
          <t>Composto lácteo Alibralac 1 kg</t>
        </is>
      </c>
      <c r="N2104" t="inlineStr">
        <is>
          <t>Hotel / Motel / Pousada</t>
        </is>
      </c>
      <c r="O2104" t="n">
        <v>1</v>
      </c>
      <c r="P2104" t="n">
        <v>11</v>
      </c>
      <c r="Q2104" t="n">
        <v>1</v>
      </c>
    </row>
    <row r="2105">
      <c r="J2105" t="inlineStr">
        <is>
          <t>M</t>
        </is>
      </c>
      <c r="K2105" t="n">
        <v>2024</v>
      </c>
      <c r="L2105" t="n">
        <v>4</v>
      </c>
      <c r="M2105" t="inlineStr">
        <is>
          <t>Composto lácteo Alibralac 1 kg</t>
        </is>
      </c>
      <c r="N2105" t="inlineStr">
        <is>
          <t>Hotel / Motel / Pousada</t>
        </is>
      </c>
      <c r="O2105" t="n">
        <v>1</v>
      </c>
      <c r="P2105" t="n">
        <v>1</v>
      </c>
      <c r="Q2105" t="n">
        <v>0</v>
      </c>
    </row>
    <row r="2106">
      <c r="J2106" t="inlineStr">
        <is>
          <t>A</t>
        </is>
      </c>
      <c r="K2106" t="n">
        <v>2024</v>
      </c>
      <c r="L2106" t="n">
        <v>5</v>
      </c>
      <c r="M2106" t="inlineStr">
        <is>
          <t>Composto lácteo Alibralac 1 kg</t>
        </is>
      </c>
      <c r="N2106" t="inlineStr">
        <is>
          <t>Hotel / Motel / Pousada</t>
        </is>
      </c>
      <c r="O2106" t="n">
        <v>1</v>
      </c>
      <c r="P2106" t="n">
        <v>13</v>
      </c>
      <c r="Q2106" t="n">
        <v>1</v>
      </c>
    </row>
    <row r="2107">
      <c r="J2107" t="inlineStr">
        <is>
          <t>M</t>
        </is>
      </c>
      <c r="K2107" t="n">
        <v>2024</v>
      </c>
      <c r="L2107" t="n">
        <v>5</v>
      </c>
      <c r="M2107" t="inlineStr">
        <is>
          <t>Composto lácteo Alibralac 1 kg</t>
        </is>
      </c>
      <c r="N2107" t="inlineStr">
        <is>
          <t>Hotel / Motel / Pousada</t>
        </is>
      </c>
      <c r="O2107" t="n">
        <v>1</v>
      </c>
      <c r="P2107" t="n">
        <v>2</v>
      </c>
      <c r="Q2107" t="n">
        <v>0</v>
      </c>
    </row>
    <row r="2108">
      <c r="J2108" t="inlineStr">
        <is>
          <t>A</t>
        </is>
      </c>
      <c r="K2108" t="n">
        <v>2024</v>
      </c>
      <c r="L2108" t="n">
        <v>6</v>
      </c>
      <c r="M2108" t="inlineStr">
        <is>
          <t>Composto lácteo Alibralac 1 kg</t>
        </is>
      </c>
      <c r="N2108" t="inlineStr">
        <is>
          <t>Hotel / Motel / Pousada</t>
        </is>
      </c>
      <c r="O2108" t="n">
        <v>1</v>
      </c>
      <c r="P2108" t="n">
        <v>16</v>
      </c>
      <c r="Q2108" t="n">
        <v>1</v>
      </c>
    </row>
    <row r="2109">
      <c r="J2109" t="inlineStr">
        <is>
          <t>M</t>
        </is>
      </c>
      <c r="K2109" t="n">
        <v>2024</v>
      </c>
      <c r="L2109" t="n">
        <v>6</v>
      </c>
      <c r="M2109" t="inlineStr">
        <is>
          <t>Composto lácteo Alibralac 1 kg</t>
        </is>
      </c>
      <c r="N2109" t="inlineStr">
        <is>
          <t>Hotel / Motel / Pousada</t>
        </is>
      </c>
      <c r="O2109" t="n">
        <v>1</v>
      </c>
      <c r="P2109" t="n">
        <v>3</v>
      </c>
      <c r="Q2109" t="n">
        <v>0</v>
      </c>
    </row>
    <row r="2110">
      <c r="J2110" t="inlineStr">
        <is>
          <t>A</t>
        </is>
      </c>
      <c r="K2110" t="n">
        <v>2024</v>
      </c>
      <c r="L2110" t="n">
        <v>7</v>
      </c>
      <c r="M2110" t="inlineStr">
        <is>
          <t>Composto lácteo Alibralac 1 kg</t>
        </is>
      </c>
      <c r="N2110" t="inlineStr">
        <is>
          <t>Hotel / Motel / Pousada</t>
        </is>
      </c>
      <c r="O2110" t="n">
        <v>1</v>
      </c>
      <c r="P2110" t="n">
        <v>17</v>
      </c>
      <c r="Q2110" t="n">
        <v>1</v>
      </c>
    </row>
    <row r="2111">
      <c r="J2111" t="inlineStr">
        <is>
          <t>M</t>
        </is>
      </c>
      <c r="K2111" t="n">
        <v>2024</v>
      </c>
      <c r="L2111" t="n">
        <v>7</v>
      </c>
      <c r="M2111" t="inlineStr">
        <is>
          <t>Composto lácteo Alibralac 1 kg</t>
        </is>
      </c>
      <c r="N2111" t="inlineStr">
        <is>
          <t>Hotel / Motel / Pousada</t>
        </is>
      </c>
      <c r="O2111" t="n">
        <v>1</v>
      </c>
      <c r="P2111" t="n">
        <v>1</v>
      </c>
      <c r="Q2111" t="n">
        <v>0</v>
      </c>
    </row>
    <row r="2112">
      <c r="J2112" t="inlineStr">
        <is>
          <t>A</t>
        </is>
      </c>
      <c r="K2112" t="n">
        <v>2024</v>
      </c>
      <c r="L2112" t="n">
        <v>8</v>
      </c>
      <c r="M2112" t="inlineStr">
        <is>
          <t>Composto lácteo Alibralac 1 kg</t>
        </is>
      </c>
      <c r="N2112" t="inlineStr">
        <is>
          <t>Hotel / Motel / Pousada</t>
        </is>
      </c>
      <c r="O2112" t="n">
        <v>1</v>
      </c>
      <c r="P2112" t="n">
        <v>20</v>
      </c>
      <c r="Q2112" t="n">
        <v>1</v>
      </c>
    </row>
    <row r="2113">
      <c r="J2113" t="inlineStr">
        <is>
          <t>M</t>
        </is>
      </c>
      <c r="K2113" t="n">
        <v>2024</v>
      </c>
      <c r="L2113" t="n">
        <v>8</v>
      </c>
      <c r="M2113" t="inlineStr">
        <is>
          <t>Composto lácteo Alibralac 1 kg</t>
        </is>
      </c>
      <c r="N2113" t="inlineStr">
        <is>
          <t>Hotel / Motel / Pousada</t>
        </is>
      </c>
      <c r="O2113" t="n">
        <v>1</v>
      </c>
      <c r="P2113" t="n">
        <v>3</v>
      </c>
      <c r="Q2113" t="n">
        <v>0</v>
      </c>
    </row>
    <row r="2114">
      <c r="J2114" t="inlineStr">
        <is>
          <t>A</t>
        </is>
      </c>
      <c r="K2114" t="n">
        <v>2024</v>
      </c>
      <c r="L2114" t="n">
        <v>9</v>
      </c>
      <c r="M2114" t="inlineStr">
        <is>
          <t>Composto lácteo Alibralac 1 kg</t>
        </is>
      </c>
      <c r="N2114" t="inlineStr">
        <is>
          <t>Hotel / Motel / Pousada</t>
        </is>
      </c>
      <c r="O2114" t="n">
        <v>1</v>
      </c>
      <c r="P2114" t="n">
        <v>24</v>
      </c>
      <c r="Q2114" t="n">
        <v>1</v>
      </c>
    </row>
    <row r="2115">
      <c r="J2115" t="inlineStr">
        <is>
          <t>M</t>
        </is>
      </c>
      <c r="K2115" t="n">
        <v>2024</v>
      </c>
      <c r="L2115" t="n">
        <v>9</v>
      </c>
      <c r="M2115" t="inlineStr">
        <is>
          <t>Composto lácteo Alibralac 1 kg</t>
        </is>
      </c>
      <c r="N2115" t="inlineStr">
        <is>
          <t>Hotel / Motel / Pousada</t>
        </is>
      </c>
      <c r="O2115" t="n">
        <v>1</v>
      </c>
      <c r="P2115" t="n">
        <v>4</v>
      </c>
      <c r="Q2115" t="n">
        <v>0</v>
      </c>
    </row>
    <row r="2116">
      <c r="J2116" t="inlineStr">
        <is>
          <t>A</t>
        </is>
      </c>
      <c r="K2116" t="n">
        <v>2024</v>
      </c>
      <c r="L2116" t="n">
        <v>10</v>
      </c>
      <c r="M2116" t="inlineStr">
        <is>
          <t>Composto lácteo Alibralac 1 kg</t>
        </is>
      </c>
      <c r="N2116" t="inlineStr">
        <is>
          <t>Hotel / Motel / Pousada</t>
        </is>
      </c>
      <c r="O2116" t="n">
        <v>1</v>
      </c>
      <c r="P2116" t="n">
        <v>29</v>
      </c>
      <c r="Q2116" t="n">
        <v>1</v>
      </c>
    </row>
    <row r="2117">
      <c r="J2117" t="inlineStr">
        <is>
          <t>M</t>
        </is>
      </c>
      <c r="K2117" t="n">
        <v>2024</v>
      </c>
      <c r="L2117" t="n">
        <v>10</v>
      </c>
      <c r="M2117" t="inlineStr">
        <is>
          <t>Composto lácteo Alibralac 1 kg</t>
        </is>
      </c>
      <c r="N2117" t="inlineStr">
        <is>
          <t>Hotel / Motel / Pousada</t>
        </is>
      </c>
      <c r="O2117" t="n">
        <v>1</v>
      </c>
      <c r="P2117" t="n">
        <v>5</v>
      </c>
      <c r="Q2117" t="n">
        <v>0</v>
      </c>
    </row>
    <row r="2118">
      <c r="J2118" t="inlineStr">
        <is>
          <t>A</t>
        </is>
      </c>
      <c r="K2118" t="n">
        <v>2024</v>
      </c>
      <c r="L2118" t="n">
        <v>11</v>
      </c>
      <c r="M2118" t="inlineStr">
        <is>
          <t>Composto lácteo Alibralac 1 kg</t>
        </is>
      </c>
      <c r="N2118" t="inlineStr">
        <is>
          <t>Hotel / Motel / Pousada</t>
        </is>
      </c>
      <c r="O2118" t="n">
        <v>1</v>
      </c>
      <c r="P2118" t="n">
        <v>32</v>
      </c>
      <c r="Q2118" t="n">
        <v>1</v>
      </c>
    </row>
    <row r="2119">
      <c r="J2119" t="inlineStr">
        <is>
          <t>M</t>
        </is>
      </c>
      <c r="K2119" t="n">
        <v>2024</v>
      </c>
      <c r="L2119" t="n">
        <v>11</v>
      </c>
      <c r="M2119" t="inlineStr">
        <is>
          <t>Composto lácteo Alibralac 1 kg</t>
        </is>
      </c>
      <c r="N2119" t="inlineStr">
        <is>
          <t>Hotel / Motel / Pousada</t>
        </is>
      </c>
      <c r="O2119" t="n">
        <v>1</v>
      </c>
      <c r="P2119" t="n">
        <v>3</v>
      </c>
      <c r="Q2119" t="n">
        <v>0</v>
      </c>
    </row>
    <row r="2120">
      <c r="J2120" t="inlineStr">
        <is>
          <t>A</t>
        </is>
      </c>
      <c r="K2120" t="n">
        <v>2024</v>
      </c>
      <c r="L2120" t="n">
        <v>12</v>
      </c>
      <c r="M2120" t="inlineStr">
        <is>
          <t>Composto lácteo Alibralac 1 kg</t>
        </is>
      </c>
      <c r="N2120" t="inlineStr">
        <is>
          <t>Hotel / Motel / Pousada</t>
        </is>
      </c>
      <c r="O2120" t="n">
        <v>1</v>
      </c>
      <c r="P2120" t="n">
        <v>36</v>
      </c>
      <c r="Q2120" t="n">
        <v>1</v>
      </c>
    </row>
    <row r="2121">
      <c r="J2121" t="inlineStr">
        <is>
          <t>M</t>
        </is>
      </c>
      <c r="K2121" t="n">
        <v>2024</v>
      </c>
      <c r="L2121" t="n">
        <v>12</v>
      </c>
      <c r="M2121" t="inlineStr">
        <is>
          <t>Composto lácteo Alibralac 1 kg</t>
        </is>
      </c>
      <c r="N2121" t="inlineStr">
        <is>
          <t>Hotel / Motel / Pousada</t>
        </is>
      </c>
      <c r="O2121" t="n">
        <v>1</v>
      </c>
      <c r="P2121" t="n">
        <v>4</v>
      </c>
      <c r="Q2121" t="n">
        <v>0</v>
      </c>
    </row>
    <row r="2122">
      <c r="J2122" t="inlineStr">
        <is>
          <t>A</t>
        </is>
      </c>
      <c r="K2122" t="n">
        <v>2024</v>
      </c>
      <c r="L2122" t="n">
        <v>2</v>
      </c>
      <c r="M2122" t="inlineStr">
        <is>
          <t>Composto lácteo Alibralac 1 kg</t>
        </is>
      </c>
      <c r="N2122" t="inlineStr">
        <is>
          <t>Hospital / Casa de Repouso</t>
        </is>
      </c>
      <c r="O2122" t="n">
        <v>1</v>
      </c>
      <c r="P2122" t="n">
        <v>1</v>
      </c>
      <c r="Q2122" t="n">
        <v>1</v>
      </c>
    </row>
    <row r="2123">
      <c r="J2123" t="inlineStr">
        <is>
          <t>M</t>
        </is>
      </c>
      <c r="K2123" t="n">
        <v>2024</v>
      </c>
      <c r="L2123" t="n">
        <v>2</v>
      </c>
      <c r="M2123" t="inlineStr">
        <is>
          <t>Composto lácteo Alibralac 1 kg</t>
        </is>
      </c>
      <c r="N2123" t="inlineStr">
        <is>
          <t>Hospital / Casa de Repouso</t>
        </is>
      </c>
      <c r="O2123" t="n">
        <v>1</v>
      </c>
      <c r="P2123" t="n">
        <v>1</v>
      </c>
      <c r="Q2123" t="n">
        <v>0</v>
      </c>
    </row>
    <row r="2124">
      <c r="J2124" t="inlineStr">
        <is>
          <t>A</t>
        </is>
      </c>
      <c r="K2124" t="n">
        <v>2024</v>
      </c>
      <c r="L2124" t="n">
        <v>3</v>
      </c>
      <c r="M2124" t="inlineStr">
        <is>
          <t>Composto lácteo Alibralac 1 kg</t>
        </is>
      </c>
      <c r="N2124" t="inlineStr">
        <is>
          <t>Hospital / Casa de Repouso</t>
        </is>
      </c>
      <c r="O2124" t="n">
        <v>1</v>
      </c>
      <c r="P2124" t="n">
        <v>1</v>
      </c>
      <c r="Q2124" t="n">
        <v>1</v>
      </c>
    </row>
    <row r="2125">
      <c r="J2125" t="inlineStr">
        <is>
          <t>A</t>
        </is>
      </c>
      <c r="K2125" t="n">
        <v>2024</v>
      </c>
      <c r="L2125" t="n">
        <v>4</v>
      </c>
      <c r="M2125" t="inlineStr">
        <is>
          <t>Composto lácteo Alibralac 1 kg</t>
        </is>
      </c>
      <c r="N2125" t="inlineStr">
        <is>
          <t>Hospital / Casa de Repouso</t>
        </is>
      </c>
      <c r="O2125" t="n">
        <v>1</v>
      </c>
      <c r="P2125" t="n">
        <v>1</v>
      </c>
      <c r="Q2125" t="n">
        <v>1</v>
      </c>
    </row>
    <row r="2126">
      <c r="J2126" t="inlineStr">
        <is>
          <t>A</t>
        </is>
      </c>
      <c r="K2126" t="n">
        <v>2024</v>
      </c>
      <c r="L2126" t="n">
        <v>5</v>
      </c>
      <c r="M2126" t="inlineStr">
        <is>
          <t>Composto lácteo Alibralac 1 kg</t>
        </is>
      </c>
      <c r="N2126" t="inlineStr">
        <is>
          <t>Hospital / Casa de Repouso</t>
        </is>
      </c>
      <c r="O2126" t="n">
        <v>1</v>
      </c>
      <c r="P2126" t="n">
        <v>1</v>
      </c>
      <c r="Q2126" t="n">
        <v>1</v>
      </c>
    </row>
    <row r="2127">
      <c r="J2127" t="inlineStr">
        <is>
          <t>A</t>
        </is>
      </c>
      <c r="K2127" t="n">
        <v>2024</v>
      </c>
      <c r="L2127" t="n">
        <v>6</v>
      </c>
      <c r="M2127" t="inlineStr">
        <is>
          <t>Composto lácteo Alibralac 1 kg</t>
        </is>
      </c>
      <c r="N2127" t="inlineStr">
        <is>
          <t>Hospital / Casa de Repouso</t>
        </is>
      </c>
      <c r="O2127" t="n">
        <v>1</v>
      </c>
      <c r="P2127" t="n">
        <v>1</v>
      </c>
      <c r="Q2127" t="n">
        <v>1</v>
      </c>
    </row>
    <row r="2128">
      <c r="J2128" t="inlineStr">
        <is>
          <t>A</t>
        </is>
      </c>
      <c r="K2128" t="n">
        <v>2024</v>
      </c>
      <c r="L2128" t="n">
        <v>7</v>
      </c>
      <c r="M2128" t="inlineStr">
        <is>
          <t>Composto lácteo Alibralac 1 kg</t>
        </is>
      </c>
      <c r="N2128" t="inlineStr">
        <is>
          <t>Hospital / Casa de Repouso</t>
        </is>
      </c>
      <c r="O2128" t="n">
        <v>1</v>
      </c>
      <c r="P2128" t="n">
        <v>1</v>
      </c>
      <c r="Q2128" t="n">
        <v>1</v>
      </c>
    </row>
    <row r="2129">
      <c r="J2129" t="inlineStr">
        <is>
          <t>A</t>
        </is>
      </c>
      <c r="K2129" t="n">
        <v>2024</v>
      </c>
      <c r="L2129" t="n">
        <v>8</v>
      </c>
      <c r="M2129" t="inlineStr">
        <is>
          <t>Composto lácteo Alibralac 1 kg</t>
        </is>
      </c>
      <c r="N2129" t="inlineStr">
        <is>
          <t>Hospital / Casa de Repouso</t>
        </is>
      </c>
      <c r="O2129" t="n">
        <v>1</v>
      </c>
      <c r="P2129" t="n">
        <v>1</v>
      </c>
      <c r="Q2129" t="n">
        <v>1</v>
      </c>
    </row>
    <row r="2130">
      <c r="J2130" t="inlineStr">
        <is>
          <t>A</t>
        </is>
      </c>
      <c r="K2130" t="n">
        <v>2024</v>
      </c>
      <c r="L2130" t="n">
        <v>9</v>
      </c>
      <c r="M2130" t="inlineStr">
        <is>
          <t>Composto lácteo Alibralac 1 kg</t>
        </is>
      </c>
      <c r="N2130" t="inlineStr">
        <is>
          <t>Hospital / Casa de Repouso</t>
        </is>
      </c>
      <c r="O2130" t="n">
        <v>1</v>
      </c>
      <c r="P2130" t="n">
        <v>1</v>
      </c>
      <c r="Q2130" t="n">
        <v>1</v>
      </c>
    </row>
    <row r="2131">
      <c r="J2131" t="inlineStr">
        <is>
          <t>A</t>
        </is>
      </c>
      <c r="K2131" t="n">
        <v>2024</v>
      </c>
      <c r="L2131" t="n">
        <v>10</v>
      </c>
      <c r="M2131" t="inlineStr">
        <is>
          <t>Composto lácteo Alibralac 1 kg</t>
        </is>
      </c>
      <c r="N2131" t="inlineStr">
        <is>
          <t>Hospital / Casa de Repouso</t>
        </is>
      </c>
      <c r="O2131" t="n">
        <v>1</v>
      </c>
      <c r="P2131" t="n">
        <v>1</v>
      </c>
      <c r="Q2131" t="n">
        <v>1</v>
      </c>
    </row>
    <row r="2132">
      <c r="J2132" t="inlineStr">
        <is>
          <t>A</t>
        </is>
      </c>
      <c r="K2132" t="n">
        <v>2024</v>
      </c>
      <c r="L2132" t="n">
        <v>11</v>
      </c>
      <c r="M2132" t="inlineStr">
        <is>
          <t>Composto lácteo Alibralac 1 kg</t>
        </is>
      </c>
      <c r="N2132" t="inlineStr">
        <is>
          <t>Hospital / Casa de Repouso</t>
        </is>
      </c>
      <c r="O2132" t="n">
        <v>1</v>
      </c>
      <c r="P2132" t="n">
        <v>1</v>
      </c>
      <c r="Q2132" t="n">
        <v>1</v>
      </c>
    </row>
    <row r="2133">
      <c r="J2133" t="inlineStr">
        <is>
          <t>A</t>
        </is>
      </c>
      <c r="K2133" t="n">
        <v>2024</v>
      </c>
      <c r="L2133" t="n">
        <v>12</v>
      </c>
      <c r="M2133" t="inlineStr">
        <is>
          <t>Composto lácteo Alibralac 1 kg</t>
        </is>
      </c>
      <c r="N2133" t="inlineStr">
        <is>
          <t>Hospital / Casa de Repouso</t>
        </is>
      </c>
      <c r="O2133" t="n">
        <v>1</v>
      </c>
      <c r="P2133" t="n">
        <v>1</v>
      </c>
      <c r="Q2133" t="n">
        <v>1</v>
      </c>
    </row>
    <row r="2134">
      <c r="J2134" t="inlineStr">
        <is>
          <t>A</t>
        </is>
      </c>
      <c r="K2134" t="n">
        <v>2024</v>
      </c>
      <c r="L2134" t="n">
        <v>1</v>
      </c>
      <c r="M2134" t="inlineStr">
        <is>
          <t>Composto lácteo Merilú 400 g</t>
        </is>
      </c>
      <c r="N2134" t="inlineStr">
        <is>
          <t>Todos</t>
        </is>
      </c>
      <c r="O2134" t="n">
        <v>15</v>
      </c>
      <c r="P2134" t="n">
        <v>25</v>
      </c>
      <c r="Q2134" t="n">
        <v>15</v>
      </c>
    </row>
    <row r="2135">
      <c r="J2135" t="inlineStr">
        <is>
          <t>M</t>
        </is>
      </c>
      <c r="K2135" t="n">
        <v>2024</v>
      </c>
      <c r="L2135" t="n">
        <v>1</v>
      </c>
      <c r="M2135" t="inlineStr">
        <is>
          <t>Composto lácteo Merilú 400 g</t>
        </is>
      </c>
      <c r="N2135" t="inlineStr">
        <is>
          <t>Todos</t>
        </is>
      </c>
      <c r="O2135" t="n">
        <v>15</v>
      </c>
      <c r="P2135" t="n">
        <v>25</v>
      </c>
      <c r="Q2135" t="n">
        <v>0</v>
      </c>
    </row>
    <row r="2136">
      <c r="J2136" t="inlineStr">
        <is>
          <t>A</t>
        </is>
      </c>
      <c r="K2136" t="n">
        <v>2024</v>
      </c>
      <c r="L2136" t="n">
        <v>2</v>
      </c>
      <c r="M2136" t="inlineStr">
        <is>
          <t>Composto lácteo Merilú 400 g</t>
        </is>
      </c>
      <c r="N2136" t="inlineStr">
        <is>
          <t>Todos</t>
        </is>
      </c>
      <c r="O2136" t="n">
        <v>19</v>
      </c>
      <c r="P2136" t="n">
        <v>37</v>
      </c>
      <c r="Q2136" t="n">
        <v>19</v>
      </c>
    </row>
    <row r="2137">
      <c r="J2137" t="inlineStr">
        <is>
          <t>M</t>
        </is>
      </c>
      <c r="K2137" t="n">
        <v>2024</v>
      </c>
      <c r="L2137" t="n">
        <v>2</v>
      </c>
      <c r="M2137" t="inlineStr">
        <is>
          <t>Composto lácteo Merilú 400 g</t>
        </is>
      </c>
      <c r="N2137" t="inlineStr">
        <is>
          <t>Todos</t>
        </is>
      </c>
      <c r="O2137" t="n">
        <v>10</v>
      </c>
      <c r="P2137" t="n">
        <v>12</v>
      </c>
      <c r="Q2137" t="n">
        <v>0</v>
      </c>
    </row>
    <row r="2138">
      <c r="J2138" t="inlineStr">
        <is>
          <t>A</t>
        </is>
      </c>
      <c r="K2138" t="n">
        <v>2024</v>
      </c>
      <c r="L2138" t="n">
        <v>3</v>
      </c>
      <c r="M2138" t="inlineStr">
        <is>
          <t>Composto lácteo Merilú 400 g</t>
        </is>
      </c>
      <c r="N2138" t="inlineStr">
        <is>
          <t>Todos</t>
        </is>
      </c>
      <c r="O2138" t="n">
        <v>26</v>
      </c>
      <c r="P2138" t="n">
        <v>51</v>
      </c>
      <c r="Q2138" t="n">
        <v>26</v>
      </c>
    </row>
    <row r="2139">
      <c r="J2139" t="inlineStr">
        <is>
          <t>M</t>
        </is>
      </c>
      <c r="K2139" t="n">
        <v>2024</v>
      </c>
      <c r="L2139" t="n">
        <v>3</v>
      </c>
      <c r="M2139" t="inlineStr">
        <is>
          <t>Composto lácteo Merilú 400 g</t>
        </is>
      </c>
      <c r="N2139" t="inlineStr">
        <is>
          <t>Todos</t>
        </is>
      </c>
      <c r="O2139" t="n">
        <v>13</v>
      </c>
      <c r="P2139" t="n">
        <v>14</v>
      </c>
      <c r="Q2139" t="n">
        <v>0</v>
      </c>
    </row>
    <row r="2140">
      <c r="J2140" t="inlineStr">
        <is>
          <t>A</t>
        </is>
      </c>
      <c r="K2140" t="n">
        <v>2024</v>
      </c>
      <c r="L2140" t="n">
        <v>4</v>
      </c>
      <c r="M2140" t="inlineStr">
        <is>
          <t>Composto lácteo Merilú 400 g</t>
        </is>
      </c>
      <c r="N2140" t="inlineStr">
        <is>
          <t>Todos</t>
        </is>
      </c>
      <c r="O2140" t="n">
        <v>29</v>
      </c>
      <c r="P2140" t="n">
        <v>64</v>
      </c>
      <c r="Q2140" t="n">
        <v>29</v>
      </c>
    </row>
    <row r="2141">
      <c r="J2141" t="inlineStr">
        <is>
          <t>M</t>
        </is>
      </c>
      <c r="K2141" t="n">
        <v>2024</v>
      </c>
      <c r="L2141" t="n">
        <v>4</v>
      </c>
      <c r="M2141" t="inlineStr">
        <is>
          <t>Composto lácteo Merilú 400 g</t>
        </is>
      </c>
      <c r="N2141" t="inlineStr">
        <is>
          <t>Todos</t>
        </is>
      </c>
      <c r="O2141" t="n">
        <v>11</v>
      </c>
      <c r="P2141" t="n">
        <v>13</v>
      </c>
      <c r="Q2141" t="n">
        <v>0</v>
      </c>
    </row>
    <row r="2142">
      <c r="J2142" t="inlineStr">
        <is>
          <t>A</t>
        </is>
      </c>
      <c r="K2142" t="n">
        <v>2024</v>
      </c>
      <c r="L2142" t="n">
        <v>5</v>
      </c>
      <c r="M2142" t="inlineStr">
        <is>
          <t>Composto lácteo Merilú 400 g</t>
        </is>
      </c>
      <c r="N2142" t="inlineStr">
        <is>
          <t>Todos</t>
        </is>
      </c>
      <c r="O2142" t="n">
        <v>32</v>
      </c>
      <c r="P2142" t="n">
        <v>74</v>
      </c>
      <c r="Q2142" t="n">
        <v>32</v>
      </c>
    </row>
    <row r="2143">
      <c r="J2143" t="inlineStr">
        <is>
          <t>M</t>
        </is>
      </c>
      <c r="K2143" t="n">
        <v>2024</v>
      </c>
      <c r="L2143" t="n">
        <v>5</v>
      </c>
      <c r="M2143" t="inlineStr">
        <is>
          <t>Composto lácteo Merilú 400 g</t>
        </is>
      </c>
      <c r="N2143" t="inlineStr">
        <is>
          <t>Todos</t>
        </is>
      </c>
      <c r="O2143" t="n">
        <v>8</v>
      </c>
      <c r="P2143" t="n">
        <v>10</v>
      </c>
      <c r="Q2143" t="n">
        <v>0</v>
      </c>
    </row>
    <row r="2144">
      <c r="J2144" t="inlineStr">
        <is>
          <t>A</t>
        </is>
      </c>
      <c r="K2144" t="n">
        <v>2024</v>
      </c>
      <c r="L2144" t="n">
        <v>6</v>
      </c>
      <c r="M2144" t="inlineStr">
        <is>
          <t>Composto lácteo Merilú 400 g</t>
        </is>
      </c>
      <c r="N2144" t="inlineStr">
        <is>
          <t>Todos</t>
        </is>
      </c>
      <c r="O2144" t="n">
        <v>36</v>
      </c>
      <c r="P2144" t="n">
        <v>88</v>
      </c>
      <c r="Q2144" t="n">
        <v>36</v>
      </c>
    </row>
    <row r="2145">
      <c r="J2145" t="inlineStr">
        <is>
          <t>M</t>
        </is>
      </c>
      <c r="K2145" t="n">
        <v>2024</v>
      </c>
      <c r="L2145" t="n">
        <v>6</v>
      </c>
      <c r="M2145" t="inlineStr">
        <is>
          <t>Composto lácteo Merilú 400 g</t>
        </is>
      </c>
      <c r="N2145" t="inlineStr">
        <is>
          <t>Todos</t>
        </is>
      </c>
      <c r="O2145" t="n">
        <v>10</v>
      </c>
      <c r="P2145" t="n">
        <v>14</v>
      </c>
      <c r="Q2145" t="n">
        <v>0</v>
      </c>
    </row>
    <row r="2146">
      <c r="J2146" t="inlineStr">
        <is>
          <t>A</t>
        </is>
      </c>
      <c r="K2146" t="n">
        <v>2024</v>
      </c>
      <c r="L2146" t="n">
        <v>7</v>
      </c>
      <c r="M2146" t="inlineStr">
        <is>
          <t>Composto lácteo Merilú 400 g</t>
        </is>
      </c>
      <c r="N2146" t="inlineStr">
        <is>
          <t>Todos</t>
        </is>
      </c>
      <c r="O2146" t="n">
        <v>40</v>
      </c>
      <c r="P2146" t="n">
        <v>105</v>
      </c>
      <c r="Q2146" t="n">
        <v>40</v>
      </c>
    </row>
    <row r="2147">
      <c r="J2147" t="inlineStr">
        <is>
          <t>M</t>
        </is>
      </c>
      <c r="K2147" t="n">
        <v>2024</v>
      </c>
      <c r="L2147" t="n">
        <v>7</v>
      </c>
      <c r="M2147" t="inlineStr">
        <is>
          <t>Composto lácteo Merilú 400 g</t>
        </is>
      </c>
      <c r="N2147" t="inlineStr">
        <is>
          <t>Todos</t>
        </is>
      </c>
      <c r="O2147" t="n">
        <v>11</v>
      </c>
      <c r="P2147" t="n">
        <v>17</v>
      </c>
      <c r="Q2147" t="n">
        <v>0</v>
      </c>
    </row>
    <row r="2148">
      <c r="J2148" t="inlineStr">
        <is>
          <t>A</t>
        </is>
      </c>
      <c r="K2148" t="n">
        <v>2024</v>
      </c>
      <c r="L2148" t="n">
        <v>8</v>
      </c>
      <c r="M2148" t="inlineStr">
        <is>
          <t>Composto lácteo Merilú 400 g</t>
        </is>
      </c>
      <c r="N2148" t="inlineStr">
        <is>
          <t>Todos</t>
        </is>
      </c>
      <c r="O2148" t="n">
        <v>40</v>
      </c>
      <c r="P2148" t="n">
        <v>115</v>
      </c>
      <c r="Q2148" t="n">
        <v>40</v>
      </c>
    </row>
    <row r="2149">
      <c r="J2149" t="inlineStr">
        <is>
          <t>M</t>
        </is>
      </c>
      <c r="K2149" t="n">
        <v>2024</v>
      </c>
      <c r="L2149" t="n">
        <v>8</v>
      </c>
      <c r="M2149" t="inlineStr">
        <is>
          <t>Composto lácteo Merilú 400 g</t>
        </is>
      </c>
      <c r="N2149" t="inlineStr">
        <is>
          <t>Todos</t>
        </is>
      </c>
      <c r="O2149" t="n">
        <v>5</v>
      </c>
      <c r="P2149" t="n">
        <v>10</v>
      </c>
      <c r="Q2149" t="n">
        <v>0</v>
      </c>
    </row>
    <row r="2150">
      <c r="J2150" t="inlineStr">
        <is>
          <t>A</t>
        </is>
      </c>
      <c r="K2150" t="n">
        <v>2024</v>
      </c>
      <c r="L2150" t="n">
        <v>9</v>
      </c>
      <c r="M2150" t="inlineStr">
        <is>
          <t>Composto lácteo Merilú 400 g</t>
        </is>
      </c>
      <c r="N2150" t="inlineStr">
        <is>
          <t>Todos</t>
        </is>
      </c>
      <c r="O2150" t="n">
        <v>43</v>
      </c>
      <c r="P2150" t="n">
        <v>129</v>
      </c>
      <c r="Q2150" t="n">
        <v>43</v>
      </c>
    </row>
    <row r="2151">
      <c r="J2151" t="inlineStr">
        <is>
          <t>M</t>
        </is>
      </c>
      <c r="K2151" t="n">
        <v>2024</v>
      </c>
      <c r="L2151" t="n">
        <v>9</v>
      </c>
      <c r="M2151" t="inlineStr">
        <is>
          <t>Composto lácteo Merilú 400 g</t>
        </is>
      </c>
      <c r="N2151" t="inlineStr">
        <is>
          <t>Todos</t>
        </is>
      </c>
      <c r="O2151" t="n">
        <v>11</v>
      </c>
      <c r="P2151" t="n">
        <v>14</v>
      </c>
      <c r="Q2151" t="n">
        <v>0</v>
      </c>
    </row>
    <row r="2152">
      <c r="J2152" t="inlineStr">
        <is>
          <t>A</t>
        </is>
      </c>
      <c r="K2152" t="n">
        <v>2024</v>
      </c>
      <c r="L2152" t="n">
        <v>10</v>
      </c>
      <c r="M2152" t="inlineStr">
        <is>
          <t>Composto lácteo Merilú 400 g</t>
        </is>
      </c>
      <c r="N2152" t="inlineStr">
        <is>
          <t>Todos</t>
        </is>
      </c>
      <c r="O2152" t="n">
        <v>43</v>
      </c>
      <c r="P2152" t="n">
        <v>137</v>
      </c>
      <c r="Q2152" t="n">
        <v>43</v>
      </c>
    </row>
    <row r="2153">
      <c r="J2153" t="inlineStr">
        <is>
          <t>M</t>
        </is>
      </c>
      <c r="K2153" t="n">
        <v>2024</v>
      </c>
      <c r="L2153" t="n">
        <v>10</v>
      </c>
      <c r="M2153" t="inlineStr">
        <is>
          <t>Composto lácteo Merilú 400 g</t>
        </is>
      </c>
      <c r="N2153" t="inlineStr">
        <is>
          <t>Todos</t>
        </is>
      </c>
      <c r="O2153" t="n">
        <v>4</v>
      </c>
      <c r="P2153" t="n">
        <v>8</v>
      </c>
      <c r="Q2153" t="n">
        <v>0</v>
      </c>
    </row>
    <row r="2154">
      <c r="J2154" t="inlineStr">
        <is>
          <t>A</t>
        </is>
      </c>
      <c r="K2154" t="n">
        <v>2024</v>
      </c>
      <c r="L2154" t="n">
        <v>11</v>
      </c>
      <c r="M2154" t="inlineStr">
        <is>
          <t>Composto lácteo Merilú 400 g</t>
        </is>
      </c>
      <c r="N2154" t="inlineStr">
        <is>
          <t>Todos</t>
        </is>
      </c>
      <c r="O2154" t="n">
        <v>44</v>
      </c>
      <c r="P2154" t="n">
        <v>145</v>
      </c>
      <c r="Q2154" t="n">
        <v>44</v>
      </c>
    </row>
    <row r="2155">
      <c r="J2155" t="inlineStr">
        <is>
          <t>M</t>
        </is>
      </c>
      <c r="K2155" t="n">
        <v>2024</v>
      </c>
      <c r="L2155" t="n">
        <v>11</v>
      </c>
      <c r="M2155" t="inlineStr">
        <is>
          <t>Composto lácteo Merilú 400 g</t>
        </is>
      </c>
      <c r="N2155" t="inlineStr">
        <is>
          <t>Todos</t>
        </is>
      </c>
      <c r="O2155" t="n">
        <v>6</v>
      </c>
      <c r="P2155" t="n">
        <v>8</v>
      </c>
      <c r="Q2155" t="n">
        <v>0</v>
      </c>
    </row>
    <row r="2156">
      <c r="J2156" t="inlineStr">
        <is>
          <t>A</t>
        </is>
      </c>
      <c r="K2156" t="n">
        <v>2024</v>
      </c>
      <c r="L2156" t="n">
        <v>12</v>
      </c>
      <c r="M2156" t="inlineStr">
        <is>
          <t>Composto lácteo Merilú 400 g</t>
        </is>
      </c>
      <c r="N2156" t="inlineStr">
        <is>
          <t>Todos</t>
        </is>
      </c>
      <c r="O2156" t="n">
        <v>47</v>
      </c>
      <c r="P2156" t="n">
        <v>157</v>
      </c>
      <c r="Q2156" t="n">
        <v>47</v>
      </c>
    </row>
    <row r="2157">
      <c r="J2157" t="inlineStr">
        <is>
          <t>M</t>
        </is>
      </c>
      <c r="K2157" t="n">
        <v>2024</v>
      </c>
      <c r="L2157" t="n">
        <v>12</v>
      </c>
      <c r="M2157" t="inlineStr">
        <is>
          <t>Composto lácteo Merilú 400 g</t>
        </is>
      </c>
      <c r="N2157" t="inlineStr">
        <is>
          <t>Todos</t>
        </is>
      </c>
      <c r="O2157" t="n">
        <v>9</v>
      </c>
      <c r="P2157" t="n">
        <v>12</v>
      </c>
      <c r="Q2157" t="n">
        <v>0</v>
      </c>
    </row>
    <row r="2158">
      <c r="J2158" t="inlineStr">
        <is>
          <t>A</t>
        </is>
      </c>
      <c r="K2158" t="n">
        <v>2024</v>
      </c>
      <c r="L2158" t="n">
        <v>1</v>
      </c>
      <c r="M2158" t="inlineStr">
        <is>
          <t>Composto lácteo Merilú 400 g</t>
        </is>
      </c>
      <c r="N2158" t="inlineStr">
        <is>
          <t>Pizzaria</t>
        </is>
      </c>
      <c r="O2158" t="n">
        <v>2</v>
      </c>
      <c r="P2158" t="n">
        <v>4</v>
      </c>
      <c r="Q2158" t="n">
        <v>2</v>
      </c>
    </row>
    <row r="2159">
      <c r="J2159" t="inlineStr">
        <is>
          <t>M</t>
        </is>
      </c>
      <c r="K2159" t="n">
        <v>2024</v>
      </c>
      <c r="L2159" t="n">
        <v>1</v>
      </c>
      <c r="M2159" t="inlineStr">
        <is>
          <t>Composto lácteo Merilú 400 g</t>
        </is>
      </c>
      <c r="N2159" t="inlineStr">
        <is>
          <t>Pizzaria</t>
        </is>
      </c>
      <c r="O2159" t="n">
        <v>2</v>
      </c>
      <c r="P2159" t="n">
        <v>4</v>
      </c>
      <c r="Q2159" t="n">
        <v>0</v>
      </c>
    </row>
    <row r="2160">
      <c r="J2160" t="inlineStr">
        <is>
          <t>A</t>
        </is>
      </c>
      <c r="K2160" t="n">
        <v>2024</v>
      </c>
      <c r="L2160" t="n">
        <v>2</v>
      </c>
      <c r="M2160" t="inlineStr">
        <is>
          <t>Composto lácteo Merilú 400 g</t>
        </is>
      </c>
      <c r="N2160" t="inlineStr">
        <is>
          <t>Pizzaria</t>
        </is>
      </c>
      <c r="O2160" t="n">
        <v>3</v>
      </c>
      <c r="P2160" t="n">
        <v>6</v>
      </c>
      <c r="Q2160" t="n">
        <v>3</v>
      </c>
    </row>
    <row r="2161">
      <c r="J2161" t="inlineStr">
        <is>
          <t>M</t>
        </is>
      </c>
      <c r="K2161" t="n">
        <v>2024</v>
      </c>
      <c r="L2161" t="n">
        <v>2</v>
      </c>
      <c r="M2161" t="inlineStr">
        <is>
          <t>Composto lácteo Merilú 400 g</t>
        </is>
      </c>
      <c r="N2161" t="inlineStr">
        <is>
          <t>Pizzaria</t>
        </is>
      </c>
      <c r="O2161" t="n">
        <v>2</v>
      </c>
      <c r="P2161" t="n">
        <v>2</v>
      </c>
      <c r="Q2161" t="n">
        <v>0</v>
      </c>
    </row>
    <row r="2162">
      <c r="J2162" t="inlineStr">
        <is>
          <t>A</t>
        </is>
      </c>
      <c r="K2162" t="n">
        <v>2024</v>
      </c>
      <c r="L2162" t="n">
        <v>3</v>
      </c>
      <c r="M2162" t="inlineStr">
        <is>
          <t>Composto lácteo Merilú 400 g</t>
        </is>
      </c>
      <c r="N2162" t="inlineStr">
        <is>
          <t>Pizzaria</t>
        </is>
      </c>
      <c r="O2162" t="n">
        <v>3</v>
      </c>
      <c r="P2162" t="n">
        <v>7</v>
      </c>
      <c r="Q2162" t="n">
        <v>3</v>
      </c>
    </row>
    <row r="2163">
      <c r="J2163" t="inlineStr">
        <is>
          <t>M</t>
        </is>
      </c>
      <c r="K2163" t="n">
        <v>2024</v>
      </c>
      <c r="L2163" t="n">
        <v>3</v>
      </c>
      <c r="M2163" t="inlineStr">
        <is>
          <t>Composto lácteo Merilú 400 g</t>
        </is>
      </c>
      <c r="N2163" t="inlineStr">
        <is>
          <t>Pizzaria</t>
        </is>
      </c>
      <c r="O2163" t="n">
        <v>1</v>
      </c>
      <c r="P2163" t="n">
        <v>1</v>
      </c>
      <c r="Q2163" t="n">
        <v>0</v>
      </c>
    </row>
    <row r="2164">
      <c r="J2164" t="inlineStr">
        <is>
          <t>A</t>
        </is>
      </c>
      <c r="K2164" t="n">
        <v>2024</v>
      </c>
      <c r="L2164" t="n">
        <v>4</v>
      </c>
      <c r="M2164" t="inlineStr">
        <is>
          <t>Composto lácteo Merilú 400 g</t>
        </is>
      </c>
      <c r="N2164" t="inlineStr">
        <is>
          <t>Pizzaria</t>
        </is>
      </c>
      <c r="O2164" t="n">
        <v>3</v>
      </c>
      <c r="P2164" t="n">
        <v>7</v>
      </c>
      <c r="Q2164" t="n">
        <v>3</v>
      </c>
    </row>
    <row r="2165">
      <c r="J2165" t="inlineStr">
        <is>
          <t>A</t>
        </is>
      </c>
      <c r="K2165" t="n">
        <v>2024</v>
      </c>
      <c r="L2165" t="n">
        <v>5</v>
      </c>
      <c r="M2165" t="inlineStr">
        <is>
          <t>Composto lácteo Merilú 400 g</t>
        </is>
      </c>
      <c r="N2165" t="inlineStr">
        <is>
          <t>Pizzaria</t>
        </is>
      </c>
      <c r="O2165" t="n">
        <v>3</v>
      </c>
      <c r="P2165" t="n">
        <v>8</v>
      </c>
      <c r="Q2165" t="n">
        <v>3</v>
      </c>
    </row>
    <row r="2166">
      <c r="J2166" t="inlineStr">
        <is>
          <t>M</t>
        </is>
      </c>
      <c r="K2166" t="n">
        <v>2024</v>
      </c>
      <c r="L2166" t="n">
        <v>5</v>
      </c>
      <c r="M2166" t="inlineStr">
        <is>
          <t>Composto lácteo Merilú 400 g</t>
        </is>
      </c>
      <c r="N2166" t="inlineStr">
        <is>
          <t>Pizzaria</t>
        </is>
      </c>
      <c r="O2166" t="n">
        <v>1</v>
      </c>
      <c r="P2166" t="n">
        <v>1</v>
      </c>
      <c r="Q2166" t="n">
        <v>0</v>
      </c>
    </row>
    <row r="2167">
      <c r="J2167" t="inlineStr">
        <is>
          <t>A</t>
        </is>
      </c>
      <c r="K2167" t="n">
        <v>2024</v>
      </c>
      <c r="L2167" t="n">
        <v>6</v>
      </c>
      <c r="M2167" t="inlineStr">
        <is>
          <t>Composto lácteo Merilú 400 g</t>
        </is>
      </c>
      <c r="N2167" t="inlineStr">
        <is>
          <t>Pizzaria</t>
        </is>
      </c>
      <c r="O2167" t="n">
        <v>3</v>
      </c>
      <c r="P2167" t="n">
        <v>10</v>
      </c>
      <c r="Q2167" t="n">
        <v>3</v>
      </c>
    </row>
    <row r="2168">
      <c r="J2168" t="inlineStr">
        <is>
          <t>M</t>
        </is>
      </c>
      <c r="K2168" t="n">
        <v>2024</v>
      </c>
      <c r="L2168" t="n">
        <v>6</v>
      </c>
      <c r="M2168" t="inlineStr">
        <is>
          <t>Composto lácteo Merilú 400 g</t>
        </is>
      </c>
      <c r="N2168" t="inlineStr">
        <is>
          <t>Pizzaria</t>
        </is>
      </c>
      <c r="O2168" t="n">
        <v>1</v>
      </c>
      <c r="P2168" t="n">
        <v>2</v>
      </c>
      <c r="Q2168" t="n">
        <v>0</v>
      </c>
    </row>
    <row r="2169">
      <c r="J2169" t="inlineStr">
        <is>
          <t>A</t>
        </is>
      </c>
      <c r="K2169" t="n">
        <v>2024</v>
      </c>
      <c r="L2169" t="n">
        <v>7</v>
      </c>
      <c r="M2169" t="inlineStr">
        <is>
          <t>Composto lácteo Merilú 400 g</t>
        </is>
      </c>
      <c r="N2169" t="inlineStr">
        <is>
          <t>Pizzaria</t>
        </is>
      </c>
      <c r="O2169" t="n">
        <v>3</v>
      </c>
      <c r="P2169" t="n">
        <v>11</v>
      </c>
      <c r="Q2169" t="n">
        <v>3</v>
      </c>
    </row>
    <row r="2170">
      <c r="J2170" t="inlineStr">
        <is>
          <t>M</t>
        </is>
      </c>
      <c r="K2170" t="n">
        <v>2024</v>
      </c>
      <c r="L2170" t="n">
        <v>7</v>
      </c>
      <c r="M2170" t="inlineStr">
        <is>
          <t>Composto lácteo Merilú 400 g</t>
        </is>
      </c>
      <c r="N2170" t="inlineStr">
        <is>
          <t>Pizzaria</t>
        </is>
      </c>
      <c r="O2170" t="n">
        <v>1</v>
      </c>
      <c r="P2170" t="n">
        <v>1</v>
      </c>
      <c r="Q2170" t="n">
        <v>0</v>
      </c>
    </row>
    <row r="2171">
      <c r="J2171" t="inlineStr">
        <is>
          <t>A</t>
        </is>
      </c>
      <c r="K2171" t="n">
        <v>2024</v>
      </c>
      <c r="L2171" t="n">
        <v>8</v>
      </c>
      <c r="M2171" t="inlineStr">
        <is>
          <t>Composto lácteo Merilú 400 g</t>
        </is>
      </c>
      <c r="N2171" t="inlineStr">
        <is>
          <t>Pizzaria</t>
        </is>
      </c>
      <c r="O2171" t="n">
        <v>3</v>
      </c>
      <c r="P2171" t="n">
        <v>11</v>
      </c>
      <c r="Q2171" t="n">
        <v>3</v>
      </c>
    </row>
    <row r="2172">
      <c r="J2172" t="inlineStr">
        <is>
          <t>A</t>
        </is>
      </c>
      <c r="K2172" t="n">
        <v>2024</v>
      </c>
      <c r="L2172" t="n">
        <v>9</v>
      </c>
      <c r="M2172" t="inlineStr">
        <is>
          <t>Composto lácteo Merilú 400 g</t>
        </is>
      </c>
      <c r="N2172" t="inlineStr">
        <is>
          <t>Pizzaria</t>
        </is>
      </c>
      <c r="O2172" t="n">
        <v>3</v>
      </c>
      <c r="P2172" t="n">
        <v>13</v>
      </c>
      <c r="Q2172" t="n">
        <v>3</v>
      </c>
    </row>
    <row r="2173">
      <c r="J2173" t="inlineStr">
        <is>
          <t>M</t>
        </is>
      </c>
      <c r="K2173" t="n">
        <v>2024</v>
      </c>
      <c r="L2173" t="n">
        <v>9</v>
      </c>
      <c r="M2173" t="inlineStr">
        <is>
          <t>Composto lácteo Merilú 400 g</t>
        </is>
      </c>
      <c r="N2173" t="inlineStr">
        <is>
          <t>Pizzaria</t>
        </is>
      </c>
      <c r="O2173" t="n">
        <v>2</v>
      </c>
      <c r="P2173" t="n">
        <v>2</v>
      </c>
      <c r="Q2173" t="n">
        <v>0</v>
      </c>
    </row>
    <row r="2174">
      <c r="J2174" t="inlineStr">
        <is>
          <t>A</t>
        </is>
      </c>
      <c r="K2174" t="n">
        <v>2024</v>
      </c>
      <c r="L2174" t="n">
        <v>10</v>
      </c>
      <c r="M2174" t="inlineStr">
        <is>
          <t>Composto lácteo Merilú 400 g</t>
        </is>
      </c>
      <c r="N2174" t="inlineStr">
        <is>
          <t>Pizzaria</t>
        </is>
      </c>
      <c r="O2174" t="n">
        <v>3</v>
      </c>
      <c r="P2174" t="n">
        <v>13</v>
      </c>
      <c r="Q2174" t="n">
        <v>3</v>
      </c>
    </row>
    <row r="2175">
      <c r="J2175" t="inlineStr">
        <is>
          <t>A</t>
        </is>
      </c>
      <c r="K2175" t="n">
        <v>2024</v>
      </c>
      <c r="L2175" t="n">
        <v>11</v>
      </c>
      <c r="M2175" t="inlineStr">
        <is>
          <t>Composto lácteo Merilú 400 g</t>
        </is>
      </c>
      <c r="N2175" t="inlineStr">
        <is>
          <t>Pizzaria</t>
        </is>
      </c>
      <c r="O2175" t="n">
        <v>3</v>
      </c>
      <c r="P2175" t="n">
        <v>13</v>
      </c>
      <c r="Q2175" t="n">
        <v>3</v>
      </c>
    </row>
    <row r="2176">
      <c r="J2176" t="inlineStr">
        <is>
          <t>A</t>
        </is>
      </c>
      <c r="K2176" t="n">
        <v>2024</v>
      </c>
      <c r="L2176" t="n">
        <v>12</v>
      </c>
      <c r="M2176" t="inlineStr">
        <is>
          <t>Composto lácteo Merilú 400 g</t>
        </is>
      </c>
      <c r="N2176" t="inlineStr">
        <is>
          <t>Pizzaria</t>
        </is>
      </c>
      <c r="O2176" t="n">
        <v>3</v>
      </c>
      <c r="P2176" t="n">
        <v>13</v>
      </c>
      <c r="Q2176" t="n">
        <v>3</v>
      </c>
    </row>
    <row r="2177">
      <c r="J2177" t="inlineStr">
        <is>
          <t>A</t>
        </is>
      </c>
      <c r="K2177" t="n">
        <v>2024</v>
      </c>
      <c r="L2177" t="n">
        <v>1</v>
      </c>
      <c r="M2177" t="inlineStr">
        <is>
          <t>Composto lácteo Merilú 400 g</t>
        </is>
      </c>
      <c r="N2177" t="inlineStr">
        <is>
          <t>Restaurante / Cantina</t>
        </is>
      </c>
      <c r="O2177" t="n">
        <v>2</v>
      </c>
      <c r="P2177" t="n">
        <v>3</v>
      </c>
      <c r="Q2177" t="n">
        <v>2</v>
      </c>
    </row>
    <row r="2178">
      <c r="J2178" t="inlineStr">
        <is>
          <t>M</t>
        </is>
      </c>
      <c r="K2178" t="n">
        <v>2024</v>
      </c>
      <c r="L2178" t="n">
        <v>1</v>
      </c>
      <c r="M2178" t="inlineStr">
        <is>
          <t>Composto lácteo Merilú 400 g</t>
        </is>
      </c>
      <c r="N2178" t="inlineStr">
        <is>
          <t>Restaurante / Cantina</t>
        </is>
      </c>
      <c r="O2178" t="n">
        <v>2</v>
      </c>
      <c r="P2178" t="n">
        <v>3</v>
      </c>
      <c r="Q2178" t="n">
        <v>0</v>
      </c>
    </row>
    <row r="2179">
      <c r="J2179" t="inlineStr">
        <is>
          <t>A</t>
        </is>
      </c>
      <c r="K2179" t="n">
        <v>2024</v>
      </c>
      <c r="L2179" t="n">
        <v>2</v>
      </c>
      <c r="M2179" t="inlineStr">
        <is>
          <t>Composto lácteo Merilú 400 g</t>
        </is>
      </c>
      <c r="N2179" t="inlineStr">
        <is>
          <t>Restaurante / Cantina</t>
        </is>
      </c>
      <c r="O2179" t="n">
        <v>2</v>
      </c>
      <c r="P2179" t="n">
        <v>4</v>
      </c>
      <c r="Q2179" t="n">
        <v>2</v>
      </c>
    </row>
    <row r="2180">
      <c r="J2180" t="inlineStr">
        <is>
          <t>M</t>
        </is>
      </c>
      <c r="K2180" t="n">
        <v>2024</v>
      </c>
      <c r="L2180" t="n">
        <v>2</v>
      </c>
      <c r="M2180" t="inlineStr">
        <is>
          <t>Composto lácteo Merilú 400 g</t>
        </is>
      </c>
      <c r="N2180" t="inlineStr">
        <is>
          <t>Restaurante / Cantina</t>
        </is>
      </c>
      <c r="O2180" t="n">
        <v>1</v>
      </c>
      <c r="P2180" t="n">
        <v>1</v>
      </c>
      <c r="Q2180" t="n">
        <v>0</v>
      </c>
    </row>
    <row r="2181">
      <c r="J2181" t="inlineStr">
        <is>
          <t>A</t>
        </is>
      </c>
      <c r="K2181" t="n">
        <v>2024</v>
      </c>
      <c r="L2181" t="n">
        <v>3</v>
      </c>
      <c r="M2181" t="inlineStr">
        <is>
          <t>Composto lácteo Merilú 400 g</t>
        </is>
      </c>
      <c r="N2181" t="inlineStr">
        <is>
          <t>Restaurante / Cantina</t>
        </is>
      </c>
      <c r="O2181" t="n">
        <v>4</v>
      </c>
      <c r="P2181" t="n">
        <v>7</v>
      </c>
      <c r="Q2181" t="n">
        <v>4</v>
      </c>
    </row>
    <row r="2182">
      <c r="J2182" t="inlineStr">
        <is>
          <t>M</t>
        </is>
      </c>
      <c r="K2182" t="n">
        <v>2024</v>
      </c>
      <c r="L2182" t="n">
        <v>3</v>
      </c>
      <c r="M2182" t="inlineStr">
        <is>
          <t>Composto lácteo Merilú 400 g</t>
        </is>
      </c>
      <c r="N2182" t="inlineStr">
        <is>
          <t>Restaurante / Cantina</t>
        </is>
      </c>
      <c r="O2182" t="n">
        <v>3</v>
      </c>
      <c r="P2182" t="n">
        <v>3</v>
      </c>
      <c r="Q2182" t="n">
        <v>0</v>
      </c>
    </row>
    <row r="2183">
      <c r="J2183" t="inlineStr">
        <is>
          <t>A</t>
        </is>
      </c>
      <c r="K2183" t="n">
        <v>2024</v>
      </c>
      <c r="L2183" t="n">
        <v>4</v>
      </c>
      <c r="M2183" t="inlineStr">
        <is>
          <t>Composto lácteo Merilú 400 g</t>
        </is>
      </c>
      <c r="N2183" t="inlineStr">
        <is>
          <t>Restaurante / Cantina</t>
        </is>
      </c>
      <c r="O2183" t="n">
        <v>4</v>
      </c>
      <c r="P2183" t="n">
        <v>9</v>
      </c>
      <c r="Q2183" t="n">
        <v>4</v>
      </c>
    </row>
    <row r="2184">
      <c r="J2184" t="inlineStr">
        <is>
          <t>M</t>
        </is>
      </c>
      <c r="K2184" t="n">
        <v>2024</v>
      </c>
      <c r="L2184" t="n">
        <v>4</v>
      </c>
      <c r="M2184" t="inlineStr">
        <is>
          <t>Composto lácteo Merilú 400 g</t>
        </is>
      </c>
      <c r="N2184" t="inlineStr">
        <is>
          <t>Restaurante / Cantina</t>
        </is>
      </c>
      <c r="O2184" t="n">
        <v>2</v>
      </c>
      <c r="P2184" t="n">
        <v>2</v>
      </c>
      <c r="Q2184" t="n">
        <v>0</v>
      </c>
    </row>
    <row r="2185">
      <c r="J2185" t="inlineStr">
        <is>
          <t>A</t>
        </is>
      </c>
      <c r="K2185" t="n">
        <v>2024</v>
      </c>
      <c r="L2185" t="n">
        <v>5</v>
      </c>
      <c r="M2185" t="inlineStr">
        <is>
          <t>Composto lácteo Merilú 400 g</t>
        </is>
      </c>
      <c r="N2185" t="inlineStr">
        <is>
          <t>Restaurante / Cantina</t>
        </is>
      </c>
      <c r="O2185" t="n">
        <v>6</v>
      </c>
      <c r="P2185" t="n">
        <v>12</v>
      </c>
      <c r="Q2185" t="n">
        <v>6</v>
      </c>
    </row>
    <row r="2186">
      <c r="J2186" t="inlineStr">
        <is>
          <t>M</t>
        </is>
      </c>
      <c r="K2186" t="n">
        <v>2024</v>
      </c>
      <c r="L2186" t="n">
        <v>5</v>
      </c>
      <c r="M2186" t="inlineStr">
        <is>
          <t>Composto lácteo Merilú 400 g</t>
        </is>
      </c>
      <c r="N2186" t="inlineStr">
        <is>
          <t>Restaurante / Cantina</t>
        </is>
      </c>
      <c r="O2186" t="n">
        <v>3</v>
      </c>
      <c r="P2186" t="n">
        <v>3</v>
      </c>
      <c r="Q2186" t="n">
        <v>0</v>
      </c>
    </row>
    <row r="2187">
      <c r="J2187" t="inlineStr">
        <is>
          <t>A</t>
        </is>
      </c>
      <c r="K2187" t="n">
        <v>2024</v>
      </c>
      <c r="L2187" t="n">
        <v>6</v>
      </c>
      <c r="M2187" t="inlineStr">
        <is>
          <t>Composto lácteo Merilú 400 g</t>
        </is>
      </c>
      <c r="N2187" t="inlineStr">
        <is>
          <t>Restaurante / Cantina</t>
        </is>
      </c>
      <c r="O2187" t="n">
        <v>6</v>
      </c>
      <c r="P2187" t="n">
        <v>13</v>
      </c>
      <c r="Q2187" t="n">
        <v>6</v>
      </c>
    </row>
    <row r="2188">
      <c r="J2188" t="inlineStr">
        <is>
          <t>M</t>
        </is>
      </c>
      <c r="K2188" t="n">
        <v>2024</v>
      </c>
      <c r="L2188" t="n">
        <v>6</v>
      </c>
      <c r="M2188" t="inlineStr">
        <is>
          <t>Composto lácteo Merilú 400 g</t>
        </is>
      </c>
      <c r="N2188" t="inlineStr">
        <is>
          <t>Restaurante / Cantina</t>
        </is>
      </c>
      <c r="O2188" t="n">
        <v>1</v>
      </c>
      <c r="P2188" t="n">
        <v>1</v>
      </c>
      <c r="Q2188" t="n">
        <v>0</v>
      </c>
    </row>
    <row r="2189">
      <c r="J2189" t="inlineStr">
        <is>
          <t>A</t>
        </is>
      </c>
      <c r="K2189" t="n">
        <v>2024</v>
      </c>
      <c r="L2189" t="n">
        <v>7</v>
      </c>
      <c r="M2189" t="inlineStr">
        <is>
          <t>Composto lácteo Merilú 400 g</t>
        </is>
      </c>
      <c r="N2189" t="inlineStr">
        <is>
          <t>Restaurante / Cantina</t>
        </is>
      </c>
      <c r="O2189" t="n">
        <v>6</v>
      </c>
      <c r="P2189" t="n">
        <v>15</v>
      </c>
      <c r="Q2189" t="n">
        <v>6</v>
      </c>
    </row>
    <row r="2190">
      <c r="J2190" t="inlineStr">
        <is>
          <t>M</t>
        </is>
      </c>
      <c r="K2190" t="n">
        <v>2024</v>
      </c>
      <c r="L2190" t="n">
        <v>7</v>
      </c>
      <c r="M2190" t="inlineStr">
        <is>
          <t>Composto lácteo Merilú 400 g</t>
        </is>
      </c>
      <c r="N2190" t="inlineStr">
        <is>
          <t>Restaurante / Cantina</t>
        </is>
      </c>
      <c r="O2190" t="n">
        <v>1</v>
      </c>
      <c r="P2190" t="n">
        <v>2</v>
      </c>
      <c r="Q2190" t="n">
        <v>0</v>
      </c>
    </row>
    <row r="2191">
      <c r="J2191" t="inlineStr">
        <is>
          <t>A</t>
        </is>
      </c>
      <c r="K2191" t="n">
        <v>2024</v>
      </c>
      <c r="L2191" t="n">
        <v>8</v>
      </c>
      <c r="M2191" t="inlineStr">
        <is>
          <t>Composto lácteo Merilú 400 g</t>
        </is>
      </c>
      <c r="N2191" t="inlineStr">
        <is>
          <t>Restaurante / Cantina</t>
        </is>
      </c>
      <c r="O2191" t="n">
        <v>6</v>
      </c>
      <c r="P2191" t="n">
        <v>17</v>
      </c>
      <c r="Q2191" t="n">
        <v>6</v>
      </c>
    </row>
    <row r="2192">
      <c r="J2192" t="inlineStr">
        <is>
          <t>M</t>
        </is>
      </c>
      <c r="K2192" t="n">
        <v>2024</v>
      </c>
      <c r="L2192" t="n">
        <v>8</v>
      </c>
      <c r="M2192" t="inlineStr">
        <is>
          <t>Composto lácteo Merilú 400 g</t>
        </is>
      </c>
      <c r="N2192" t="inlineStr">
        <is>
          <t>Restaurante / Cantina</t>
        </is>
      </c>
      <c r="O2192" t="n">
        <v>1</v>
      </c>
      <c r="P2192" t="n">
        <v>2</v>
      </c>
      <c r="Q2192" t="n">
        <v>0</v>
      </c>
    </row>
    <row r="2193">
      <c r="J2193" t="inlineStr">
        <is>
          <t>A</t>
        </is>
      </c>
      <c r="K2193" t="n">
        <v>2024</v>
      </c>
      <c r="L2193" t="n">
        <v>9</v>
      </c>
      <c r="M2193" t="inlineStr">
        <is>
          <t>Composto lácteo Merilú 400 g</t>
        </is>
      </c>
      <c r="N2193" t="inlineStr">
        <is>
          <t>Restaurante / Cantina</t>
        </is>
      </c>
      <c r="O2193" t="n">
        <v>6</v>
      </c>
      <c r="P2193" t="n">
        <v>18</v>
      </c>
      <c r="Q2193" t="n">
        <v>6</v>
      </c>
    </row>
    <row r="2194">
      <c r="J2194" t="inlineStr">
        <is>
          <t>M</t>
        </is>
      </c>
      <c r="K2194" t="n">
        <v>2024</v>
      </c>
      <c r="L2194" t="n">
        <v>9</v>
      </c>
      <c r="M2194" t="inlineStr">
        <is>
          <t>Composto lácteo Merilú 400 g</t>
        </is>
      </c>
      <c r="N2194" t="inlineStr">
        <is>
          <t>Restaurante / Cantina</t>
        </is>
      </c>
      <c r="O2194" t="n">
        <v>1</v>
      </c>
      <c r="P2194" t="n">
        <v>1</v>
      </c>
      <c r="Q2194" t="n">
        <v>0</v>
      </c>
    </row>
    <row r="2195">
      <c r="J2195" t="inlineStr">
        <is>
          <t>A</t>
        </is>
      </c>
      <c r="K2195" t="n">
        <v>2024</v>
      </c>
      <c r="L2195" t="n">
        <v>10</v>
      </c>
      <c r="M2195" t="inlineStr">
        <is>
          <t>Composto lácteo Merilú 400 g</t>
        </is>
      </c>
      <c r="N2195" t="inlineStr">
        <is>
          <t>Restaurante / Cantina</t>
        </is>
      </c>
      <c r="O2195" t="n">
        <v>6</v>
      </c>
      <c r="P2195" t="n">
        <v>19</v>
      </c>
      <c r="Q2195" t="n">
        <v>6</v>
      </c>
    </row>
    <row r="2196">
      <c r="J2196" t="inlineStr">
        <is>
          <t>M</t>
        </is>
      </c>
      <c r="K2196" t="n">
        <v>2024</v>
      </c>
      <c r="L2196" t="n">
        <v>10</v>
      </c>
      <c r="M2196" t="inlineStr">
        <is>
          <t>Composto lácteo Merilú 400 g</t>
        </is>
      </c>
      <c r="N2196" t="inlineStr">
        <is>
          <t>Restaurante / Cantina</t>
        </is>
      </c>
      <c r="O2196" t="n">
        <v>1</v>
      </c>
      <c r="P2196" t="n">
        <v>1</v>
      </c>
      <c r="Q2196" t="n">
        <v>0</v>
      </c>
    </row>
    <row r="2197">
      <c r="J2197" t="inlineStr">
        <is>
          <t>A</t>
        </is>
      </c>
      <c r="K2197" t="n">
        <v>2024</v>
      </c>
      <c r="L2197" t="n">
        <v>11</v>
      </c>
      <c r="M2197" t="inlineStr">
        <is>
          <t>Composto lácteo Merilú 400 g</t>
        </is>
      </c>
      <c r="N2197" t="inlineStr">
        <is>
          <t>Restaurante / Cantina</t>
        </is>
      </c>
      <c r="O2197" t="n">
        <v>7</v>
      </c>
      <c r="P2197" t="n">
        <v>21</v>
      </c>
      <c r="Q2197" t="n">
        <v>7</v>
      </c>
    </row>
    <row r="2198">
      <c r="J2198" t="inlineStr">
        <is>
          <t>M</t>
        </is>
      </c>
      <c r="K2198" t="n">
        <v>2024</v>
      </c>
      <c r="L2198" t="n">
        <v>11</v>
      </c>
      <c r="M2198" t="inlineStr">
        <is>
          <t>Composto lácteo Merilú 400 g</t>
        </is>
      </c>
      <c r="N2198" t="inlineStr">
        <is>
          <t>Restaurante / Cantina</t>
        </is>
      </c>
      <c r="O2198" t="n">
        <v>2</v>
      </c>
      <c r="P2198" t="n">
        <v>2</v>
      </c>
      <c r="Q2198" t="n">
        <v>0</v>
      </c>
    </row>
    <row r="2199">
      <c r="J2199" t="inlineStr">
        <is>
          <t>A</t>
        </is>
      </c>
      <c r="K2199" t="n">
        <v>2024</v>
      </c>
      <c r="L2199" t="n">
        <v>12</v>
      </c>
      <c r="M2199" t="inlineStr">
        <is>
          <t>Composto lácteo Merilú 400 g</t>
        </is>
      </c>
      <c r="N2199" t="inlineStr">
        <is>
          <t>Restaurante / Cantina</t>
        </is>
      </c>
      <c r="O2199" t="n">
        <v>7</v>
      </c>
      <c r="P2199" t="n">
        <v>21</v>
      </c>
      <c r="Q2199" t="n">
        <v>7</v>
      </c>
    </row>
    <row r="2200">
      <c r="J2200" t="inlineStr">
        <is>
          <t>A</t>
        </is>
      </c>
      <c r="K2200" t="n">
        <v>2024</v>
      </c>
      <c r="L2200" t="n">
        <v>1</v>
      </c>
      <c r="M2200" t="inlineStr">
        <is>
          <t>Composto lácteo Merilú 400 g</t>
        </is>
      </c>
      <c r="N2200" t="inlineStr">
        <is>
          <t>Cozinha Industrial</t>
        </is>
      </c>
      <c r="O2200" t="n">
        <v>2</v>
      </c>
      <c r="P2200" t="n">
        <v>3</v>
      </c>
      <c r="Q2200" t="n">
        <v>2</v>
      </c>
    </row>
    <row r="2201">
      <c r="J2201" t="inlineStr">
        <is>
          <t>M</t>
        </is>
      </c>
      <c r="K2201" t="n">
        <v>2024</v>
      </c>
      <c r="L2201" t="n">
        <v>1</v>
      </c>
      <c r="M2201" t="inlineStr">
        <is>
          <t>Composto lácteo Merilú 400 g</t>
        </is>
      </c>
      <c r="N2201" t="inlineStr">
        <is>
          <t>Cozinha Industrial</t>
        </is>
      </c>
      <c r="O2201" t="n">
        <v>2</v>
      </c>
      <c r="P2201" t="n">
        <v>3</v>
      </c>
      <c r="Q2201" t="n">
        <v>0</v>
      </c>
    </row>
    <row r="2202">
      <c r="J2202" t="inlineStr">
        <is>
          <t>A</t>
        </is>
      </c>
      <c r="K2202" t="n">
        <v>2024</v>
      </c>
      <c r="L2202" t="n">
        <v>2</v>
      </c>
      <c r="M2202" t="inlineStr">
        <is>
          <t>Composto lácteo Merilú 400 g</t>
        </is>
      </c>
      <c r="N2202" t="inlineStr">
        <is>
          <t>Cozinha Industrial</t>
        </is>
      </c>
      <c r="O2202" t="n">
        <v>2</v>
      </c>
      <c r="P2202" t="n">
        <v>3</v>
      </c>
      <c r="Q2202" t="n">
        <v>2</v>
      </c>
    </row>
    <row r="2203">
      <c r="J2203" t="inlineStr">
        <is>
          <t>A</t>
        </is>
      </c>
      <c r="K2203" t="n">
        <v>2024</v>
      </c>
      <c r="L2203" t="n">
        <v>3</v>
      </c>
      <c r="M2203" t="inlineStr">
        <is>
          <t>Composto lácteo Merilú 400 g</t>
        </is>
      </c>
      <c r="N2203" t="inlineStr">
        <is>
          <t>Cozinha Industrial</t>
        </is>
      </c>
      <c r="O2203" t="n">
        <v>2</v>
      </c>
      <c r="P2203" t="n">
        <v>3</v>
      </c>
      <c r="Q2203" t="n">
        <v>2</v>
      </c>
    </row>
    <row r="2204">
      <c r="J2204" t="inlineStr">
        <is>
          <t>A</t>
        </is>
      </c>
      <c r="K2204" t="n">
        <v>2024</v>
      </c>
      <c r="L2204" t="n">
        <v>4</v>
      </c>
      <c r="M2204" t="inlineStr">
        <is>
          <t>Composto lácteo Merilú 400 g</t>
        </is>
      </c>
      <c r="N2204" t="inlineStr">
        <is>
          <t>Cozinha Industrial</t>
        </is>
      </c>
      <c r="O2204" t="n">
        <v>2</v>
      </c>
      <c r="P2204" t="n">
        <v>3</v>
      </c>
      <c r="Q2204" t="n">
        <v>2</v>
      </c>
    </row>
    <row r="2205">
      <c r="J2205" t="inlineStr">
        <is>
          <t>A</t>
        </is>
      </c>
      <c r="K2205" t="n">
        <v>2024</v>
      </c>
      <c r="L2205" t="n">
        <v>5</v>
      </c>
      <c r="M2205" t="inlineStr">
        <is>
          <t>Composto lácteo Merilú 400 g</t>
        </is>
      </c>
      <c r="N2205" t="inlineStr">
        <is>
          <t>Cozinha Industrial</t>
        </is>
      </c>
      <c r="O2205" t="n">
        <v>2</v>
      </c>
      <c r="P2205" t="n">
        <v>3</v>
      </c>
      <c r="Q2205" t="n">
        <v>2</v>
      </c>
    </row>
    <row r="2206">
      <c r="J2206" t="inlineStr">
        <is>
          <t>A</t>
        </is>
      </c>
      <c r="K2206" t="n">
        <v>2024</v>
      </c>
      <c r="L2206" t="n">
        <v>6</v>
      </c>
      <c r="M2206" t="inlineStr">
        <is>
          <t>Composto lácteo Merilú 400 g</t>
        </is>
      </c>
      <c r="N2206" t="inlineStr">
        <is>
          <t>Cozinha Industrial</t>
        </is>
      </c>
      <c r="O2206" t="n">
        <v>2</v>
      </c>
      <c r="P2206" t="n">
        <v>3</v>
      </c>
      <c r="Q2206" t="n">
        <v>2</v>
      </c>
    </row>
    <row r="2207">
      <c r="J2207" t="inlineStr">
        <is>
          <t>A</t>
        </is>
      </c>
      <c r="K2207" t="n">
        <v>2024</v>
      </c>
      <c r="L2207" t="n">
        <v>7</v>
      </c>
      <c r="M2207" t="inlineStr">
        <is>
          <t>Composto lácteo Merilú 400 g</t>
        </is>
      </c>
      <c r="N2207" t="inlineStr">
        <is>
          <t>Cozinha Industrial</t>
        </is>
      </c>
      <c r="O2207" t="n">
        <v>2</v>
      </c>
      <c r="P2207" t="n">
        <v>3</v>
      </c>
      <c r="Q2207" t="n">
        <v>2</v>
      </c>
    </row>
    <row r="2208">
      <c r="J2208" t="inlineStr">
        <is>
          <t>A</t>
        </is>
      </c>
      <c r="K2208" t="n">
        <v>2024</v>
      </c>
      <c r="L2208" t="n">
        <v>8</v>
      </c>
      <c r="M2208" t="inlineStr">
        <is>
          <t>Composto lácteo Merilú 400 g</t>
        </is>
      </c>
      <c r="N2208" t="inlineStr">
        <is>
          <t>Cozinha Industrial</t>
        </is>
      </c>
      <c r="O2208" t="n">
        <v>2</v>
      </c>
      <c r="P2208" t="n">
        <v>3</v>
      </c>
      <c r="Q2208" t="n">
        <v>2</v>
      </c>
    </row>
    <row r="2209">
      <c r="J2209" t="inlineStr">
        <is>
          <t>A</t>
        </is>
      </c>
      <c r="K2209" t="n">
        <v>2024</v>
      </c>
      <c r="L2209" t="n">
        <v>9</v>
      </c>
      <c r="M2209" t="inlineStr">
        <is>
          <t>Composto lácteo Merilú 400 g</t>
        </is>
      </c>
      <c r="N2209" t="inlineStr">
        <is>
          <t>Cozinha Industrial</t>
        </is>
      </c>
      <c r="O2209" t="n">
        <v>2</v>
      </c>
      <c r="P2209" t="n">
        <v>3</v>
      </c>
      <c r="Q2209" t="n">
        <v>2</v>
      </c>
    </row>
    <row r="2210">
      <c r="J2210" t="inlineStr">
        <is>
          <t>A</t>
        </is>
      </c>
      <c r="K2210" t="n">
        <v>2024</v>
      </c>
      <c r="L2210" t="n">
        <v>10</v>
      </c>
      <c r="M2210" t="inlineStr">
        <is>
          <t>Composto lácteo Merilú 400 g</t>
        </is>
      </c>
      <c r="N2210" t="inlineStr">
        <is>
          <t>Cozinha Industrial</t>
        </is>
      </c>
      <c r="O2210" t="n">
        <v>2</v>
      </c>
      <c r="P2210" t="n">
        <v>3</v>
      </c>
      <c r="Q2210" t="n">
        <v>2</v>
      </c>
    </row>
    <row r="2211">
      <c r="J2211" t="inlineStr">
        <is>
          <t>A</t>
        </is>
      </c>
      <c r="K2211" t="n">
        <v>2024</v>
      </c>
      <c r="L2211" t="n">
        <v>11</v>
      </c>
      <c r="M2211" t="inlineStr">
        <is>
          <t>Composto lácteo Merilú 400 g</t>
        </is>
      </c>
      <c r="N2211" t="inlineStr">
        <is>
          <t>Cozinha Industrial</t>
        </is>
      </c>
      <c r="O2211" t="n">
        <v>2</v>
      </c>
      <c r="P2211" t="n">
        <v>3</v>
      </c>
      <c r="Q2211" t="n">
        <v>2</v>
      </c>
    </row>
    <row r="2212">
      <c r="J2212" t="inlineStr">
        <is>
          <t>A</t>
        </is>
      </c>
      <c r="K2212" t="n">
        <v>2024</v>
      </c>
      <c r="L2212" t="n">
        <v>12</v>
      </c>
      <c r="M2212" t="inlineStr">
        <is>
          <t>Composto lácteo Merilú 400 g</t>
        </is>
      </c>
      <c r="N2212" t="inlineStr">
        <is>
          <t>Cozinha Industrial</t>
        </is>
      </c>
      <c r="O2212" t="n">
        <v>2</v>
      </c>
      <c r="P2212" t="n">
        <v>3</v>
      </c>
      <c r="Q2212" t="n">
        <v>2</v>
      </c>
    </row>
    <row r="2213">
      <c r="J2213" t="inlineStr">
        <is>
          <t>A</t>
        </is>
      </c>
      <c r="K2213" t="n">
        <v>2024</v>
      </c>
      <c r="L2213" t="n">
        <v>1</v>
      </c>
      <c r="M2213" t="inlineStr">
        <is>
          <t>Composto lácteo Merilú 400 g</t>
        </is>
      </c>
      <c r="N2213" t="inlineStr">
        <is>
          <t>Outros</t>
        </is>
      </c>
      <c r="O2213" t="n">
        <v>1</v>
      </c>
      <c r="P2213" t="n">
        <v>2</v>
      </c>
      <c r="Q2213" t="n">
        <v>1</v>
      </c>
    </row>
    <row r="2214">
      <c r="J2214" t="inlineStr">
        <is>
          <t>M</t>
        </is>
      </c>
      <c r="K2214" t="n">
        <v>2024</v>
      </c>
      <c r="L2214" t="n">
        <v>1</v>
      </c>
      <c r="M2214" t="inlineStr">
        <is>
          <t>Composto lácteo Merilú 400 g</t>
        </is>
      </c>
      <c r="N2214" t="inlineStr">
        <is>
          <t>Outros</t>
        </is>
      </c>
      <c r="O2214" t="n">
        <v>1</v>
      </c>
      <c r="P2214" t="n">
        <v>2</v>
      </c>
      <c r="Q2214" t="n">
        <v>0</v>
      </c>
    </row>
    <row r="2215">
      <c r="J2215" t="inlineStr">
        <is>
          <t>A</t>
        </is>
      </c>
      <c r="K2215" t="n">
        <v>2024</v>
      </c>
      <c r="L2215" t="n">
        <v>2</v>
      </c>
      <c r="M2215" t="inlineStr">
        <is>
          <t>Composto lácteo Merilú 400 g</t>
        </is>
      </c>
      <c r="N2215" t="inlineStr">
        <is>
          <t>Outros</t>
        </is>
      </c>
      <c r="O2215" t="n">
        <v>2</v>
      </c>
      <c r="P2215" t="n">
        <v>5</v>
      </c>
      <c r="Q2215" t="n">
        <v>2</v>
      </c>
    </row>
    <row r="2216">
      <c r="J2216" t="inlineStr">
        <is>
          <t>M</t>
        </is>
      </c>
      <c r="K2216" t="n">
        <v>2024</v>
      </c>
      <c r="L2216" t="n">
        <v>2</v>
      </c>
      <c r="M2216" t="inlineStr">
        <is>
          <t>Composto lácteo Merilú 400 g</t>
        </is>
      </c>
      <c r="N2216" t="inlineStr">
        <is>
          <t>Outros</t>
        </is>
      </c>
      <c r="O2216" t="n">
        <v>2</v>
      </c>
      <c r="P2216" t="n">
        <v>3</v>
      </c>
      <c r="Q2216" t="n">
        <v>0</v>
      </c>
    </row>
    <row r="2217">
      <c r="J2217" t="inlineStr">
        <is>
          <t>A</t>
        </is>
      </c>
      <c r="K2217" t="n">
        <v>2024</v>
      </c>
      <c r="L2217" t="n">
        <v>3</v>
      </c>
      <c r="M2217" t="inlineStr">
        <is>
          <t>Composto lácteo Merilú 400 g</t>
        </is>
      </c>
      <c r="N2217" t="inlineStr">
        <is>
          <t>Outros</t>
        </is>
      </c>
      <c r="O2217" t="n">
        <v>3</v>
      </c>
      <c r="P2217" t="n">
        <v>8</v>
      </c>
      <c r="Q2217" t="n">
        <v>3</v>
      </c>
    </row>
    <row r="2218">
      <c r="J2218" t="inlineStr">
        <is>
          <t>M</t>
        </is>
      </c>
      <c r="K2218" t="n">
        <v>2024</v>
      </c>
      <c r="L2218" t="n">
        <v>3</v>
      </c>
      <c r="M2218" t="inlineStr">
        <is>
          <t>Composto lácteo Merilú 400 g</t>
        </is>
      </c>
      <c r="N2218" t="inlineStr">
        <is>
          <t>Outros</t>
        </is>
      </c>
      <c r="O2218" t="n">
        <v>2</v>
      </c>
      <c r="P2218" t="n">
        <v>3</v>
      </c>
      <c r="Q2218" t="n">
        <v>0</v>
      </c>
    </row>
    <row r="2219">
      <c r="J2219" t="inlineStr">
        <is>
          <t>A</t>
        </is>
      </c>
      <c r="K2219" t="n">
        <v>2024</v>
      </c>
      <c r="L2219" t="n">
        <v>4</v>
      </c>
      <c r="M2219" t="inlineStr">
        <is>
          <t>Composto lácteo Merilú 400 g</t>
        </is>
      </c>
      <c r="N2219" t="inlineStr">
        <is>
          <t>Outros</t>
        </is>
      </c>
      <c r="O2219" t="n">
        <v>3</v>
      </c>
      <c r="P2219" t="n">
        <v>10</v>
      </c>
      <c r="Q2219" t="n">
        <v>3</v>
      </c>
    </row>
    <row r="2220">
      <c r="J2220" t="inlineStr">
        <is>
          <t>M</t>
        </is>
      </c>
      <c r="K2220" t="n">
        <v>2024</v>
      </c>
      <c r="L2220" t="n">
        <v>4</v>
      </c>
      <c r="M2220" t="inlineStr">
        <is>
          <t>Composto lácteo Merilú 400 g</t>
        </is>
      </c>
      <c r="N2220" t="inlineStr">
        <is>
          <t>Outros</t>
        </is>
      </c>
      <c r="O2220" t="n">
        <v>1</v>
      </c>
      <c r="P2220" t="n">
        <v>2</v>
      </c>
      <c r="Q2220" t="n">
        <v>0</v>
      </c>
    </row>
    <row r="2221">
      <c r="J2221" t="inlineStr">
        <is>
          <t>A</t>
        </is>
      </c>
      <c r="K2221" t="n">
        <v>2024</v>
      </c>
      <c r="L2221" t="n">
        <v>5</v>
      </c>
      <c r="M2221" t="inlineStr">
        <is>
          <t>Composto lácteo Merilú 400 g</t>
        </is>
      </c>
      <c r="N2221" t="inlineStr">
        <is>
          <t>Outros</t>
        </is>
      </c>
      <c r="O2221" t="n">
        <v>4</v>
      </c>
      <c r="P2221" t="n">
        <v>13</v>
      </c>
      <c r="Q2221" t="n">
        <v>4</v>
      </c>
    </row>
    <row r="2222">
      <c r="J2222" t="inlineStr">
        <is>
          <t>M</t>
        </is>
      </c>
      <c r="K2222" t="n">
        <v>2024</v>
      </c>
      <c r="L2222" t="n">
        <v>5</v>
      </c>
      <c r="M2222" t="inlineStr">
        <is>
          <t>Composto lácteo Merilú 400 g</t>
        </is>
      </c>
      <c r="N2222" t="inlineStr">
        <is>
          <t>Outros</t>
        </is>
      </c>
      <c r="O2222" t="n">
        <v>2</v>
      </c>
      <c r="P2222" t="n">
        <v>3</v>
      </c>
      <c r="Q2222" t="n">
        <v>0</v>
      </c>
    </row>
    <row r="2223">
      <c r="J2223" t="inlineStr">
        <is>
          <t>A</t>
        </is>
      </c>
      <c r="K2223" t="n">
        <v>2024</v>
      </c>
      <c r="L2223" t="n">
        <v>6</v>
      </c>
      <c r="M2223" t="inlineStr">
        <is>
          <t>Composto lácteo Merilú 400 g</t>
        </is>
      </c>
      <c r="N2223" t="inlineStr">
        <is>
          <t>Outros</t>
        </is>
      </c>
      <c r="O2223" t="n">
        <v>5</v>
      </c>
      <c r="P2223" t="n">
        <v>16</v>
      </c>
      <c r="Q2223" t="n">
        <v>5</v>
      </c>
    </row>
    <row r="2224">
      <c r="J2224" t="inlineStr">
        <is>
          <t>M</t>
        </is>
      </c>
      <c r="K2224" t="n">
        <v>2024</v>
      </c>
      <c r="L2224" t="n">
        <v>6</v>
      </c>
      <c r="M2224" t="inlineStr">
        <is>
          <t>Composto lácteo Merilú 400 g</t>
        </is>
      </c>
      <c r="N2224" t="inlineStr">
        <is>
          <t>Outros</t>
        </is>
      </c>
      <c r="O2224" t="n">
        <v>2</v>
      </c>
      <c r="P2224" t="n">
        <v>3</v>
      </c>
      <c r="Q2224" t="n">
        <v>0</v>
      </c>
    </row>
    <row r="2225">
      <c r="J2225" t="inlineStr">
        <is>
          <t>A</t>
        </is>
      </c>
      <c r="K2225" t="n">
        <v>2024</v>
      </c>
      <c r="L2225" t="n">
        <v>7</v>
      </c>
      <c r="M2225" t="inlineStr">
        <is>
          <t>Composto lácteo Merilú 400 g</t>
        </is>
      </c>
      <c r="N2225" t="inlineStr">
        <is>
          <t>Outros</t>
        </is>
      </c>
      <c r="O2225" t="n">
        <v>6</v>
      </c>
      <c r="P2225" t="n">
        <v>20</v>
      </c>
      <c r="Q2225" t="n">
        <v>6</v>
      </c>
    </row>
    <row r="2226">
      <c r="J2226" t="inlineStr">
        <is>
          <t>M</t>
        </is>
      </c>
      <c r="K2226" t="n">
        <v>2024</v>
      </c>
      <c r="L2226" t="n">
        <v>7</v>
      </c>
      <c r="M2226" t="inlineStr">
        <is>
          <t>Composto lácteo Merilú 400 g</t>
        </is>
      </c>
      <c r="N2226" t="inlineStr">
        <is>
          <t>Outros</t>
        </is>
      </c>
      <c r="O2226" t="n">
        <v>2</v>
      </c>
      <c r="P2226" t="n">
        <v>4</v>
      </c>
      <c r="Q2226" t="n">
        <v>0</v>
      </c>
    </row>
    <row r="2227">
      <c r="J2227" t="inlineStr">
        <is>
          <t>A</t>
        </is>
      </c>
      <c r="K2227" t="n">
        <v>2024</v>
      </c>
      <c r="L2227" t="n">
        <v>8</v>
      </c>
      <c r="M2227" t="inlineStr">
        <is>
          <t>Composto lácteo Merilú 400 g</t>
        </is>
      </c>
      <c r="N2227" t="inlineStr">
        <is>
          <t>Outros</t>
        </is>
      </c>
      <c r="O2227" t="n">
        <v>6</v>
      </c>
      <c r="P2227" t="n">
        <v>22</v>
      </c>
      <c r="Q2227" t="n">
        <v>6</v>
      </c>
    </row>
    <row r="2228">
      <c r="J2228" t="inlineStr">
        <is>
          <t>M</t>
        </is>
      </c>
      <c r="K2228" t="n">
        <v>2024</v>
      </c>
      <c r="L2228" t="n">
        <v>8</v>
      </c>
      <c r="M2228" t="inlineStr">
        <is>
          <t>Composto lácteo Merilú 400 g</t>
        </is>
      </c>
      <c r="N2228" t="inlineStr">
        <is>
          <t>Outros</t>
        </is>
      </c>
      <c r="O2228" t="n">
        <v>2</v>
      </c>
      <c r="P2228" t="n">
        <v>2</v>
      </c>
      <c r="Q2228" t="n">
        <v>0</v>
      </c>
    </row>
    <row r="2229">
      <c r="J2229" t="inlineStr">
        <is>
          <t>A</t>
        </is>
      </c>
      <c r="K2229" t="n">
        <v>2024</v>
      </c>
      <c r="L2229" t="n">
        <v>9</v>
      </c>
      <c r="M2229" t="inlineStr">
        <is>
          <t>Composto lácteo Merilú 400 g</t>
        </is>
      </c>
      <c r="N2229" t="inlineStr">
        <is>
          <t>Outros</t>
        </is>
      </c>
      <c r="O2229" t="n">
        <v>7</v>
      </c>
      <c r="P2229" t="n">
        <v>26</v>
      </c>
      <c r="Q2229" t="n">
        <v>7</v>
      </c>
    </row>
    <row r="2230">
      <c r="J2230" t="inlineStr">
        <is>
          <t>M</t>
        </is>
      </c>
      <c r="K2230" t="n">
        <v>2024</v>
      </c>
      <c r="L2230" t="n">
        <v>9</v>
      </c>
      <c r="M2230" t="inlineStr">
        <is>
          <t>Composto lácteo Merilú 400 g</t>
        </is>
      </c>
      <c r="N2230" t="inlineStr">
        <is>
          <t>Outros</t>
        </is>
      </c>
      <c r="O2230" t="n">
        <v>3</v>
      </c>
      <c r="P2230" t="n">
        <v>4</v>
      </c>
      <c r="Q2230" t="n">
        <v>0</v>
      </c>
    </row>
    <row r="2231">
      <c r="J2231" t="inlineStr">
        <is>
          <t>A</t>
        </is>
      </c>
      <c r="K2231" t="n">
        <v>2024</v>
      </c>
      <c r="L2231" t="n">
        <v>10</v>
      </c>
      <c r="M2231" t="inlineStr">
        <is>
          <t>Composto lácteo Merilú 400 g</t>
        </is>
      </c>
      <c r="N2231" t="inlineStr">
        <is>
          <t>Outros</t>
        </is>
      </c>
      <c r="O2231" t="n">
        <v>7</v>
      </c>
      <c r="P2231" t="n">
        <v>28</v>
      </c>
      <c r="Q2231" t="n">
        <v>7</v>
      </c>
    </row>
    <row r="2232">
      <c r="J2232" t="inlineStr">
        <is>
          <t>M</t>
        </is>
      </c>
      <c r="K2232" t="n">
        <v>2024</v>
      </c>
      <c r="L2232" t="n">
        <v>10</v>
      </c>
      <c r="M2232" t="inlineStr">
        <is>
          <t>Composto lácteo Merilú 400 g</t>
        </is>
      </c>
      <c r="N2232" t="inlineStr">
        <is>
          <t>Outros</t>
        </is>
      </c>
      <c r="O2232" t="n">
        <v>1</v>
      </c>
      <c r="P2232" t="n">
        <v>2</v>
      </c>
      <c r="Q2232" t="n">
        <v>0</v>
      </c>
    </row>
    <row r="2233">
      <c r="J2233" t="inlineStr">
        <is>
          <t>A</t>
        </is>
      </c>
      <c r="K2233" t="n">
        <v>2024</v>
      </c>
      <c r="L2233" t="n">
        <v>11</v>
      </c>
      <c r="M2233" t="inlineStr">
        <is>
          <t>Composto lácteo Merilú 400 g</t>
        </is>
      </c>
      <c r="N2233" t="inlineStr">
        <is>
          <t>Outros</t>
        </is>
      </c>
      <c r="O2233" t="n">
        <v>7</v>
      </c>
      <c r="P2233" t="n">
        <v>30</v>
      </c>
      <c r="Q2233" t="n">
        <v>7</v>
      </c>
    </row>
    <row r="2234">
      <c r="J2234" t="inlineStr">
        <is>
          <t>M</t>
        </is>
      </c>
      <c r="K2234" t="n">
        <v>2024</v>
      </c>
      <c r="L2234" t="n">
        <v>11</v>
      </c>
      <c r="M2234" t="inlineStr">
        <is>
          <t>Composto lácteo Merilú 400 g</t>
        </is>
      </c>
      <c r="N2234" t="inlineStr">
        <is>
          <t>Outros</t>
        </is>
      </c>
      <c r="O2234" t="n">
        <v>1</v>
      </c>
      <c r="P2234" t="n">
        <v>2</v>
      </c>
      <c r="Q2234" t="n">
        <v>0</v>
      </c>
    </row>
    <row r="2235">
      <c r="J2235" t="inlineStr">
        <is>
          <t>A</t>
        </is>
      </c>
      <c r="K2235" t="n">
        <v>2024</v>
      </c>
      <c r="L2235" t="n">
        <v>12</v>
      </c>
      <c r="M2235" t="inlineStr">
        <is>
          <t>Composto lácteo Merilú 400 g</t>
        </is>
      </c>
      <c r="N2235" t="inlineStr">
        <is>
          <t>Outros</t>
        </is>
      </c>
      <c r="O2235" t="n">
        <v>7</v>
      </c>
      <c r="P2235" t="n">
        <v>31</v>
      </c>
      <c r="Q2235" t="n">
        <v>7</v>
      </c>
    </row>
    <row r="2236">
      <c r="J2236" t="inlineStr">
        <is>
          <t>M</t>
        </is>
      </c>
      <c r="K2236" t="n">
        <v>2024</v>
      </c>
      <c r="L2236" t="n">
        <v>12</v>
      </c>
      <c r="M2236" t="inlineStr">
        <is>
          <t>Composto lácteo Merilú 400 g</t>
        </is>
      </c>
      <c r="N2236" t="inlineStr">
        <is>
          <t>Outros</t>
        </is>
      </c>
      <c r="O2236" t="n">
        <v>1</v>
      </c>
      <c r="P2236" t="n">
        <v>1</v>
      </c>
      <c r="Q2236" t="n">
        <v>0</v>
      </c>
    </row>
    <row r="2237">
      <c r="J2237" t="inlineStr">
        <is>
          <t>A</t>
        </is>
      </c>
      <c r="K2237" t="n">
        <v>2024</v>
      </c>
      <c r="L2237" t="n">
        <v>1</v>
      </c>
      <c r="M2237" t="inlineStr">
        <is>
          <t>Composto lácteo Merilú 400 g</t>
        </is>
      </c>
      <c r="N2237" t="inlineStr">
        <is>
          <t>Pessoa Física</t>
        </is>
      </c>
      <c r="O2237" t="n">
        <v>1</v>
      </c>
      <c r="P2237" t="n">
        <v>1</v>
      </c>
      <c r="Q2237" t="n">
        <v>1</v>
      </c>
    </row>
    <row r="2238">
      <c r="J2238" t="inlineStr">
        <is>
          <t>M</t>
        </is>
      </c>
      <c r="K2238" t="n">
        <v>2024</v>
      </c>
      <c r="L2238" t="n">
        <v>1</v>
      </c>
      <c r="M2238" t="inlineStr">
        <is>
          <t>Composto lácteo Merilú 400 g</t>
        </is>
      </c>
      <c r="N2238" t="inlineStr">
        <is>
          <t>Pessoa Física</t>
        </is>
      </c>
      <c r="O2238" t="n">
        <v>1</v>
      </c>
      <c r="P2238" t="n">
        <v>1</v>
      </c>
      <c r="Q2238" t="n">
        <v>0</v>
      </c>
    </row>
    <row r="2239">
      <c r="J2239" t="inlineStr">
        <is>
          <t>A</t>
        </is>
      </c>
      <c r="K2239" t="n">
        <v>2024</v>
      </c>
      <c r="L2239" t="n">
        <v>2</v>
      </c>
      <c r="M2239" t="inlineStr">
        <is>
          <t>Composto lácteo Merilú 400 g</t>
        </is>
      </c>
      <c r="N2239" t="inlineStr">
        <is>
          <t>Pessoa Física</t>
        </is>
      </c>
      <c r="O2239" t="n">
        <v>2</v>
      </c>
      <c r="P2239" t="n">
        <v>2</v>
      </c>
      <c r="Q2239" t="n">
        <v>2</v>
      </c>
    </row>
    <row r="2240">
      <c r="J2240" t="inlineStr">
        <is>
          <t>M</t>
        </is>
      </c>
      <c r="K2240" t="n">
        <v>2024</v>
      </c>
      <c r="L2240" t="n">
        <v>2</v>
      </c>
      <c r="M2240" t="inlineStr">
        <is>
          <t>Composto lácteo Merilú 400 g</t>
        </is>
      </c>
      <c r="N2240" t="inlineStr">
        <is>
          <t>Pessoa Física</t>
        </is>
      </c>
      <c r="O2240" t="n">
        <v>1</v>
      </c>
      <c r="P2240" t="n">
        <v>1</v>
      </c>
      <c r="Q2240" t="n">
        <v>0</v>
      </c>
    </row>
    <row r="2241">
      <c r="J2241" t="inlineStr">
        <is>
          <t>A</t>
        </is>
      </c>
      <c r="K2241" t="n">
        <v>2024</v>
      </c>
      <c r="L2241" t="n">
        <v>3</v>
      </c>
      <c r="M2241" t="inlineStr">
        <is>
          <t>Composto lácteo Merilú 400 g</t>
        </is>
      </c>
      <c r="N2241" t="inlineStr">
        <is>
          <t>Pessoa Física</t>
        </is>
      </c>
      <c r="O2241" t="n">
        <v>3</v>
      </c>
      <c r="P2241" t="n">
        <v>4</v>
      </c>
      <c r="Q2241" t="n">
        <v>3</v>
      </c>
    </row>
    <row r="2242">
      <c r="J2242" t="inlineStr">
        <is>
          <t>M</t>
        </is>
      </c>
      <c r="K2242" t="n">
        <v>2024</v>
      </c>
      <c r="L2242" t="n">
        <v>3</v>
      </c>
      <c r="M2242" t="inlineStr">
        <is>
          <t>Composto lácteo Merilú 400 g</t>
        </is>
      </c>
      <c r="N2242" t="inlineStr">
        <is>
          <t>Pessoa Física</t>
        </is>
      </c>
      <c r="O2242" t="n">
        <v>2</v>
      </c>
      <c r="P2242" t="n">
        <v>2</v>
      </c>
      <c r="Q2242" t="n">
        <v>0</v>
      </c>
    </row>
    <row r="2243">
      <c r="J2243" t="inlineStr">
        <is>
          <t>A</t>
        </is>
      </c>
      <c r="K2243" t="n">
        <v>2024</v>
      </c>
      <c r="L2243" t="n">
        <v>4</v>
      </c>
      <c r="M2243" t="inlineStr">
        <is>
          <t>Composto lácteo Merilú 400 g</t>
        </is>
      </c>
      <c r="N2243" t="inlineStr">
        <is>
          <t>Pessoa Física</t>
        </is>
      </c>
      <c r="O2243" t="n">
        <v>3</v>
      </c>
      <c r="P2243" t="n">
        <v>5</v>
      </c>
      <c r="Q2243" t="n">
        <v>3</v>
      </c>
    </row>
    <row r="2244">
      <c r="J2244" t="inlineStr">
        <is>
          <t>M</t>
        </is>
      </c>
      <c r="K2244" t="n">
        <v>2024</v>
      </c>
      <c r="L2244" t="n">
        <v>4</v>
      </c>
      <c r="M2244" t="inlineStr">
        <is>
          <t>Composto lácteo Merilú 400 g</t>
        </is>
      </c>
      <c r="N2244" t="inlineStr">
        <is>
          <t>Pessoa Física</t>
        </is>
      </c>
      <c r="O2244" t="n">
        <v>1</v>
      </c>
      <c r="P2244" t="n">
        <v>1</v>
      </c>
      <c r="Q2244" t="n">
        <v>0</v>
      </c>
    </row>
    <row r="2245">
      <c r="J2245" t="inlineStr">
        <is>
          <t>A</t>
        </is>
      </c>
      <c r="K2245" t="n">
        <v>2024</v>
      </c>
      <c r="L2245" t="n">
        <v>5</v>
      </c>
      <c r="M2245" t="inlineStr">
        <is>
          <t>Composto lácteo Merilú 400 g</t>
        </is>
      </c>
      <c r="N2245" t="inlineStr">
        <is>
          <t>Pessoa Física</t>
        </is>
      </c>
      <c r="O2245" t="n">
        <v>3</v>
      </c>
      <c r="P2245" t="n">
        <v>5</v>
      </c>
      <c r="Q2245" t="n">
        <v>3</v>
      </c>
    </row>
    <row r="2246">
      <c r="J2246" t="inlineStr">
        <is>
          <t>A</t>
        </is>
      </c>
      <c r="K2246" t="n">
        <v>2024</v>
      </c>
      <c r="L2246" t="n">
        <v>6</v>
      </c>
      <c r="M2246" t="inlineStr">
        <is>
          <t>Composto lácteo Merilú 400 g</t>
        </is>
      </c>
      <c r="N2246" t="inlineStr">
        <is>
          <t>Pessoa Física</t>
        </is>
      </c>
      <c r="O2246" t="n">
        <v>4</v>
      </c>
      <c r="P2246" t="n">
        <v>7</v>
      </c>
      <c r="Q2246" t="n">
        <v>4</v>
      </c>
    </row>
    <row r="2247">
      <c r="J2247" t="inlineStr">
        <is>
          <t>M</t>
        </is>
      </c>
      <c r="K2247" t="n">
        <v>2024</v>
      </c>
      <c r="L2247" t="n">
        <v>6</v>
      </c>
      <c r="M2247" t="inlineStr">
        <is>
          <t>Composto lácteo Merilú 400 g</t>
        </is>
      </c>
      <c r="N2247" t="inlineStr">
        <is>
          <t>Pessoa Física</t>
        </is>
      </c>
      <c r="O2247" t="n">
        <v>2</v>
      </c>
      <c r="P2247" t="n">
        <v>2</v>
      </c>
      <c r="Q2247" t="n">
        <v>0</v>
      </c>
    </row>
    <row r="2248">
      <c r="J2248" t="inlineStr">
        <is>
          <t>A</t>
        </is>
      </c>
      <c r="K2248" t="n">
        <v>2024</v>
      </c>
      <c r="L2248" t="n">
        <v>7</v>
      </c>
      <c r="M2248" t="inlineStr">
        <is>
          <t>Composto lácteo Merilú 400 g</t>
        </is>
      </c>
      <c r="N2248" t="inlineStr">
        <is>
          <t>Pessoa Física</t>
        </is>
      </c>
      <c r="O2248" t="n">
        <v>4</v>
      </c>
      <c r="P2248" t="n">
        <v>7</v>
      </c>
      <c r="Q2248" t="n">
        <v>4</v>
      </c>
    </row>
    <row r="2249">
      <c r="J2249" t="inlineStr">
        <is>
          <t>A</t>
        </is>
      </c>
      <c r="K2249" t="n">
        <v>2024</v>
      </c>
      <c r="L2249" t="n">
        <v>8</v>
      </c>
      <c r="M2249" t="inlineStr">
        <is>
          <t>Composto lácteo Merilú 400 g</t>
        </is>
      </c>
      <c r="N2249" t="inlineStr">
        <is>
          <t>Pessoa Física</t>
        </is>
      </c>
      <c r="O2249" t="n">
        <v>4</v>
      </c>
      <c r="P2249" t="n">
        <v>7</v>
      </c>
      <c r="Q2249" t="n">
        <v>4</v>
      </c>
    </row>
    <row r="2250">
      <c r="J2250" t="inlineStr">
        <is>
          <t>A</t>
        </is>
      </c>
      <c r="K2250" t="n">
        <v>2024</v>
      </c>
      <c r="L2250" t="n">
        <v>9</v>
      </c>
      <c r="M2250" t="inlineStr">
        <is>
          <t>Composto lácteo Merilú 400 g</t>
        </is>
      </c>
      <c r="N2250" t="inlineStr">
        <is>
          <t>Pessoa Física</t>
        </is>
      </c>
      <c r="O2250" t="n">
        <v>4</v>
      </c>
      <c r="P2250" t="n">
        <v>7</v>
      </c>
      <c r="Q2250" t="n">
        <v>4</v>
      </c>
    </row>
    <row r="2251">
      <c r="J2251" t="inlineStr">
        <is>
          <t>A</t>
        </is>
      </c>
      <c r="K2251" t="n">
        <v>2024</v>
      </c>
      <c r="L2251" t="n">
        <v>10</v>
      </c>
      <c r="M2251" t="inlineStr">
        <is>
          <t>Composto lácteo Merilú 400 g</t>
        </is>
      </c>
      <c r="N2251" t="inlineStr">
        <is>
          <t>Pessoa Física</t>
        </is>
      </c>
      <c r="O2251" t="n">
        <v>4</v>
      </c>
      <c r="P2251" t="n">
        <v>7</v>
      </c>
      <c r="Q2251" t="n">
        <v>4</v>
      </c>
    </row>
    <row r="2252">
      <c r="J2252" t="inlineStr">
        <is>
          <t>A</t>
        </is>
      </c>
      <c r="K2252" t="n">
        <v>2024</v>
      </c>
      <c r="L2252" t="n">
        <v>11</v>
      </c>
      <c r="M2252" t="inlineStr">
        <is>
          <t>Composto lácteo Merilú 400 g</t>
        </is>
      </c>
      <c r="N2252" t="inlineStr">
        <is>
          <t>Pessoa Física</t>
        </is>
      </c>
      <c r="O2252" t="n">
        <v>4</v>
      </c>
      <c r="P2252" t="n">
        <v>7</v>
      </c>
      <c r="Q2252" t="n">
        <v>4</v>
      </c>
    </row>
    <row r="2253">
      <c r="J2253" t="inlineStr">
        <is>
          <t>A</t>
        </is>
      </c>
      <c r="K2253" t="n">
        <v>2024</v>
      </c>
      <c r="L2253" t="n">
        <v>12</v>
      </c>
      <c r="M2253" t="inlineStr">
        <is>
          <t>Composto lácteo Merilú 400 g</t>
        </is>
      </c>
      <c r="N2253" t="inlineStr">
        <is>
          <t>Pessoa Física</t>
        </is>
      </c>
      <c r="O2253" t="n">
        <v>5</v>
      </c>
      <c r="P2253" t="n">
        <v>9</v>
      </c>
      <c r="Q2253" t="n">
        <v>5</v>
      </c>
    </row>
    <row r="2254">
      <c r="J2254" t="inlineStr">
        <is>
          <t>M</t>
        </is>
      </c>
      <c r="K2254" t="n">
        <v>2024</v>
      </c>
      <c r="L2254" t="n">
        <v>12</v>
      </c>
      <c r="M2254" t="inlineStr">
        <is>
          <t>Composto lácteo Merilú 400 g</t>
        </is>
      </c>
      <c r="N2254" t="inlineStr">
        <is>
          <t>Pessoa Física</t>
        </is>
      </c>
      <c r="O2254" t="n">
        <v>1</v>
      </c>
      <c r="P2254" t="n">
        <v>2</v>
      </c>
      <c r="Q2254" t="n">
        <v>0</v>
      </c>
    </row>
    <row r="2255">
      <c r="J2255" t="inlineStr">
        <is>
          <t>A</t>
        </is>
      </c>
      <c r="K2255" t="n">
        <v>2024</v>
      </c>
      <c r="L2255" t="n">
        <v>1</v>
      </c>
      <c r="M2255" t="inlineStr">
        <is>
          <t>Composto lácteo Merilú 400 g</t>
        </is>
      </c>
      <c r="N2255" t="inlineStr">
        <is>
          <t>Esfiharia</t>
        </is>
      </c>
      <c r="O2255" t="n">
        <v>1</v>
      </c>
      <c r="P2255" t="n">
        <v>2</v>
      </c>
      <c r="Q2255" t="n">
        <v>1</v>
      </c>
    </row>
    <row r="2256">
      <c r="J2256" t="inlineStr">
        <is>
          <t>M</t>
        </is>
      </c>
      <c r="K2256" t="n">
        <v>2024</v>
      </c>
      <c r="L2256" t="n">
        <v>1</v>
      </c>
      <c r="M2256" t="inlineStr">
        <is>
          <t>Composto lácteo Merilú 400 g</t>
        </is>
      </c>
      <c r="N2256" t="inlineStr">
        <is>
          <t>Esfiharia</t>
        </is>
      </c>
      <c r="O2256" t="n">
        <v>1</v>
      </c>
      <c r="P2256" t="n">
        <v>2</v>
      </c>
      <c r="Q2256" t="n">
        <v>0</v>
      </c>
    </row>
    <row r="2257">
      <c r="J2257" t="inlineStr">
        <is>
          <t>A</t>
        </is>
      </c>
      <c r="K2257" t="n">
        <v>2024</v>
      </c>
      <c r="L2257" t="n">
        <v>2</v>
      </c>
      <c r="M2257" t="inlineStr">
        <is>
          <t>Composto lácteo Merilú 400 g</t>
        </is>
      </c>
      <c r="N2257" t="inlineStr">
        <is>
          <t>Esfiharia</t>
        </is>
      </c>
      <c r="O2257" t="n">
        <v>1</v>
      </c>
      <c r="P2257" t="n">
        <v>3</v>
      </c>
      <c r="Q2257" t="n">
        <v>1</v>
      </c>
    </row>
    <row r="2258">
      <c r="J2258" t="inlineStr">
        <is>
          <t>M</t>
        </is>
      </c>
      <c r="K2258" t="n">
        <v>2024</v>
      </c>
      <c r="L2258" t="n">
        <v>2</v>
      </c>
      <c r="M2258" t="inlineStr">
        <is>
          <t>Composto lácteo Merilú 400 g</t>
        </is>
      </c>
      <c r="N2258" t="inlineStr">
        <is>
          <t>Esfiharia</t>
        </is>
      </c>
      <c r="O2258" t="n">
        <v>1</v>
      </c>
      <c r="P2258" t="n">
        <v>1</v>
      </c>
      <c r="Q2258" t="n">
        <v>0</v>
      </c>
    </row>
    <row r="2259">
      <c r="J2259" t="inlineStr">
        <is>
          <t>A</t>
        </is>
      </c>
      <c r="K2259" t="n">
        <v>2024</v>
      </c>
      <c r="L2259" t="n">
        <v>3</v>
      </c>
      <c r="M2259" t="inlineStr">
        <is>
          <t>Composto lácteo Merilú 400 g</t>
        </is>
      </c>
      <c r="N2259" t="inlineStr">
        <is>
          <t>Esfiharia</t>
        </is>
      </c>
      <c r="O2259" t="n">
        <v>1</v>
      </c>
      <c r="P2259" t="n">
        <v>3</v>
      </c>
      <c r="Q2259" t="n">
        <v>1</v>
      </c>
    </row>
    <row r="2260">
      <c r="J2260" t="inlineStr">
        <is>
          <t>A</t>
        </is>
      </c>
      <c r="K2260" t="n">
        <v>2024</v>
      </c>
      <c r="L2260" t="n">
        <v>4</v>
      </c>
      <c r="M2260" t="inlineStr">
        <is>
          <t>Composto lácteo Merilú 400 g</t>
        </is>
      </c>
      <c r="N2260" t="inlineStr">
        <is>
          <t>Esfiharia</t>
        </is>
      </c>
      <c r="O2260" t="n">
        <v>1</v>
      </c>
      <c r="P2260" t="n">
        <v>3</v>
      </c>
      <c r="Q2260" t="n">
        <v>1</v>
      </c>
    </row>
    <row r="2261">
      <c r="J2261" t="inlineStr">
        <is>
          <t>A</t>
        </is>
      </c>
      <c r="K2261" t="n">
        <v>2024</v>
      </c>
      <c r="L2261" t="n">
        <v>5</v>
      </c>
      <c r="M2261" t="inlineStr">
        <is>
          <t>Composto lácteo Merilú 400 g</t>
        </is>
      </c>
      <c r="N2261" t="inlineStr">
        <is>
          <t>Esfiharia</t>
        </is>
      </c>
      <c r="O2261" t="n">
        <v>1</v>
      </c>
      <c r="P2261" t="n">
        <v>3</v>
      </c>
      <c r="Q2261" t="n">
        <v>1</v>
      </c>
    </row>
    <row r="2262">
      <c r="J2262" t="inlineStr">
        <is>
          <t>A</t>
        </is>
      </c>
      <c r="K2262" t="n">
        <v>2024</v>
      </c>
      <c r="L2262" t="n">
        <v>6</v>
      </c>
      <c r="M2262" t="inlineStr">
        <is>
          <t>Composto lácteo Merilú 400 g</t>
        </is>
      </c>
      <c r="N2262" t="inlineStr">
        <is>
          <t>Esfiharia</t>
        </is>
      </c>
      <c r="O2262" t="n">
        <v>1</v>
      </c>
      <c r="P2262" t="n">
        <v>3</v>
      </c>
      <c r="Q2262" t="n">
        <v>1</v>
      </c>
    </row>
    <row r="2263">
      <c r="J2263" t="inlineStr">
        <is>
          <t>A</t>
        </is>
      </c>
      <c r="K2263" t="n">
        <v>2024</v>
      </c>
      <c r="L2263" t="n">
        <v>7</v>
      </c>
      <c r="M2263" t="inlineStr">
        <is>
          <t>Composto lácteo Merilú 400 g</t>
        </is>
      </c>
      <c r="N2263" t="inlineStr">
        <is>
          <t>Esfiharia</t>
        </is>
      </c>
      <c r="O2263" t="n">
        <v>1</v>
      </c>
      <c r="P2263" t="n">
        <v>3</v>
      </c>
      <c r="Q2263" t="n">
        <v>1</v>
      </c>
    </row>
    <row r="2264">
      <c r="J2264" t="inlineStr">
        <is>
          <t>A</t>
        </is>
      </c>
      <c r="K2264" t="n">
        <v>2024</v>
      </c>
      <c r="L2264" t="n">
        <v>8</v>
      </c>
      <c r="M2264" t="inlineStr">
        <is>
          <t>Composto lácteo Merilú 400 g</t>
        </is>
      </c>
      <c r="N2264" t="inlineStr">
        <is>
          <t>Esfiharia</t>
        </is>
      </c>
      <c r="O2264" t="n">
        <v>1</v>
      </c>
      <c r="P2264" t="n">
        <v>3</v>
      </c>
      <c r="Q2264" t="n">
        <v>1</v>
      </c>
    </row>
    <row r="2265">
      <c r="J2265" t="inlineStr">
        <is>
          <t>A</t>
        </is>
      </c>
      <c r="K2265" t="n">
        <v>2024</v>
      </c>
      <c r="L2265" t="n">
        <v>9</v>
      </c>
      <c r="M2265" t="inlineStr">
        <is>
          <t>Composto lácteo Merilú 400 g</t>
        </is>
      </c>
      <c r="N2265" t="inlineStr">
        <is>
          <t>Esfiharia</t>
        </is>
      </c>
      <c r="O2265" t="n">
        <v>1</v>
      </c>
      <c r="P2265" t="n">
        <v>3</v>
      </c>
      <c r="Q2265" t="n">
        <v>1</v>
      </c>
    </row>
    <row r="2266">
      <c r="J2266" t="inlineStr">
        <is>
          <t>A</t>
        </is>
      </c>
      <c r="K2266" t="n">
        <v>2024</v>
      </c>
      <c r="L2266" t="n">
        <v>10</v>
      </c>
      <c r="M2266" t="inlineStr">
        <is>
          <t>Composto lácteo Merilú 400 g</t>
        </is>
      </c>
      <c r="N2266" t="inlineStr">
        <is>
          <t>Esfiharia</t>
        </is>
      </c>
      <c r="O2266" t="n">
        <v>1</v>
      </c>
      <c r="P2266" t="n">
        <v>3</v>
      </c>
      <c r="Q2266" t="n">
        <v>1</v>
      </c>
    </row>
    <row r="2267">
      <c r="J2267" t="inlineStr">
        <is>
          <t>A</t>
        </is>
      </c>
      <c r="K2267" t="n">
        <v>2024</v>
      </c>
      <c r="L2267" t="n">
        <v>11</v>
      </c>
      <c r="M2267" t="inlineStr">
        <is>
          <t>Composto lácteo Merilú 400 g</t>
        </is>
      </c>
      <c r="N2267" t="inlineStr">
        <is>
          <t>Esfiharia</t>
        </is>
      </c>
      <c r="O2267" t="n">
        <v>1</v>
      </c>
      <c r="P2267" t="n">
        <v>3</v>
      </c>
      <c r="Q2267" t="n">
        <v>1</v>
      </c>
    </row>
    <row r="2268">
      <c r="J2268" t="inlineStr">
        <is>
          <t>A</t>
        </is>
      </c>
      <c r="K2268" t="n">
        <v>2024</v>
      </c>
      <c r="L2268" t="n">
        <v>12</v>
      </c>
      <c r="M2268" t="inlineStr">
        <is>
          <t>Composto lácteo Merilú 400 g</t>
        </is>
      </c>
      <c r="N2268" t="inlineStr">
        <is>
          <t>Esfiharia</t>
        </is>
      </c>
      <c r="O2268" t="n">
        <v>1</v>
      </c>
      <c r="P2268" t="n">
        <v>3</v>
      </c>
      <c r="Q2268" t="n">
        <v>1</v>
      </c>
    </row>
    <row r="2269">
      <c r="J2269" t="inlineStr">
        <is>
          <t>A</t>
        </is>
      </c>
      <c r="K2269" t="n">
        <v>2024</v>
      </c>
      <c r="L2269" t="n">
        <v>1</v>
      </c>
      <c r="M2269" t="inlineStr">
        <is>
          <t>Composto lácteo Merilú 400 g</t>
        </is>
      </c>
      <c r="N2269" t="inlineStr">
        <is>
          <t>Lanchonete / Cafeteria</t>
        </is>
      </c>
      <c r="O2269" t="n">
        <v>1</v>
      </c>
      <c r="P2269" t="n">
        <v>1</v>
      </c>
      <c r="Q2269" t="n">
        <v>1</v>
      </c>
    </row>
    <row r="2270">
      <c r="J2270" t="inlineStr">
        <is>
          <t>M</t>
        </is>
      </c>
      <c r="K2270" t="n">
        <v>2024</v>
      </c>
      <c r="L2270" t="n">
        <v>1</v>
      </c>
      <c r="M2270" t="inlineStr">
        <is>
          <t>Composto lácteo Merilú 400 g</t>
        </is>
      </c>
      <c r="N2270" t="inlineStr">
        <is>
          <t>Lanchonete / Cafeteria</t>
        </is>
      </c>
      <c r="O2270" t="n">
        <v>1</v>
      </c>
      <c r="P2270" t="n">
        <v>1</v>
      </c>
      <c r="Q2270" t="n">
        <v>0</v>
      </c>
    </row>
    <row r="2271">
      <c r="J2271" t="inlineStr">
        <is>
          <t>A</t>
        </is>
      </c>
      <c r="K2271" t="n">
        <v>2024</v>
      </c>
      <c r="L2271" t="n">
        <v>2</v>
      </c>
      <c r="M2271" t="inlineStr">
        <is>
          <t>Composto lácteo Merilú 400 g</t>
        </is>
      </c>
      <c r="N2271" t="inlineStr">
        <is>
          <t>Lanchonete / Cafeteria</t>
        </is>
      </c>
      <c r="O2271" t="n">
        <v>1</v>
      </c>
      <c r="P2271" t="n">
        <v>2</v>
      </c>
      <c r="Q2271" t="n">
        <v>1</v>
      </c>
    </row>
    <row r="2272">
      <c r="J2272" t="inlineStr">
        <is>
          <t>M</t>
        </is>
      </c>
      <c r="K2272" t="n">
        <v>2024</v>
      </c>
      <c r="L2272" t="n">
        <v>2</v>
      </c>
      <c r="M2272" t="inlineStr">
        <is>
          <t>Composto lácteo Merilú 400 g</t>
        </is>
      </c>
      <c r="N2272" t="inlineStr">
        <is>
          <t>Lanchonete / Cafeteria</t>
        </is>
      </c>
      <c r="O2272" t="n">
        <v>1</v>
      </c>
      <c r="P2272" t="n">
        <v>1</v>
      </c>
      <c r="Q2272" t="n">
        <v>0</v>
      </c>
    </row>
    <row r="2273">
      <c r="J2273" t="inlineStr">
        <is>
          <t>A</t>
        </is>
      </c>
      <c r="K2273" t="n">
        <v>2024</v>
      </c>
      <c r="L2273" t="n">
        <v>3</v>
      </c>
      <c r="M2273" t="inlineStr">
        <is>
          <t>Composto lácteo Merilú 400 g</t>
        </is>
      </c>
      <c r="N2273" t="inlineStr">
        <is>
          <t>Lanchonete / Cafeteria</t>
        </is>
      </c>
      <c r="O2273" t="n">
        <v>1</v>
      </c>
      <c r="P2273" t="n">
        <v>2</v>
      </c>
      <c r="Q2273" t="n">
        <v>1</v>
      </c>
    </row>
    <row r="2274">
      <c r="J2274" t="inlineStr">
        <is>
          <t>A</t>
        </is>
      </c>
      <c r="K2274" t="n">
        <v>2024</v>
      </c>
      <c r="L2274" t="n">
        <v>4</v>
      </c>
      <c r="M2274" t="inlineStr">
        <is>
          <t>Composto lácteo Merilú 400 g</t>
        </is>
      </c>
      <c r="N2274" t="inlineStr">
        <is>
          <t>Lanchonete / Cafeteria</t>
        </is>
      </c>
      <c r="O2274" t="n">
        <v>1</v>
      </c>
      <c r="P2274" t="n">
        <v>2</v>
      </c>
      <c r="Q2274" t="n">
        <v>1</v>
      </c>
    </row>
    <row r="2275">
      <c r="J2275" t="inlineStr">
        <is>
          <t>A</t>
        </is>
      </c>
      <c r="K2275" t="n">
        <v>2024</v>
      </c>
      <c r="L2275" t="n">
        <v>5</v>
      </c>
      <c r="M2275" t="inlineStr">
        <is>
          <t>Composto lácteo Merilú 400 g</t>
        </is>
      </c>
      <c r="N2275" t="inlineStr">
        <is>
          <t>Lanchonete / Cafeteria</t>
        </is>
      </c>
      <c r="O2275" t="n">
        <v>1</v>
      </c>
      <c r="P2275" t="n">
        <v>2</v>
      </c>
      <c r="Q2275" t="n">
        <v>1</v>
      </c>
    </row>
    <row r="2276">
      <c r="J2276" t="inlineStr">
        <is>
          <t>A</t>
        </is>
      </c>
      <c r="K2276" t="n">
        <v>2024</v>
      </c>
      <c r="L2276" t="n">
        <v>6</v>
      </c>
      <c r="M2276" t="inlineStr">
        <is>
          <t>Composto lácteo Merilú 400 g</t>
        </is>
      </c>
      <c r="N2276" t="inlineStr">
        <is>
          <t>Lanchonete / Cafeteria</t>
        </is>
      </c>
      <c r="O2276" t="n">
        <v>1</v>
      </c>
      <c r="P2276" t="n">
        <v>2</v>
      </c>
      <c r="Q2276" t="n">
        <v>1</v>
      </c>
    </row>
    <row r="2277">
      <c r="J2277" t="inlineStr">
        <is>
          <t>A</t>
        </is>
      </c>
      <c r="K2277" t="n">
        <v>2024</v>
      </c>
      <c r="L2277" t="n">
        <v>7</v>
      </c>
      <c r="M2277" t="inlineStr">
        <is>
          <t>Composto lácteo Merilú 400 g</t>
        </is>
      </c>
      <c r="N2277" t="inlineStr">
        <is>
          <t>Lanchonete / Cafeteria</t>
        </is>
      </c>
      <c r="O2277" t="n">
        <v>3</v>
      </c>
      <c r="P2277" t="n">
        <v>4</v>
      </c>
      <c r="Q2277" t="n">
        <v>3</v>
      </c>
    </row>
    <row r="2278">
      <c r="J2278" t="inlineStr">
        <is>
          <t>M</t>
        </is>
      </c>
      <c r="K2278" t="n">
        <v>2024</v>
      </c>
      <c r="L2278" t="n">
        <v>7</v>
      </c>
      <c r="M2278" t="inlineStr">
        <is>
          <t>Composto lácteo Merilú 400 g</t>
        </is>
      </c>
      <c r="N2278" t="inlineStr">
        <is>
          <t>Lanchonete / Cafeteria</t>
        </is>
      </c>
      <c r="O2278" t="n">
        <v>2</v>
      </c>
      <c r="P2278" t="n">
        <v>2</v>
      </c>
      <c r="Q2278" t="n">
        <v>0</v>
      </c>
    </row>
    <row r="2279">
      <c r="J2279" t="inlineStr">
        <is>
          <t>A</t>
        </is>
      </c>
      <c r="K2279" t="n">
        <v>2024</v>
      </c>
      <c r="L2279" t="n">
        <v>8</v>
      </c>
      <c r="M2279" t="inlineStr">
        <is>
          <t>Composto lácteo Merilú 400 g</t>
        </is>
      </c>
      <c r="N2279" t="inlineStr">
        <is>
          <t>Lanchonete / Cafeteria</t>
        </is>
      </c>
      <c r="O2279" t="n">
        <v>3</v>
      </c>
      <c r="P2279" t="n">
        <v>4</v>
      </c>
      <c r="Q2279" t="n">
        <v>3</v>
      </c>
    </row>
    <row r="2280">
      <c r="J2280" t="inlineStr">
        <is>
          <t>A</t>
        </is>
      </c>
      <c r="K2280" t="n">
        <v>2024</v>
      </c>
      <c r="L2280" t="n">
        <v>9</v>
      </c>
      <c r="M2280" t="inlineStr">
        <is>
          <t>Composto lácteo Merilú 400 g</t>
        </is>
      </c>
      <c r="N2280" t="inlineStr">
        <is>
          <t>Lanchonete / Cafeteria</t>
        </is>
      </c>
      <c r="O2280" t="n">
        <v>4</v>
      </c>
      <c r="P2280" t="n">
        <v>6</v>
      </c>
      <c r="Q2280" t="n">
        <v>4</v>
      </c>
    </row>
    <row r="2281">
      <c r="J2281" t="inlineStr">
        <is>
          <t>M</t>
        </is>
      </c>
      <c r="K2281" t="n">
        <v>2024</v>
      </c>
      <c r="L2281" t="n">
        <v>9</v>
      </c>
      <c r="M2281" t="inlineStr">
        <is>
          <t>Composto lácteo Merilú 400 g</t>
        </is>
      </c>
      <c r="N2281" t="inlineStr">
        <is>
          <t>Lanchonete / Cafeteria</t>
        </is>
      </c>
      <c r="O2281" t="n">
        <v>2</v>
      </c>
      <c r="P2281" t="n">
        <v>2</v>
      </c>
      <c r="Q2281" t="n">
        <v>0</v>
      </c>
    </row>
    <row r="2282">
      <c r="J2282" t="inlineStr">
        <is>
          <t>A</t>
        </is>
      </c>
      <c r="K2282" t="n">
        <v>2024</v>
      </c>
      <c r="L2282" t="n">
        <v>10</v>
      </c>
      <c r="M2282" t="inlineStr">
        <is>
          <t>Composto lácteo Merilú 400 g</t>
        </is>
      </c>
      <c r="N2282" t="inlineStr">
        <is>
          <t>Lanchonete / Cafeteria</t>
        </is>
      </c>
      <c r="O2282" t="n">
        <v>4</v>
      </c>
      <c r="P2282" t="n">
        <v>6</v>
      </c>
      <c r="Q2282" t="n">
        <v>4</v>
      </c>
    </row>
    <row r="2283">
      <c r="J2283" t="inlineStr">
        <is>
          <t>A</t>
        </is>
      </c>
      <c r="K2283" t="n">
        <v>2024</v>
      </c>
      <c r="L2283" t="n">
        <v>11</v>
      </c>
      <c r="M2283" t="inlineStr">
        <is>
          <t>Composto lácteo Merilú 400 g</t>
        </is>
      </c>
      <c r="N2283" t="inlineStr">
        <is>
          <t>Lanchonete / Cafeteria</t>
        </is>
      </c>
      <c r="O2283" t="n">
        <v>4</v>
      </c>
      <c r="P2283" t="n">
        <v>6</v>
      </c>
      <c r="Q2283" t="n">
        <v>4</v>
      </c>
    </row>
    <row r="2284">
      <c r="J2284" t="inlineStr">
        <is>
          <t>A</t>
        </is>
      </c>
      <c r="K2284" t="n">
        <v>2024</v>
      </c>
      <c r="L2284" t="n">
        <v>12</v>
      </c>
      <c r="M2284" t="inlineStr">
        <is>
          <t>Composto lácteo Merilú 400 g</t>
        </is>
      </c>
      <c r="N2284" t="inlineStr">
        <is>
          <t>Lanchonete / Cafeteria</t>
        </is>
      </c>
      <c r="O2284" t="n">
        <v>4</v>
      </c>
      <c r="P2284" t="n">
        <v>6</v>
      </c>
      <c r="Q2284" t="n">
        <v>4</v>
      </c>
    </row>
    <row r="2285">
      <c r="J2285" t="inlineStr">
        <is>
          <t>A</t>
        </is>
      </c>
      <c r="K2285" t="n">
        <v>2024</v>
      </c>
      <c r="L2285" t="n">
        <v>1</v>
      </c>
      <c r="M2285" t="inlineStr">
        <is>
          <t>Composto lácteo Merilú 400 g</t>
        </is>
      </c>
      <c r="N2285" t="inlineStr">
        <is>
          <t>Padaria</t>
        </is>
      </c>
      <c r="O2285" t="n">
        <v>1</v>
      </c>
      <c r="P2285" t="n">
        <v>2</v>
      </c>
      <c r="Q2285" t="n">
        <v>1</v>
      </c>
    </row>
    <row r="2286">
      <c r="J2286" t="inlineStr">
        <is>
          <t>M</t>
        </is>
      </c>
      <c r="K2286" t="n">
        <v>2024</v>
      </c>
      <c r="L2286" t="n">
        <v>1</v>
      </c>
      <c r="M2286" t="inlineStr">
        <is>
          <t>Composto lácteo Merilú 400 g</t>
        </is>
      </c>
      <c r="N2286" t="inlineStr">
        <is>
          <t>Padaria</t>
        </is>
      </c>
      <c r="O2286" t="n">
        <v>1</v>
      </c>
      <c r="P2286" t="n">
        <v>2</v>
      </c>
      <c r="Q2286" t="n">
        <v>0</v>
      </c>
    </row>
    <row r="2287">
      <c r="J2287" t="inlineStr">
        <is>
          <t>A</t>
        </is>
      </c>
      <c r="K2287" t="n">
        <v>2024</v>
      </c>
      <c r="L2287" t="n">
        <v>2</v>
      </c>
      <c r="M2287" t="inlineStr">
        <is>
          <t>Composto lácteo Merilú 400 g</t>
        </is>
      </c>
      <c r="N2287" t="inlineStr">
        <is>
          <t>Padaria</t>
        </is>
      </c>
      <c r="O2287" t="n">
        <v>1</v>
      </c>
      <c r="P2287" t="n">
        <v>2</v>
      </c>
      <c r="Q2287" t="n">
        <v>1</v>
      </c>
    </row>
    <row r="2288">
      <c r="J2288" t="inlineStr">
        <is>
          <t>A</t>
        </is>
      </c>
      <c r="K2288" t="n">
        <v>2024</v>
      </c>
      <c r="L2288" t="n">
        <v>3</v>
      </c>
      <c r="M2288" t="inlineStr">
        <is>
          <t>Composto lácteo Merilú 400 g</t>
        </is>
      </c>
      <c r="N2288" t="inlineStr">
        <is>
          <t>Padaria</t>
        </is>
      </c>
      <c r="O2288" t="n">
        <v>2</v>
      </c>
      <c r="P2288" t="n">
        <v>3</v>
      </c>
      <c r="Q2288" t="n">
        <v>2</v>
      </c>
    </row>
    <row r="2289">
      <c r="J2289" t="inlineStr">
        <is>
          <t>M</t>
        </is>
      </c>
      <c r="K2289" t="n">
        <v>2024</v>
      </c>
      <c r="L2289" t="n">
        <v>3</v>
      </c>
      <c r="M2289" t="inlineStr">
        <is>
          <t>Composto lácteo Merilú 400 g</t>
        </is>
      </c>
      <c r="N2289" t="inlineStr">
        <is>
          <t>Padaria</t>
        </is>
      </c>
      <c r="O2289" t="n">
        <v>1</v>
      </c>
      <c r="P2289" t="n">
        <v>1</v>
      </c>
      <c r="Q2289" t="n">
        <v>0</v>
      </c>
    </row>
    <row r="2290">
      <c r="J2290" t="inlineStr">
        <is>
          <t>A</t>
        </is>
      </c>
      <c r="K2290" t="n">
        <v>2024</v>
      </c>
      <c r="L2290" t="n">
        <v>4</v>
      </c>
      <c r="M2290" t="inlineStr">
        <is>
          <t>Composto lácteo Merilú 400 g</t>
        </is>
      </c>
      <c r="N2290" t="inlineStr">
        <is>
          <t>Padaria</t>
        </is>
      </c>
      <c r="O2290" t="n">
        <v>3</v>
      </c>
      <c r="P2290" t="n">
        <v>5</v>
      </c>
      <c r="Q2290" t="n">
        <v>3</v>
      </c>
    </row>
    <row r="2291">
      <c r="J2291" t="inlineStr">
        <is>
          <t>M</t>
        </is>
      </c>
      <c r="K2291" t="n">
        <v>2024</v>
      </c>
      <c r="L2291" t="n">
        <v>4</v>
      </c>
      <c r="M2291" t="inlineStr">
        <is>
          <t>Composto lácteo Merilú 400 g</t>
        </is>
      </c>
      <c r="N2291" t="inlineStr">
        <is>
          <t>Padaria</t>
        </is>
      </c>
      <c r="O2291" t="n">
        <v>2</v>
      </c>
      <c r="P2291" t="n">
        <v>2</v>
      </c>
      <c r="Q2291" t="n">
        <v>0</v>
      </c>
    </row>
    <row r="2292">
      <c r="J2292" t="inlineStr">
        <is>
          <t>A</t>
        </is>
      </c>
      <c r="K2292" t="n">
        <v>2024</v>
      </c>
      <c r="L2292" t="n">
        <v>5</v>
      </c>
      <c r="M2292" t="inlineStr">
        <is>
          <t>Composto lácteo Merilú 400 g</t>
        </is>
      </c>
      <c r="N2292" t="inlineStr">
        <is>
          <t>Padaria</t>
        </is>
      </c>
      <c r="O2292" t="n">
        <v>3</v>
      </c>
      <c r="P2292" t="n">
        <v>5</v>
      </c>
      <c r="Q2292" t="n">
        <v>3</v>
      </c>
    </row>
    <row r="2293">
      <c r="J2293" t="inlineStr">
        <is>
          <t>A</t>
        </is>
      </c>
      <c r="K2293" t="n">
        <v>2024</v>
      </c>
      <c r="L2293" t="n">
        <v>6</v>
      </c>
      <c r="M2293" t="inlineStr">
        <is>
          <t>Composto lácteo Merilú 400 g</t>
        </is>
      </c>
      <c r="N2293" t="inlineStr">
        <is>
          <t>Padaria</t>
        </is>
      </c>
      <c r="O2293" t="n">
        <v>3</v>
      </c>
      <c r="P2293" t="n">
        <v>5</v>
      </c>
      <c r="Q2293" t="n">
        <v>3</v>
      </c>
    </row>
    <row r="2294">
      <c r="J2294" t="inlineStr">
        <is>
          <t>A</t>
        </is>
      </c>
      <c r="K2294" t="n">
        <v>2024</v>
      </c>
      <c r="L2294" t="n">
        <v>7</v>
      </c>
      <c r="M2294" t="inlineStr">
        <is>
          <t>Composto lácteo Merilú 400 g</t>
        </is>
      </c>
      <c r="N2294" t="inlineStr">
        <is>
          <t>Padaria</t>
        </is>
      </c>
      <c r="O2294" t="n">
        <v>3</v>
      </c>
      <c r="P2294" t="n">
        <v>8</v>
      </c>
      <c r="Q2294" t="n">
        <v>3</v>
      </c>
    </row>
    <row r="2295">
      <c r="J2295" t="inlineStr">
        <is>
          <t>M</t>
        </is>
      </c>
      <c r="K2295" t="n">
        <v>2024</v>
      </c>
      <c r="L2295" t="n">
        <v>7</v>
      </c>
      <c r="M2295" t="inlineStr">
        <is>
          <t>Composto lácteo Merilú 400 g</t>
        </is>
      </c>
      <c r="N2295" t="inlineStr">
        <is>
          <t>Padaria</t>
        </is>
      </c>
      <c r="O2295" t="n">
        <v>1</v>
      </c>
      <c r="P2295" t="n">
        <v>3</v>
      </c>
      <c r="Q2295" t="n">
        <v>0</v>
      </c>
    </row>
    <row r="2296">
      <c r="J2296" t="inlineStr">
        <is>
          <t>A</t>
        </is>
      </c>
      <c r="K2296" t="n">
        <v>2024</v>
      </c>
      <c r="L2296" t="n">
        <v>8</v>
      </c>
      <c r="M2296" t="inlineStr">
        <is>
          <t>Composto lácteo Merilú 400 g</t>
        </is>
      </c>
      <c r="N2296" t="inlineStr">
        <is>
          <t>Padaria</t>
        </is>
      </c>
      <c r="O2296" t="n">
        <v>3</v>
      </c>
      <c r="P2296" t="n">
        <v>13</v>
      </c>
      <c r="Q2296" t="n">
        <v>3</v>
      </c>
    </row>
    <row r="2297">
      <c r="J2297" t="inlineStr">
        <is>
          <t>M</t>
        </is>
      </c>
      <c r="K2297" t="n">
        <v>2024</v>
      </c>
      <c r="L2297" t="n">
        <v>8</v>
      </c>
      <c r="M2297" t="inlineStr">
        <is>
          <t>Composto lácteo Merilú 400 g</t>
        </is>
      </c>
      <c r="N2297" t="inlineStr">
        <is>
          <t>Padaria</t>
        </is>
      </c>
      <c r="O2297" t="n">
        <v>1</v>
      </c>
      <c r="P2297" t="n">
        <v>5</v>
      </c>
      <c r="Q2297" t="n">
        <v>0</v>
      </c>
    </row>
    <row r="2298">
      <c r="J2298" t="inlineStr">
        <is>
          <t>A</t>
        </is>
      </c>
      <c r="K2298" t="n">
        <v>2024</v>
      </c>
      <c r="L2298" t="n">
        <v>9</v>
      </c>
      <c r="M2298" t="inlineStr">
        <is>
          <t>Composto lácteo Merilú 400 g</t>
        </is>
      </c>
      <c r="N2298" t="inlineStr">
        <is>
          <t>Padaria</t>
        </is>
      </c>
      <c r="O2298" t="n">
        <v>3</v>
      </c>
      <c r="P2298" t="n">
        <v>16</v>
      </c>
      <c r="Q2298" t="n">
        <v>3</v>
      </c>
    </row>
    <row r="2299">
      <c r="J2299" t="inlineStr">
        <is>
          <t>M</t>
        </is>
      </c>
      <c r="K2299" t="n">
        <v>2024</v>
      </c>
      <c r="L2299" t="n">
        <v>9</v>
      </c>
      <c r="M2299" t="inlineStr">
        <is>
          <t>Composto lácteo Merilú 400 g</t>
        </is>
      </c>
      <c r="N2299" t="inlineStr">
        <is>
          <t>Padaria</t>
        </is>
      </c>
      <c r="O2299" t="n">
        <v>1</v>
      </c>
      <c r="P2299" t="n">
        <v>3</v>
      </c>
      <c r="Q2299" t="n">
        <v>0</v>
      </c>
    </row>
    <row r="2300">
      <c r="J2300" t="inlineStr">
        <is>
          <t>A</t>
        </is>
      </c>
      <c r="K2300" t="n">
        <v>2024</v>
      </c>
      <c r="L2300" t="n">
        <v>10</v>
      </c>
      <c r="M2300" t="inlineStr">
        <is>
          <t>Composto lácteo Merilú 400 g</t>
        </is>
      </c>
      <c r="N2300" t="inlineStr">
        <is>
          <t>Padaria</t>
        </is>
      </c>
      <c r="O2300" t="n">
        <v>3</v>
      </c>
      <c r="P2300" t="n">
        <v>20</v>
      </c>
      <c r="Q2300" t="n">
        <v>3</v>
      </c>
    </row>
    <row r="2301">
      <c r="J2301" t="inlineStr">
        <is>
          <t>M</t>
        </is>
      </c>
      <c r="K2301" t="n">
        <v>2024</v>
      </c>
      <c r="L2301" t="n">
        <v>10</v>
      </c>
      <c r="M2301" t="inlineStr">
        <is>
          <t>Composto lácteo Merilú 400 g</t>
        </is>
      </c>
      <c r="N2301" t="inlineStr">
        <is>
          <t>Padaria</t>
        </is>
      </c>
      <c r="O2301" t="n">
        <v>1</v>
      </c>
      <c r="P2301" t="n">
        <v>4</v>
      </c>
      <c r="Q2301" t="n">
        <v>0</v>
      </c>
    </row>
    <row r="2302">
      <c r="J2302" t="inlineStr">
        <is>
          <t>A</t>
        </is>
      </c>
      <c r="K2302" t="n">
        <v>2024</v>
      </c>
      <c r="L2302" t="n">
        <v>11</v>
      </c>
      <c r="M2302" t="inlineStr">
        <is>
          <t>Composto lácteo Merilú 400 g</t>
        </is>
      </c>
      <c r="N2302" t="inlineStr">
        <is>
          <t>Padaria</t>
        </is>
      </c>
      <c r="O2302" t="n">
        <v>3</v>
      </c>
      <c r="P2302" t="n">
        <v>21</v>
      </c>
      <c r="Q2302" t="n">
        <v>3</v>
      </c>
    </row>
    <row r="2303">
      <c r="J2303" t="inlineStr">
        <is>
          <t>M</t>
        </is>
      </c>
      <c r="K2303" t="n">
        <v>2024</v>
      </c>
      <c r="L2303" t="n">
        <v>11</v>
      </c>
      <c r="M2303" t="inlineStr">
        <is>
          <t>Composto lácteo Merilú 400 g</t>
        </is>
      </c>
      <c r="N2303" t="inlineStr">
        <is>
          <t>Padaria</t>
        </is>
      </c>
      <c r="O2303" t="n">
        <v>1</v>
      </c>
      <c r="P2303" t="n">
        <v>1</v>
      </c>
      <c r="Q2303" t="n">
        <v>0</v>
      </c>
    </row>
    <row r="2304">
      <c r="J2304" t="inlineStr">
        <is>
          <t>A</t>
        </is>
      </c>
      <c r="K2304" t="n">
        <v>2024</v>
      </c>
      <c r="L2304" t="n">
        <v>12</v>
      </c>
      <c r="M2304" t="inlineStr">
        <is>
          <t>Composto lácteo Merilú 400 g</t>
        </is>
      </c>
      <c r="N2304" t="inlineStr">
        <is>
          <t>Padaria</t>
        </is>
      </c>
      <c r="O2304" t="n">
        <v>4</v>
      </c>
      <c r="P2304" t="n">
        <v>24</v>
      </c>
      <c r="Q2304" t="n">
        <v>4</v>
      </c>
    </row>
    <row r="2305">
      <c r="J2305" t="inlineStr">
        <is>
          <t>M</t>
        </is>
      </c>
      <c r="K2305" t="n">
        <v>2024</v>
      </c>
      <c r="L2305" t="n">
        <v>12</v>
      </c>
      <c r="M2305" t="inlineStr">
        <is>
          <t>Composto lácteo Merilú 400 g</t>
        </is>
      </c>
      <c r="N2305" t="inlineStr">
        <is>
          <t>Padaria</t>
        </is>
      </c>
      <c r="O2305" t="n">
        <v>2</v>
      </c>
      <c r="P2305" t="n">
        <v>3</v>
      </c>
      <c r="Q2305" t="n">
        <v>0</v>
      </c>
    </row>
    <row r="2306">
      <c r="J2306" t="inlineStr">
        <is>
          <t>A</t>
        </is>
      </c>
      <c r="K2306" t="n">
        <v>2024</v>
      </c>
      <c r="L2306" t="n">
        <v>4</v>
      </c>
      <c r="M2306" t="inlineStr">
        <is>
          <t>Composto lácteo Merilú 400 g</t>
        </is>
      </c>
      <c r="N2306" t="inlineStr">
        <is>
          <t>Supermercado</t>
        </is>
      </c>
      <c r="O2306" t="n">
        <v>1</v>
      </c>
      <c r="P2306" t="n">
        <v>1</v>
      </c>
      <c r="Q2306" t="n">
        <v>1</v>
      </c>
    </row>
    <row r="2307">
      <c r="J2307" t="inlineStr">
        <is>
          <t>M</t>
        </is>
      </c>
      <c r="K2307" t="n">
        <v>2024</v>
      </c>
      <c r="L2307" t="n">
        <v>4</v>
      </c>
      <c r="M2307" t="inlineStr">
        <is>
          <t>Composto lácteo Merilú 400 g</t>
        </is>
      </c>
      <c r="N2307" t="inlineStr">
        <is>
          <t>Supermercado</t>
        </is>
      </c>
      <c r="O2307" t="n">
        <v>1</v>
      </c>
      <c r="P2307" t="n">
        <v>1</v>
      </c>
      <c r="Q2307" t="n">
        <v>0</v>
      </c>
    </row>
    <row r="2308">
      <c r="J2308" t="inlineStr">
        <is>
          <t>A</t>
        </is>
      </c>
      <c r="K2308" t="n">
        <v>2024</v>
      </c>
      <c r="L2308" t="n">
        <v>5</v>
      </c>
      <c r="M2308" t="inlineStr">
        <is>
          <t>Composto lácteo Merilú 400 g</t>
        </is>
      </c>
      <c r="N2308" t="inlineStr">
        <is>
          <t>Supermercado</t>
        </is>
      </c>
      <c r="O2308" t="n">
        <v>1</v>
      </c>
      <c r="P2308" t="n">
        <v>1</v>
      </c>
      <c r="Q2308" t="n">
        <v>1</v>
      </c>
    </row>
    <row r="2309">
      <c r="J2309" t="inlineStr">
        <is>
          <t>A</t>
        </is>
      </c>
      <c r="K2309" t="n">
        <v>2024</v>
      </c>
      <c r="L2309" t="n">
        <v>6</v>
      </c>
      <c r="M2309" t="inlineStr">
        <is>
          <t>Composto lácteo Merilú 400 g</t>
        </is>
      </c>
      <c r="N2309" t="inlineStr">
        <is>
          <t>Supermercado</t>
        </is>
      </c>
      <c r="O2309" t="n">
        <v>1</v>
      </c>
      <c r="P2309" t="n">
        <v>1</v>
      </c>
      <c r="Q2309" t="n">
        <v>1</v>
      </c>
    </row>
    <row r="2310">
      <c r="J2310" t="inlineStr">
        <is>
          <t>A</t>
        </is>
      </c>
      <c r="K2310" t="n">
        <v>2024</v>
      </c>
      <c r="L2310" t="n">
        <v>7</v>
      </c>
      <c r="M2310" t="inlineStr">
        <is>
          <t>Composto lácteo Merilú 400 g</t>
        </is>
      </c>
      <c r="N2310" t="inlineStr">
        <is>
          <t>Supermercado</t>
        </is>
      </c>
      <c r="O2310" t="n">
        <v>1</v>
      </c>
      <c r="P2310" t="n">
        <v>2</v>
      </c>
      <c r="Q2310" t="n">
        <v>1</v>
      </c>
    </row>
    <row r="2311">
      <c r="J2311" t="inlineStr">
        <is>
          <t>M</t>
        </is>
      </c>
      <c r="K2311" t="n">
        <v>2024</v>
      </c>
      <c r="L2311" t="n">
        <v>7</v>
      </c>
      <c r="M2311" t="inlineStr">
        <is>
          <t>Composto lácteo Merilú 400 g</t>
        </is>
      </c>
      <c r="N2311" t="inlineStr">
        <is>
          <t>Supermercado</t>
        </is>
      </c>
      <c r="O2311" t="n">
        <v>1</v>
      </c>
      <c r="P2311" t="n">
        <v>1</v>
      </c>
      <c r="Q2311" t="n">
        <v>0</v>
      </c>
    </row>
    <row r="2312">
      <c r="J2312" t="inlineStr">
        <is>
          <t>A</t>
        </is>
      </c>
      <c r="K2312" t="n">
        <v>2024</v>
      </c>
      <c r="L2312" t="n">
        <v>8</v>
      </c>
      <c r="M2312" t="inlineStr">
        <is>
          <t>Composto lácteo Merilú 400 g</t>
        </is>
      </c>
      <c r="N2312" t="inlineStr">
        <is>
          <t>Supermercado</t>
        </is>
      </c>
      <c r="O2312" t="n">
        <v>1</v>
      </c>
      <c r="P2312" t="n">
        <v>3</v>
      </c>
      <c r="Q2312" t="n">
        <v>1</v>
      </c>
    </row>
    <row r="2313">
      <c r="J2313" t="inlineStr">
        <is>
          <t>M</t>
        </is>
      </c>
      <c r="K2313" t="n">
        <v>2024</v>
      </c>
      <c r="L2313" t="n">
        <v>8</v>
      </c>
      <c r="M2313" t="inlineStr">
        <is>
          <t>Composto lácteo Merilú 400 g</t>
        </is>
      </c>
      <c r="N2313" t="inlineStr">
        <is>
          <t>Supermercado</t>
        </is>
      </c>
      <c r="O2313" t="n">
        <v>1</v>
      </c>
      <c r="P2313" t="n">
        <v>1</v>
      </c>
      <c r="Q2313" t="n">
        <v>0</v>
      </c>
    </row>
    <row r="2314">
      <c r="J2314" t="inlineStr">
        <is>
          <t>A</t>
        </is>
      </c>
      <c r="K2314" t="n">
        <v>2024</v>
      </c>
      <c r="L2314" t="n">
        <v>9</v>
      </c>
      <c r="M2314" t="inlineStr">
        <is>
          <t>Composto lácteo Merilú 400 g</t>
        </is>
      </c>
      <c r="N2314" t="inlineStr">
        <is>
          <t>Supermercado</t>
        </is>
      </c>
      <c r="O2314" t="n">
        <v>1</v>
      </c>
      <c r="P2314" t="n">
        <v>3</v>
      </c>
      <c r="Q2314" t="n">
        <v>1</v>
      </c>
    </row>
    <row r="2315">
      <c r="J2315" t="inlineStr">
        <is>
          <t>A</t>
        </is>
      </c>
      <c r="K2315" t="n">
        <v>2024</v>
      </c>
      <c r="L2315" t="n">
        <v>10</v>
      </c>
      <c r="M2315" t="inlineStr">
        <is>
          <t>Composto lácteo Merilú 400 g</t>
        </is>
      </c>
      <c r="N2315" t="inlineStr">
        <is>
          <t>Supermercado</t>
        </is>
      </c>
      <c r="O2315" t="n">
        <v>1</v>
      </c>
      <c r="P2315" t="n">
        <v>3</v>
      </c>
      <c r="Q2315" t="n">
        <v>1</v>
      </c>
    </row>
    <row r="2316">
      <c r="J2316" t="inlineStr">
        <is>
          <t>A</t>
        </is>
      </c>
      <c r="K2316" t="n">
        <v>2024</v>
      </c>
      <c r="L2316" t="n">
        <v>11</v>
      </c>
      <c r="M2316" t="inlineStr">
        <is>
          <t>Composto lácteo Merilú 400 g</t>
        </is>
      </c>
      <c r="N2316" t="inlineStr">
        <is>
          <t>Supermercado</t>
        </is>
      </c>
      <c r="O2316" t="n">
        <v>1</v>
      </c>
      <c r="P2316" t="n">
        <v>4</v>
      </c>
      <c r="Q2316" t="n">
        <v>1</v>
      </c>
    </row>
    <row r="2317">
      <c r="J2317" t="inlineStr">
        <is>
          <t>M</t>
        </is>
      </c>
      <c r="K2317" t="n">
        <v>2024</v>
      </c>
      <c r="L2317" t="n">
        <v>11</v>
      </c>
      <c r="M2317" t="inlineStr">
        <is>
          <t>Composto lácteo Merilú 400 g</t>
        </is>
      </c>
      <c r="N2317" t="inlineStr">
        <is>
          <t>Supermercado</t>
        </is>
      </c>
      <c r="O2317" t="n">
        <v>1</v>
      </c>
      <c r="P2317" t="n">
        <v>1</v>
      </c>
      <c r="Q2317" t="n">
        <v>0</v>
      </c>
    </row>
    <row r="2318">
      <c r="J2318" t="inlineStr">
        <is>
          <t>A</t>
        </is>
      </c>
      <c r="K2318" t="n">
        <v>2024</v>
      </c>
      <c r="L2318" t="n">
        <v>12</v>
      </c>
      <c r="M2318" t="inlineStr">
        <is>
          <t>Composto lácteo Merilú 400 g</t>
        </is>
      </c>
      <c r="N2318" t="inlineStr">
        <is>
          <t>Supermercado</t>
        </is>
      </c>
      <c r="O2318" t="n">
        <v>2</v>
      </c>
      <c r="P2318" t="n">
        <v>6</v>
      </c>
      <c r="Q2318" t="n">
        <v>2</v>
      </c>
    </row>
    <row r="2319">
      <c r="J2319" t="inlineStr">
        <is>
          <t>M</t>
        </is>
      </c>
      <c r="K2319" t="n">
        <v>2024</v>
      </c>
      <c r="L2319" t="n">
        <v>12</v>
      </c>
      <c r="M2319" t="inlineStr">
        <is>
          <t>Composto lácteo Merilú 400 g</t>
        </is>
      </c>
      <c r="N2319" t="inlineStr">
        <is>
          <t>Supermercado</t>
        </is>
      </c>
      <c r="O2319" t="n">
        <v>2</v>
      </c>
      <c r="P2319" t="n">
        <v>2</v>
      </c>
      <c r="Q2319" t="n">
        <v>0</v>
      </c>
    </row>
    <row r="2320">
      <c r="J2320" t="inlineStr">
        <is>
          <t>A</t>
        </is>
      </c>
      <c r="K2320" t="n">
        <v>2024</v>
      </c>
      <c r="L2320" t="n">
        <v>3</v>
      </c>
      <c r="M2320" t="inlineStr">
        <is>
          <t>Composto lácteo Merilú 400 g</t>
        </is>
      </c>
      <c r="N2320" t="inlineStr">
        <is>
          <t>Mercearia / Sacolão</t>
        </is>
      </c>
      <c r="O2320" t="n">
        <v>1</v>
      </c>
      <c r="P2320" t="n">
        <v>1</v>
      </c>
      <c r="Q2320" t="n">
        <v>1</v>
      </c>
    </row>
    <row r="2321">
      <c r="J2321" t="inlineStr">
        <is>
          <t>M</t>
        </is>
      </c>
      <c r="K2321" t="n">
        <v>2024</v>
      </c>
      <c r="L2321" t="n">
        <v>3</v>
      </c>
      <c r="M2321" t="inlineStr">
        <is>
          <t>Composto lácteo Merilú 400 g</t>
        </is>
      </c>
      <c r="N2321" t="inlineStr">
        <is>
          <t>Mercearia / Sacolão</t>
        </is>
      </c>
      <c r="O2321" t="n">
        <v>1</v>
      </c>
      <c r="P2321" t="n">
        <v>1</v>
      </c>
      <c r="Q2321" t="n">
        <v>0</v>
      </c>
    </row>
    <row r="2322">
      <c r="J2322" t="inlineStr">
        <is>
          <t>A</t>
        </is>
      </c>
      <c r="K2322" t="n">
        <v>2024</v>
      </c>
      <c r="L2322" t="n">
        <v>4</v>
      </c>
      <c r="M2322" t="inlineStr">
        <is>
          <t>Composto lácteo Merilú 400 g</t>
        </is>
      </c>
      <c r="N2322" t="inlineStr">
        <is>
          <t>Mercearia / Sacolão</t>
        </is>
      </c>
      <c r="O2322" t="n">
        <v>1</v>
      </c>
      <c r="P2322" t="n">
        <v>2</v>
      </c>
      <c r="Q2322" t="n">
        <v>1</v>
      </c>
    </row>
    <row r="2323">
      <c r="J2323" t="inlineStr">
        <is>
          <t>M</t>
        </is>
      </c>
      <c r="K2323" t="n">
        <v>2024</v>
      </c>
      <c r="L2323" t="n">
        <v>4</v>
      </c>
      <c r="M2323" t="inlineStr">
        <is>
          <t>Composto lácteo Merilú 400 g</t>
        </is>
      </c>
      <c r="N2323" t="inlineStr">
        <is>
          <t>Mercearia / Sacolão</t>
        </is>
      </c>
      <c r="O2323" t="n">
        <v>1</v>
      </c>
      <c r="P2323" t="n">
        <v>1</v>
      </c>
      <c r="Q2323" t="n">
        <v>0</v>
      </c>
    </row>
    <row r="2324">
      <c r="J2324" t="inlineStr">
        <is>
          <t>A</t>
        </is>
      </c>
      <c r="K2324" t="n">
        <v>2024</v>
      </c>
      <c r="L2324" t="n">
        <v>5</v>
      </c>
      <c r="M2324" t="inlineStr">
        <is>
          <t>Composto lácteo Merilú 400 g</t>
        </is>
      </c>
      <c r="N2324" t="inlineStr">
        <is>
          <t>Mercearia / Sacolão</t>
        </is>
      </c>
      <c r="O2324" t="n">
        <v>1</v>
      </c>
      <c r="P2324" t="n">
        <v>2</v>
      </c>
      <c r="Q2324" t="n">
        <v>1</v>
      </c>
    </row>
    <row r="2325">
      <c r="J2325" t="inlineStr">
        <is>
          <t>A</t>
        </is>
      </c>
      <c r="K2325" t="n">
        <v>2024</v>
      </c>
      <c r="L2325" t="n">
        <v>6</v>
      </c>
      <c r="M2325" t="inlineStr">
        <is>
          <t>Composto lácteo Merilú 400 g</t>
        </is>
      </c>
      <c r="N2325" t="inlineStr">
        <is>
          <t>Mercearia / Sacolão</t>
        </is>
      </c>
      <c r="O2325" t="n">
        <v>1</v>
      </c>
      <c r="P2325" t="n">
        <v>2</v>
      </c>
      <c r="Q2325" t="n">
        <v>1</v>
      </c>
    </row>
    <row r="2326">
      <c r="J2326" t="inlineStr">
        <is>
          <t>A</t>
        </is>
      </c>
      <c r="K2326" t="n">
        <v>2024</v>
      </c>
      <c r="L2326" t="n">
        <v>7</v>
      </c>
      <c r="M2326" t="inlineStr">
        <is>
          <t>Composto lácteo Merilú 400 g</t>
        </is>
      </c>
      <c r="N2326" t="inlineStr">
        <is>
          <t>Mercearia / Sacolão</t>
        </is>
      </c>
      <c r="O2326" t="n">
        <v>1</v>
      </c>
      <c r="P2326" t="n">
        <v>2</v>
      </c>
      <c r="Q2326" t="n">
        <v>1</v>
      </c>
    </row>
    <row r="2327">
      <c r="J2327" t="inlineStr">
        <is>
          <t>A</t>
        </is>
      </c>
      <c r="K2327" t="n">
        <v>2024</v>
      </c>
      <c r="L2327" t="n">
        <v>8</v>
      </c>
      <c r="M2327" t="inlineStr">
        <is>
          <t>Composto lácteo Merilú 400 g</t>
        </is>
      </c>
      <c r="N2327" t="inlineStr">
        <is>
          <t>Mercearia / Sacolão</t>
        </is>
      </c>
      <c r="O2327" t="n">
        <v>1</v>
      </c>
      <c r="P2327" t="n">
        <v>2</v>
      </c>
      <c r="Q2327" t="n">
        <v>1</v>
      </c>
    </row>
    <row r="2328">
      <c r="J2328" t="inlineStr">
        <is>
          <t>A</t>
        </is>
      </c>
      <c r="K2328" t="n">
        <v>2024</v>
      </c>
      <c r="L2328" t="n">
        <v>9</v>
      </c>
      <c r="M2328" t="inlineStr">
        <is>
          <t>Composto lácteo Merilú 400 g</t>
        </is>
      </c>
      <c r="N2328" t="inlineStr">
        <is>
          <t>Mercearia / Sacolão</t>
        </is>
      </c>
      <c r="O2328" t="n">
        <v>2</v>
      </c>
      <c r="P2328" t="n">
        <v>3</v>
      </c>
      <c r="Q2328" t="n">
        <v>2</v>
      </c>
    </row>
    <row r="2329">
      <c r="J2329" t="inlineStr">
        <is>
          <t>M</t>
        </is>
      </c>
      <c r="K2329" t="n">
        <v>2024</v>
      </c>
      <c r="L2329" t="n">
        <v>9</v>
      </c>
      <c r="M2329" t="inlineStr">
        <is>
          <t>Composto lácteo Merilú 400 g</t>
        </is>
      </c>
      <c r="N2329" t="inlineStr">
        <is>
          <t>Mercearia / Sacolão</t>
        </is>
      </c>
      <c r="O2329" t="n">
        <v>1</v>
      </c>
      <c r="P2329" t="n">
        <v>1</v>
      </c>
      <c r="Q2329" t="n">
        <v>0</v>
      </c>
    </row>
    <row r="2330">
      <c r="J2330" t="inlineStr">
        <is>
          <t>A</t>
        </is>
      </c>
      <c r="K2330" t="n">
        <v>2024</v>
      </c>
      <c r="L2330" t="n">
        <v>10</v>
      </c>
      <c r="M2330" t="inlineStr">
        <is>
          <t>Composto lácteo Merilú 400 g</t>
        </is>
      </c>
      <c r="N2330" t="inlineStr">
        <is>
          <t>Mercearia / Sacolão</t>
        </is>
      </c>
      <c r="O2330" t="n">
        <v>2</v>
      </c>
      <c r="P2330" t="n">
        <v>3</v>
      </c>
      <c r="Q2330" t="n">
        <v>2</v>
      </c>
    </row>
    <row r="2331">
      <c r="J2331" t="inlineStr">
        <is>
          <t>A</t>
        </is>
      </c>
      <c r="K2331" t="n">
        <v>2024</v>
      </c>
      <c r="L2331" t="n">
        <v>11</v>
      </c>
      <c r="M2331" t="inlineStr">
        <is>
          <t>Composto lácteo Merilú 400 g</t>
        </is>
      </c>
      <c r="N2331" t="inlineStr">
        <is>
          <t>Mercearia / Sacolão</t>
        </is>
      </c>
      <c r="O2331" t="n">
        <v>2</v>
      </c>
      <c r="P2331" t="n">
        <v>3</v>
      </c>
      <c r="Q2331" t="n">
        <v>2</v>
      </c>
    </row>
    <row r="2332">
      <c r="J2332" t="inlineStr">
        <is>
          <t>A</t>
        </is>
      </c>
      <c r="K2332" t="n">
        <v>2024</v>
      </c>
      <c r="L2332" t="n">
        <v>12</v>
      </c>
      <c r="M2332" t="inlineStr">
        <is>
          <t>Composto lácteo Merilú 400 g</t>
        </is>
      </c>
      <c r="N2332" t="inlineStr">
        <is>
          <t>Mercearia / Sacolão</t>
        </is>
      </c>
      <c r="O2332" t="n">
        <v>2</v>
      </c>
      <c r="P2332" t="n">
        <v>3</v>
      </c>
      <c r="Q2332" t="n">
        <v>2</v>
      </c>
    </row>
    <row r="2333">
      <c r="J2333" t="inlineStr">
        <is>
          <t>A</t>
        </is>
      </c>
      <c r="K2333" t="n">
        <v>2024</v>
      </c>
      <c r="L2333" t="n">
        <v>4</v>
      </c>
      <c r="M2333" t="inlineStr">
        <is>
          <t>Composto lácteo Merilú 400 g</t>
        </is>
      </c>
      <c r="N2333" t="inlineStr">
        <is>
          <t>Hotel / Motel / Pousada</t>
        </is>
      </c>
      <c r="O2333" t="n">
        <v>1</v>
      </c>
      <c r="P2333" t="n">
        <v>2</v>
      </c>
      <c r="Q2333" t="n">
        <v>1</v>
      </c>
    </row>
    <row r="2334">
      <c r="J2334" t="inlineStr">
        <is>
          <t>M</t>
        </is>
      </c>
      <c r="K2334" t="n">
        <v>2024</v>
      </c>
      <c r="L2334" t="n">
        <v>4</v>
      </c>
      <c r="M2334" t="inlineStr">
        <is>
          <t>Composto lácteo Merilú 400 g</t>
        </is>
      </c>
      <c r="N2334" t="inlineStr">
        <is>
          <t>Hotel / Motel / Pousada</t>
        </is>
      </c>
      <c r="O2334" t="n">
        <v>1</v>
      </c>
      <c r="P2334" t="n">
        <v>2</v>
      </c>
      <c r="Q2334" t="n">
        <v>0</v>
      </c>
    </row>
    <row r="2335">
      <c r="J2335" t="inlineStr">
        <is>
          <t>A</t>
        </is>
      </c>
      <c r="K2335" t="n">
        <v>2024</v>
      </c>
      <c r="L2335" t="n">
        <v>5</v>
      </c>
      <c r="M2335" t="inlineStr">
        <is>
          <t>Composto lácteo Merilú 400 g</t>
        </is>
      </c>
      <c r="N2335" t="inlineStr">
        <is>
          <t>Hotel / Motel / Pousada</t>
        </is>
      </c>
      <c r="O2335" t="n">
        <v>1</v>
      </c>
      <c r="P2335" t="n">
        <v>2</v>
      </c>
      <c r="Q2335" t="n">
        <v>1</v>
      </c>
    </row>
    <row r="2336">
      <c r="J2336" t="inlineStr">
        <is>
          <t>A</t>
        </is>
      </c>
      <c r="K2336" t="n">
        <v>2024</v>
      </c>
      <c r="L2336" t="n">
        <v>6</v>
      </c>
      <c r="M2336" t="inlineStr">
        <is>
          <t>Composto lácteo Merilú 400 g</t>
        </is>
      </c>
      <c r="N2336" t="inlineStr">
        <is>
          <t>Hotel / Motel / Pousada</t>
        </is>
      </c>
      <c r="O2336" t="n">
        <v>2</v>
      </c>
      <c r="P2336" t="n">
        <v>3</v>
      </c>
      <c r="Q2336" t="n">
        <v>2</v>
      </c>
    </row>
    <row r="2337">
      <c r="J2337" t="inlineStr">
        <is>
          <t>M</t>
        </is>
      </c>
      <c r="K2337" t="n">
        <v>2024</v>
      </c>
      <c r="L2337" t="n">
        <v>6</v>
      </c>
      <c r="M2337" t="inlineStr">
        <is>
          <t>Composto lácteo Merilú 400 g</t>
        </is>
      </c>
      <c r="N2337" t="inlineStr">
        <is>
          <t>Hotel / Motel / Pousada</t>
        </is>
      </c>
      <c r="O2337" t="n">
        <v>1</v>
      </c>
      <c r="P2337" t="n">
        <v>1</v>
      </c>
      <c r="Q2337" t="n">
        <v>0</v>
      </c>
    </row>
    <row r="2338">
      <c r="J2338" t="inlineStr">
        <is>
          <t>A</t>
        </is>
      </c>
      <c r="K2338" t="n">
        <v>2024</v>
      </c>
      <c r="L2338" t="n">
        <v>7</v>
      </c>
      <c r="M2338" t="inlineStr">
        <is>
          <t>Composto lácteo Merilú 400 g</t>
        </is>
      </c>
      <c r="N2338" t="inlineStr">
        <is>
          <t>Hotel / Motel / Pousada</t>
        </is>
      </c>
      <c r="O2338" t="n">
        <v>2</v>
      </c>
      <c r="P2338" t="n">
        <v>3</v>
      </c>
      <c r="Q2338" t="n">
        <v>2</v>
      </c>
    </row>
    <row r="2339">
      <c r="J2339" t="inlineStr">
        <is>
          <t>A</t>
        </is>
      </c>
      <c r="K2339" t="n">
        <v>2024</v>
      </c>
      <c r="L2339" t="n">
        <v>8</v>
      </c>
      <c r="M2339" t="inlineStr">
        <is>
          <t>Composto lácteo Merilú 400 g</t>
        </is>
      </c>
      <c r="N2339" t="inlineStr">
        <is>
          <t>Hotel / Motel / Pousada</t>
        </is>
      </c>
      <c r="O2339" t="n">
        <v>2</v>
      </c>
      <c r="P2339" t="n">
        <v>3</v>
      </c>
      <c r="Q2339" t="n">
        <v>2</v>
      </c>
    </row>
    <row r="2340">
      <c r="J2340" t="inlineStr">
        <is>
          <t>A</t>
        </is>
      </c>
      <c r="K2340" t="n">
        <v>2024</v>
      </c>
      <c r="L2340" t="n">
        <v>9</v>
      </c>
      <c r="M2340" t="inlineStr">
        <is>
          <t>Composto lácteo Merilú 400 g</t>
        </is>
      </c>
      <c r="N2340" t="inlineStr">
        <is>
          <t>Hotel / Motel / Pousada</t>
        </is>
      </c>
      <c r="O2340" t="n">
        <v>2</v>
      </c>
      <c r="P2340" t="n">
        <v>3</v>
      </c>
      <c r="Q2340" t="n">
        <v>2</v>
      </c>
    </row>
    <row r="2341">
      <c r="J2341" t="inlineStr">
        <is>
          <t>A</t>
        </is>
      </c>
      <c r="K2341" t="n">
        <v>2024</v>
      </c>
      <c r="L2341" t="n">
        <v>10</v>
      </c>
      <c r="M2341" t="inlineStr">
        <is>
          <t>Composto lácteo Merilú 400 g</t>
        </is>
      </c>
      <c r="N2341" t="inlineStr">
        <is>
          <t>Hotel / Motel / Pousada</t>
        </is>
      </c>
      <c r="O2341" t="n">
        <v>2</v>
      </c>
      <c r="P2341" t="n">
        <v>3</v>
      </c>
      <c r="Q2341" t="n">
        <v>2</v>
      </c>
    </row>
    <row r="2342">
      <c r="J2342" t="inlineStr">
        <is>
          <t>A</t>
        </is>
      </c>
      <c r="K2342" t="n">
        <v>2024</v>
      </c>
      <c r="L2342" t="n">
        <v>11</v>
      </c>
      <c r="M2342" t="inlineStr">
        <is>
          <t>Composto lácteo Merilú 400 g</t>
        </is>
      </c>
      <c r="N2342" t="inlineStr">
        <is>
          <t>Hotel / Motel / Pousada</t>
        </is>
      </c>
      <c r="O2342" t="n">
        <v>2</v>
      </c>
      <c r="P2342" t="n">
        <v>3</v>
      </c>
      <c r="Q2342" t="n">
        <v>2</v>
      </c>
    </row>
    <row r="2343">
      <c r="J2343" t="inlineStr">
        <is>
          <t>A</t>
        </is>
      </c>
      <c r="K2343" t="n">
        <v>2024</v>
      </c>
      <c r="L2343" t="n">
        <v>12</v>
      </c>
      <c r="M2343" t="inlineStr">
        <is>
          <t>Composto lácteo Merilú 400 g</t>
        </is>
      </c>
      <c r="N2343" t="inlineStr">
        <is>
          <t>Hotel / Motel / Pousada</t>
        </is>
      </c>
      <c r="O2343" t="n">
        <v>2</v>
      </c>
      <c r="P2343" t="n">
        <v>3</v>
      </c>
      <c r="Q2343" t="n">
        <v>2</v>
      </c>
    </row>
    <row r="2344">
      <c r="J2344" t="inlineStr">
        <is>
          <t>A</t>
        </is>
      </c>
      <c r="K2344" t="n">
        <v>2024</v>
      </c>
      <c r="L2344" t="n">
        <v>1</v>
      </c>
      <c r="M2344" t="inlineStr">
        <is>
          <t>Composto lácteo Merilú 400 g</t>
        </is>
      </c>
      <c r="N2344" t="inlineStr">
        <is>
          <t>Hamburgueria</t>
        </is>
      </c>
      <c r="O2344" t="n">
        <v>1</v>
      </c>
      <c r="P2344" t="n">
        <v>3</v>
      </c>
      <c r="Q2344" t="n">
        <v>1</v>
      </c>
    </row>
    <row r="2345">
      <c r="J2345" t="inlineStr">
        <is>
          <t>M</t>
        </is>
      </c>
      <c r="K2345" t="n">
        <v>2024</v>
      </c>
      <c r="L2345" t="n">
        <v>1</v>
      </c>
      <c r="M2345" t="inlineStr">
        <is>
          <t>Composto lácteo Merilú 400 g</t>
        </is>
      </c>
      <c r="N2345" t="inlineStr">
        <is>
          <t>Hamburgueria</t>
        </is>
      </c>
      <c r="O2345" t="n">
        <v>1</v>
      </c>
      <c r="P2345" t="n">
        <v>3</v>
      </c>
      <c r="Q2345" t="n">
        <v>0</v>
      </c>
    </row>
    <row r="2346">
      <c r="J2346" t="inlineStr">
        <is>
          <t>A</t>
        </is>
      </c>
      <c r="K2346" t="n">
        <v>2024</v>
      </c>
      <c r="L2346" t="n">
        <v>2</v>
      </c>
      <c r="M2346" t="inlineStr">
        <is>
          <t>Composto lácteo Merilú 400 g</t>
        </is>
      </c>
      <c r="N2346" t="inlineStr">
        <is>
          <t>Hamburgueria</t>
        </is>
      </c>
      <c r="O2346" t="n">
        <v>1</v>
      </c>
      <c r="P2346" t="n">
        <v>4</v>
      </c>
      <c r="Q2346" t="n">
        <v>1</v>
      </c>
    </row>
    <row r="2347">
      <c r="J2347" t="inlineStr">
        <is>
          <t>M</t>
        </is>
      </c>
      <c r="K2347" t="n">
        <v>2024</v>
      </c>
      <c r="L2347" t="n">
        <v>2</v>
      </c>
      <c r="M2347" t="inlineStr">
        <is>
          <t>Composto lácteo Merilú 400 g</t>
        </is>
      </c>
      <c r="N2347" t="inlineStr">
        <is>
          <t>Hamburgueria</t>
        </is>
      </c>
      <c r="O2347" t="n">
        <v>1</v>
      </c>
      <c r="P2347" t="n">
        <v>1</v>
      </c>
      <c r="Q2347" t="n">
        <v>0</v>
      </c>
    </row>
    <row r="2348">
      <c r="J2348" t="inlineStr">
        <is>
          <t>A</t>
        </is>
      </c>
      <c r="K2348" t="n">
        <v>2024</v>
      </c>
      <c r="L2348" t="n">
        <v>3</v>
      </c>
      <c r="M2348" t="inlineStr">
        <is>
          <t>Composto lácteo Merilú 400 g</t>
        </is>
      </c>
      <c r="N2348" t="inlineStr">
        <is>
          <t>Hamburgueria</t>
        </is>
      </c>
      <c r="O2348" t="n">
        <v>1</v>
      </c>
      <c r="P2348" t="n">
        <v>5</v>
      </c>
      <c r="Q2348" t="n">
        <v>1</v>
      </c>
    </row>
    <row r="2349">
      <c r="J2349" t="inlineStr">
        <is>
          <t>M</t>
        </is>
      </c>
      <c r="K2349" t="n">
        <v>2024</v>
      </c>
      <c r="L2349" t="n">
        <v>3</v>
      </c>
      <c r="M2349" t="inlineStr">
        <is>
          <t>Composto lácteo Merilú 400 g</t>
        </is>
      </c>
      <c r="N2349" t="inlineStr">
        <is>
          <t>Hamburgueria</t>
        </is>
      </c>
      <c r="O2349" t="n">
        <v>1</v>
      </c>
      <c r="P2349" t="n">
        <v>1</v>
      </c>
      <c r="Q2349" t="n">
        <v>0</v>
      </c>
    </row>
    <row r="2350">
      <c r="J2350" t="inlineStr">
        <is>
          <t>A</t>
        </is>
      </c>
      <c r="K2350" t="n">
        <v>2024</v>
      </c>
      <c r="L2350" t="n">
        <v>4</v>
      </c>
      <c r="M2350" t="inlineStr">
        <is>
          <t>Composto lácteo Merilú 400 g</t>
        </is>
      </c>
      <c r="N2350" t="inlineStr">
        <is>
          <t>Hamburgueria</t>
        </is>
      </c>
      <c r="O2350" t="n">
        <v>1</v>
      </c>
      <c r="P2350" t="n">
        <v>6</v>
      </c>
      <c r="Q2350" t="n">
        <v>1</v>
      </c>
    </row>
    <row r="2351">
      <c r="J2351" t="inlineStr">
        <is>
          <t>M</t>
        </is>
      </c>
      <c r="K2351" t="n">
        <v>2024</v>
      </c>
      <c r="L2351" t="n">
        <v>4</v>
      </c>
      <c r="M2351" t="inlineStr">
        <is>
          <t>Composto lácteo Merilú 400 g</t>
        </is>
      </c>
      <c r="N2351" t="inlineStr">
        <is>
          <t>Hamburgueria</t>
        </is>
      </c>
      <c r="O2351" t="n">
        <v>1</v>
      </c>
      <c r="P2351" t="n">
        <v>1</v>
      </c>
      <c r="Q2351" t="n">
        <v>0</v>
      </c>
    </row>
    <row r="2352">
      <c r="J2352" t="inlineStr">
        <is>
          <t>A</t>
        </is>
      </c>
      <c r="K2352" t="n">
        <v>2024</v>
      </c>
      <c r="L2352" t="n">
        <v>5</v>
      </c>
      <c r="M2352" t="inlineStr">
        <is>
          <t>Composto lácteo Merilú 400 g</t>
        </is>
      </c>
      <c r="N2352" t="inlineStr">
        <is>
          <t>Hamburgueria</t>
        </is>
      </c>
      <c r="O2352" t="n">
        <v>1</v>
      </c>
      <c r="P2352" t="n">
        <v>6</v>
      </c>
      <c r="Q2352" t="n">
        <v>1</v>
      </c>
    </row>
    <row r="2353">
      <c r="J2353" t="inlineStr">
        <is>
          <t>A</t>
        </is>
      </c>
      <c r="K2353" t="n">
        <v>2024</v>
      </c>
      <c r="L2353" t="n">
        <v>6</v>
      </c>
      <c r="M2353" t="inlineStr">
        <is>
          <t>Composto lácteo Merilú 400 g</t>
        </is>
      </c>
      <c r="N2353" t="inlineStr">
        <is>
          <t>Hamburgueria</t>
        </is>
      </c>
      <c r="O2353" t="n">
        <v>2</v>
      </c>
      <c r="P2353" t="n">
        <v>10</v>
      </c>
      <c r="Q2353" t="n">
        <v>2</v>
      </c>
    </row>
    <row r="2354">
      <c r="J2354" t="inlineStr">
        <is>
          <t>M</t>
        </is>
      </c>
      <c r="K2354" t="n">
        <v>2024</v>
      </c>
      <c r="L2354" t="n">
        <v>6</v>
      </c>
      <c r="M2354" t="inlineStr">
        <is>
          <t>Composto lácteo Merilú 400 g</t>
        </is>
      </c>
      <c r="N2354" t="inlineStr">
        <is>
          <t>Hamburgueria</t>
        </is>
      </c>
      <c r="O2354" t="n">
        <v>2</v>
      </c>
      <c r="P2354" t="n">
        <v>4</v>
      </c>
      <c r="Q2354" t="n">
        <v>0</v>
      </c>
    </row>
    <row r="2355">
      <c r="J2355" t="inlineStr">
        <is>
          <t>A</t>
        </is>
      </c>
      <c r="K2355" t="n">
        <v>2024</v>
      </c>
      <c r="L2355" t="n">
        <v>7</v>
      </c>
      <c r="M2355" t="inlineStr">
        <is>
          <t>Composto lácteo Merilú 400 g</t>
        </is>
      </c>
      <c r="N2355" t="inlineStr">
        <is>
          <t>Hamburgueria</t>
        </is>
      </c>
      <c r="O2355" t="n">
        <v>2</v>
      </c>
      <c r="P2355" t="n">
        <v>12</v>
      </c>
      <c r="Q2355" t="n">
        <v>2</v>
      </c>
    </row>
    <row r="2356">
      <c r="J2356" t="inlineStr">
        <is>
          <t>M</t>
        </is>
      </c>
      <c r="K2356" t="n">
        <v>2024</v>
      </c>
      <c r="L2356" t="n">
        <v>7</v>
      </c>
      <c r="M2356" t="inlineStr">
        <is>
          <t>Composto lácteo Merilú 400 g</t>
        </is>
      </c>
      <c r="N2356" t="inlineStr">
        <is>
          <t>Hamburgueria</t>
        </is>
      </c>
      <c r="O2356" t="n">
        <v>1</v>
      </c>
      <c r="P2356" t="n">
        <v>2</v>
      </c>
      <c r="Q2356" t="n">
        <v>0</v>
      </c>
    </row>
    <row r="2357">
      <c r="J2357" t="inlineStr">
        <is>
          <t>A</t>
        </is>
      </c>
      <c r="K2357" t="n">
        <v>2024</v>
      </c>
      <c r="L2357" t="n">
        <v>8</v>
      </c>
      <c r="M2357" t="inlineStr">
        <is>
          <t>Composto lácteo Merilú 400 g</t>
        </is>
      </c>
      <c r="N2357" t="inlineStr">
        <is>
          <t>Hamburgueria</t>
        </is>
      </c>
      <c r="O2357" t="n">
        <v>2</v>
      </c>
      <c r="P2357" t="n">
        <v>12</v>
      </c>
      <c r="Q2357" t="n">
        <v>2</v>
      </c>
    </row>
    <row r="2358">
      <c r="J2358" t="inlineStr">
        <is>
          <t>A</t>
        </is>
      </c>
      <c r="K2358" t="n">
        <v>2024</v>
      </c>
      <c r="L2358" t="n">
        <v>9</v>
      </c>
      <c r="M2358" t="inlineStr">
        <is>
          <t>Composto lácteo Merilú 400 g</t>
        </is>
      </c>
      <c r="N2358" t="inlineStr">
        <is>
          <t>Hamburgueria</t>
        </is>
      </c>
      <c r="O2358" t="n">
        <v>2</v>
      </c>
      <c r="P2358" t="n">
        <v>12</v>
      </c>
      <c r="Q2358" t="n">
        <v>2</v>
      </c>
    </row>
    <row r="2359">
      <c r="J2359" t="inlineStr">
        <is>
          <t>A</t>
        </is>
      </c>
      <c r="K2359" t="n">
        <v>2024</v>
      </c>
      <c r="L2359" t="n">
        <v>10</v>
      </c>
      <c r="M2359" t="inlineStr">
        <is>
          <t>Composto lácteo Merilú 400 g</t>
        </is>
      </c>
      <c r="N2359" t="inlineStr">
        <is>
          <t>Hamburgueria</t>
        </is>
      </c>
      <c r="O2359" t="n">
        <v>2</v>
      </c>
      <c r="P2359" t="n">
        <v>13</v>
      </c>
      <c r="Q2359" t="n">
        <v>2</v>
      </c>
    </row>
    <row r="2360">
      <c r="J2360" t="inlineStr">
        <is>
          <t>M</t>
        </is>
      </c>
      <c r="K2360" t="n">
        <v>2024</v>
      </c>
      <c r="L2360" t="n">
        <v>10</v>
      </c>
      <c r="M2360" t="inlineStr">
        <is>
          <t>Composto lácteo Merilú 400 g</t>
        </is>
      </c>
      <c r="N2360" t="inlineStr">
        <is>
          <t>Hamburgueria</t>
        </is>
      </c>
      <c r="O2360" t="n">
        <v>1</v>
      </c>
      <c r="P2360" t="n">
        <v>1</v>
      </c>
      <c r="Q2360" t="n">
        <v>0</v>
      </c>
    </row>
    <row r="2361">
      <c r="J2361" t="inlineStr">
        <is>
          <t>A</t>
        </is>
      </c>
      <c r="K2361" t="n">
        <v>2024</v>
      </c>
      <c r="L2361" t="n">
        <v>11</v>
      </c>
      <c r="M2361" t="inlineStr">
        <is>
          <t>Composto lácteo Merilú 400 g</t>
        </is>
      </c>
      <c r="N2361" t="inlineStr">
        <is>
          <t>Hamburgueria</t>
        </is>
      </c>
      <c r="O2361" t="n">
        <v>2</v>
      </c>
      <c r="P2361" t="n">
        <v>15</v>
      </c>
      <c r="Q2361" t="n">
        <v>2</v>
      </c>
    </row>
    <row r="2362">
      <c r="J2362" t="inlineStr">
        <is>
          <t>M</t>
        </is>
      </c>
      <c r="K2362" t="n">
        <v>2024</v>
      </c>
      <c r="L2362" t="n">
        <v>11</v>
      </c>
      <c r="M2362" t="inlineStr">
        <is>
          <t>Composto lácteo Merilú 400 g</t>
        </is>
      </c>
      <c r="N2362" t="inlineStr">
        <is>
          <t>Hamburgueria</t>
        </is>
      </c>
      <c r="O2362" t="n">
        <v>1</v>
      </c>
      <c r="P2362" t="n">
        <v>2</v>
      </c>
      <c r="Q2362" t="n">
        <v>0</v>
      </c>
    </row>
    <row r="2363">
      <c r="J2363" t="inlineStr">
        <is>
          <t>A</t>
        </is>
      </c>
      <c r="K2363" t="n">
        <v>2024</v>
      </c>
      <c r="L2363" t="n">
        <v>12</v>
      </c>
      <c r="M2363" t="inlineStr">
        <is>
          <t>Composto lácteo Merilú 400 g</t>
        </is>
      </c>
      <c r="N2363" t="inlineStr">
        <is>
          <t>Hamburgueria</t>
        </is>
      </c>
      <c r="O2363" t="n">
        <v>2</v>
      </c>
      <c r="P2363" t="n">
        <v>17</v>
      </c>
      <c r="Q2363" t="n">
        <v>2</v>
      </c>
    </row>
    <row r="2364">
      <c r="J2364" t="inlineStr">
        <is>
          <t>M</t>
        </is>
      </c>
      <c r="K2364" t="n">
        <v>2024</v>
      </c>
      <c r="L2364" t="n">
        <v>12</v>
      </c>
      <c r="M2364" t="inlineStr">
        <is>
          <t>Composto lácteo Merilú 400 g</t>
        </is>
      </c>
      <c r="N2364" t="inlineStr">
        <is>
          <t>Hamburgueria</t>
        </is>
      </c>
      <c r="O2364" t="n">
        <v>1</v>
      </c>
      <c r="P2364" t="n">
        <v>2</v>
      </c>
      <c r="Q2364" t="n">
        <v>0</v>
      </c>
    </row>
    <row r="2365">
      <c r="J2365" t="inlineStr">
        <is>
          <t>A</t>
        </is>
      </c>
      <c r="K2365" t="n">
        <v>2024</v>
      </c>
      <c r="L2365" t="n">
        <v>3</v>
      </c>
      <c r="M2365" t="inlineStr">
        <is>
          <t>Composto lácteo Merilú 400 g</t>
        </is>
      </c>
      <c r="N2365" t="inlineStr">
        <is>
          <t>Adega</t>
        </is>
      </c>
      <c r="O2365" t="n">
        <v>1</v>
      </c>
      <c r="P2365" t="n">
        <v>1</v>
      </c>
      <c r="Q2365" t="n">
        <v>1</v>
      </c>
    </row>
    <row r="2366">
      <c r="J2366" t="inlineStr">
        <is>
          <t>M</t>
        </is>
      </c>
      <c r="K2366" t="n">
        <v>2024</v>
      </c>
      <c r="L2366" t="n">
        <v>3</v>
      </c>
      <c r="M2366" t="inlineStr">
        <is>
          <t>Composto lácteo Merilú 400 g</t>
        </is>
      </c>
      <c r="N2366" t="inlineStr">
        <is>
          <t>Adega</t>
        </is>
      </c>
      <c r="O2366" t="n">
        <v>1</v>
      </c>
      <c r="P2366" t="n">
        <v>1</v>
      </c>
      <c r="Q2366" t="n">
        <v>0</v>
      </c>
    </row>
    <row r="2367">
      <c r="J2367" t="inlineStr">
        <is>
          <t>A</t>
        </is>
      </c>
      <c r="K2367" t="n">
        <v>2024</v>
      </c>
      <c r="L2367" t="n">
        <v>4</v>
      </c>
      <c r="M2367" t="inlineStr">
        <is>
          <t>Composto lácteo Merilú 400 g</t>
        </is>
      </c>
      <c r="N2367" t="inlineStr">
        <is>
          <t>Adega</t>
        </is>
      </c>
      <c r="O2367" t="n">
        <v>1</v>
      </c>
      <c r="P2367" t="n">
        <v>1</v>
      </c>
      <c r="Q2367" t="n">
        <v>1</v>
      </c>
    </row>
    <row r="2368">
      <c r="J2368" t="inlineStr">
        <is>
          <t>A</t>
        </is>
      </c>
      <c r="K2368" t="n">
        <v>2024</v>
      </c>
      <c r="L2368" t="n">
        <v>5</v>
      </c>
      <c r="M2368" t="inlineStr">
        <is>
          <t>Composto lácteo Merilú 400 g</t>
        </is>
      </c>
      <c r="N2368" t="inlineStr">
        <is>
          <t>Adega</t>
        </is>
      </c>
      <c r="O2368" t="n">
        <v>1</v>
      </c>
      <c r="P2368" t="n">
        <v>1</v>
      </c>
      <c r="Q2368" t="n">
        <v>1</v>
      </c>
    </row>
    <row r="2369">
      <c r="J2369" t="inlineStr">
        <is>
          <t>A</t>
        </is>
      </c>
      <c r="K2369" t="n">
        <v>2024</v>
      </c>
      <c r="L2369" t="n">
        <v>6</v>
      </c>
      <c r="M2369" t="inlineStr">
        <is>
          <t>Composto lácteo Merilú 400 g</t>
        </is>
      </c>
      <c r="N2369" t="inlineStr">
        <is>
          <t>Adega</t>
        </is>
      </c>
      <c r="O2369" t="n">
        <v>1</v>
      </c>
      <c r="P2369" t="n">
        <v>2</v>
      </c>
      <c r="Q2369" t="n">
        <v>1</v>
      </c>
    </row>
    <row r="2370">
      <c r="J2370" t="inlineStr">
        <is>
          <t>M</t>
        </is>
      </c>
      <c r="K2370" t="n">
        <v>2024</v>
      </c>
      <c r="L2370" t="n">
        <v>6</v>
      </c>
      <c r="M2370" t="inlineStr">
        <is>
          <t>Composto lácteo Merilú 400 g</t>
        </is>
      </c>
      <c r="N2370" t="inlineStr">
        <is>
          <t>Adega</t>
        </is>
      </c>
      <c r="O2370" t="n">
        <v>1</v>
      </c>
      <c r="P2370" t="n">
        <v>1</v>
      </c>
      <c r="Q2370" t="n">
        <v>0</v>
      </c>
    </row>
    <row r="2371">
      <c r="J2371" t="inlineStr">
        <is>
          <t>A</t>
        </is>
      </c>
      <c r="K2371" t="n">
        <v>2024</v>
      </c>
      <c r="L2371" t="n">
        <v>7</v>
      </c>
      <c r="M2371" t="inlineStr">
        <is>
          <t>Composto lácteo Merilú 400 g</t>
        </is>
      </c>
      <c r="N2371" t="inlineStr">
        <is>
          <t>Adega</t>
        </is>
      </c>
      <c r="O2371" t="n">
        <v>1</v>
      </c>
      <c r="P2371" t="n">
        <v>2</v>
      </c>
      <c r="Q2371" t="n">
        <v>1</v>
      </c>
    </row>
    <row r="2372">
      <c r="J2372" t="inlineStr">
        <is>
          <t>A</t>
        </is>
      </c>
      <c r="K2372" t="n">
        <v>2024</v>
      </c>
      <c r="L2372" t="n">
        <v>8</v>
      </c>
      <c r="M2372" t="inlineStr">
        <is>
          <t>Composto lácteo Merilú 400 g</t>
        </is>
      </c>
      <c r="N2372" t="inlineStr">
        <is>
          <t>Adega</t>
        </is>
      </c>
      <c r="O2372" t="n">
        <v>1</v>
      </c>
      <c r="P2372" t="n">
        <v>2</v>
      </c>
      <c r="Q2372" t="n">
        <v>1</v>
      </c>
    </row>
    <row r="2373">
      <c r="J2373" t="inlineStr">
        <is>
          <t>A</t>
        </is>
      </c>
      <c r="K2373" t="n">
        <v>2024</v>
      </c>
      <c r="L2373" t="n">
        <v>9</v>
      </c>
      <c r="M2373" t="inlineStr">
        <is>
          <t>Composto lácteo Merilú 400 g</t>
        </is>
      </c>
      <c r="N2373" t="inlineStr">
        <is>
          <t>Adega</t>
        </is>
      </c>
      <c r="O2373" t="n">
        <v>1</v>
      </c>
      <c r="P2373" t="n">
        <v>2</v>
      </c>
      <c r="Q2373" t="n">
        <v>1</v>
      </c>
    </row>
    <row r="2374">
      <c r="J2374" t="inlineStr">
        <is>
          <t>A</t>
        </is>
      </c>
      <c r="K2374" t="n">
        <v>2024</v>
      </c>
      <c r="L2374" t="n">
        <v>10</v>
      </c>
      <c r="M2374" t="inlineStr">
        <is>
          <t>Composto lácteo Merilú 400 g</t>
        </is>
      </c>
      <c r="N2374" t="inlineStr">
        <is>
          <t>Adega</t>
        </is>
      </c>
      <c r="O2374" t="n">
        <v>1</v>
      </c>
      <c r="P2374" t="n">
        <v>2</v>
      </c>
      <c r="Q2374" t="n">
        <v>1</v>
      </c>
    </row>
    <row r="2375">
      <c r="J2375" t="inlineStr">
        <is>
          <t>A</t>
        </is>
      </c>
      <c r="K2375" t="n">
        <v>2024</v>
      </c>
      <c r="L2375" t="n">
        <v>11</v>
      </c>
      <c r="M2375" t="inlineStr">
        <is>
          <t>Composto lácteo Merilú 400 g</t>
        </is>
      </c>
      <c r="N2375" t="inlineStr">
        <is>
          <t>Adega</t>
        </is>
      </c>
      <c r="O2375" t="n">
        <v>1</v>
      </c>
      <c r="P2375" t="n">
        <v>2</v>
      </c>
      <c r="Q2375" t="n">
        <v>1</v>
      </c>
    </row>
    <row r="2376">
      <c r="J2376" t="inlineStr">
        <is>
          <t>A</t>
        </is>
      </c>
      <c r="K2376" t="n">
        <v>2024</v>
      </c>
      <c r="L2376" t="n">
        <v>12</v>
      </c>
      <c r="M2376" t="inlineStr">
        <is>
          <t>Composto lácteo Merilú 400 g</t>
        </is>
      </c>
      <c r="N2376" t="inlineStr">
        <is>
          <t>Adega</t>
        </is>
      </c>
      <c r="O2376" t="n">
        <v>1</v>
      </c>
      <c r="P2376" t="n">
        <v>3</v>
      </c>
      <c r="Q2376" t="n">
        <v>1</v>
      </c>
    </row>
    <row r="2377">
      <c r="J2377" t="inlineStr">
        <is>
          <t>M</t>
        </is>
      </c>
      <c r="K2377" t="n">
        <v>2024</v>
      </c>
      <c r="L2377" t="n">
        <v>12</v>
      </c>
      <c r="M2377" t="inlineStr">
        <is>
          <t>Composto lácteo Merilú 400 g</t>
        </is>
      </c>
      <c r="N2377" t="inlineStr">
        <is>
          <t>Adega</t>
        </is>
      </c>
      <c r="O2377" t="n">
        <v>1</v>
      </c>
      <c r="P2377" t="n">
        <v>1</v>
      </c>
      <c r="Q2377" t="n">
        <v>0</v>
      </c>
    </row>
    <row r="2378">
      <c r="J2378" t="inlineStr">
        <is>
          <t>A</t>
        </is>
      </c>
      <c r="K2378" t="n">
        <v>2024</v>
      </c>
      <c r="L2378" t="n">
        <v>7</v>
      </c>
      <c r="M2378" t="inlineStr">
        <is>
          <t>Composto lácteo Merilú 400 g</t>
        </is>
      </c>
      <c r="N2378" t="inlineStr">
        <is>
          <t>Bar / Chopperia</t>
        </is>
      </c>
      <c r="O2378" t="n">
        <v>1</v>
      </c>
      <c r="P2378" t="n">
        <v>1</v>
      </c>
      <c r="Q2378" t="n">
        <v>1</v>
      </c>
    </row>
    <row r="2379">
      <c r="J2379" t="inlineStr">
        <is>
          <t>M</t>
        </is>
      </c>
      <c r="K2379" t="n">
        <v>2024</v>
      </c>
      <c r="L2379" t="n">
        <v>7</v>
      </c>
      <c r="M2379" t="inlineStr">
        <is>
          <t>Composto lácteo Merilú 400 g</t>
        </is>
      </c>
      <c r="N2379" t="inlineStr">
        <is>
          <t>Bar / Chopperia</t>
        </is>
      </c>
      <c r="O2379" t="n">
        <v>1</v>
      </c>
      <c r="P2379" t="n">
        <v>1</v>
      </c>
      <c r="Q2379" t="n">
        <v>0</v>
      </c>
    </row>
    <row r="2380">
      <c r="J2380" t="inlineStr">
        <is>
          <t>A</t>
        </is>
      </c>
      <c r="K2380" t="n">
        <v>2024</v>
      </c>
      <c r="L2380" t="n">
        <v>8</v>
      </c>
      <c r="M2380" t="inlineStr">
        <is>
          <t>Composto lácteo Merilú 400 g</t>
        </is>
      </c>
      <c r="N2380" t="inlineStr">
        <is>
          <t>Bar / Chopperia</t>
        </is>
      </c>
      <c r="O2380" t="n">
        <v>1</v>
      </c>
      <c r="P2380" t="n">
        <v>1</v>
      </c>
      <c r="Q2380" t="n">
        <v>1</v>
      </c>
    </row>
    <row r="2381">
      <c r="J2381" t="inlineStr">
        <is>
          <t>A</t>
        </is>
      </c>
      <c r="K2381" t="n">
        <v>2024</v>
      </c>
      <c r="L2381" t="n">
        <v>9</v>
      </c>
      <c r="M2381" t="inlineStr">
        <is>
          <t>Composto lácteo Merilú 400 g</t>
        </is>
      </c>
      <c r="N2381" t="inlineStr">
        <is>
          <t>Bar / Chopperia</t>
        </is>
      </c>
      <c r="O2381" t="n">
        <v>1</v>
      </c>
      <c r="P2381" t="n">
        <v>1</v>
      </c>
      <c r="Q2381" t="n">
        <v>1</v>
      </c>
    </row>
    <row r="2382">
      <c r="J2382" t="inlineStr">
        <is>
          <t>A</t>
        </is>
      </c>
      <c r="K2382" t="n">
        <v>2024</v>
      </c>
      <c r="L2382" t="n">
        <v>10</v>
      </c>
      <c r="M2382" t="inlineStr">
        <is>
          <t>Composto lácteo Merilú 400 g</t>
        </is>
      </c>
      <c r="N2382" t="inlineStr">
        <is>
          <t>Bar / Chopperia</t>
        </is>
      </c>
      <c r="O2382" t="n">
        <v>1</v>
      </c>
      <c r="P2382" t="n">
        <v>1</v>
      </c>
      <c r="Q2382" t="n">
        <v>1</v>
      </c>
    </row>
    <row r="2383">
      <c r="J2383" t="inlineStr">
        <is>
          <t>A</t>
        </is>
      </c>
      <c r="K2383" t="n">
        <v>2024</v>
      </c>
      <c r="L2383" t="n">
        <v>11</v>
      </c>
      <c r="M2383" t="inlineStr">
        <is>
          <t>Composto lácteo Merilú 400 g</t>
        </is>
      </c>
      <c r="N2383" t="inlineStr">
        <is>
          <t>Bar / Chopperia</t>
        </is>
      </c>
      <c r="O2383" t="n">
        <v>1</v>
      </c>
      <c r="P2383" t="n">
        <v>1</v>
      </c>
      <c r="Q2383" t="n">
        <v>1</v>
      </c>
    </row>
    <row r="2384">
      <c r="J2384" t="inlineStr">
        <is>
          <t>A</t>
        </is>
      </c>
      <c r="K2384" t="n">
        <v>2024</v>
      </c>
      <c r="L2384" t="n">
        <v>12</v>
      </c>
      <c r="M2384" t="inlineStr">
        <is>
          <t>Composto lácteo Merilú 400 g</t>
        </is>
      </c>
      <c r="N2384" t="inlineStr">
        <is>
          <t>Bar / Chopperia</t>
        </is>
      </c>
      <c r="O2384" t="n">
        <v>1</v>
      </c>
      <c r="P2384" t="n">
        <v>1</v>
      </c>
      <c r="Q2384" t="n">
        <v>1</v>
      </c>
    </row>
    <row r="2385">
      <c r="J2385" t="inlineStr">
        <is>
          <t>A</t>
        </is>
      </c>
      <c r="K2385" t="n">
        <v>2024</v>
      </c>
      <c r="L2385" t="n">
        <v>1</v>
      </c>
      <c r="M2385" t="inlineStr">
        <is>
          <t>Composto lácteo Merilú 400 g</t>
        </is>
      </c>
      <c r="N2385" t="inlineStr">
        <is>
          <t>Churrascaria</t>
        </is>
      </c>
      <c r="O2385" t="n">
        <v>1</v>
      </c>
      <c r="P2385" t="n">
        <v>2</v>
      </c>
      <c r="Q2385" t="n">
        <v>1</v>
      </c>
    </row>
    <row r="2386">
      <c r="J2386" t="inlineStr">
        <is>
          <t>M</t>
        </is>
      </c>
      <c r="K2386" t="n">
        <v>2024</v>
      </c>
      <c r="L2386" t="n">
        <v>1</v>
      </c>
      <c r="M2386" t="inlineStr">
        <is>
          <t>Composto lácteo Merilú 400 g</t>
        </is>
      </c>
      <c r="N2386" t="inlineStr">
        <is>
          <t>Churrascaria</t>
        </is>
      </c>
      <c r="O2386" t="n">
        <v>1</v>
      </c>
      <c r="P2386" t="n">
        <v>2</v>
      </c>
      <c r="Q2386" t="n">
        <v>0</v>
      </c>
    </row>
    <row r="2387">
      <c r="J2387" t="inlineStr">
        <is>
          <t>A</t>
        </is>
      </c>
      <c r="K2387" t="n">
        <v>2024</v>
      </c>
      <c r="L2387" t="n">
        <v>2</v>
      </c>
      <c r="M2387" t="inlineStr">
        <is>
          <t>Composto lácteo Merilú 400 g</t>
        </is>
      </c>
      <c r="N2387" t="inlineStr">
        <is>
          <t>Churrascaria</t>
        </is>
      </c>
      <c r="O2387" t="n">
        <v>2</v>
      </c>
      <c r="P2387" t="n">
        <v>4</v>
      </c>
      <c r="Q2387" t="n">
        <v>2</v>
      </c>
    </row>
    <row r="2388">
      <c r="J2388" t="inlineStr">
        <is>
          <t>M</t>
        </is>
      </c>
      <c r="K2388" t="n">
        <v>2024</v>
      </c>
      <c r="L2388" t="n">
        <v>2</v>
      </c>
      <c r="M2388" t="inlineStr">
        <is>
          <t>Composto lácteo Merilú 400 g</t>
        </is>
      </c>
      <c r="N2388" t="inlineStr">
        <is>
          <t>Churrascaria</t>
        </is>
      </c>
      <c r="O2388" t="n">
        <v>1</v>
      </c>
      <c r="P2388" t="n">
        <v>2</v>
      </c>
      <c r="Q2388" t="n">
        <v>0</v>
      </c>
    </row>
    <row r="2389">
      <c r="J2389" t="inlineStr">
        <is>
          <t>A</t>
        </is>
      </c>
      <c r="K2389" t="n">
        <v>2024</v>
      </c>
      <c r="L2389" t="n">
        <v>3</v>
      </c>
      <c r="M2389" t="inlineStr">
        <is>
          <t>Composto lácteo Merilú 400 g</t>
        </is>
      </c>
      <c r="N2389" t="inlineStr">
        <is>
          <t>Churrascaria</t>
        </is>
      </c>
      <c r="O2389" t="n">
        <v>2</v>
      </c>
      <c r="P2389" t="n">
        <v>5</v>
      </c>
      <c r="Q2389" t="n">
        <v>2</v>
      </c>
    </row>
    <row r="2390">
      <c r="J2390" t="inlineStr">
        <is>
          <t>M</t>
        </is>
      </c>
      <c r="K2390" t="n">
        <v>2024</v>
      </c>
      <c r="L2390" t="n">
        <v>3</v>
      </c>
      <c r="M2390" t="inlineStr">
        <is>
          <t>Composto lácteo Merilú 400 g</t>
        </is>
      </c>
      <c r="N2390" t="inlineStr">
        <is>
          <t>Churrascaria</t>
        </is>
      </c>
      <c r="O2390" t="n">
        <v>1</v>
      </c>
      <c r="P2390" t="n">
        <v>1</v>
      </c>
      <c r="Q2390" t="n">
        <v>0</v>
      </c>
    </row>
    <row r="2391">
      <c r="J2391" t="inlineStr">
        <is>
          <t>A</t>
        </is>
      </c>
      <c r="K2391" t="n">
        <v>2024</v>
      </c>
      <c r="L2391" t="n">
        <v>4</v>
      </c>
      <c r="M2391" t="inlineStr">
        <is>
          <t>Composto lácteo Merilú 400 g</t>
        </is>
      </c>
      <c r="N2391" t="inlineStr">
        <is>
          <t>Churrascaria</t>
        </is>
      </c>
      <c r="O2391" t="n">
        <v>2</v>
      </c>
      <c r="P2391" t="n">
        <v>6</v>
      </c>
      <c r="Q2391" t="n">
        <v>2</v>
      </c>
    </row>
    <row r="2392">
      <c r="J2392" t="inlineStr">
        <is>
          <t>M</t>
        </is>
      </c>
      <c r="K2392" t="n">
        <v>2024</v>
      </c>
      <c r="L2392" t="n">
        <v>4</v>
      </c>
      <c r="M2392" t="inlineStr">
        <is>
          <t>Composto lácteo Merilú 400 g</t>
        </is>
      </c>
      <c r="N2392" t="inlineStr">
        <is>
          <t>Churrascaria</t>
        </is>
      </c>
      <c r="O2392" t="n">
        <v>1</v>
      </c>
      <c r="P2392" t="n">
        <v>1</v>
      </c>
      <c r="Q2392" t="n">
        <v>0</v>
      </c>
    </row>
    <row r="2393">
      <c r="J2393" t="inlineStr">
        <is>
          <t>A</t>
        </is>
      </c>
      <c r="K2393" t="n">
        <v>2024</v>
      </c>
      <c r="L2393" t="n">
        <v>5</v>
      </c>
      <c r="M2393" t="inlineStr">
        <is>
          <t>Composto lácteo Merilú 400 g</t>
        </is>
      </c>
      <c r="N2393" t="inlineStr">
        <is>
          <t>Churrascaria</t>
        </is>
      </c>
      <c r="O2393" t="n">
        <v>2</v>
      </c>
      <c r="P2393" t="n">
        <v>7</v>
      </c>
      <c r="Q2393" t="n">
        <v>2</v>
      </c>
    </row>
    <row r="2394">
      <c r="J2394" t="inlineStr">
        <is>
          <t>M</t>
        </is>
      </c>
      <c r="K2394" t="n">
        <v>2024</v>
      </c>
      <c r="L2394" t="n">
        <v>5</v>
      </c>
      <c r="M2394" t="inlineStr">
        <is>
          <t>Composto lácteo Merilú 400 g</t>
        </is>
      </c>
      <c r="N2394" t="inlineStr">
        <is>
          <t>Churrascaria</t>
        </is>
      </c>
      <c r="O2394" t="n">
        <v>1</v>
      </c>
      <c r="P2394" t="n">
        <v>1</v>
      </c>
      <c r="Q2394" t="n">
        <v>0</v>
      </c>
    </row>
    <row r="2395">
      <c r="J2395" t="inlineStr">
        <is>
          <t>A</t>
        </is>
      </c>
      <c r="K2395" t="n">
        <v>2024</v>
      </c>
      <c r="L2395" t="n">
        <v>6</v>
      </c>
      <c r="M2395" t="inlineStr">
        <is>
          <t>Composto lácteo Merilú 400 g</t>
        </is>
      </c>
      <c r="N2395" t="inlineStr">
        <is>
          <t>Churrascaria</t>
        </is>
      </c>
      <c r="O2395" t="n">
        <v>2</v>
      </c>
      <c r="P2395" t="n">
        <v>7</v>
      </c>
      <c r="Q2395" t="n">
        <v>2</v>
      </c>
    </row>
    <row r="2396">
      <c r="J2396" t="inlineStr">
        <is>
          <t>A</t>
        </is>
      </c>
      <c r="K2396" t="n">
        <v>2024</v>
      </c>
      <c r="L2396" t="n">
        <v>7</v>
      </c>
      <c r="M2396" t="inlineStr">
        <is>
          <t>Composto lácteo Merilú 400 g</t>
        </is>
      </c>
      <c r="N2396" t="inlineStr">
        <is>
          <t>Churrascaria</t>
        </is>
      </c>
      <c r="O2396" t="n">
        <v>2</v>
      </c>
      <c r="P2396" t="n">
        <v>8</v>
      </c>
      <c r="Q2396" t="n">
        <v>2</v>
      </c>
    </row>
    <row r="2397">
      <c r="J2397" t="inlineStr">
        <is>
          <t>M</t>
        </is>
      </c>
      <c r="K2397" t="n">
        <v>2024</v>
      </c>
      <c r="L2397" t="n">
        <v>7</v>
      </c>
      <c r="M2397" t="inlineStr">
        <is>
          <t>Composto lácteo Merilú 400 g</t>
        </is>
      </c>
      <c r="N2397" t="inlineStr">
        <is>
          <t>Churrascaria</t>
        </is>
      </c>
      <c r="O2397" t="n">
        <v>1</v>
      </c>
      <c r="P2397" t="n">
        <v>1</v>
      </c>
      <c r="Q2397" t="n">
        <v>0</v>
      </c>
    </row>
    <row r="2398">
      <c r="J2398" t="inlineStr">
        <is>
          <t>A</t>
        </is>
      </c>
      <c r="K2398" t="n">
        <v>2024</v>
      </c>
      <c r="L2398" t="n">
        <v>8</v>
      </c>
      <c r="M2398" t="inlineStr">
        <is>
          <t>Composto lácteo Merilú 400 g</t>
        </is>
      </c>
      <c r="N2398" t="inlineStr">
        <is>
          <t>Churrascaria</t>
        </is>
      </c>
      <c r="O2398" t="n">
        <v>2</v>
      </c>
      <c r="P2398" t="n">
        <v>8</v>
      </c>
      <c r="Q2398" t="n">
        <v>2</v>
      </c>
    </row>
    <row r="2399">
      <c r="J2399" t="inlineStr">
        <is>
          <t>A</t>
        </is>
      </c>
      <c r="K2399" t="n">
        <v>2024</v>
      </c>
      <c r="L2399" t="n">
        <v>9</v>
      </c>
      <c r="M2399" t="inlineStr">
        <is>
          <t>Composto lácteo Merilú 400 g</t>
        </is>
      </c>
      <c r="N2399" t="inlineStr">
        <is>
          <t>Churrascaria</t>
        </is>
      </c>
      <c r="O2399" t="n">
        <v>2</v>
      </c>
      <c r="P2399" t="n">
        <v>9</v>
      </c>
      <c r="Q2399" t="n">
        <v>2</v>
      </c>
    </row>
    <row r="2400">
      <c r="J2400" t="inlineStr">
        <is>
          <t>M</t>
        </is>
      </c>
      <c r="K2400" t="n">
        <v>2024</v>
      </c>
      <c r="L2400" t="n">
        <v>9</v>
      </c>
      <c r="M2400" t="inlineStr">
        <is>
          <t>Composto lácteo Merilú 400 g</t>
        </is>
      </c>
      <c r="N2400" t="inlineStr">
        <is>
          <t>Churrascaria</t>
        </is>
      </c>
      <c r="O2400" t="n">
        <v>1</v>
      </c>
      <c r="P2400" t="n">
        <v>1</v>
      </c>
      <c r="Q2400" t="n">
        <v>0</v>
      </c>
    </row>
    <row r="2401">
      <c r="J2401" t="inlineStr">
        <is>
          <t>A</t>
        </is>
      </c>
      <c r="K2401" t="n">
        <v>2024</v>
      </c>
      <c r="L2401" t="n">
        <v>10</v>
      </c>
      <c r="M2401" t="inlineStr">
        <is>
          <t>Composto lácteo Merilú 400 g</t>
        </is>
      </c>
      <c r="N2401" t="inlineStr">
        <is>
          <t>Churrascaria</t>
        </is>
      </c>
      <c r="O2401" t="n">
        <v>2</v>
      </c>
      <c r="P2401" t="n">
        <v>9</v>
      </c>
      <c r="Q2401" t="n">
        <v>2</v>
      </c>
    </row>
    <row r="2402">
      <c r="J2402" t="inlineStr">
        <is>
          <t>A</t>
        </is>
      </c>
      <c r="K2402" t="n">
        <v>2024</v>
      </c>
      <c r="L2402" t="n">
        <v>11</v>
      </c>
      <c r="M2402" t="inlineStr">
        <is>
          <t>Composto lácteo Merilú 400 g</t>
        </is>
      </c>
      <c r="N2402" t="inlineStr">
        <is>
          <t>Churrascaria</t>
        </is>
      </c>
      <c r="O2402" t="n">
        <v>2</v>
      </c>
      <c r="P2402" t="n">
        <v>9</v>
      </c>
      <c r="Q2402" t="n">
        <v>2</v>
      </c>
    </row>
    <row r="2403">
      <c r="J2403" t="inlineStr">
        <is>
          <t>A</t>
        </is>
      </c>
      <c r="K2403" t="n">
        <v>2024</v>
      </c>
      <c r="L2403" t="n">
        <v>12</v>
      </c>
      <c r="M2403" t="inlineStr">
        <is>
          <t>Composto lácteo Merilú 400 g</t>
        </is>
      </c>
      <c r="N2403" t="inlineStr">
        <is>
          <t>Churrascaria</t>
        </is>
      </c>
      <c r="O2403" t="n">
        <v>2</v>
      </c>
      <c r="P2403" t="n">
        <v>10</v>
      </c>
      <c r="Q2403" t="n">
        <v>2</v>
      </c>
    </row>
    <row r="2404">
      <c r="J2404" t="inlineStr">
        <is>
          <t>M</t>
        </is>
      </c>
      <c r="K2404" t="n">
        <v>2024</v>
      </c>
      <c r="L2404" t="n">
        <v>12</v>
      </c>
      <c r="M2404" t="inlineStr">
        <is>
          <t>Composto lácteo Merilú 400 g</t>
        </is>
      </c>
      <c r="N2404" t="inlineStr">
        <is>
          <t>Churrascaria</t>
        </is>
      </c>
      <c r="O2404" t="n">
        <v>1</v>
      </c>
      <c r="P2404" t="n">
        <v>1</v>
      </c>
      <c r="Q2404" t="n">
        <v>0</v>
      </c>
    </row>
    <row r="2405">
      <c r="J2405" t="inlineStr">
        <is>
          <t>A</t>
        </is>
      </c>
      <c r="K2405" t="n">
        <v>2024</v>
      </c>
      <c r="L2405" t="n">
        <v>1</v>
      </c>
      <c r="M2405" t="inlineStr">
        <is>
          <t>Composto lácteo Merilú 400 g</t>
        </is>
      </c>
      <c r="N2405" t="inlineStr">
        <is>
          <t>Hospital / Casa de Repouso</t>
        </is>
      </c>
      <c r="O2405" t="n">
        <v>1</v>
      </c>
      <c r="P2405" t="n">
        <v>1</v>
      </c>
      <c r="Q2405" t="n">
        <v>1</v>
      </c>
    </row>
    <row r="2406">
      <c r="J2406" t="inlineStr">
        <is>
          <t>M</t>
        </is>
      </c>
      <c r="K2406" t="n">
        <v>2024</v>
      </c>
      <c r="L2406" t="n">
        <v>1</v>
      </c>
      <c r="M2406" t="inlineStr">
        <is>
          <t>Composto lácteo Merilú 400 g</t>
        </is>
      </c>
      <c r="N2406" t="inlineStr">
        <is>
          <t>Hospital / Casa de Repouso</t>
        </is>
      </c>
      <c r="O2406" t="n">
        <v>1</v>
      </c>
      <c r="P2406" t="n">
        <v>1</v>
      </c>
      <c r="Q2406" t="n">
        <v>0</v>
      </c>
    </row>
    <row r="2407">
      <c r="J2407" t="inlineStr">
        <is>
          <t>A</t>
        </is>
      </c>
      <c r="K2407" t="n">
        <v>2024</v>
      </c>
      <c r="L2407" t="n">
        <v>2</v>
      </c>
      <c r="M2407" t="inlineStr">
        <is>
          <t>Composto lácteo Merilú 400 g</t>
        </is>
      </c>
      <c r="N2407" t="inlineStr">
        <is>
          <t>Hospital / Casa de Repouso</t>
        </is>
      </c>
      <c r="O2407" t="n">
        <v>1</v>
      </c>
      <c r="P2407" t="n">
        <v>1</v>
      </c>
      <c r="Q2407" t="n">
        <v>1</v>
      </c>
    </row>
    <row r="2408">
      <c r="J2408" t="inlineStr">
        <is>
          <t>A</t>
        </is>
      </c>
      <c r="K2408" t="n">
        <v>2024</v>
      </c>
      <c r="L2408" t="n">
        <v>3</v>
      </c>
      <c r="M2408" t="inlineStr">
        <is>
          <t>Composto lácteo Merilú 400 g</t>
        </is>
      </c>
      <c r="N2408" t="inlineStr">
        <is>
          <t>Hospital / Casa de Repouso</t>
        </is>
      </c>
      <c r="O2408" t="n">
        <v>1</v>
      </c>
      <c r="P2408" t="n">
        <v>1</v>
      </c>
      <c r="Q2408" t="n">
        <v>1</v>
      </c>
    </row>
    <row r="2409">
      <c r="J2409" t="inlineStr">
        <is>
          <t>A</t>
        </is>
      </c>
      <c r="K2409" t="n">
        <v>2024</v>
      </c>
      <c r="L2409" t="n">
        <v>4</v>
      </c>
      <c r="M2409" t="inlineStr">
        <is>
          <t>Composto lácteo Merilú 400 g</t>
        </is>
      </c>
      <c r="N2409" t="inlineStr">
        <is>
          <t>Hospital / Casa de Repouso</t>
        </is>
      </c>
      <c r="O2409" t="n">
        <v>1</v>
      </c>
      <c r="P2409" t="n">
        <v>1</v>
      </c>
      <c r="Q2409" t="n">
        <v>1</v>
      </c>
    </row>
    <row r="2410">
      <c r="J2410" t="inlineStr">
        <is>
          <t>A</t>
        </is>
      </c>
      <c r="K2410" t="n">
        <v>2024</v>
      </c>
      <c r="L2410" t="n">
        <v>5</v>
      </c>
      <c r="M2410" t="inlineStr">
        <is>
          <t>Composto lácteo Merilú 400 g</t>
        </is>
      </c>
      <c r="N2410" t="inlineStr">
        <is>
          <t>Hospital / Casa de Repouso</t>
        </is>
      </c>
      <c r="O2410" t="n">
        <v>1</v>
      </c>
      <c r="P2410" t="n">
        <v>1</v>
      </c>
      <c r="Q2410" t="n">
        <v>1</v>
      </c>
    </row>
    <row r="2411">
      <c r="J2411" t="inlineStr">
        <is>
          <t>A</t>
        </is>
      </c>
      <c r="K2411" t="n">
        <v>2024</v>
      </c>
      <c r="L2411" t="n">
        <v>6</v>
      </c>
      <c r="M2411" t="inlineStr">
        <is>
          <t>Composto lácteo Merilú 400 g</t>
        </is>
      </c>
      <c r="N2411" t="inlineStr">
        <is>
          <t>Hospital / Casa de Repouso</t>
        </is>
      </c>
      <c r="O2411" t="n">
        <v>1</v>
      </c>
      <c r="P2411" t="n">
        <v>1</v>
      </c>
      <c r="Q2411" t="n">
        <v>1</v>
      </c>
    </row>
    <row r="2412">
      <c r="J2412" t="inlineStr">
        <is>
          <t>A</t>
        </is>
      </c>
      <c r="K2412" t="n">
        <v>2024</v>
      </c>
      <c r="L2412" t="n">
        <v>7</v>
      </c>
      <c r="M2412" t="inlineStr">
        <is>
          <t>Composto lácteo Merilú 400 g</t>
        </is>
      </c>
      <c r="N2412" t="inlineStr">
        <is>
          <t>Hospital / Casa de Repouso</t>
        </is>
      </c>
      <c r="O2412" t="n">
        <v>1</v>
      </c>
      <c r="P2412" t="n">
        <v>1</v>
      </c>
      <c r="Q2412" t="n">
        <v>1</v>
      </c>
    </row>
    <row r="2413">
      <c r="J2413" t="inlineStr">
        <is>
          <t>A</t>
        </is>
      </c>
      <c r="K2413" t="n">
        <v>2024</v>
      </c>
      <c r="L2413" t="n">
        <v>8</v>
      </c>
      <c r="M2413" t="inlineStr">
        <is>
          <t>Composto lácteo Merilú 400 g</t>
        </is>
      </c>
      <c r="N2413" t="inlineStr">
        <is>
          <t>Hospital / Casa de Repouso</t>
        </is>
      </c>
      <c r="O2413" t="n">
        <v>1</v>
      </c>
      <c r="P2413" t="n">
        <v>1</v>
      </c>
      <c r="Q2413" t="n">
        <v>1</v>
      </c>
    </row>
    <row r="2414">
      <c r="J2414" t="inlineStr">
        <is>
          <t>A</t>
        </is>
      </c>
      <c r="K2414" t="n">
        <v>2024</v>
      </c>
      <c r="L2414" t="n">
        <v>9</v>
      </c>
      <c r="M2414" t="inlineStr">
        <is>
          <t>Composto lácteo Merilú 400 g</t>
        </is>
      </c>
      <c r="N2414" t="inlineStr">
        <is>
          <t>Hospital / Casa de Repouso</t>
        </is>
      </c>
      <c r="O2414" t="n">
        <v>1</v>
      </c>
      <c r="P2414" t="n">
        <v>1</v>
      </c>
      <c r="Q2414" t="n">
        <v>1</v>
      </c>
    </row>
    <row r="2415">
      <c r="J2415" t="inlineStr">
        <is>
          <t>A</t>
        </is>
      </c>
      <c r="K2415" t="n">
        <v>2024</v>
      </c>
      <c r="L2415" t="n">
        <v>10</v>
      </c>
      <c r="M2415" t="inlineStr">
        <is>
          <t>Composto lácteo Merilú 400 g</t>
        </is>
      </c>
      <c r="N2415" t="inlineStr">
        <is>
          <t>Hospital / Casa de Repouso</t>
        </is>
      </c>
      <c r="O2415" t="n">
        <v>1</v>
      </c>
      <c r="P2415" t="n">
        <v>1</v>
      </c>
      <c r="Q2415" t="n">
        <v>1</v>
      </c>
    </row>
    <row r="2416">
      <c r="J2416" t="inlineStr">
        <is>
          <t>A</t>
        </is>
      </c>
      <c r="K2416" t="n">
        <v>2024</v>
      </c>
      <c r="L2416" t="n">
        <v>11</v>
      </c>
      <c r="M2416" t="inlineStr">
        <is>
          <t>Composto lácteo Merilú 400 g</t>
        </is>
      </c>
      <c r="N2416" t="inlineStr">
        <is>
          <t>Hospital / Casa de Repouso</t>
        </is>
      </c>
      <c r="O2416" t="n">
        <v>1</v>
      </c>
      <c r="P2416" t="n">
        <v>1</v>
      </c>
      <c r="Q2416" t="n">
        <v>1</v>
      </c>
    </row>
    <row r="2417">
      <c r="J2417" t="inlineStr">
        <is>
          <t>A</t>
        </is>
      </c>
      <c r="K2417" t="n">
        <v>2024</v>
      </c>
      <c r="L2417" t="n">
        <v>12</v>
      </c>
      <c r="M2417" t="inlineStr">
        <is>
          <t>Composto lácteo Merilú 400 g</t>
        </is>
      </c>
      <c r="N2417" t="inlineStr">
        <is>
          <t>Hospital / Casa de Repouso</t>
        </is>
      </c>
      <c r="O2417" t="n">
        <v>1</v>
      </c>
      <c r="P2417" t="n">
        <v>1</v>
      </c>
      <c r="Q2417" t="n">
        <v>1</v>
      </c>
    </row>
    <row r="2418">
      <c r="J2418" t="inlineStr">
        <is>
          <t>A</t>
        </is>
      </c>
      <c r="K2418" t="n">
        <v>2024</v>
      </c>
      <c r="L2418" t="n">
        <v>1</v>
      </c>
      <c r="M2418" t="inlineStr">
        <is>
          <t>Composto lácteo Merilú 400 g</t>
        </is>
      </c>
      <c r="N2418" t="inlineStr">
        <is>
          <t>Casa Noturna</t>
        </is>
      </c>
      <c r="O2418" t="n">
        <v>1</v>
      </c>
      <c r="P2418" t="n">
        <v>1</v>
      </c>
      <c r="Q2418" t="n">
        <v>1</v>
      </c>
    </row>
    <row r="2419">
      <c r="J2419" t="inlineStr">
        <is>
          <t>M</t>
        </is>
      </c>
      <c r="K2419" t="n">
        <v>2024</v>
      </c>
      <c r="L2419" t="n">
        <v>1</v>
      </c>
      <c r="M2419" t="inlineStr">
        <is>
          <t>Composto lácteo Merilú 400 g</t>
        </is>
      </c>
      <c r="N2419" t="inlineStr">
        <is>
          <t>Casa Noturna</t>
        </is>
      </c>
      <c r="O2419" t="n">
        <v>1</v>
      </c>
      <c r="P2419" t="n">
        <v>1</v>
      </c>
      <c r="Q2419" t="n">
        <v>0</v>
      </c>
    </row>
    <row r="2420">
      <c r="J2420" t="inlineStr">
        <is>
          <t>A</t>
        </is>
      </c>
      <c r="K2420" t="n">
        <v>2024</v>
      </c>
      <c r="L2420" t="n">
        <v>2</v>
      </c>
      <c r="M2420" t="inlineStr">
        <is>
          <t>Composto lácteo Merilú 400 g</t>
        </is>
      </c>
      <c r="N2420" t="inlineStr">
        <is>
          <t>Casa Noturna</t>
        </is>
      </c>
      <c r="O2420" t="n">
        <v>1</v>
      </c>
      <c r="P2420" t="n">
        <v>1</v>
      </c>
      <c r="Q2420" t="n">
        <v>1</v>
      </c>
    </row>
    <row r="2421">
      <c r="J2421" t="inlineStr">
        <is>
          <t>A</t>
        </is>
      </c>
      <c r="K2421" t="n">
        <v>2024</v>
      </c>
      <c r="L2421" t="n">
        <v>3</v>
      </c>
      <c r="M2421" t="inlineStr">
        <is>
          <t>Composto lácteo Merilú 400 g</t>
        </is>
      </c>
      <c r="N2421" t="inlineStr">
        <is>
          <t>Casa Noturna</t>
        </is>
      </c>
      <c r="O2421" t="n">
        <v>1</v>
      </c>
      <c r="P2421" t="n">
        <v>1</v>
      </c>
      <c r="Q2421" t="n">
        <v>1</v>
      </c>
    </row>
    <row r="2422">
      <c r="J2422" t="inlineStr">
        <is>
          <t>A</t>
        </is>
      </c>
      <c r="K2422" t="n">
        <v>2024</v>
      </c>
      <c r="L2422" t="n">
        <v>4</v>
      </c>
      <c r="M2422" t="inlineStr">
        <is>
          <t>Composto lácteo Merilú 400 g</t>
        </is>
      </c>
      <c r="N2422" t="inlineStr">
        <is>
          <t>Casa Noturna</t>
        </is>
      </c>
      <c r="O2422" t="n">
        <v>1</v>
      </c>
      <c r="P2422" t="n">
        <v>1</v>
      </c>
      <c r="Q2422" t="n">
        <v>1</v>
      </c>
    </row>
    <row r="2423">
      <c r="J2423" t="inlineStr">
        <is>
          <t>A</t>
        </is>
      </c>
      <c r="K2423" t="n">
        <v>2024</v>
      </c>
      <c r="L2423" t="n">
        <v>5</v>
      </c>
      <c r="M2423" t="inlineStr">
        <is>
          <t>Composto lácteo Merilú 400 g</t>
        </is>
      </c>
      <c r="N2423" t="inlineStr">
        <is>
          <t>Casa Noturna</t>
        </is>
      </c>
      <c r="O2423" t="n">
        <v>1</v>
      </c>
      <c r="P2423" t="n">
        <v>3</v>
      </c>
      <c r="Q2423" t="n">
        <v>1</v>
      </c>
    </row>
    <row r="2424">
      <c r="J2424" t="inlineStr">
        <is>
          <t>M</t>
        </is>
      </c>
      <c r="K2424" t="n">
        <v>2024</v>
      </c>
      <c r="L2424" t="n">
        <v>5</v>
      </c>
      <c r="M2424" t="inlineStr">
        <is>
          <t>Composto lácteo Merilú 400 g</t>
        </is>
      </c>
      <c r="N2424" t="inlineStr">
        <is>
          <t>Casa Noturna</t>
        </is>
      </c>
      <c r="O2424" t="n">
        <v>1</v>
      </c>
      <c r="P2424" t="n">
        <v>2</v>
      </c>
      <c r="Q2424" t="n">
        <v>0</v>
      </c>
    </row>
    <row r="2425">
      <c r="J2425" t="inlineStr">
        <is>
          <t>A</t>
        </is>
      </c>
      <c r="K2425" t="n">
        <v>2024</v>
      </c>
      <c r="L2425" t="n">
        <v>6</v>
      </c>
      <c r="M2425" t="inlineStr">
        <is>
          <t>Composto lácteo Merilú 400 g</t>
        </is>
      </c>
      <c r="N2425" t="inlineStr">
        <is>
          <t>Casa Noturna</t>
        </is>
      </c>
      <c r="O2425" t="n">
        <v>1</v>
      </c>
      <c r="P2425" t="n">
        <v>3</v>
      </c>
      <c r="Q2425" t="n">
        <v>1</v>
      </c>
    </row>
    <row r="2426">
      <c r="J2426" t="inlineStr">
        <is>
          <t>A</t>
        </is>
      </c>
      <c r="K2426" t="n">
        <v>2024</v>
      </c>
      <c r="L2426" t="n">
        <v>7</v>
      </c>
      <c r="M2426" t="inlineStr">
        <is>
          <t>Composto lácteo Merilú 400 g</t>
        </is>
      </c>
      <c r="N2426" t="inlineStr">
        <is>
          <t>Casa Noturna</t>
        </is>
      </c>
      <c r="O2426" t="n">
        <v>1</v>
      </c>
      <c r="P2426" t="n">
        <v>3</v>
      </c>
      <c r="Q2426" t="n">
        <v>1</v>
      </c>
    </row>
    <row r="2427">
      <c r="J2427" t="inlineStr">
        <is>
          <t>A</t>
        </is>
      </c>
      <c r="K2427" t="n">
        <v>2024</v>
      </c>
      <c r="L2427" t="n">
        <v>8</v>
      </c>
      <c r="M2427" t="inlineStr">
        <is>
          <t>Composto lácteo Merilú 400 g</t>
        </is>
      </c>
      <c r="N2427" t="inlineStr">
        <is>
          <t>Casa Noturna</t>
        </is>
      </c>
      <c r="O2427" t="n">
        <v>1</v>
      </c>
      <c r="P2427" t="n">
        <v>3</v>
      </c>
      <c r="Q2427" t="n">
        <v>1</v>
      </c>
    </row>
    <row r="2428">
      <c r="J2428" t="inlineStr">
        <is>
          <t>A</t>
        </is>
      </c>
      <c r="K2428" t="n">
        <v>2024</v>
      </c>
      <c r="L2428" t="n">
        <v>9</v>
      </c>
      <c r="M2428" t="inlineStr">
        <is>
          <t>Composto lácteo Merilú 400 g</t>
        </is>
      </c>
      <c r="N2428" t="inlineStr">
        <is>
          <t>Casa Noturna</t>
        </is>
      </c>
      <c r="O2428" t="n">
        <v>1</v>
      </c>
      <c r="P2428" t="n">
        <v>3</v>
      </c>
      <c r="Q2428" t="n">
        <v>1</v>
      </c>
    </row>
    <row r="2429">
      <c r="J2429" t="inlineStr">
        <is>
          <t>A</t>
        </is>
      </c>
      <c r="K2429" t="n">
        <v>2024</v>
      </c>
      <c r="L2429" t="n">
        <v>10</v>
      </c>
      <c r="M2429" t="inlineStr">
        <is>
          <t>Composto lácteo Merilú 400 g</t>
        </is>
      </c>
      <c r="N2429" t="inlineStr">
        <is>
          <t>Casa Noturna</t>
        </is>
      </c>
      <c r="O2429" t="n">
        <v>1</v>
      </c>
      <c r="P2429" t="n">
        <v>3</v>
      </c>
      <c r="Q2429" t="n">
        <v>1</v>
      </c>
    </row>
    <row r="2430">
      <c r="J2430" t="inlineStr">
        <is>
          <t>A</t>
        </is>
      </c>
      <c r="K2430" t="n">
        <v>2024</v>
      </c>
      <c r="L2430" t="n">
        <v>11</v>
      </c>
      <c r="M2430" t="inlineStr">
        <is>
          <t>Composto lácteo Merilú 400 g</t>
        </is>
      </c>
      <c r="N2430" t="inlineStr">
        <is>
          <t>Casa Noturna</t>
        </is>
      </c>
      <c r="O2430" t="n">
        <v>1</v>
      </c>
      <c r="P2430" t="n">
        <v>3</v>
      </c>
      <c r="Q2430" t="n">
        <v>1</v>
      </c>
    </row>
    <row r="2431">
      <c r="J2431" t="inlineStr">
        <is>
          <t>A</t>
        </is>
      </c>
      <c r="K2431" t="n">
        <v>2024</v>
      </c>
      <c r="L2431" t="n">
        <v>12</v>
      </c>
      <c r="M2431" t="inlineStr">
        <is>
          <t>Composto lácteo Merilú 400 g</t>
        </is>
      </c>
      <c r="N2431" t="inlineStr">
        <is>
          <t>Casa Noturna</t>
        </is>
      </c>
      <c r="O2431" t="n">
        <v>1</v>
      </c>
      <c r="P2431" t="n">
        <v>3</v>
      </c>
      <c r="Q2431" t="n">
        <v>1</v>
      </c>
    </row>
    <row r="2432">
      <c r="J2432" t="inlineStr">
        <is>
          <t>A</t>
        </is>
      </c>
      <c r="K2432" t="n">
        <v>2024</v>
      </c>
      <c r="L2432" t="n">
        <v>7</v>
      </c>
      <c r="M2432" t="inlineStr">
        <is>
          <t>Parmesão ralado Parmozzana 1 kg</t>
        </is>
      </c>
      <c r="N2432" t="inlineStr">
        <is>
          <t>Todos</t>
        </is>
      </c>
      <c r="O2432" t="n">
        <v>20</v>
      </c>
      <c r="P2432" t="n">
        <v>22</v>
      </c>
      <c r="Q2432" t="n">
        <v>20</v>
      </c>
    </row>
    <row r="2433">
      <c r="J2433" t="inlineStr">
        <is>
          <t>M</t>
        </is>
      </c>
      <c r="K2433" t="n">
        <v>2024</v>
      </c>
      <c r="L2433" t="n">
        <v>7</v>
      </c>
      <c r="M2433" t="inlineStr">
        <is>
          <t>Parmesão ralado Parmozzana 1 kg</t>
        </is>
      </c>
      <c r="N2433" t="inlineStr">
        <is>
          <t>Todos</t>
        </is>
      </c>
      <c r="O2433" t="n">
        <v>20</v>
      </c>
      <c r="P2433" t="n">
        <v>22</v>
      </c>
      <c r="Q2433" t="n">
        <v>0</v>
      </c>
    </row>
    <row r="2434">
      <c r="J2434" t="inlineStr">
        <is>
          <t>A</t>
        </is>
      </c>
      <c r="K2434" t="n">
        <v>2024</v>
      </c>
      <c r="L2434" t="n">
        <v>8</v>
      </c>
      <c r="M2434" t="inlineStr">
        <is>
          <t>Parmesão ralado Parmozzana 1 kg</t>
        </is>
      </c>
      <c r="N2434" t="inlineStr">
        <is>
          <t>Todos</t>
        </is>
      </c>
      <c r="O2434" t="n">
        <v>73</v>
      </c>
      <c r="P2434" t="n">
        <v>80</v>
      </c>
      <c r="Q2434" t="n">
        <v>73</v>
      </c>
    </row>
    <row r="2435">
      <c r="J2435" t="inlineStr">
        <is>
          <t>M</t>
        </is>
      </c>
      <c r="K2435" t="n">
        <v>2024</v>
      </c>
      <c r="L2435" t="n">
        <v>8</v>
      </c>
      <c r="M2435" t="inlineStr">
        <is>
          <t>Parmesão ralado Parmozzana 1 kg</t>
        </is>
      </c>
      <c r="N2435" t="inlineStr">
        <is>
          <t>Todos</t>
        </is>
      </c>
      <c r="O2435" t="n">
        <v>55</v>
      </c>
      <c r="P2435" t="n">
        <v>58</v>
      </c>
      <c r="Q2435" t="n">
        <v>0</v>
      </c>
    </row>
    <row r="2436">
      <c r="J2436" t="inlineStr">
        <is>
          <t>A</t>
        </is>
      </c>
      <c r="K2436" t="n">
        <v>2024</v>
      </c>
      <c r="L2436" t="n">
        <v>9</v>
      </c>
      <c r="M2436" t="inlineStr">
        <is>
          <t>Parmesão ralado Parmozzana 1 kg</t>
        </is>
      </c>
      <c r="N2436" t="inlineStr">
        <is>
          <t>Todos</t>
        </is>
      </c>
      <c r="O2436" t="n">
        <v>77</v>
      </c>
      <c r="P2436" t="n">
        <v>90</v>
      </c>
      <c r="Q2436" t="n">
        <v>77</v>
      </c>
    </row>
    <row r="2437">
      <c r="J2437" t="inlineStr">
        <is>
          <t>M</t>
        </is>
      </c>
      <c r="K2437" t="n">
        <v>2024</v>
      </c>
      <c r="L2437" t="n">
        <v>9</v>
      </c>
      <c r="M2437" t="inlineStr">
        <is>
          <t>Parmesão ralado Parmozzana 1 kg</t>
        </is>
      </c>
      <c r="N2437" t="inlineStr">
        <is>
          <t>Todos</t>
        </is>
      </c>
      <c r="O2437" t="n">
        <v>10</v>
      </c>
      <c r="P2437" t="n">
        <v>10</v>
      </c>
      <c r="Q2437" t="n">
        <v>0</v>
      </c>
    </row>
    <row r="2438">
      <c r="J2438" t="inlineStr">
        <is>
          <t>A</t>
        </is>
      </c>
      <c r="K2438" t="n">
        <v>2024</v>
      </c>
      <c r="L2438" t="n">
        <v>10</v>
      </c>
      <c r="M2438" t="inlineStr">
        <is>
          <t>Parmesão ralado Parmozzana 1 kg</t>
        </is>
      </c>
      <c r="N2438" t="inlineStr">
        <is>
          <t>Todos</t>
        </is>
      </c>
      <c r="O2438" t="n">
        <v>87</v>
      </c>
      <c r="P2438" t="n">
        <v>112</v>
      </c>
      <c r="Q2438" t="n">
        <v>87</v>
      </c>
    </row>
    <row r="2439">
      <c r="J2439" t="inlineStr">
        <is>
          <t>M</t>
        </is>
      </c>
      <c r="K2439" t="n">
        <v>2024</v>
      </c>
      <c r="L2439" t="n">
        <v>10</v>
      </c>
      <c r="M2439" t="inlineStr">
        <is>
          <t>Parmesão ralado Parmozzana 1 kg</t>
        </is>
      </c>
      <c r="N2439" t="inlineStr">
        <is>
          <t>Todos</t>
        </is>
      </c>
      <c r="O2439" t="n">
        <v>16</v>
      </c>
      <c r="P2439" t="n">
        <v>22</v>
      </c>
      <c r="Q2439" t="n">
        <v>0</v>
      </c>
    </row>
    <row r="2440">
      <c r="J2440" t="inlineStr">
        <is>
          <t>A</t>
        </is>
      </c>
      <c r="K2440" t="n">
        <v>2024</v>
      </c>
      <c r="L2440" t="n">
        <v>11</v>
      </c>
      <c r="M2440" t="inlineStr">
        <is>
          <t>Parmesão ralado Parmozzana 1 kg</t>
        </is>
      </c>
      <c r="N2440" t="inlineStr">
        <is>
          <t>Todos</t>
        </is>
      </c>
      <c r="O2440" t="n">
        <v>96</v>
      </c>
      <c r="P2440" t="n">
        <v>127</v>
      </c>
      <c r="Q2440" t="n">
        <v>96</v>
      </c>
    </row>
    <row r="2441">
      <c r="J2441" t="inlineStr">
        <is>
          <t>M</t>
        </is>
      </c>
      <c r="K2441" t="n">
        <v>2024</v>
      </c>
      <c r="L2441" t="n">
        <v>11</v>
      </c>
      <c r="M2441" t="inlineStr">
        <is>
          <t>Parmesão ralado Parmozzana 1 kg</t>
        </is>
      </c>
      <c r="N2441" t="inlineStr">
        <is>
          <t>Todos</t>
        </is>
      </c>
      <c r="O2441" t="n">
        <v>14</v>
      </c>
      <c r="P2441" t="n">
        <v>15</v>
      </c>
      <c r="Q2441" t="n">
        <v>0</v>
      </c>
    </row>
    <row r="2442">
      <c r="J2442" t="inlineStr">
        <is>
          <t>A</t>
        </is>
      </c>
      <c r="K2442" t="n">
        <v>2024</v>
      </c>
      <c r="L2442" t="n">
        <v>12</v>
      </c>
      <c r="M2442" t="inlineStr">
        <is>
          <t>Parmesão ralado Parmozzana 1 kg</t>
        </is>
      </c>
      <c r="N2442" t="inlineStr">
        <is>
          <t>Todos</t>
        </is>
      </c>
      <c r="O2442" t="n">
        <v>104</v>
      </c>
      <c r="P2442" t="n">
        <v>139</v>
      </c>
      <c r="Q2442" t="n">
        <v>104</v>
      </c>
    </row>
    <row r="2443">
      <c r="J2443" t="inlineStr">
        <is>
          <t>M</t>
        </is>
      </c>
      <c r="K2443" t="n">
        <v>2024</v>
      </c>
      <c r="L2443" t="n">
        <v>12</v>
      </c>
      <c r="M2443" t="inlineStr">
        <is>
          <t>Parmesão ralado Parmozzana 1 kg</t>
        </is>
      </c>
      <c r="N2443" t="inlineStr">
        <is>
          <t>Todos</t>
        </is>
      </c>
      <c r="O2443" t="n">
        <v>10</v>
      </c>
      <c r="P2443" t="n">
        <v>12</v>
      </c>
      <c r="Q2443" t="n">
        <v>0</v>
      </c>
    </row>
    <row r="2444">
      <c r="J2444" t="inlineStr">
        <is>
          <t>A</t>
        </is>
      </c>
      <c r="K2444" t="n">
        <v>2024</v>
      </c>
      <c r="L2444" t="n">
        <v>7</v>
      </c>
      <c r="M2444" t="inlineStr">
        <is>
          <t>Parmesão ralado Parmozzana 1 kg</t>
        </is>
      </c>
      <c r="N2444" t="inlineStr">
        <is>
          <t>Pizzaria</t>
        </is>
      </c>
      <c r="O2444" t="n">
        <v>9</v>
      </c>
      <c r="P2444" t="n">
        <v>10</v>
      </c>
      <c r="Q2444" t="n">
        <v>9</v>
      </c>
    </row>
    <row r="2445">
      <c r="J2445" t="inlineStr">
        <is>
          <t>M</t>
        </is>
      </c>
      <c r="K2445" t="n">
        <v>2024</v>
      </c>
      <c r="L2445" t="n">
        <v>7</v>
      </c>
      <c r="M2445" t="inlineStr">
        <is>
          <t>Parmesão ralado Parmozzana 1 kg</t>
        </is>
      </c>
      <c r="N2445" t="inlineStr">
        <is>
          <t>Pizzaria</t>
        </is>
      </c>
      <c r="O2445" t="n">
        <v>9</v>
      </c>
      <c r="P2445" t="n">
        <v>10</v>
      </c>
      <c r="Q2445" t="n">
        <v>0</v>
      </c>
    </row>
    <row r="2446">
      <c r="J2446" t="inlineStr">
        <is>
          <t>A</t>
        </is>
      </c>
      <c r="K2446" t="n">
        <v>2024</v>
      </c>
      <c r="L2446" t="n">
        <v>8</v>
      </c>
      <c r="M2446" t="inlineStr">
        <is>
          <t>Parmesão ralado Parmozzana 1 kg</t>
        </is>
      </c>
      <c r="N2446" t="inlineStr">
        <is>
          <t>Pizzaria</t>
        </is>
      </c>
      <c r="O2446" t="n">
        <v>29</v>
      </c>
      <c r="P2446" t="n">
        <v>32</v>
      </c>
      <c r="Q2446" t="n">
        <v>29</v>
      </c>
    </row>
    <row r="2447">
      <c r="J2447" t="inlineStr">
        <is>
          <t>M</t>
        </is>
      </c>
      <c r="K2447" t="n">
        <v>2024</v>
      </c>
      <c r="L2447" t="n">
        <v>8</v>
      </c>
      <c r="M2447" t="inlineStr">
        <is>
          <t>Parmesão ralado Parmozzana 1 kg</t>
        </is>
      </c>
      <c r="N2447" t="inlineStr">
        <is>
          <t>Pizzaria</t>
        </is>
      </c>
      <c r="O2447" t="n">
        <v>20</v>
      </c>
      <c r="P2447" t="n">
        <v>22</v>
      </c>
      <c r="Q2447" t="n">
        <v>0</v>
      </c>
    </row>
    <row r="2448">
      <c r="J2448" t="inlineStr">
        <is>
          <t>A</t>
        </is>
      </c>
      <c r="K2448" t="n">
        <v>2024</v>
      </c>
      <c r="L2448" t="n">
        <v>9</v>
      </c>
      <c r="M2448" t="inlineStr">
        <is>
          <t>Parmesão ralado Parmozzana 1 kg</t>
        </is>
      </c>
      <c r="N2448" t="inlineStr">
        <is>
          <t>Pizzaria</t>
        </is>
      </c>
      <c r="O2448" t="n">
        <v>32</v>
      </c>
      <c r="P2448" t="n">
        <v>39</v>
      </c>
      <c r="Q2448" t="n">
        <v>32</v>
      </c>
    </row>
    <row r="2449">
      <c r="J2449" t="inlineStr">
        <is>
          <t>M</t>
        </is>
      </c>
      <c r="K2449" t="n">
        <v>2024</v>
      </c>
      <c r="L2449" t="n">
        <v>9</v>
      </c>
      <c r="M2449" t="inlineStr">
        <is>
          <t>Parmesão ralado Parmozzana 1 kg</t>
        </is>
      </c>
      <c r="N2449" t="inlineStr">
        <is>
          <t>Pizzaria</t>
        </is>
      </c>
      <c r="O2449" t="n">
        <v>7</v>
      </c>
      <c r="P2449" t="n">
        <v>7</v>
      </c>
      <c r="Q2449" t="n">
        <v>0</v>
      </c>
    </row>
    <row r="2450">
      <c r="J2450" t="inlineStr">
        <is>
          <t>A</t>
        </is>
      </c>
      <c r="K2450" t="n">
        <v>2024</v>
      </c>
      <c r="L2450" t="n">
        <v>10</v>
      </c>
      <c r="M2450" t="inlineStr">
        <is>
          <t>Parmesão ralado Parmozzana 1 kg</t>
        </is>
      </c>
      <c r="N2450" t="inlineStr">
        <is>
          <t>Pizzaria</t>
        </is>
      </c>
      <c r="O2450" t="n">
        <v>35</v>
      </c>
      <c r="P2450" t="n">
        <v>54</v>
      </c>
      <c r="Q2450" t="n">
        <v>35</v>
      </c>
    </row>
    <row r="2451">
      <c r="J2451" t="inlineStr">
        <is>
          <t>M</t>
        </is>
      </c>
      <c r="K2451" t="n">
        <v>2024</v>
      </c>
      <c r="L2451" t="n">
        <v>10</v>
      </c>
      <c r="M2451" t="inlineStr">
        <is>
          <t>Parmesão ralado Parmozzana 1 kg</t>
        </is>
      </c>
      <c r="N2451" t="inlineStr">
        <is>
          <t>Pizzaria</t>
        </is>
      </c>
      <c r="O2451" t="n">
        <v>9</v>
      </c>
      <c r="P2451" t="n">
        <v>15</v>
      </c>
      <c r="Q2451" t="n">
        <v>0</v>
      </c>
    </row>
    <row r="2452">
      <c r="J2452" t="inlineStr">
        <is>
          <t>A</t>
        </is>
      </c>
      <c r="K2452" t="n">
        <v>2024</v>
      </c>
      <c r="L2452" t="n">
        <v>11</v>
      </c>
      <c r="M2452" t="inlineStr">
        <is>
          <t>Parmesão ralado Parmozzana 1 kg</t>
        </is>
      </c>
      <c r="N2452" t="inlineStr">
        <is>
          <t>Pizzaria</t>
        </is>
      </c>
      <c r="O2452" t="n">
        <v>40</v>
      </c>
      <c r="P2452" t="n">
        <v>64</v>
      </c>
      <c r="Q2452" t="n">
        <v>40</v>
      </c>
    </row>
    <row r="2453">
      <c r="J2453" t="inlineStr">
        <is>
          <t>M</t>
        </is>
      </c>
      <c r="K2453" t="n">
        <v>2024</v>
      </c>
      <c r="L2453" t="n">
        <v>11</v>
      </c>
      <c r="M2453" t="inlineStr">
        <is>
          <t>Parmesão ralado Parmozzana 1 kg</t>
        </is>
      </c>
      <c r="N2453" t="inlineStr">
        <is>
          <t>Pizzaria</t>
        </is>
      </c>
      <c r="O2453" t="n">
        <v>9</v>
      </c>
      <c r="P2453" t="n">
        <v>10</v>
      </c>
      <c r="Q2453" t="n">
        <v>0</v>
      </c>
    </row>
    <row r="2454">
      <c r="J2454" t="inlineStr">
        <is>
          <t>A</t>
        </is>
      </c>
      <c r="K2454" t="n">
        <v>2024</v>
      </c>
      <c r="L2454" t="n">
        <v>12</v>
      </c>
      <c r="M2454" t="inlineStr">
        <is>
          <t>Parmesão ralado Parmozzana 1 kg</t>
        </is>
      </c>
      <c r="N2454" t="inlineStr">
        <is>
          <t>Pizzaria</t>
        </is>
      </c>
      <c r="O2454" t="n">
        <v>42</v>
      </c>
      <c r="P2454" t="n">
        <v>69</v>
      </c>
      <c r="Q2454" t="n">
        <v>42</v>
      </c>
    </row>
    <row r="2455">
      <c r="J2455" t="inlineStr">
        <is>
          <t>M</t>
        </is>
      </c>
      <c r="K2455" t="n">
        <v>2024</v>
      </c>
      <c r="L2455" t="n">
        <v>12</v>
      </c>
      <c r="M2455" t="inlineStr">
        <is>
          <t>Parmesão ralado Parmozzana 1 kg</t>
        </is>
      </c>
      <c r="N2455" t="inlineStr">
        <is>
          <t>Pizzaria</t>
        </is>
      </c>
      <c r="O2455" t="n">
        <v>4</v>
      </c>
      <c r="P2455" t="n">
        <v>5</v>
      </c>
      <c r="Q2455" t="n">
        <v>0</v>
      </c>
    </row>
    <row r="2456">
      <c r="J2456" t="inlineStr">
        <is>
          <t>A</t>
        </is>
      </c>
      <c r="K2456" t="n">
        <v>2024</v>
      </c>
      <c r="L2456" t="n">
        <v>7</v>
      </c>
      <c r="M2456" t="inlineStr">
        <is>
          <t>Parmesão ralado Parmozzana 1 kg</t>
        </is>
      </c>
      <c r="N2456" t="inlineStr">
        <is>
          <t>Restaurante / Cantina</t>
        </is>
      </c>
      <c r="O2456" t="n">
        <v>4</v>
      </c>
      <c r="P2456" t="n">
        <v>5</v>
      </c>
      <c r="Q2456" t="n">
        <v>4</v>
      </c>
    </row>
    <row r="2457">
      <c r="J2457" t="inlineStr">
        <is>
          <t>M</t>
        </is>
      </c>
      <c r="K2457" t="n">
        <v>2024</v>
      </c>
      <c r="L2457" t="n">
        <v>7</v>
      </c>
      <c r="M2457" t="inlineStr">
        <is>
          <t>Parmesão ralado Parmozzana 1 kg</t>
        </is>
      </c>
      <c r="N2457" t="inlineStr">
        <is>
          <t>Restaurante / Cantina</t>
        </is>
      </c>
      <c r="O2457" t="n">
        <v>4</v>
      </c>
      <c r="P2457" t="n">
        <v>5</v>
      </c>
      <c r="Q2457" t="n">
        <v>0</v>
      </c>
    </row>
    <row r="2458">
      <c r="J2458" t="inlineStr">
        <is>
          <t>A</t>
        </is>
      </c>
      <c r="K2458" t="n">
        <v>2024</v>
      </c>
      <c r="L2458" t="n">
        <v>8</v>
      </c>
      <c r="M2458" t="inlineStr">
        <is>
          <t>Parmesão ralado Parmozzana 1 kg</t>
        </is>
      </c>
      <c r="N2458" t="inlineStr">
        <is>
          <t>Restaurante / Cantina</t>
        </is>
      </c>
      <c r="O2458" t="n">
        <v>7</v>
      </c>
      <c r="P2458" t="n">
        <v>9</v>
      </c>
      <c r="Q2458" t="n">
        <v>7</v>
      </c>
    </row>
    <row r="2459">
      <c r="J2459" t="inlineStr">
        <is>
          <t>M</t>
        </is>
      </c>
      <c r="K2459" t="n">
        <v>2024</v>
      </c>
      <c r="L2459" t="n">
        <v>8</v>
      </c>
      <c r="M2459" t="inlineStr">
        <is>
          <t>Parmesão ralado Parmozzana 1 kg</t>
        </is>
      </c>
      <c r="N2459" t="inlineStr">
        <is>
          <t>Restaurante / Cantina</t>
        </is>
      </c>
      <c r="O2459" t="n">
        <v>4</v>
      </c>
      <c r="P2459" t="n">
        <v>4</v>
      </c>
      <c r="Q2459" t="n">
        <v>0</v>
      </c>
    </row>
    <row r="2460">
      <c r="J2460" t="inlineStr">
        <is>
          <t>A</t>
        </is>
      </c>
      <c r="K2460" t="n">
        <v>2024</v>
      </c>
      <c r="L2460" t="n">
        <v>9</v>
      </c>
      <c r="M2460" t="inlineStr">
        <is>
          <t>Parmesão ralado Parmozzana 1 kg</t>
        </is>
      </c>
      <c r="N2460" t="inlineStr">
        <is>
          <t>Restaurante / Cantina</t>
        </is>
      </c>
      <c r="O2460" t="n">
        <v>8</v>
      </c>
      <c r="P2460" t="n">
        <v>11</v>
      </c>
      <c r="Q2460" t="n">
        <v>8</v>
      </c>
    </row>
    <row r="2461">
      <c r="J2461" t="inlineStr">
        <is>
          <t>M</t>
        </is>
      </c>
      <c r="K2461" t="n">
        <v>2024</v>
      </c>
      <c r="L2461" t="n">
        <v>9</v>
      </c>
      <c r="M2461" t="inlineStr">
        <is>
          <t>Parmesão ralado Parmozzana 1 kg</t>
        </is>
      </c>
      <c r="N2461" t="inlineStr">
        <is>
          <t>Restaurante / Cantina</t>
        </is>
      </c>
      <c r="O2461" t="n">
        <v>2</v>
      </c>
      <c r="P2461" t="n">
        <v>2</v>
      </c>
      <c r="Q2461" t="n">
        <v>0</v>
      </c>
    </row>
    <row r="2462">
      <c r="J2462" t="inlineStr">
        <is>
          <t>A</t>
        </is>
      </c>
      <c r="K2462" t="n">
        <v>2024</v>
      </c>
      <c r="L2462" t="n">
        <v>10</v>
      </c>
      <c r="M2462" t="inlineStr">
        <is>
          <t>Parmesão ralado Parmozzana 1 kg</t>
        </is>
      </c>
      <c r="N2462" t="inlineStr">
        <is>
          <t>Restaurante / Cantina</t>
        </is>
      </c>
      <c r="O2462" t="n">
        <v>11</v>
      </c>
      <c r="P2462" t="n">
        <v>14</v>
      </c>
      <c r="Q2462" t="n">
        <v>11</v>
      </c>
    </row>
    <row r="2463">
      <c r="J2463" t="inlineStr">
        <is>
          <t>M</t>
        </is>
      </c>
      <c r="K2463" t="n">
        <v>2024</v>
      </c>
      <c r="L2463" t="n">
        <v>10</v>
      </c>
      <c r="M2463" t="inlineStr">
        <is>
          <t>Parmesão ralado Parmozzana 1 kg</t>
        </is>
      </c>
      <c r="N2463" t="inlineStr">
        <is>
          <t>Restaurante / Cantina</t>
        </is>
      </c>
      <c r="O2463" t="n">
        <v>3</v>
      </c>
      <c r="P2463" t="n">
        <v>3</v>
      </c>
      <c r="Q2463" t="n">
        <v>0</v>
      </c>
    </row>
    <row r="2464">
      <c r="J2464" t="inlineStr">
        <is>
          <t>A</t>
        </is>
      </c>
      <c r="K2464" t="n">
        <v>2024</v>
      </c>
      <c r="L2464" t="n">
        <v>11</v>
      </c>
      <c r="M2464" t="inlineStr">
        <is>
          <t>Parmesão ralado Parmozzana 1 kg</t>
        </is>
      </c>
      <c r="N2464" t="inlineStr">
        <is>
          <t>Restaurante / Cantina</t>
        </is>
      </c>
      <c r="O2464" t="n">
        <v>12</v>
      </c>
      <c r="P2464" t="n">
        <v>15</v>
      </c>
      <c r="Q2464" t="n">
        <v>12</v>
      </c>
    </row>
    <row r="2465">
      <c r="J2465" t="inlineStr">
        <is>
          <t>M</t>
        </is>
      </c>
      <c r="K2465" t="n">
        <v>2024</v>
      </c>
      <c r="L2465" t="n">
        <v>11</v>
      </c>
      <c r="M2465" t="inlineStr">
        <is>
          <t>Parmesão ralado Parmozzana 1 kg</t>
        </is>
      </c>
      <c r="N2465" t="inlineStr">
        <is>
          <t>Restaurante / Cantina</t>
        </is>
      </c>
      <c r="O2465" t="n">
        <v>1</v>
      </c>
      <c r="P2465" t="n">
        <v>1</v>
      </c>
      <c r="Q2465" t="n">
        <v>0</v>
      </c>
    </row>
    <row r="2466">
      <c r="J2466" t="inlineStr">
        <is>
          <t>A</t>
        </is>
      </c>
      <c r="K2466" t="n">
        <v>2024</v>
      </c>
      <c r="L2466" t="n">
        <v>12</v>
      </c>
      <c r="M2466" t="inlineStr">
        <is>
          <t>Parmesão ralado Parmozzana 1 kg</t>
        </is>
      </c>
      <c r="N2466" t="inlineStr">
        <is>
          <t>Restaurante / Cantina</t>
        </is>
      </c>
      <c r="O2466" t="n">
        <v>14</v>
      </c>
      <c r="P2466" t="n">
        <v>18</v>
      </c>
      <c r="Q2466" t="n">
        <v>14</v>
      </c>
    </row>
    <row r="2467">
      <c r="J2467" t="inlineStr">
        <is>
          <t>M</t>
        </is>
      </c>
      <c r="K2467" t="n">
        <v>2024</v>
      </c>
      <c r="L2467" t="n">
        <v>12</v>
      </c>
      <c r="M2467" t="inlineStr">
        <is>
          <t>Parmesão ralado Parmozzana 1 kg</t>
        </is>
      </c>
      <c r="N2467" t="inlineStr">
        <is>
          <t>Restaurante / Cantina</t>
        </is>
      </c>
      <c r="O2467" t="n">
        <v>2</v>
      </c>
      <c r="P2467" t="n">
        <v>3</v>
      </c>
      <c r="Q2467" t="n">
        <v>0</v>
      </c>
    </row>
    <row r="2468">
      <c r="J2468" t="inlineStr">
        <is>
          <t>A</t>
        </is>
      </c>
      <c r="K2468" t="n">
        <v>2024</v>
      </c>
      <c r="L2468" t="n">
        <v>11</v>
      </c>
      <c r="M2468" t="inlineStr">
        <is>
          <t>Parmesão ralado Parmozzana 1 kg</t>
        </is>
      </c>
      <c r="N2468" t="inlineStr">
        <is>
          <t>Fábrica de Massas</t>
        </is>
      </c>
      <c r="O2468" t="n">
        <v>1</v>
      </c>
      <c r="P2468" t="n">
        <v>1</v>
      </c>
      <c r="Q2468" t="n">
        <v>1</v>
      </c>
    </row>
    <row r="2469">
      <c r="J2469" t="inlineStr">
        <is>
          <t>M</t>
        </is>
      </c>
      <c r="K2469" t="n">
        <v>2024</v>
      </c>
      <c r="L2469" t="n">
        <v>11</v>
      </c>
      <c r="M2469" t="inlineStr">
        <is>
          <t>Parmesão ralado Parmozzana 1 kg</t>
        </is>
      </c>
      <c r="N2469" t="inlineStr">
        <is>
          <t>Fábrica de Massas</t>
        </is>
      </c>
      <c r="O2469" t="n">
        <v>1</v>
      </c>
      <c r="P2469" t="n">
        <v>1</v>
      </c>
      <c r="Q2469" t="n">
        <v>0</v>
      </c>
    </row>
    <row r="2470">
      <c r="J2470" t="inlineStr">
        <is>
          <t>A</t>
        </is>
      </c>
      <c r="K2470" t="n">
        <v>2024</v>
      </c>
      <c r="L2470" t="n">
        <v>12</v>
      </c>
      <c r="M2470" t="inlineStr">
        <is>
          <t>Parmesão ralado Parmozzana 1 kg</t>
        </is>
      </c>
      <c r="N2470" t="inlineStr">
        <is>
          <t>Fábrica de Massas</t>
        </is>
      </c>
      <c r="O2470" t="n">
        <v>1</v>
      </c>
      <c r="P2470" t="n">
        <v>1</v>
      </c>
      <c r="Q2470" t="n">
        <v>1</v>
      </c>
    </row>
    <row r="2471">
      <c r="J2471" t="inlineStr">
        <is>
          <t>A</t>
        </is>
      </c>
      <c r="K2471" t="n">
        <v>2024</v>
      </c>
      <c r="L2471" t="n">
        <v>7</v>
      </c>
      <c r="M2471" t="inlineStr">
        <is>
          <t>Parmesão ralado Parmozzana 1 kg</t>
        </is>
      </c>
      <c r="N2471" t="inlineStr">
        <is>
          <t>Outros</t>
        </is>
      </c>
      <c r="O2471" t="n">
        <v>2</v>
      </c>
      <c r="P2471" t="n">
        <v>2</v>
      </c>
      <c r="Q2471" t="n">
        <v>2</v>
      </c>
    </row>
    <row r="2472">
      <c r="J2472" t="inlineStr">
        <is>
          <t>M</t>
        </is>
      </c>
      <c r="K2472" t="n">
        <v>2024</v>
      </c>
      <c r="L2472" t="n">
        <v>7</v>
      </c>
      <c r="M2472" t="inlineStr">
        <is>
          <t>Parmesão ralado Parmozzana 1 kg</t>
        </is>
      </c>
      <c r="N2472" t="inlineStr">
        <is>
          <t>Outros</t>
        </is>
      </c>
      <c r="O2472" t="n">
        <v>2</v>
      </c>
      <c r="P2472" t="n">
        <v>2</v>
      </c>
      <c r="Q2472" t="n">
        <v>0</v>
      </c>
    </row>
    <row r="2473">
      <c r="J2473" t="inlineStr">
        <is>
          <t>A</t>
        </is>
      </c>
      <c r="K2473" t="n">
        <v>2024</v>
      </c>
      <c r="L2473" t="n">
        <v>8</v>
      </c>
      <c r="M2473" t="inlineStr">
        <is>
          <t>Parmesão ralado Parmozzana 1 kg</t>
        </is>
      </c>
      <c r="N2473" t="inlineStr">
        <is>
          <t>Outros</t>
        </is>
      </c>
      <c r="O2473" t="n">
        <v>6</v>
      </c>
      <c r="P2473" t="n">
        <v>6</v>
      </c>
      <c r="Q2473" t="n">
        <v>6</v>
      </c>
    </row>
    <row r="2474">
      <c r="J2474" t="inlineStr">
        <is>
          <t>M</t>
        </is>
      </c>
      <c r="K2474" t="n">
        <v>2024</v>
      </c>
      <c r="L2474" t="n">
        <v>8</v>
      </c>
      <c r="M2474" t="inlineStr">
        <is>
          <t>Parmesão ralado Parmozzana 1 kg</t>
        </is>
      </c>
      <c r="N2474" t="inlineStr">
        <is>
          <t>Outros</t>
        </is>
      </c>
      <c r="O2474" t="n">
        <v>4</v>
      </c>
      <c r="P2474" t="n">
        <v>4</v>
      </c>
      <c r="Q2474" t="n">
        <v>0</v>
      </c>
    </row>
    <row r="2475">
      <c r="J2475" t="inlineStr">
        <is>
          <t>A</t>
        </is>
      </c>
      <c r="K2475" t="n">
        <v>2024</v>
      </c>
      <c r="L2475" t="n">
        <v>9</v>
      </c>
      <c r="M2475" t="inlineStr">
        <is>
          <t>Parmesão ralado Parmozzana 1 kg</t>
        </is>
      </c>
      <c r="N2475" t="inlineStr">
        <is>
          <t>Outros</t>
        </is>
      </c>
      <c r="O2475" t="n">
        <v>6</v>
      </c>
      <c r="P2475" t="n">
        <v>6</v>
      </c>
      <c r="Q2475" t="n">
        <v>6</v>
      </c>
    </row>
    <row r="2476">
      <c r="J2476" t="inlineStr">
        <is>
          <t>A</t>
        </is>
      </c>
      <c r="K2476" t="n">
        <v>2024</v>
      </c>
      <c r="L2476" t="n">
        <v>10</v>
      </c>
      <c r="M2476" t="inlineStr">
        <is>
          <t>Parmesão ralado Parmozzana 1 kg</t>
        </is>
      </c>
      <c r="N2476" t="inlineStr">
        <is>
          <t>Outros</t>
        </is>
      </c>
      <c r="O2476" t="n">
        <v>6</v>
      </c>
      <c r="P2476" t="n">
        <v>6</v>
      </c>
      <c r="Q2476" t="n">
        <v>6</v>
      </c>
    </row>
    <row r="2477">
      <c r="J2477" t="inlineStr">
        <is>
          <t>A</t>
        </is>
      </c>
      <c r="K2477" t="n">
        <v>2024</v>
      </c>
      <c r="L2477" t="n">
        <v>11</v>
      </c>
      <c r="M2477" t="inlineStr">
        <is>
          <t>Parmesão ralado Parmozzana 1 kg</t>
        </is>
      </c>
      <c r="N2477" t="inlineStr">
        <is>
          <t>Outros</t>
        </is>
      </c>
      <c r="O2477" t="n">
        <v>7</v>
      </c>
      <c r="P2477" t="n">
        <v>7</v>
      </c>
      <c r="Q2477" t="n">
        <v>7</v>
      </c>
    </row>
    <row r="2478">
      <c r="J2478" t="inlineStr">
        <is>
          <t>M</t>
        </is>
      </c>
      <c r="K2478" t="n">
        <v>2024</v>
      </c>
      <c r="L2478" t="n">
        <v>11</v>
      </c>
      <c r="M2478" t="inlineStr">
        <is>
          <t>Parmesão ralado Parmozzana 1 kg</t>
        </is>
      </c>
      <c r="N2478" t="inlineStr">
        <is>
          <t>Outros</t>
        </is>
      </c>
      <c r="O2478" t="n">
        <v>1</v>
      </c>
      <c r="P2478" t="n">
        <v>1</v>
      </c>
      <c r="Q2478" t="n">
        <v>0</v>
      </c>
    </row>
    <row r="2479">
      <c r="J2479" t="inlineStr">
        <is>
          <t>A</t>
        </is>
      </c>
      <c r="K2479" t="n">
        <v>2024</v>
      </c>
      <c r="L2479" t="n">
        <v>12</v>
      </c>
      <c r="M2479" t="inlineStr">
        <is>
          <t>Parmesão ralado Parmozzana 1 kg</t>
        </is>
      </c>
      <c r="N2479" t="inlineStr">
        <is>
          <t>Outros</t>
        </is>
      </c>
      <c r="O2479" t="n">
        <v>7</v>
      </c>
      <c r="P2479" t="n">
        <v>7</v>
      </c>
      <c r="Q2479" t="n">
        <v>7</v>
      </c>
    </row>
    <row r="2480">
      <c r="J2480" t="inlineStr">
        <is>
          <t>A</t>
        </is>
      </c>
      <c r="K2480" t="n">
        <v>2024</v>
      </c>
      <c r="L2480" t="n">
        <v>8</v>
      </c>
      <c r="M2480" t="inlineStr">
        <is>
          <t>Parmesão ralado Parmozzana 1 kg</t>
        </is>
      </c>
      <c r="N2480" t="inlineStr">
        <is>
          <t>Pessoa Física</t>
        </is>
      </c>
      <c r="O2480" t="n">
        <v>2</v>
      </c>
      <c r="P2480" t="n">
        <v>2</v>
      </c>
      <c r="Q2480" t="n">
        <v>2</v>
      </c>
    </row>
    <row r="2481">
      <c r="J2481" t="inlineStr">
        <is>
          <t>M</t>
        </is>
      </c>
      <c r="K2481" t="n">
        <v>2024</v>
      </c>
      <c r="L2481" t="n">
        <v>8</v>
      </c>
      <c r="M2481" t="inlineStr">
        <is>
          <t>Parmesão ralado Parmozzana 1 kg</t>
        </is>
      </c>
      <c r="N2481" t="inlineStr">
        <is>
          <t>Pessoa Física</t>
        </is>
      </c>
      <c r="O2481" t="n">
        <v>2</v>
      </c>
      <c r="P2481" t="n">
        <v>2</v>
      </c>
      <c r="Q2481" t="n">
        <v>0</v>
      </c>
    </row>
    <row r="2482">
      <c r="J2482" t="inlineStr">
        <is>
          <t>A</t>
        </is>
      </c>
      <c r="K2482" t="n">
        <v>2024</v>
      </c>
      <c r="L2482" t="n">
        <v>9</v>
      </c>
      <c r="M2482" t="inlineStr">
        <is>
          <t>Parmesão ralado Parmozzana 1 kg</t>
        </is>
      </c>
      <c r="N2482" t="inlineStr">
        <is>
          <t>Pessoa Física</t>
        </is>
      </c>
      <c r="O2482" t="n">
        <v>2</v>
      </c>
      <c r="P2482" t="n">
        <v>2</v>
      </c>
      <c r="Q2482" t="n">
        <v>2</v>
      </c>
    </row>
    <row r="2483">
      <c r="J2483" t="inlineStr">
        <is>
          <t>A</t>
        </is>
      </c>
      <c r="K2483" t="n">
        <v>2024</v>
      </c>
      <c r="L2483" t="n">
        <v>10</v>
      </c>
      <c r="M2483" t="inlineStr">
        <is>
          <t>Parmesão ralado Parmozzana 1 kg</t>
        </is>
      </c>
      <c r="N2483" t="inlineStr">
        <is>
          <t>Pessoa Física</t>
        </is>
      </c>
      <c r="O2483" t="n">
        <v>2</v>
      </c>
      <c r="P2483" t="n">
        <v>2</v>
      </c>
      <c r="Q2483" t="n">
        <v>2</v>
      </c>
    </row>
    <row r="2484">
      <c r="J2484" t="inlineStr">
        <is>
          <t>A</t>
        </is>
      </c>
      <c r="K2484" t="n">
        <v>2024</v>
      </c>
      <c r="L2484" t="n">
        <v>11</v>
      </c>
      <c r="M2484" t="inlineStr">
        <is>
          <t>Parmesão ralado Parmozzana 1 kg</t>
        </is>
      </c>
      <c r="N2484" t="inlineStr">
        <is>
          <t>Pessoa Física</t>
        </is>
      </c>
      <c r="O2484" t="n">
        <v>2</v>
      </c>
      <c r="P2484" t="n">
        <v>2</v>
      </c>
      <c r="Q2484" t="n">
        <v>2</v>
      </c>
    </row>
    <row r="2485">
      <c r="J2485" t="inlineStr">
        <is>
          <t>A</t>
        </is>
      </c>
      <c r="K2485" t="n">
        <v>2024</v>
      </c>
      <c r="L2485" t="n">
        <v>12</v>
      </c>
      <c r="M2485" t="inlineStr">
        <is>
          <t>Parmesão ralado Parmozzana 1 kg</t>
        </is>
      </c>
      <c r="N2485" t="inlineStr">
        <is>
          <t>Pessoa Física</t>
        </is>
      </c>
      <c r="O2485" t="n">
        <v>3</v>
      </c>
      <c r="P2485" t="n">
        <v>3</v>
      </c>
      <c r="Q2485" t="n">
        <v>3</v>
      </c>
    </row>
    <row r="2486">
      <c r="J2486" t="inlineStr">
        <is>
          <t>M</t>
        </is>
      </c>
      <c r="K2486" t="n">
        <v>2024</v>
      </c>
      <c r="L2486" t="n">
        <v>12</v>
      </c>
      <c r="M2486" t="inlineStr">
        <is>
          <t>Parmesão ralado Parmozzana 1 kg</t>
        </is>
      </c>
      <c r="N2486" t="inlineStr">
        <is>
          <t>Pessoa Física</t>
        </is>
      </c>
      <c r="O2486" t="n">
        <v>1</v>
      </c>
      <c r="P2486" t="n">
        <v>1</v>
      </c>
      <c r="Q2486" t="n">
        <v>0</v>
      </c>
    </row>
    <row r="2487">
      <c r="J2487" t="inlineStr">
        <is>
          <t>A</t>
        </is>
      </c>
      <c r="K2487" t="n">
        <v>2024</v>
      </c>
      <c r="L2487" t="n">
        <v>10</v>
      </c>
      <c r="M2487" t="inlineStr">
        <is>
          <t>Parmesão ralado Parmozzana 1 kg</t>
        </is>
      </c>
      <c r="N2487" t="inlineStr">
        <is>
          <t>Pastelaria</t>
        </is>
      </c>
      <c r="O2487" t="n">
        <v>1</v>
      </c>
      <c r="P2487" t="n">
        <v>1</v>
      </c>
      <c r="Q2487" t="n">
        <v>1</v>
      </c>
    </row>
    <row r="2488">
      <c r="J2488" t="inlineStr">
        <is>
          <t>M</t>
        </is>
      </c>
      <c r="K2488" t="n">
        <v>2024</v>
      </c>
      <c r="L2488" t="n">
        <v>10</v>
      </c>
      <c r="M2488" t="inlineStr">
        <is>
          <t>Parmesão ralado Parmozzana 1 kg</t>
        </is>
      </c>
      <c r="N2488" t="inlineStr">
        <is>
          <t>Pastelaria</t>
        </is>
      </c>
      <c r="O2488" t="n">
        <v>1</v>
      </c>
      <c r="P2488" t="n">
        <v>1</v>
      </c>
      <c r="Q2488" t="n">
        <v>0</v>
      </c>
    </row>
    <row r="2489">
      <c r="J2489" t="inlineStr">
        <is>
          <t>A</t>
        </is>
      </c>
      <c r="K2489" t="n">
        <v>2024</v>
      </c>
      <c r="L2489" t="n">
        <v>11</v>
      </c>
      <c r="M2489" t="inlineStr">
        <is>
          <t>Parmesão ralado Parmozzana 1 kg</t>
        </is>
      </c>
      <c r="N2489" t="inlineStr">
        <is>
          <t>Pastelaria</t>
        </is>
      </c>
      <c r="O2489" t="n">
        <v>1</v>
      </c>
      <c r="P2489" t="n">
        <v>1</v>
      </c>
      <c r="Q2489" t="n">
        <v>1</v>
      </c>
    </row>
    <row r="2490">
      <c r="J2490" t="inlineStr">
        <is>
          <t>A</t>
        </is>
      </c>
      <c r="K2490" t="n">
        <v>2024</v>
      </c>
      <c r="L2490" t="n">
        <v>12</v>
      </c>
      <c r="M2490" t="inlineStr">
        <is>
          <t>Parmesão ralado Parmozzana 1 kg</t>
        </is>
      </c>
      <c r="N2490" t="inlineStr">
        <is>
          <t>Pastelaria</t>
        </is>
      </c>
      <c r="O2490" t="n">
        <v>1</v>
      </c>
      <c r="P2490" t="n">
        <v>1</v>
      </c>
      <c r="Q2490" t="n">
        <v>1</v>
      </c>
    </row>
    <row r="2491">
      <c r="J2491" t="inlineStr">
        <is>
          <t>A</t>
        </is>
      </c>
      <c r="K2491" t="n">
        <v>2024</v>
      </c>
      <c r="L2491" t="n">
        <v>7</v>
      </c>
      <c r="M2491" t="inlineStr">
        <is>
          <t>Parmesão ralado Parmozzana 1 kg</t>
        </is>
      </c>
      <c r="N2491" t="inlineStr">
        <is>
          <t>Lanchonete / Cafeteria</t>
        </is>
      </c>
      <c r="O2491" t="n">
        <v>3</v>
      </c>
      <c r="P2491" t="n">
        <v>3</v>
      </c>
      <c r="Q2491" t="n">
        <v>3</v>
      </c>
    </row>
    <row r="2492">
      <c r="J2492" t="inlineStr">
        <is>
          <t>M</t>
        </is>
      </c>
      <c r="K2492" t="n">
        <v>2024</v>
      </c>
      <c r="L2492" t="n">
        <v>7</v>
      </c>
      <c r="M2492" t="inlineStr">
        <is>
          <t>Parmesão ralado Parmozzana 1 kg</t>
        </is>
      </c>
      <c r="N2492" t="inlineStr">
        <is>
          <t>Lanchonete / Cafeteria</t>
        </is>
      </c>
      <c r="O2492" t="n">
        <v>3</v>
      </c>
      <c r="P2492" t="n">
        <v>3</v>
      </c>
      <c r="Q2492" t="n">
        <v>0</v>
      </c>
    </row>
    <row r="2493">
      <c r="J2493" t="inlineStr">
        <is>
          <t>A</t>
        </is>
      </c>
      <c r="K2493" t="n">
        <v>2024</v>
      </c>
      <c r="L2493" t="n">
        <v>8</v>
      </c>
      <c r="M2493" t="inlineStr">
        <is>
          <t>Parmesão ralado Parmozzana 1 kg</t>
        </is>
      </c>
      <c r="N2493" t="inlineStr">
        <is>
          <t>Lanchonete / Cafeteria</t>
        </is>
      </c>
      <c r="O2493" t="n">
        <v>5</v>
      </c>
      <c r="P2493" t="n">
        <v>5</v>
      </c>
      <c r="Q2493" t="n">
        <v>5</v>
      </c>
    </row>
    <row r="2494">
      <c r="J2494" t="inlineStr">
        <is>
          <t>M</t>
        </is>
      </c>
      <c r="K2494" t="n">
        <v>2024</v>
      </c>
      <c r="L2494" t="n">
        <v>8</v>
      </c>
      <c r="M2494" t="inlineStr">
        <is>
          <t>Parmesão ralado Parmozzana 1 kg</t>
        </is>
      </c>
      <c r="N2494" t="inlineStr">
        <is>
          <t>Lanchonete / Cafeteria</t>
        </is>
      </c>
      <c r="O2494" t="n">
        <v>2</v>
      </c>
      <c r="P2494" t="n">
        <v>2</v>
      </c>
      <c r="Q2494" t="n">
        <v>0</v>
      </c>
    </row>
    <row r="2495">
      <c r="J2495" t="inlineStr">
        <is>
          <t>A</t>
        </is>
      </c>
      <c r="K2495" t="n">
        <v>2024</v>
      </c>
      <c r="L2495" t="n">
        <v>9</v>
      </c>
      <c r="M2495" t="inlineStr">
        <is>
          <t>Parmesão ralado Parmozzana 1 kg</t>
        </is>
      </c>
      <c r="N2495" t="inlineStr">
        <is>
          <t>Lanchonete / Cafeteria</t>
        </is>
      </c>
      <c r="O2495" t="n">
        <v>5</v>
      </c>
      <c r="P2495" t="n">
        <v>5</v>
      </c>
      <c r="Q2495" t="n">
        <v>5</v>
      </c>
    </row>
    <row r="2496">
      <c r="J2496" t="inlineStr">
        <is>
          <t>A</t>
        </is>
      </c>
      <c r="K2496" t="n">
        <v>2024</v>
      </c>
      <c r="L2496" t="n">
        <v>10</v>
      </c>
      <c r="M2496" t="inlineStr">
        <is>
          <t>Parmesão ralado Parmozzana 1 kg</t>
        </is>
      </c>
      <c r="N2496" t="inlineStr">
        <is>
          <t>Lanchonete / Cafeteria</t>
        </is>
      </c>
      <c r="O2496" t="n">
        <v>5</v>
      </c>
      <c r="P2496" t="n">
        <v>5</v>
      </c>
      <c r="Q2496" t="n">
        <v>5</v>
      </c>
    </row>
    <row r="2497">
      <c r="J2497" t="inlineStr">
        <is>
          <t>A</t>
        </is>
      </c>
      <c r="K2497" t="n">
        <v>2024</v>
      </c>
      <c r="L2497" t="n">
        <v>11</v>
      </c>
      <c r="M2497" t="inlineStr">
        <is>
          <t>Parmesão ralado Parmozzana 1 kg</t>
        </is>
      </c>
      <c r="N2497" t="inlineStr">
        <is>
          <t>Lanchonete / Cafeteria</t>
        </is>
      </c>
      <c r="O2497" t="n">
        <v>6</v>
      </c>
      <c r="P2497" t="n">
        <v>6</v>
      </c>
      <c r="Q2497" t="n">
        <v>6</v>
      </c>
    </row>
    <row r="2498">
      <c r="J2498" t="inlineStr">
        <is>
          <t>M</t>
        </is>
      </c>
      <c r="K2498" t="n">
        <v>2024</v>
      </c>
      <c r="L2498" t="n">
        <v>11</v>
      </c>
      <c r="M2498" t="inlineStr">
        <is>
          <t>Parmesão ralado Parmozzana 1 kg</t>
        </is>
      </c>
      <c r="N2498" t="inlineStr">
        <is>
          <t>Lanchonete / Cafeteria</t>
        </is>
      </c>
      <c r="O2498" t="n">
        <v>1</v>
      </c>
      <c r="P2498" t="n">
        <v>1</v>
      </c>
      <c r="Q2498" t="n">
        <v>0</v>
      </c>
    </row>
    <row r="2499">
      <c r="J2499" t="inlineStr">
        <is>
          <t>A</t>
        </is>
      </c>
      <c r="K2499" t="n">
        <v>2024</v>
      </c>
      <c r="L2499" t="n">
        <v>12</v>
      </c>
      <c r="M2499" t="inlineStr">
        <is>
          <t>Parmesão ralado Parmozzana 1 kg</t>
        </is>
      </c>
      <c r="N2499" t="inlineStr">
        <is>
          <t>Lanchonete / Cafeteria</t>
        </is>
      </c>
      <c r="O2499" t="n">
        <v>7</v>
      </c>
      <c r="P2499" t="n">
        <v>7</v>
      </c>
      <c r="Q2499" t="n">
        <v>7</v>
      </c>
    </row>
    <row r="2500">
      <c r="J2500" t="inlineStr">
        <is>
          <t>M</t>
        </is>
      </c>
      <c r="K2500" t="n">
        <v>2024</v>
      </c>
      <c r="L2500" t="n">
        <v>12</v>
      </c>
      <c r="M2500" t="inlineStr">
        <is>
          <t>Parmesão ralado Parmozzana 1 kg</t>
        </is>
      </c>
      <c r="N2500" t="inlineStr">
        <is>
          <t>Lanchonete / Cafeteria</t>
        </is>
      </c>
      <c r="O2500" t="n">
        <v>1</v>
      </c>
      <c r="P2500" t="n">
        <v>1</v>
      </c>
      <c r="Q2500" t="n">
        <v>0</v>
      </c>
    </row>
    <row r="2501">
      <c r="J2501" t="inlineStr">
        <is>
          <t>A</t>
        </is>
      </c>
      <c r="K2501" t="n">
        <v>2024</v>
      </c>
      <c r="L2501" t="n">
        <v>8</v>
      </c>
      <c r="M2501" t="inlineStr">
        <is>
          <t>Parmesão ralado Parmozzana 1 kg</t>
        </is>
      </c>
      <c r="N2501" t="inlineStr">
        <is>
          <t>Padaria</t>
        </is>
      </c>
      <c r="O2501" t="n">
        <v>7</v>
      </c>
      <c r="P2501" t="n">
        <v>7</v>
      </c>
      <c r="Q2501" t="n">
        <v>7</v>
      </c>
    </row>
    <row r="2502">
      <c r="J2502" t="inlineStr">
        <is>
          <t>M</t>
        </is>
      </c>
      <c r="K2502" t="n">
        <v>2024</v>
      </c>
      <c r="L2502" t="n">
        <v>8</v>
      </c>
      <c r="M2502" t="inlineStr">
        <is>
          <t>Parmesão ralado Parmozzana 1 kg</t>
        </is>
      </c>
      <c r="N2502" t="inlineStr">
        <is>
          <t>Padaria</t>
        </is>
      </c>
      <c r="O2502" t="n">
        <v>7</v>
      </c>
      <c r="P2502" t="n">
        <v>7</v>
      </c>
      <c r="Q2502" t="n">
        <v>0</v>
      </c>
    </row>
    <row r="2503">
      <c r="J2503" t="inlineStr">
        <is>
          <t>A</t>
        </is>
      </c>
      <c r="K2503" t="n">
        <v>2024</v>
      </c>
      <c r="L2503" t="n">
        <v>9</v>
      </c>
      <c r="M2503" t="inlineStr">
        <is>
          <t>Parmesão ralado Parmozzana 1 kg</t>
        </is>
      </c>
      <c r="N2503" t="inlineStr">
        <is>
          <t>Padaria</t>
        </is>
      </c>
      <c r="O2503" t="n">
        <v>7</v>
      </c>
      <c r="P2503" t="n">
        <v>7</v>
      </c>
      <c r="Q2503" t="n">
        <v>7</v>
      </c>
    </row>
    <row r="2504">
      <c r="J2504" t="inlineStr">
        <is>
          <t>A</t>
        </is>
      </c>
      <c r="K2504" t="n">
        <v>2024</v>
      </c>
      <c r="L2504" t="n">
        <v>10</v>
      </c>
      <c r="M2504" t="inlineStr">
        <is>
          <t>Parmesão ralado Parmozzana 1 kg</t>
        </is>
      </c>
      <c r="N2504" t="inlineStr">
        <is>
          <t>Padaria</t>
        </is>
      </c>
      <c r="O2504" t="n">
        <v>7</v>
      </c>
      <c r="P2504" t="n">
        <v>7</v>
      </c>
      <c r="Q2504" t="n">
        <v>7</v>
      </c>
    </row>
    <row r="2505">
      <c r="J2505" t="inlineStr">
        <is>
          <t>A</t>
        </is>
      </c>
      <c r="K2505" t="n">
        <v>2024</v>
      </c>
      <c r="L2505" t="n">
        <v>11</v>
      </c>
      <c r="M2505" t="inlineStr">
        <is>
          <t>Parmesão ralado Parmozzana 1 kg</t>
        </is>
      </c>
      <c r="N2505" t="inlineStr">
        <is>
          <t>Padaria</t>
        </is>
      </c>
      <c r="O2505" t="n">
        <v>7</v>
      </c>
      <c r="P2505" t="n">
        <v>7</v>
      </c>
      <c r="Q2505" t="n">
        <v>7</v>
      </c>
    </row>
    <row r="2506">
      <c r="J2506" t="inlineStr">
        <is>
          <t>A</t>
        </is>
      </c>
      <c r="K2506" t="n">
        <v>2024</v>
      </c>
      <c r="L2506" t="n">
        <v>12</v>
      </c>
      <c r="M2506" t="inlineStr">
        <is>
          <t>Parmesão ralado Parmozzana 1 kg</t>
        </is>
      </c>
      <c r="N2506" t="inlineStr">
        <is>
          <t>Padaria</t>
        </is>
      </c>
      <c r="O2506" t="n">
        <v>7</v>
      </c>
      <c r="P2506" t="n">
        <v>7</v>
      </c>
      <c r="Q2506" t="n">
        <v>7</v>
      </c>
    </row>
    <row r="2507">
      <c r="J2507" t="inlineStr">
        <is>
          <t>A</t>
        </is>
      </c>
      <c r="K2507" t="n">
        <v>2024</v>
      </c>
      <c r="L2507" t="n">
        <v>8</v>
      </c>
      <c r="M2507" t="inlineStr">
        <is>
          <t>Parmesão ralado Parmozzana 1 kg</t>
        </is>
      </c>
      <c r="N2507" t="inlineStr">
        <is>
          <t>Supermercado</t>
        </is>
      </c>
      <c r="O2507" t="n">
        <v>3</v>
      </c>
      <c r="P2507" t="n">
        <v>3</v>
      </c>
      <c r="Q2507" t="n">
        <v>3</v>
      </c>
    </row>
    <row r="2508">
      <c r="J2508" t="inlineStr">
        <is>
          <t>M</t>
        </is>
      </c>
      <c r="K2508" t="n">
        <v>2024</v>
      </c>
      <c r="L2508" t="n">
        <v>8</v>
      </c>
      <c r="M2508" t="inlineStr">
        <is>
          <t>Parmesão ralado Parmozzana 1 kg</t>
        </is>
      </c>
      <c r="N2508" t="inlineStr">
        <is>
          <t>Supermercado</t>
        </is>
      </c>
      <c r="O2508" t="n">
        <v>3</v>
      </c>
      <c r="P2508" t="n">
        <v>3</v>
      </c>
      <c r="Q2508" t="n">
        <v>0</v>
      </c>
    </row>
    <row r="2509">
      <c r="J2509" t="inlineStr">
        <is>
          <t>A</t>
        </is>
      </c>
      <c r="K2509" t="n">
        <v>2024</v>
      </c>
      <c r="L2509" t="n">
        <v>9</v>
      </c>
      <c r="M2509" t="inlineStr">
        <is>
          <t>Parmesão ralado Parmozzana 1 kg</t>
        </is>
      </c>
      <c r="N2509" t="inlineStr">
        <is>
          <t>Supermercado</t>
        </is>
      </c>
      <c r="O2509" t="n">
        <v>3</v>
      </c>
      <c r="P2509" t="n">
        <v>3</v>
      </c>
      <c r="Q2509" t="n">
        <v>3</v>
      </c>
    </row>
    <row r="2510">
      <c r="J2510" t="inlineStr">
        <is>
          <t>A</t>
        </is>
      </c>
      <c r="K2510" t="n">
        <v>2024</v>
      </c>
      <c r="L2510" t="n">
        <v>10</v>
      </c>
      <c r="M2510" t="inlineStr">
        <is>
          <t>Parmesão ralado Parmozzana 1 kg</t>
        </is>
      </c>
      <c r="N2510" t="inlineStr">
        <is>
          <t>Supermercado</t>
        </is>
      </c>
      <c r="O2510" t="n">
        <v>3</v>
      </c>
      <c r="P2510" t="n">
        <v>3</v>
      </c>
      <c r="Q2510" t="n">
        <v>3</v>
      </c>
    </row>
    <row r="2511">
      <c r="J2511" t="inlineStr">
        <is>
          <t>A</t>
        </is>
      </c>
      <c r="K2511" t="n">
        <v>2024</v>
      </c>
      <c r="L2511" t="n">
        <v>11</v>
      </c>
      <c r="M2511" t="inlineStr">
        <is>
          <t>Parmesão ralado Parmozzana 1 kg</t>
        </is>
      </c>
      <c r="N2511" t="inlineStr">
        <is>
          <t>Supermercado</t>
        </is>
      </c>
      <c r="O2511" t="n">
        <v>3</v>
      </c>
      <c r="P2511" t="n">
        <v>3</v>
      </c>
      <c r="Q2511" t="n">
        <v>3</v>
      </c>
    </row>
    <row r="2512">
      <c r="J2512" t="inlineStr">
        <is>
          <t>A</t>
        </is>
      </c>
      <c r="K2512" t="n">
        <v>2024</v>
      </c>
      <c r="L2512" t="n">
        <v>12</v>
      </c>
      <c r="M2512" t="inlineStr">
        <is>
          <t>Parmesão ralado Parmozzana 1 kg</t>
        </is>
      </c>
      <c r="N2512" t="inlineStr">
        <is>
          <t>Supermercado</t>
        </is>
      </c>
      <c r="O2512" t="n">
        <v>3</v>
      </c>
      <c r="P2512" t="n">
        <v>3</v>
      </c>
      <c r="Q2512" t="n">
        <v>3</v>
      </c>
    </row>
    <row r="2513">
      <c r="J2513" t="inlineStr">
        <is>
          <t>A</t>
        </is>
      </c>
      <c r="K2513" t="n">
        <v>2024</v>
      </c>
      <c r="L2513" t="n">
        <v>8</v>
      </c>
      <c r="M2513" t="inlineStr">
        <is>
          <t>Parmesão ralado Parmozzana 1 kg</t>
        </is>
      </c>
      <c r="N2513" t="inlineStr">
        <is>
          <t>Rotisserie</t>
        </is>
      </c>
      <c r="O2513" t="n">
        <v>2</v>
      </c>
      <c r="P2513" t="n">
        <v>2</v>
      </c>
      <c r="Q2513" t="n">
        <v>2</v>
      </c>
    </row>
    <row r="2514">
      <c r="J2514" t="inlineStr">
        <is>
          <t>M</t>
        </is>
      </c>
      <c r="K2514" t="n">
        <v>2024</v>
      </c>
      <c r="L2514" t="n">
        <v>8</v>
      </c>
      <c r="M2514" t="inlineStr">
        <is>
          <t>Parmesão ralado Parmozzana 1 kg</t>
        </is>
      </c>
      <c r="N2514" t="inlineStr">
        <is>
          <t>Rotisserie</t>
        </is>
      </c>
      <c r="O2514" t="n">
        <v>2</v>
      </c>
      <c r="P2514" t="n">
        <v>2</v>
      </c>
      <c r="Q2514" t="n">
        <v>0</v>
      </c>
    </row>
    <row r="2515">
      <c r="J2515" t="inlineStr">
        <is>
          <t>A</t>
        </is>
      </c>
      <c r="K2515" t="n">
        <v>2024</v>
      </c>
      <c r="L2515" t="n">
        <v>9</v>
      </c>
      <c r="M2515" t="inlineStr">
        <is>
          <t>Parmesão ralado Parmozzana 1 kg</t>
        </is>
      </c>
      <c r="N2515" t="inlineStr">
        <is>
          <t>Rotisserie</t>
        </is>
      </c>
      <c r="O2515" t="n">
        <v>2</v>
      </c>
      <c r="P2515" t="n">
        <v>2</v>
      </c>
      <c r="Q2515" t="n">
        <v>2</v>
      </c>
    </row>
    <row r="2516">
      <c r="J2516" t="inlineStr">
        <is>
          <t>A</t>
        </is>
      </c>
      <c r="K2516" t="n">
        <v>2024</v>
      </c>
      <c r="L2516" t="n">
        <v>10</v>
      </c>
      <c r="M2516" t="inlineStr">
        <is>
          <t>Parmesão ralado Parmozzana 1 kg</t>
        </is>
      </c>
      <c r="N2516" t="inlineStr">
        <is>
          <t>Rotisserie</t>
        </is>
      </c>
      <c r="O2516" t="n">
        <v>3</v>
      </c>
      <c r="P2516" t="n">
        <v>3</v>
      </c>
      <c r="Q2516" t="n">
        <v>3</v>
      </c>
    </row>
    <row r="2517">
      <c r="J2517" t="inlineStr">
        <is>
          <t>M</t>
        </is>
      </c>
      <c r="K2517" t="n">
        <v>2024</v>
      </c>
      <c r="L2517" t="n">
        <v>10</v>
      </c>
      <c r="M2517" t="inlineStr">
        <is>
          <t>Parmesão ralado Parmozzana 1 kg</t>
        </is>
      </c>
      <c r="N2517" t="inlineStr">
        <is>
          <t>Rotisserie</t>
        </is>
      </c>
      <c r="O2517" t="n">
        <v>1</v>
      </c>
      <c r="P2517" t="n">
        <v>1</v>
      </c>
      <c r="Q2517" t="n">
        <v>0</v>
      </c>
    </row>
    <row r="2518">
      <c r="J2518" t="inlineStr">
        <is>
          <t>A</t>
        </is>
      </c>
      <c r="K2518" t="n">
        <v>2024</v>
      </c>
      <c r="L2518" t="n">
        <v>11</v>
      </c>
      <c r="M2518" t="inlineStr">
        <is>
          <t>Parmesão ralado Parmozzana 1 kg</t>
        </is>
      </c>
      <c r="N2518" t="inlineStr">
        <is>
          <t>Rotisserie</t>
        </is>
      </c>
      <c r="O2518" t="n">
        <v>3</v>
      </c>
      <c r="P2518" t="n">
        <v>3</v>
      </c>
      <c r="Q2518" t="n">
        <v>3</v>
      </c>
    </row>
    <row r="2519">
      <c r="J2519" t="inlineStr">
        <is>
          <t>A</t>
        </is>
      </c>
      <c r="K2519" t="n">
        <v>2024</v>
      </c>
      <c r="L2519" t="n">
        <v>12</v>
      </c>
      <c r="M2519" t="inlineStr">
        <is>
          <t>Parmesão ralado Parmozzana 1 kg</t>
        </is>
      </c>
      <c r="N2519" t="inlineStr">
        <is>
          <t>Rotisserie</t>
        </is>
      </c>
      <c r="O2519" t="n">
        <v>3</v>
      </c>
      <c r="P2519" t="n">
        <v>3</v>
      </c>
      <c r="Q2519" t="n">
        <v>3</v>
      </c>
    </row>
    <row r="2520">
      <c r="J2520" t="inlineStr">
        <is>
          <t>A</t>
        </is>
      </c>
      <c r="K2520" t="n">
        <v>2024</v>
      </c>
      <c r="L2520" t="n">
        <v>8</v>
      </c>
      <c r="M2520" t="inlineStr">
        <is>
          <t>Parmesão ralado Parmozzana 1 kg</t>
        </is>
      </c>
      <c r="N2520" t="inlineStr">
        <is>
          <t>Mercearia / Sacolão</t>
        </is>
      </c>
      <c r="O2520" t="n">
        <v>1</v>
      </c>
      <c r="P2520" t="n">
        <v>1</v>
      </c>
      <c r="Q2520" t="n">
        <v>1</v>
      </c>
    </row>
    <row r="2521">
      <c r="J2521" t="inlineStr">
        <is>
          <t>M</t>
        </is>
      </c>
      <c r="K2521" t="n">
        <v>2024</v>
      </c>
      <c r="L2521" t="n">
        <v>8</v>
      </c>
      <c r="M2521" t="inlineStr">
        <is>
          <t>Parmesão ralado Parmozzana 1 kg</t>
        </is>
      </c>
      <c r="N2521" t="inlineStr">
        <is>
          <t>Mercearia / Sacolão</t>
        </is>
      </c>
      <c r="O2521" t="n">
        <v>1</v>
      </c>
      <c r="P2521" t="n">
        <v>1</v>
      </c>
      <c r="Q2521" t="n">
        <v>0</v>
      </c>
    </row>
    <row r="2522">
      <c r="J2522" t="inlineStr">
        <is>
          <t>A</t>
        </is>
      </c>
      <c r="K2522" t="n">
        <v>2024</v>
      </c>
      <c r="L2522" t="n">
        <v>9</v>
      </c>
      <c r="M2522" t="inlineStr">
        <is>
          <t>Parmesão ralado Parmozzana 1 kg</t>
        </is>
      </c>
      <c r="N2522" t="inlineStr">
        <is>
          <t>Mercearia / Sacolão</t>
        </is>
      </c>
      <c r="O2522" t="n">
        <v>1</v>
      </c>
      <c r="P2522" t="n">
        <v>1</v>
      </c>
      <c r="Q2522" t="n">
        <v>1</v>
      </c>
    </row>
    <row r="2523">
      <c r="J2523" t="inlineStr">
        <is>
          <t>A</t>
        </is>
      </c>
      <c r="K2523" t="n">
        <v>2024</v>
      </c>
      <c r="L2523" t="n">
        <v>10</v>
      </c>
      <c r="M2523" t="inlineStr">
        <is>
          <t>Parmesão ralado Parmozzana 1 kg</t>
        </is>
      </c>
      <c r="N2523" t="inlineStr">
        <is>
          <t>Mercearia / Sacolão</t>
        </is>
      </c>
      <c r="O2523" t="n">
        <v>1</v>
      </c>
      <c r="P2523" t="n">
        <v>1</v>
      </c>
      <c r="Q2523" t="n">
        <v>1</v>
      </c>
    </row>
    <row r="2524">
      <c r="J2524" t="inlineStr">
        <is>
          <t>A</t>
        </is>
      </c>
      <c r="K2524" t="n">
        <v>2024</v>
      </c>
      <c r="L2524" t="n">
        <v>11</v>
      </c>
      <c r="M2524" t="inlineStr">
        <is>
          <t>Parmesão ralado Parmozzana 1 kg</t>
        </is>
      </c>
      <c r="N2524" t="inlineStr">
        <is>
          <t>Mercearia / Sacolão</t>
        </is>
      </c>
      <c r="O2524" t="n">
        <v>1</v>
      </c>
      <c r="P2524" t="n">
        <v>1</v>
      </c>
      <c r="Q2524" t="n">
        <v>1</v>
      </c>
    </row>
    <row r="2525">
      <c r="J2525" t="inlineStr">
        <is>
          <t>A</t>
        </is>
      </c>
      <c r="K2525" t="n">
        <v>2024</v>
      </c>
      <c r="L2525" t="n">
        <v>12</v>
      </c>
      <c r="M2525" t="inlineStr">
        <is>
          <t>Parmesão ralado Parmozzana 1 kg</t>
        </is>
      </c>
      <c r="N2525" t="inlineStr">
        <is>
          <t>Mercearia / Sacolão</t>
        </is>
      </c>
      <c r="O2525" t="n">
        <v>1</v>
      </c>
      <c r="P2525" t="n">
        <v>1</v>
      </c>
      <c r="Q2525" t="n">
        <v>1</v>
      </c>
    </row>
    <row r="2526">
      <c r="J2526" t="inlineStr">
        <is>
          <t>A</t>
        </is>
      </c>
      <c r="K2526" t="n">
        <v>2024</v>
      </c>
      <c r="L2526" t="n">
        <v>8</v>
      </c>
      <c r="M2526" t="inlineStr">
        <is>
          <t>Parmesão ralado Parmozzana 1 kg</t>
        </is>
      </c>
      <c r="N2526" t="inlineStr">
        <is>
          <t>Buffet</t>
        </is>
      </c>
      <c r="O2526" t="n">
        <v>1</v>
      </c>
      <c r="P2526" t="n">
        <v>2</v>
      </c>
      <c r="Q2526" t="n">
        <v>1</v>
      </c>
    </row>
    <row r="2527">
      <c r="J2527" t="inlineStr">
        <is>
          <t>M</t>
        </is>
      </c>
      <c r="K2527" t="n">
        <v>2024</v>
      </c>
      <c r="L2527" t="n">
        <v>8</v>
      </c>
      <c r="M2527" t="inlineStr">
        <is>
          <t>Parmesão ralado Parmozzana 1 kg</t>
        </is>
      </c>
      <c r="N2527" t="inlineStr">
        <is>
          <t>Buffet</t>
        </is>
      </c>
      <c r="O2527" t="n">
        <v>1</v>
      </c>
      <c r="P2527" t="n">
        <v>2</v>
      </c>
      <c r="Q2527" t="n">
        <v>0</v>
      </c>
    </row>
    <row r="2528">
      <c r="J2528" t="inlineStr">
        <is>
          <t>A</t>
        </is>
      </c>
      <c r="K2528" t="n">
        <v>2024</v>
      </c>
      <c r="L2528" t="n">
        <v>9</v>
      </c>
      <c r="M2528" t="inlineStr">
        <is>
          <t>Parmesão ralado Parmozzana 1 kg</t>
        </is>
      </c>
      <c r="N2528" t="inlineStr">
        <is>
          <t>Buffet</t>
        </is>
      </c>
      <c r="O2528" t="n">
        <v>1</v>
      </c>
      <c r="P2528" t="n">
        <v>2</v>
      </c>
      <c r="Q2528" t="n">
        <v>1</v>
      </c>
    </row>
    <row r="2529">
      <c r="J2529" t="inlineStr">
        <is>
          <t>A</t>
        </is>
      </c>
      <c r="K2529" t="n">
        <v>2024</v>
      </c>
      <c r="L2529" t="n">
        <v>10</v>
      </c>
      <c r="M2529" t="inlineStr">
        <is>
          <t>Parmesão ralado Parmozzana 1 kg</t>
        </is>
      </c>
      <c r="N2529" t="inlineStr">
        <is>
          <t>Buffet</t>
        </is>
      </c>
      <c r="O2529" t="n">
        <v>1</v>
      </c>
      <c r="P2529" t="n">
        <v>2</v>
      </c>
      <c r="Q2529" t="n">
        <v>1</v>
      </c>
    </row>
    <row r="2530">
      <c r="J2530" t="inlineStr">
        <is>
          <t>A</t>
        </is>
      </c>
      <c r="K2530" t="n">
        <v>2024</v>
      </c>
      <c r="L2530" t="n">
        <v>11</v>
      </c>
      <c r="M2530" t="inlineStr">
        <is>
          <t>Parmesão ralado Parmozzana 1 kg</t>
        </is>
      </c>
      <c r="N2530" t="inlineStr">
        <is>
          <t>Buffet</t>
        </is>
      </c>
      <c r="O2530" t="n">
        <v>1</v>
      </c>
      <c r="P2530" t="n">
        <v>2</v>
      </c>
      <c r="Q2530" t="n">
        <v>1</v>
      </c>
    </row>
    <row r="2531">
      <c r="J2531" t="inlineStr">
        <is>
          <t>A</t>
        </is>
      </c>
      <c r="K2531" t="n">
        <v>2024</v>
      </c>
      <c r="L2531" t="n">
        <v>12</v>
      </c>
      <c r="M2531" t="inlineStr">
        <is>
          <t>Parmesão ralado Parmozzana 1 kg</t>
        </is>
      </c>
      <c r="N2531" t="inlineStr">
        <is>
          <t>Buffet</t>
        </is>
      </c>
      <c r="O2531" t="n">
        <v>1</v>
      </c>
      <c r="P2531" t="n">
        <v>2</v>
      </c>
      <c r="Q2531" t="n">
        <v>1</v>
      </c>
    </row>
    <row r="2532">
      <c r="J2532" t="inlineStr">
        <is>
          <t>A</t>
        </is>
      </c>
      <c r="K2532" t="n">
        <v>2024</v>
      </c>
      <c r="L2532" t="n">
        <v>12</v>
      </c>
      <c r="M2532" t="inlineStr">
        <is>
          <t>Parmesão ralado Parmozzana 1 kg</t>
        </is>
      </c>
      <c r="N2532" t="inlineStr">
        <is>
          <t>Hamburgueria</t>
        </is>
      </c>
      <c r="O2532" t="n">
        <v>1</v>
      </c>
      <c r="P2532" t="n">
        <v>1</v>
      </c>
      <c r="Q2532" t="n">
        <v>1</v>
      </c>
    </row>
    <row r="2533">
      <c r="J2533" t="inlineStr">
        <is>
          <t>M</t>
        </is>
      </c>
      <c r="K2533" t="n">
        <v>2024</v>
      </c>
      <c r="L2533" t="n">
        <v>12</v>
      </c>
      <c r="M2533" t="inlineStr">
        <is>
          <t>Parmesão ralado Parmozzana 1 kg</t>
        </is>
      </c>
      <c r="N2533" t="inlineStr">
        <is>
          <t>Hamburgueria</t>
        </is>
      </c>
      <c r="O2533" t="n">
        <v>1</v>
      </c>
      <c r="P2533" t="n">
        <v>1</v>
      </c>
      <c r="Q2533" t="n">
        <v>0</v>
      </c>
    </row>
    <row r="2534">
      <c r="J2534" t="inlineStr">
        <is>
          <t>A</t>
        </is>
      </c>
      <c r="K2534" t="n">
        <v>2024</v>
      </c>
      <c r="L2534" t="n">
        <v>7</v>
      </c>
      <c r="M2534" t="inlineStr">
        <is>
          <t>Parmesão ralado Parmozzana 1 kg</t>
        </is>
      </c>
      <c r="N2534" t="inlineStr">
        <is>
          <t>Bar / Chopperia</t>
        </is>
      </c>
      <c r="O2534" t="n">
        <v>1</v>
      </c>
      <c r="P2534" t="n">
        <v>1</v>
      </c>
      <c r="Q2534" t="n">
        <v>1</v>
      </c>
    </row>
    <row r="2535">
      <c r="J2535" t="inlineStr">
        <is>
          <t>M</t>
        </is>
      </c>
      <c r="K2535" t="n">
        <v>2024</v>
      </c>
      <c r="L2535" t="n">
        <v>7</v>
      </c>
      <c r="M2535" t="inlineStr">
        <is>
          <t>Parmesão ralado Parmozzana 1 kg</t>
        </is>
      </c>
      <c r="N2535" t="inlineStr">
        <is>
          <t>Bar / Chopperia</t>
        </is>
      </c>
      <c r="O2535" t="n">
        <v>1</v>
      </c>
      <c r="P2535" t="n">
        <v>1</v>
      </c>
      <c r="Q2535" t="n">
        <v>0</v>
      </c>
    </row>
    <row r="2536">
      <c r="J2536" t="inlineStr">
        <is>
          <t>A</t>
        </is>
      </c>
      <c r="K2536" t="n">
        <v>2024</v>
      </c>
      <c r="L2536" t="n">
        <v>8</v>
      </c>
      <c r="M2536" t="inlineStr">
        <is>
          <t>Parmesão ralado Parmozzana 1 kg</t>
        </is>
      </c>
      <c r="N2536" t="inlineStr">
        <is>
          <t>Bar / Chopperia</t>
        </is>
      </c>
      <c r="O2536" t="n">
        <v>2</v>
      </c>
      <c r="P2536" t="n">
        <v>2</v>
      </c>
      <c r="Q2536" t="n">
        <v>2</v>
      </c>
    </row>
    <row r="2537">
      <c r="J2537" t="inlineStr">
        <is>
          <t>M</t>
        </is>
      </c>
      <c r="K2537" t="n">
        <v>2024</v>
      </c>
      <c r="L2537" t="n">
        <v>8</v>
      </c>
      <c r="M2537" t="inlineStr">
        <is>
          <t>Parmesão ralado Parmozzana 1 kg</t>
        </is>
      </c>
      <c r="N2537" t="inlineStr">
        <is>
          <t>Bar / Chopperia</t>
        </is>
      </c>
      <c r="O2537" t="n">
        <v>1</v>
      </c>
      <c r="P2537" t="n">
        <v>1</v>
      </c>
      <c r="Q2537" t="n">
        <v>0</v>
      </c>
    </row>
    <row r="2538">
      <c r="J2538" t="inlineStr">
        <is>
          <t>A</t>
        </is>
      </c>
      <c r="K2538" t="n">
        <v>2024</v>
      </c>
      <c r="L2538" t="n">
        <v>9</v>
      </c>
      <c r="M2538" t="inlineStr">
        <is>
          <t>Parmesão ralado Parmozzana 1 kg</t>
        </is>
      </c>
      <c r="N2538" t="inlineStr">
        <is>
          <t>Bar / Chopperia</t>
        </is>
      </c>
      <c r="O2538" t="n">
        <v>2</v>
      </c>
      <c r="P2538" t="n">
        <v>2</v>
      </c>
      <c r="Q2538" t="n">
        <v>2</v>
      </c>
    </row>
    <row r="2539">
      <c r="J2539" t="inlineStr">
        <is>
          <t>A</t>
        </is>
      </c>
      <c r="K2539" t="n">
        <v>2024</v>
      </c>
      <c r="L2539" t="n">
        <v>10</v>
      </c>
      <c r="M2539" t="inlineStr">
        <is>
          <t>Parmesão ralado Parmozzana 1 kg</t>
        </is>
      </c>
      <c r="N2539" t="inlineStr">
        <is>
          <t>Bar / Chopperia</t>
        </is>
      </c>
      <c r="O2539" t="n">
        <v>4</v>
      </c>
      <c r="P2539" t="n">
        <v>4</v>
      </c>
      <c r="Q2539" t="n">
        <v>4</v>
      </c>
    </row>
    <row r="2540">
      <c r="J2540" t="inlineStr">
        <is>
          <t>M</t>
        </is>
      </c>
      <c r="K2540" t="n">
        <v>2024</v>
      </c>
      <c r="L2540" t="n">
        <v>10</v>
      </c>
      <c r="M2540" t="inlineStr">
        <is>
          <t>Parmesão ralado Parmozzana 1 kg</t>
        </is>
      </c>
      <c r="N2540" t="inlineStr">
        <is>
          <t>Bar / Chopperia</t>
        </is>
      </c>
      <c r="O2540" t="n">
        <v>2</v>
      </c>
      <c r="P2540" t="n">
        <v>2</v>
      </c>
      <c r="Q2540" t="n">
        <v>0</v>
      </c>
    </row>
    <row r="2541">
      <c r="J2541" t="inlineStr">
        <is>
          <t>A</t>
        </is>
      </c>
      <c r="K2541" t="n">
        <v>2024</v>
      </c>
      <c r="L2541" t="n">
        <v>11</v>
      </c>
      <c r="M2541" t="inlineStr">
        <is>
          <t>Parmesão ralado Parmozzana 1 kg</t>
        </is>
      </c>
      <c r="N2541" t="inlineStr">
        <is>
          <t>Bar / Chopperia</t>
        </is>
      </c>
      <c r="O2541" t="n">
        <v>4</v>
      </c>
      <c r="P2541" t="n">
        <v>5</v>
      </c>
      <c r="Q2541" t="n">
        <v>4</v>
      </c>
    </row>
    <row r="2542">
      <c r="J2542" t="inlineStr">
        <is>
          <t>M</t>
        </is>
      </c>
      <c r="K2542" t="n">
        <v>2024</v>
      </c>
      <c r="L2542" t="n">
        <v>11</v>
      </c>
      <c r="M2542" t="inlineStr">
        <is>
          <t>Parmesão ralado Parmozzana 1 kg</t>
        </is>
      </c>
      <c r="N2542" t="inlineStr">
        <is>
          <t>Bar / Chopperia</t>
        </is>
      </c>
      <c r="O2542" t="n">
        <v>1</v>
      </c>
      <c r="P2542" t="n">
        <v>1</v>
      </c>
      <c r="Q2542" t="n">
        <v>0</v>
      </c>
    </row>
    <row r="2543">
      <c r="J2543" t="inlineStr">
        <is>
          <t>A</t>
        </is>
      </c>
      <c r="K2543" t="n">
        <v>2024</v>
      </c>
      <c r="L2543" t="n">
        <v>12</v>
      </c>
      <c r="M2543" t="inlineStr">
        <is>
          <t>Parmesão ralado Parmozzana 1 kg</t>
        </is>
      </c>
      <c r="N2543" t="inlineStr">
        <is>
          <t>Bar / Chopperia</t>
        </is>
      </c>
      <c r="O2543" t="n">
        <v>5</v>
      </c>
      <c r="P2543" t="n">
        <v>6</v>
      </c>
      <c r="Q2543" t="n">
        <v>5</v>
      </c>
    </row>
    <row r="2544">
      <c r="J2544" t="inlineStr">
        <is>
          <t>M</t>
        </is>
      </c>
      <c r="K2544" t="n">
        <v>2024</v>
      </c>
      <c r="L2544" t="n">
        <v>12</v>
      </c>
      <c r="M2544" t="inlineStr">
        <is>
          <t>Parmesão ralado Parmozzana 1 kg</t>
        </is>
      </c>
      <c r="N2544" t="inlineStr">
        <is>
          <t>Bar / Chopperia</t>
        </is>
      </c>
      <c r="O2544" t="n">
        <v>1</v>
      </c>
      <c r="P2544" t="n">
        <v>1</v>
      </c>
      <c r="Q2544" t="n">
        <v>0</v>
      </c>
    </row>
    <row r="2545">
      <c r="J2545" t="inlineStr">
        <is>
          <t>A</t>
        </is>
      </c>
      <c r="K2545" t="n">
        <v>2024</v>
      </c>
      <c r="L2545" t="n">
        <v>8</v>
      </c>
      <c r="M2545" t="inlineStr">
        <is>
          <t>Parmesão ralado Parmozzana 1 kg</t>
        </is>
      </c>
      <c r="N2545" t="inlineStr">
        <is>
          <t>Churrascaria</t>
        </is>
      </c>
      <c r="O2545" t="n">
        <v>2</v>
      </c>
      <c r="P2545" t="n">
        <v>2</v>
      </c>
      <c r="Q2545" t="n">
        <v>2</v>
      </c>
    </row>
    <row r="2546">
      <c r="J2546" t="inlineStr">
        <is>
          <t>M</t>
        </is>
      </c>
      <c r="K2546" t="n">
        <v>2024</v>
      </c>
      <c r="L2546" t="n">
        <v>8</v>
      </c>
      <c r="M2546" t="inlineStr">
        <is>
          <t>Parmesão ralado Parmozzana 1 kg</t>
        </is>
      </c>
      <c r="N2546" t="inlineStr">
        <is>
          <t>Churrascaria</t>
        </is>
      </c>
      <c r="O2546" t="n">
        <v>2</v>
      </c>
      <c r="P2546" t="n">
        <v>2</v>
      </c>
      <c r="Q2546" t="n">
        <v>0</v>
      </c>
    </row>
    <row r="2547">
      <c r="J2547" t="inlineStr">
        <is>
          <t>A</t>
        </is>
      </c>
      <c r="K2547" t="n">
        <v>2024</v>
      </c>
      <c r="L2547" t="n">
        <v>9</v>
      </c>
      <c r="M2547" t="inlineStr">
        <is>
          <t>Parmesão ralado Parmozzana 1 kg</t>
        </is>
      </c>
      <c r="N2547" t="inlineStr">
        <is>
          <t>Churrascaria</t>
        </is>
      </c>
      <c r="O2547" t="n">
        <v>2</v>
      </c>
      <c r="P2547" t="n">
        <v>2</v>
      </c>
      <c r="Q2547" t="n">
        <v>2</v>
      </c>
    </row>
    <row r="2548">
      <c r="J2548" t="inlineStr">
        <is>
          <t>A</t>
        </is>
      </c>
      <c r="K2548" t="n">
        <v>2024</v>
      </c>
      <c r="L2548" t="n">
        <v>10</v>
      </c>
      <c r="M2548" t="inlineStr">
        <is>
          <t>Parmesão ralado Parmozzana 1 kg</t>
        </is>
      </c>
      <c r="N2548" t="inlineStr">
        <is>
          <t>Churrascaria</t>
        </is>
      </c>
      <c r="O2548" t="n">
        <v>2</v>
      </c>
      <c r="P2548" t="n">
        <v>2</v>
      </c>
      <c r="Q2548" t="n">
        <v>2</v>
      </c>
    </row>
    <row r="2549">
      <c r="J2549" t="inlineStr">
        <is>
          <t>A</t>
        </is>
      </c>
      <c r="K2549" t="n">
        <v>2024</v>
      </c>
      <c r="L2549" t="n">
        <v>11</v>
      </c>
      <c r="M2549" t="inlineStr">
        <is>
          <t>Parmesão ralado Parmozzana 1 kg</t>
        </is>
      </c>
      <c r="N2549" t="inlineStr">
        <is>
          <t>Churrascaria</t>
        </is>
      </c>
      <c r="O2549" t="n">
        <v>2</v>
      </c>
      <c r="P2549" t="n">
        <v>2</v>
      </c>
      <c r="Q2549" t="n">
        <v>2</v>
      </c>
    </row>
    <row r="2550">
      <c r="J2550" t="inlineStr">
        <is>
          <t>A</t>
        </is>
      </c>
      <c r="K2550" t="n">
        <v>2024</v>
      </c>
      <c r="L2550" t="n">
        <v>12</v>
      </c>
      <c r="M2550" t="inlineStr">
        <is>
          <t>Parmesão ralado Parmozzana 1 kg</t>
        </is>
      </c>
      <c r="N2550" t="inlineStr">
        <is>
          <t>Churrascaria</t>
        </is>
      </c>
      <c r="O2550" t="n">
        <v>2</v>
      </c>
      <c r="P2550" t="n">
        <v>2</v>
      </c>
      <c r="Q2550" t="n">
        <v>2</v>
      </c>
    </row>
    <row r="2551">
      <c r="J2551" t="inlineStr">
        <is>
          <t>A</t>
        </is>
      </c>
      <c r="K2551" t="n">
        <v>2024</v>
      </c>
      <c r="L2551" t="n">
        <v>7</v>
      </c>
      <c r="M2551" t="inlineStr">
        <is>
          <t>Parmesão ralado Parmozzana 1 kg</t>
        </is>
      </c>
      <c r="N2551" t="inlineStr">
        <is>
          <t>Não Selecionado</t>
        </is>
      </c>
      <c r="O2551" t="n">
        <v>1</v>
      </c>
      <c r="P2551" t="n">
        <v>1</v>
      </c>
      <c r="Q2551" t="n">
        <v>1</v>
      </c>
    </row>
    <row r="2552">
      <c r="J2552" t="inlineStr">
        <is>
          <t>M</t>
        </is>
      </c>
      <c r="K2552" t="n">
        <v>2024</v>
      </c>
      <c r="L2552" t="n">
        <v>7</v>
      </c>
      <c r="M2552" t="inlineStr">
        <is>
          <t>Parmesão ralado Parmozzana 1 kg</t>
        </is>
      </c>
      <c r="N2552" t="inlineStr">
        <is>
          <t>Não Selecionado</t>
        </is>
      </c>
      <c r="O2552" t="n">
        <v>1</v>
      </c>
      <c r="P2552" t="n">
        <v>1</v>
      </c>
      <c r="Q2552" t="n">
        <v>0</v>
      </c>
    </row>
    <row r="2553">
      <c r="J2553" t="inlineStr">
        <is>
          <t>A</t>
        </is>
      </c>
      <c r="K2553" t="n">
        <v>2024</v>
      </c>
      <c r="L2553" t="n">
        <v>8</v>
      </c>
      <c r="M2553" t="inlineStr">
        <is>
          <t>Parmesão ralado Parmozzana 1 kg</t>
        </is>
      </c>
      <c r="N2553" t="inlineStr">
        <is>
          <t>Não Selecionado</t>
        </is>
      </c>
      <c r="O2553" t="n">
        <v>1</v>
      </c>
      <c r="P2553" t="n">
        <v>2</v>
      </c>
      <c r="Q2553" t="n">
        <v>1</v>
      </c>
    </row>
    <row r="2554">
      <c r="J2554" t="inlineStr">
        <is>
          <t>M</t>
        </is>
      </c>
      <c r="K2554" t="n">
        <v>2024</v>
      </c>
      <c r="L2554" t="n">
        <v>8</v>
      </c>
      <c r="M2554" t="inlineStr">
        <is>
          <t>Parmesão ralado Parmozzana 1 kg</t>
        </is>
      </c>
      <c r="N2554" t="inlineStr">
        <is>
          <t>Não Selecionado</t>
        </is>
      </c>
      <c r="O2554" t="n">
        <v>1</v>
      </c>
      <c r="P2554" t="n">
        <v>1</v>
      </c>
      <c r="Q2554" t="n">
        <v>0</v>
      </c>
    </row>
    <row r="2555">
      <c r="J2555" t="inlineStr">
        <is>
          <t>A</t>
        </is>
      </c>
      <c r="K2555" t="n">
        <v>2024</v>
      </c>
      <c r="L2555" t="n">
        <v>9</v>
      </c>
      <c r="M2555" t="inlineStr">
        <is>
          <t>Parmesão ralado Parmozzana 1 kg</t>
        </is>
      </c>
      <c r="N2555" t="inlineStr">
        <is>
          <t>Não Selecionado</t>
        </is>
      </c>
      <c r="O2555" t="n">
        <v>1</v>
      </c>
      <c r="P2555" t="n">
        <v>3</v>
      </c>
      <c r="Q2555" t="n">
        <v>1</v>
      </c>
    </row>
    <row r="2556">
      <c r="J2556" t="inlineStr">
        <is>
          <t>M</t>
        </is>
      </c>
      <c r="K2556" t="n">
        <v>2024</v>
      </c>
      <c r="L2556" t="n">
        <v>9</v>
      </c>
      <c r="M2556" t="inlineStr">
        <is>
          <t>Parmesão ralado Parmozzana 1 kg</t>
        </is>
      </c>
      <c r="N2556" t="inlineStr">
        <is>
          <t>Não Selecionado</t>
        </is>
      </c>
      <c r="O2556" t="n">
        <v>1</v>
      </c>
      <c r="P2556" t="n">
        <v>1</v>
      </c>
      <c r="Q2556" t="n">
        <v>0</v>
      </c>
    </row>
    <row r="2557">
      <c r="J2557" t="inlineStr">
        <is>
          <t>A</t>
        </is>
      </c>
      <c r="K2557" t="n">
        <v>2024</v>
      </c>
      <c r="L2557" t="n">
        <v>10</v>
      </c>
      <c r="M2557" t="inlineStr">
        <is>
          <t>Parmesão ralado Parmozzana 1 kg</t>
        </is>
      </c>
      <c r="N2557" t="inlineStr">
        <is>
          <t>Não Selecionado</t>
        </is>
      </c>
      <c r="O2557" t="n">
        <v>1</v>
      </c>
      <c r="P2557" t="n">
        <v>3</v>
      </c>
      <c r="Q2557" t="n">
        <v>1</v>
      </c>
    </row>
    <row r="2558">
      <c r="J2558" t="inlineStr">
        <is>
          <t>A</t>
        </is>
      </c>
      <c r="K2558" t="n">
        <v>2024</v>
      </c>
      <c r="L2558" t="n">
        <v>11</v>
      </c>
      <c r="M2558" t="inlineStr">
        <is>
          <t>Parmesão ralado Parmozzana 1 kg</t>
        </is>
      </c>
      <c r="N2558" t="inlineStr">
        <is>
          <t>Não Selecionado</t>
        </is>
      </c>
      <c r="O2558" t="n">
        <v>1</v>
      </c>
      <c r="P2558" t="n">
        <v>3</v>
      </c>
      <c r="Q2558" t="n">
        <v>1</v>
      </c>
    </row>
    <row r="2559">
      <c r="J2559" t="inlineStr">
        <is>
          <t>A</t>
        </is>
      </c>
      <c r="K2559" t="n">
        <v>2024</v>
      </c>
      <c r="L2559" t="n">
        <v>12</v>
      </c>
      <c r="M2559" t="inlineStr">
        <is>
          <t>Parmesão ralado Parmozzana 1 kg</t>
        </is>
      </c>
      <c r="N2559" t="inlineStr">
        <is>
          <t>Não Selecionado</t>
        </is>
      </c>
      <c r="O2559" t="n">
        <v>1</v>
      </c>
      <c r="P2559" t="n">
        <v>3</v>
      </c>
      <c r="Q2559" t="n">
        <v>1</v>
      </c>
    </row>
    <row r="2560">
      <c r="J2560" t="inlineStr">
        <is>
          <t>A</t>
        </is>
      </c>
      <c r="K2560" t="n">
        <v>2024</v>
      </c>
      <c r="L2560" t="n">
        <v>8</v>
      </c>
      <c r="M2560" t="inlineStr">
        <is>
          <t>Parmesão ralado Parmozzana 1 kg</t>
        </is>
      </c>
      <c r="N2560" t="inlineStr">
        <is>
          <t>Colaborador</t>
        </is>
      </c>
      <c r="O2560" t="n">
        <v>5</v>
      </c>
      <c r="P2560" t="n">
        <v>5</v>
      </c>
      <c r="Q2560" t="n">
        <v>5</v>
      </c>
    </row>
    <row r="2561">
      <c r="J2561" t="inlineStr">
        <is>
          <t>M</t>
        </is>
      </c>
      <c r="K2561" t="n">
        <v>2024</v>
      </c>
      <c r="L2561" t="n">
        <v>8</v>
      </c>
      <c r="M2561" t="inlineStr">
        <is>
          <t>Parmesão ralado Parmozzana 1 kg</t>
        </is>
      </c>
      <c r="N2561" t="inlineStr">
        <is>
          <t>Colaborador</t>
        </is>
      </c>
      <c r="O2561" t="n">
        <v>5</v>
      </c>
      <c r="P2561" t="n">
        <v>5</v>
      </c>
      <c r="Q2561" t="n">
        <v>0</v>
      </c>
    </row>
    <row r="2562">
      <c r="J2562" t="inlineStr">
        <is>
          <t>A</t>
        </is>
      </c>
      <c r="K2562" t="n">
        <v>2024</v>
      </c>
      <c r="L2562" t="n">
        <v>9</v>
      </c>
      <c r="M2562" t="inlineStr">
        <is>
          <t>Parmesão ralado Parmozzana 1 kg</t>
        </is>
      </c>
      <c r="N2562" t="inlineStr">
        <is>
          <t>Colaborador</t>
        </is>
      </c>
      <c r="O2562" t="n">
        <v>5</v>
      </c>
      <c r="P2562" t="n">
        <v>5</v>
      </c>
      <c r="Q2562" t="n">
        <v>5</v>
      </c>
    </row>
    <row r="2563">
      <c r="J2563" t="inlineStr">
        <is>
          <t>A</t>
        </is>
      </c>
      <c r="K2563" t="n">
        <v>2024</v>
      </c>
      <c r="L2563" t="n">
        <v>10</v>
      </c>
      <c r="M2563" t="inlineStr">
        <is>
          <t>Parmesão ralado Parmozzana 1 kg</t>
        </is>
      </c>
      <c r="N2563" t="inlineStr">
        <is>
          <t>Colaborador</t>
        </is>
      </c>
      <c r="O2563" t="n">
        <v>5</v>
      </c>
      <c r="P2563" t="n">
        <v>5</v>
      </c>
      <c r="Q2563" t="n">
        <v>5</v>
      </c>
    </row>
    <row r="2564">
      <c r="J2564" t="inlineStr">
        <is>
          <t>A</t>
        </is>
      </c>
      <c r="K2564" t="n">
        <v>2024</v>
      </c>
      <c r="L2564" t="n">
        <v>11</v>
      </c>
      <c r="M2564" t="inlineStr">
        <is>
          <t>Parmesão ralado Parmozzana 1 kg</t>
        </is>
      </c>
      <c r="N2564" t="inlineStr">
        <is>
          <t>Colaborador</t>
        </is>
      </c>
      <c r="O2564" t="n">
        <v>5</v>
      </c>
      <c r="P2564" t="n">
        <v>5</v>
      </c>
      <c r="Q2564" t="n">
        <v>5</v>
      </c>
    </row>
    <row r="2565">
      <c r="J2565" t="inlineStr">
        <is>
          <t>A</t>
        </is>
      </c>
      <c r="K2565" t="n">
        <v>2024</v>
      </c>
      <c r="L2565" t="n">
        <v>12</v>
      </c>
      <c r="M2565" t="inlineStr">
        <is>
          <t>Parmesão ralado Parmozzana 1 kg</t>
        </is>
      </c>
      <c r="N2565" t="inlineStr">
        <is>
          <t>Colaborador</t>
        </is>
      </c>
      <c r="O2565" t="n">
        <v>5</v>
      </c>
      <c r="P2565" t="n">
        <v>5</v>
      </c>
      <c r="Q2565" t="n">
        <v>5</v>
      </c>
    </row>
    <row r="2566">
      <c r="J2566" t="inlineStr">
        <is>
          <t>A</t>
        </is>
      </c>
      <c r="K2566" t="n">
        <v>2025</v>
      </c>
      <c r="L2566" t="n">
        <v>1</v>
      </c>
      <c r="M2566" t="inlineStr">
        <is>
          <t>Todos</t>
        </is>
      </c>
      <c r="N2566" t="inlineStr">
        <is>
          <t>Todos</t>
        </is>
      </c>
      <c r="O2566" t="n">
        <v>210</v>
      </c>
      <c r="P2566" t="n">
        <v>465</v>
      </c>
      <c r="Q2566" t="n">
        <v>26</v>
      </c>
    </row>
    <row r="2567">
      <c r="J2567" t="inlineStr">
        <is>
          <t>M</t>
        </is>
      </c>
      <c r="K2567" t="n">
        <v>2025</v>
      </c>
      <c r="L2567" t="n">
        <v>1</v>
      </c>
      <c r="M2567" t="inlineStr">
        <is>
          <t>Todos</t>
        </is>
      </c>
      <c r="N2567" t="inlineStr">
        <is>
          <t>Todos</t>
        </is>
      </c>
      <c r="O2567" t="n">
        <v>210</v>
      </c>
      <c r="P2567" t="n">
        <v>465</v>
      </c>
      <c r="Q2567" t="n">
        <v>0</v>
      </c>
    </row>
    <row r="2568">
      <c r="J2568" t="inlineStr">
        <is>
          <t>A</t>
        </is>
      </c>
      <c r="K2568" t="n">
        <v>2025</v>
      </c>
      <c r="L2568" t="n">
        <v>2</v>
      </c>
      <c r="M2568" t="inlineStr">
        <is>
          <t>Todos</t>
        </is>
      </c>
      <c r="N2568" t="inlineStr">
        <is>
          <t>Todos</t>
        </is>
      </c>
      <c r="O2568" t="n">
        <v>302</v>
      </c>
      <c r="P2568" t="n">
        <v>929</v>
      </c>
      <c r="Q2568" t="n">
        <v>82</v>
      </c>
    </row>
    <row r="2569">
      <c r="J2569" t="inlineStr">
        <is>
          <t>M</t>
        </is>
      </c>
      <c r="K2569" t="n">
        <v>2025</v>
      </c>
      <c r="L2569" t="n">
        <v>2</v>
      </c>
      <c r="M2569" t="inlineStr">
        <is>
          <t>Todos</t>
        </is>
      </c>
      <c r="N2569" t="inlineStr">
        <is>
          <t>Todos</t>
        </is>
      </c>
      <c r="O2569" t="n">
        <v>227</v>
      </c>
      <c r="P2569" t="n">
        <v>464</v>
      </c>
      <c r="Q2569" t="n">
        <v>0</v>
      </c>
    </row>
    <row r="2570">
      <c r="J2570" t="inlineStr">
        <is>
          <t>A</t>
        </is>
      </c>
      <c r="K2570" t="n">
        <v>2025</v>
      </c>
      <c r="L2570" t="n">
        <v>3</v>
      </c>
      <c r="M2570" t="inlineStr">
        <is>
          <t>Todos</t>
        </is>
      </c>
      <c r="N2570" t="inlineStr">
        <is>
          <t>Todos</t>
        </is>
      </c>
      <c r="O2570" t="n">
        <v>342</v>
      </c>
      <c r="P2570" t="n">
        <v>1358</v>
      </c>
      <c r="Q2570" t="n">
        <v>101</v>
      </c>
    </row>
    <row r="2571">
      <c r="J2571" t="inlineStr">
        <is>
          <t>M</t>
        </is>
      </c>
      <c r="K2571" t="n">
        <v>2025</v>
      </c>
      <c r="L2571" t="n">
        <v>3</v>
      </c>
      <c r="M2571" t="inlineStr">
        <is>
          <t>Todos</t>
        </is>
      </c>
      <c r="N2571" t="inlineStr">
        <is>
          <t>Todos</t>
        </is>
      </c>
      <c r="O2571" t="n">
        <v>187</v>
      </c>
      <c r="P2571" t="n">
        <v>429</v>
      </c>
      <c r="Q2571" t="n">
        <v>0</v>
      </c>
    </row>
    <row r="2572">
      <c r="J2572" t="inlineStr">
        <is>
          <t>A</t>
        </is>
      </c>
      <c r="K2572" t="n">
        <v>2025</v>
      </c>
      <c r="L2572" t="n">
        <v>4</v>
      </c>
      <c r="M2572" t="inlineStr">
        <is>
          <t>Todos</t>
        </is>
      </c>
      <c r="N2572" t="inlineStr">
        <is>
          <t>Todos</t>
        </is>
      </c>
      <c r="O2572" t="n">
        <v>365</v>
      </c>
      <c r="P2572" t="n">
        <v>1768</v>
      </c>
      <c r="Q2572" t="n">
        <v>117</v>
      </c>
    </row>
    <row r="2573">
      <c r="J2573" t="inlineStr">
        <is>
          <t>M</t>
        </is>
      </c>
      <c r="K2573" t="n">
        <v>2025</v>
      </c>
      <c r="L2573" t="n">
        <v>4</v>
      </c>
      <c r="M2573" t="inlineStr">
        <is>
          <t>Todos</t>
        </is>
      </c>
      <c r="N2573" t="inlineStr">
        <is>
          <t>Todos</t>
        </is>
      </c>
      <c r="O2573" t="n">
        <v>166</v>
      </c>
      <c r="P2573" t="n">
        <v>410</v>
      </c>
      <c r="Q2573" t="n">
        <v>0</v>
      </c>
    </row>
    <row r="2574">
      <c r="J2574" t="inlineStr">
        <is>
          <t>A</t>
        </is>
      </c>
      <c r="K2574" t="n">
        <v>2025</v>
      </c>
      <c r="L2574" t="n">
        <v>5</v>
      </c>
      <c r="M2574" t="inlineStr">
        <is>
          <t>Todos</t>
        </is>
      </c>
      <c r="N2574" t="inlineStr">
        <is>
          <t>Todos</t>
        </is>
      </c>
      <c r="O2574" t="n">
        <v>409</v>
      </c>
      <c r="P2574" t="n">
        <v>2205</v>
      </c>
      <c r="Q2574" t="n">
        <v>146</v>
      </c>
    </row>
    <row r="2575">
      <c r="J2575" t="inlineStr">
        <is>
          <t>M</t>
        </is>
      </c>
      <c r="K2575" t="n">
        <v>2025</v>
      </c>
      <c r="L2575" t="n">
        <v>5</v>
      </c>
      <c r="M2575" t="inlineStr">
        <is>
          <t>Todos</t>
        </is>
      </c>
      <c r="N2575" t="inlineStr">
        <is>
          <t>Todos</t>
        </is>
      </c>
      <c r="O2575" t="n">
        <v>204</v>
      </c>
      <c r="P2575" t="n">
        <v>437</v>
      </c>
      <c r="Q2575" t="n">
        <v>0</v>
      </c>
    </row>
    <row r="2576">
      <c r="J2576" t="inlineStr">
        <is>
          <t>A</t>
        </is>
      </c>
      <c r="K2576" t="n">
        <v>2025</v>
      </c>
      <c r="L2576" t="n">
        <v>6</v>
      </c>
      <c r="M2576" t="inlineStr">
        <is>
          <t>Todos</t>
        </is>
      </c>
      <c r="N2576" t="inlineStr">
        <is>
          <t>Todos</t>
        </is>
      </c>
      <c r="O2576" t="n">
        <v>453</v>
      </c>
      <c r="P2576" t="n">
        <v>2698</v>
      </c>
      <c r="Q2576" t="n">
        <v>173</v>
      </c>
    </row>
    <row r="2577">
      <c r="J2577" t="inlineStr">
        <is>
          <t>M</t>
        </is>
      </c>
      <c r="K2577" t="n">
        <v>2025</v>
      </c>
      <c r="L2577" t="n">
        <v>6</v>
      </c>
      <c r="M2577" t="inlineStr">
        <is>
          <t>Todos</t>
        </is>
      </c>
      <c r="N2577" t="inlineStr">
        <is>
          <t>Todos</t>
        </is>
      </c>
      <c r="O2577" t="n">
        <v>204</v>
      </c>
      <c r="P2577" t="n">
        <v>493</v>
      </c>
      <c r="Q2577" t="n">
        <v>0</v>
      </c>
    </row>
    <row r="2578">
      <c r="J2578" t="inlineStr">
        <is>
          <t>A</t>
        </is>
      </c>
      <c r="K2578" t="n">
        <v>2025</v>
      </c>
      <c r="L2578" t="n">
        <v>7</v>
      </c>
      <c r="M2578" t="inlineStr">
        <is>
          <t>Todos</t>
        </is>
      </c>
      <c r="N2578" t="inlineStr">
        <is>
          <t>Todos</t>
        </is>
      </c>
      <c r="O2578" t="n">
        <v>519</v>
      </c>
      <c r="P2578" t="n">
        <v>3242</v>
      </c>
      <c r="Q2578" t="n">
        <v>231</v>
      </c>
    </row>
    <row r="2579">
      <c r="J2579" t="inlineStr">
        <is>
          <t>M</t>
        </is>
      </c>
      <c r="K2579" t="n">
        <v>2025</v>
      </c>
      <c r="L2579" t="n">
        <v>7</v>
      </c>
      <c r="M2579" t="inlineStr">
        <is>
          <t>Todos</t>
        </is>
      </c>
      <c r="N2579" t="inlineStr">
        <is>
          <t>Todos</t>
        </is>
      </c>
      <c r="O2579" t="n">
        <v>240</v>
      </c>
      <c r="P2579" t="n">
        <v>544</v>
      </c>
      <c r="Q2579" t="n">
        <v>0</v>
      </c>
    </row>
    <row r="2580">
      <c r="J2580" t="inlineStr">
        <is>
          <t>A</t>
        </is>
      </c>
      <c r="K2580" t="n">
        <v>2025</v>
      </c>
      <c r="L2580" t="n">
        <v>8</v>
      </c>
      <c r="M2580" t="inlineStr">
        <is>
          <t>Todos</t>
        </is>
      </c>
      <c r="N2580" t="inlineStr">
        <is>
          <t>Todos</t>
        </is>
      </c>
      <c r="O2580" t="n">
        <v>563</v>
      </c>
      <c r="P2580" t="n">
        <v>3734</v>
      </c>
      <c r="Q2580" t="n">
        <v>264</v>
      </c>
    </row>
    <row r="2581">
      <c r="J2581" t="inlineStr">
        <is>
          <t>M</t>
        </is>
      </c>
      <c r="K2581" t="n">
        <v>2025</v>
      </c>
      <c r="L2581" t="n">
        <v>8</v>
      </c>
      <c r="M2581" t="inlineStr">
        <is>
          <t>Todos</t>
        </is>
      </c>
      <c r="N2581" t="inlineStr">
        <is>
          <t>Todos</t>
        </is>
      </c>
      <c r="O2581" t="n">
        <v>223</v>
      </c>
      <c r="P2581" t="n">
        <v>492</v>
      </c>
      <c r="Q2581" t="n">
        <v>0</v>
      </c>
    </row>
    <row r="2582">
      <c r="J2582" t="inlineStr">
        <is>
          <t>A</t>
        </is>
      </c>
      <c r="K2582" t="n">
        <v>2025</v>
      </c>
      <c r="L2582" t="n">
        <v>9</v>
      </c>
      <c r="M2582" t="inlineStr">
        <is>
          <t>Todos</t>
        </is>
      </c>
      <c r="N2582" t="inlineStr">
        <is>
          <t>Todos</t>
        </is>
      </c>
      <c r="O2582" t="n">
        <v>600</v>
      </c>
      <c r="P2582" t="n">
        <v>4258</v>
      </c>
      <c r="Q2582" t="n">
        <v>297</v>
      </c>
    </row>
    <row r="2583">
      <c r="J2583" t="inlineStr">
        <is>
          <t>M</t>
        </is>
      </c>
      <c r="K2583" t="n">
        <v>2025</v>
      </c>
      <c r="L2583" t="n">
        <v>9</v>
      </c>
      <c r="M2583" t="inlineStr">
        <is>
          <t>Todos</t>
        </is>
      </c>
      <c r="N2583" t="inlineStr">
        <is>
          <t>Todos</t>
        </is>
      </c>
      <c r="O2583" t="n">
        <v>220</v>
      </c>
      <c r="P2583" t="n">
        <v>524</v>
      </c>
      <c r="Q2583" t="n">
        <v>0</v>
      </c>
    </row>
    <row r="2584">
      <c r="J2584" t="inlineStr">
        <is>
          <t>A</t>
        </is>
      </c>
      <c r="K2584" t="n">
        <v>2025</v>
      </c>
      <c r="L2584" t="n">
        <v>10</v>
      </c>
      <c r="M2584" t="inlineStr">
        <is>
          <t>Todos</t>
        </is>
      </c>
      <c r="N2584" t="inlineStr">
        <is>
          <t>Todos</t>
        </is>
      </c>
      <c r="O2584" t="n">
        <v>628</v>
      </c>
      <c r="P2584" t="n">
        <v>4763</v>
      </c>
      <c r="Q2584" t="n">
        <v>321</v>
      </c>
    </row>
    <row r="2585">
      <c r="J2585" t="inlineStr">
        <is>
          <t>M</t>
        </is>
      </c>
      <c r="K2585" t="n">
        <v>2025</v>
      </c>
      <c r="L2585" t="n">
        <v>10</v>
      </c>
      <c r="M2585" t="inlineStr">
        <is>
          <t>Todos</t>
        </is>
      </c>
      <c r="N2585" t="inlineStr">
        <is>
          <t>Todos</t>
        </is>
      </c>
      <c r="O2585" t="n">
        <v>215</v>
      </c>
      <c r="P2585" t="n">
        <v>505</v>
      </c>
      <c r="Q2585" t="n">
        <v>0</v>
      </c>
    </row>
    <row r="2586">
      <c r="J2586" t="inlineStr">
        <is>
          <t>A</t>
        </is>
      </c>
      <c r="K2586" t="n">
        <v>2025</v>
      </c>
      <c r="L2586" t="n">
        <v>11</v>
      </c>
      <c r="M2586" t="inlineStr">
        <is>
          <t>Todos</t>
        </is>
      </c>
      <c r="N2586" t="inlineStr">
        <is>
          <t>Todos</t>
        </is>
      </c>
      <c r="O2586" t="n">
        <v>661</v>
      </c>
      <c r="P2586" t="n">
        <v>5158</v>
      </c>
      <c r="Q2586" t="n">
        <v>349</v>
      </c>
    </row>
    <row r="2587">
      <c r="J2587" t="inlineStr">
        <is>
          <t>M</t>
        </is>
      </c>
      <c r="K2587" t="n">
        <v>2025</v>
      </c>
      <c r="L2587" t="n">
        <v>11</v>
      </c>
      <c r="M2587" t="inlineStr">
        <is>
          <t>Todos</t>
        </is>
      </c>
      <c r="N2587" t="inlineStr">
        <is>
          <t>Todos</t>
        </is>
      </c>
      <c r="O2587" t="n">
        <v>169</v>
      </c>
      <c r="P2587" t="n">
        <v>395</v>
      </c>
      <c r="Q2587" t="n">
        <v>0</v>
      </c>
    </row>
    <row r="2588">
      <c r="J2588" t="inlineStr">
        <is>
          <t>A</t>
        </is>
      </c>
      <c r="K2588" t="n">
        <v>2025</v>
      </c>
      <c r="L2588" t="n">
        <v>12</v>
      </c>
      <c r="M2588" t="inlineStr">
        <is>
          <t>Todos</t>
        </is>
      </c>
      <c r="N2588" t="inlineStr">
        <is>
          <t>Todos</t>
        </is>
      </c>
      <c r="O2588" t="n">
        <v>685</v>
      </c>
      <c r="P2588" t="n">
        <v>5525</v>
      </c>
      <c r="Q2588" t="n">
        <v>371</v>
      </c>
    </row>
    <row r="2589">
      <c r="J2589" t="inlineStr">
        <is>
          <t>M</t>
        </is>
      </c>
      <c r="K2589" t="n">
        <v>2025</v>
      </c>
      <c r="L2589" t="n">
        <v>12</v>
      </c>
      <c r="M2589" t="inlineStr">
        <is>
          <t>Todos</t>
        </is>
      </c>
      <c r="N2589" t="inlineStr">
        <is>
          <t>Todos</t>
        </is>
      </c>
      <c r="O2589" t="n">
        <v>168</v>
      </c>
      <c r="P2589" t="n">
        <v>367</v>
      </c>
      <c r="Q2589" t="n">
        <v>0</v>
      </c>
    </row>
    <row r="2590">
      <c r="J2590" t="inlineStr">
        <is>
          <t>A</t>
        </is>
      </c>
      <c r="K2590" t="n">
        <v>2025</v>
      </c>
      <c r="L2590" t="n">
        <v>1</v>
      </c>
      <c r="M2590" t="inlineStr">
        <is>
          <t>Todos</t>
        </is>
      </c>
      <c r="N2590" t="inlineStr">
        <is>
          <t>Pizzaria</t>
        </is>
      </c>
      <c r="O2590" t="n">
        <v>76</v>
      </c>
      <c r="P2590" t="n">
        <v>192</v>
      </c>
      <c r="Q2590" t="n">
        <v>10</v>
      </c>
    </row>
    <row r="2591">
      <c r="J2591" t="inlineStr">
        <is>
          <t>M</t>
        </is>
      </c>
      <c r="K2591" t="n">
        <v>2025</v>
      </c>
      <c r="L2591" t="n">
        <v>1</v>
      </c>
      <c r="M2591" t="inlineStr">
        <is>
          <t>Todos</t>
        </is>
      </c>
      <c r="N2591" t="inlineStr">
        <is>
          <t>Pizzaria</t>
        </is>
      </c>
      <c r="O2591" t="n">
        <v>76</v>
      </c>
      <c r="P2591" t="n">
        <v>192</v>
      </c>
      <c r="Q2591" t="n">
        <v>0</v>
      </c>
    </row>
    <row r="2592">
      <c r="J2592" t="inlineStr">
        <is>
          <t>A</t>
        </is>
      </c>
      <c r="K2592" t="n">
        <v>2025</v>
      </c>
      <c r="L2592" t="n">
        <v>2</v>
      </c>
      <c r="M2592" t="inlineStr">
        <is>
          <t>Todos</t>
        </is>
      </c>
      <c r="N2592" t="inlineStr">
        <is>
          <t>Pizzaria</t>
        </is>
      </c>
      <c r="O2592" t="n">
        <v>103</v>
      </c>
      <c r="P2592" t="n">
        <v>375</v>
      </c>
      <c r="Q2592" t="n">
        <v>25</v>
      </c>
    </row>
    <row r="2593">
      <c r="J2593" t="inlineStr">
        <is>
          <t>M</t>
        </is>
      </c>
      <c r="K2593" t="n">
        <v>2025</v>
      </c>
      <c r="L2593" t="n">
        <v>2</v>
      </c>
      <c r="M2593" t="inlineStr">
        <is>
          <t>Todos</t>
        </is>
      </c>
      <c r="N2593" t="inlineStr">
        <is>
          <t>Pizzaria</t>
        </is>
      </c>
      <c r="O2593" t="n">
        <v>78</v>
      </c>
      <c r="P2593" t="n">
        <v>183</v>
      </c>
      <c r="Q2593" t="n">
        <v>0</v>
      </c>
    </row>
    <row r="2594">
      <c r="J2594" t="inlineStr">
        <is>
          <t>A</t>
        </is>
      </c>
      <c r="K2594" t="n">
        <v>2025</v>
      </c>
      <c r="L2594" t="n">
        <v>3</v>
      </c>
      <c r="M2594" t="inlineStr">
        <is>
          <t>Todos</t>
        </is>
      </c>
      <c r="N2594" t="inlineStr">
        <is>
          <t>Pizzaria</t>
        </is>
      </c>
      <c r="O2594" t="n">
        <v>107</v>
      </c>
      <c r="P2594" t="n">
        <v>542</v>
      </c>
      <c r="Q2594" t="n">
        <v>28</v>
      </c>
    </row>
    <row r="2595">
      <c r="J2595" t="inlineStr">
        <is>
          <t>M</t>
        </is>
      </c>
      <c r="K2595" t="n">
        <v>2025</v>
      </c>
      <c r="L2595" t="n">
        <v>3</v>
      </c>
      <c r="M2595" t="inlineStr">
        <is>
          <t>Todos</t>
        </is>
      </c>
      <c r="N2595" t="inlineStr">
        <is>
          <t>Pizzaria</t>
        </is>
      </c>
      <c r="O2595" t="n">
        <v>53</v>
      </c>
      <c r="P2595" t="n">
        <v>167</v>
      </c>
      <c r="Q2595" t="n">
        <v>0</v>
      </c>
    </row>
    <row r="2596">
      <c r="J2596" t="inlineStr">
        <is>
          <t>A</t>
        </is>
      </c>
      <c r="K2596" t="n">
        <v>2025</v>
      </c>
      <c r="L2596" t="n">
        <v>4</v>
      </c>
      <c r="M2596" t="inlineStr">
        <is>
          <t>Todos</t>
        </is>
      </c>
      <c r="N2596" t="inlineStr">
        <is>
          <t>Pizzaria</t>
        </is>
      </c>
      <c r="O2596" t="n">
        <v>112</v>
      </c>
      <c r="P2596" t="n">
        <v>718</v>
      </c>
      <c r="Q2596" t="n">
        <v>32</v>
      </c>
    </row>
    <row r="2597">
      <c r="J2597" t="inlineStr">
        <is>
          <t>M</t>
        </is>
      </c>
      <c r="K2597" t="n">
        <v>2025</v>
      </c>
      <c r="L2597" t="n">
        <v>4</v>
      </c>
      <c r="M2597" t="inlineStr">
        <is>
          <t>Todos</t>
        </is>
      </c>
      <c r="N2597" t="inlineStr">
        <is>
          <t>Pizzaria</t>
        </is>
      </c>
      <c r="O2597" t="n">
        <v>56</v>
      </c>
      <c r="P2597" t="n">
        <v>176</v>
      </c>
      <c r="Q2597" t="n">
        <v>0</v>
      </c>
    </row>
    <row r="2598">
      <c r="J2598" t="inlineStr">
        <is>
          <t>A</t>
        </is>
      </c>
      <c r="K2598" t="n">
        <v>2025</v>
      </c>
      <c r="L2598" t="n">
        <v>5</v>
      </c>
      <c r="M2598" t="inlineStr">
        <is>
          <t>Todos</t>
        </is>
      </c>
      <c r="N2598" t="inlineStr">
        <is>
          <t>Pizzaria</t>
        </is>
      </c>
      <c r="O2598" t="n">
        <v>122</v>
      </c>
      <c r="P2598" t="n">
        <v>893</v>
      </c>
      <c r="Q2598" t="n">
        <v>40</v>
      </c>
    </row>
    <row r="2599">
      <c r="J2599" t="inlineStr">
        <is>
          <t>M</t>
        </is>
      </c>
      <c r="K2599" t="n">
        <v>2025</v>
      </c>
      <c r="L2599" t="n">
        <v>5</v>
      </c>
      <c r="M2599" t="inlineStr">
        <is>
          <t>Todos</t>
        </is>
      </c>
      <c r="N2599" t="inlineStr">
        <is>
          <t>Pizzaria</t>
        </is>
      </c>
      <c r="O2599" t="n">
        <v>65</v>
      </c>
      <c r="P2599" t="n">
        <v>175</v>
      </c>
      <c r="Q2599" t="n">
        <v>0</v>
      </c>
    </row>
    <row r="2600">
      <c r="J2600" t="inlineStr">
        <is>
          <t>A</t>
        </is>
      </c>
      <c r="K2600" t="n">
        <v>2025</v>
      </c>
      <c r="L2600" t="n">
        <v>6</v>
      </c>
      <c r="M2600" t="inlineStr">
        <is>
          <t>Todos</t>
        </is>
      </c>
      <c r="N2600" t="inlineStr">
        <is>
          <t>Pizzaria</t>
        </is>
      </c>
      <c r="O2600" t="n">
        <v>135</v>
      </c>
      <c r="P2600" t="n">
        <v>1100</v>
      </c>
      <c r="Q2600" t="n">
        <v>47</v>
      </c>
    </row>
    <row r="2601">
      <c r="J2601" t="inlineStr">
        <is>
          <t>M</t>
        </is>
      </c>
      <c r="K2601" t="n">
        <v>2025</v>
      </c>
      <c r="L2601" t="n">
        <v>6</v>
      </c>
      <c r="M2601" t="inlineStr">
        <is>
          <t>Todos</t>
        </is>
      </c>
      <c r="N2601" t="inlineStr">
        <is>
          <t>Pizzaria</t>
        </is>
      </c>
      <c r="O2601" t="n">
        <v>67</v>
      </c>
      <c r="P2601" t="n">
        <v>207</v>
      </c>
      <c r="Q2601" t="n">
        <v>0</v>
      </c>
    </row>
    <row r="2602">
      <c r="J2602" t="inlineStr">
        <is>
          <t>A</t>
        </is>
      </c>
      <c r="K2602" t="n">
        <v>2025</v>
      </c>
      <c r="L2602" t="n">
        <v>7</v>
      </c>
      <c r="M2602" t="inlineStr">
        <is>
          <t>Todos</t>
        </is>
      </c>
      <c r="N2602" t="inlineStr">
        <is>
          <t>Pizzaria</t>
        </is>
      </c>
      <c r="O2602" t="n">
        <v>158</v>
      </c>
      <c r="P2602" t="n">
        <v>1325</v>
      </c>
      <c r="Q2602" t="n">
        <v>68</v>
      </c>
    </row>
    <row r="2603">
      <c r="J2603" t="inlineStr">
        <is>
          <t>M</t>
        </is>
      </c>
      <c r="K2603" t="n">
        <v>2025</v>
      </c>
      <c r="L2603" t="n">
        <v>7</v>
      </c>
      <c r="M2603" t="inlineStr">
        <is>
          <t>Todos</t>
        </is>
      </c>
      <c r="N2603" t="inlineStr">
        <is>
          <t>Pizzaria</t>
        </is>
      </c>
      <c r="O2603" t="n">
        <v>79</v>
      </c>
      <c r="P2603" t="n">
        <v>225</v>
      </c>
      <c r="Q2603" t="n">
        <v>0</v>
      </c>
    </row>
    <row r="2604">
      <c r="J2604" t="inlineStr">
        <is>
          <t>A</t>
        </is>
      </c>
      <c r="K2604" t="n">
        <v>2025</v>
      </c>
      <c r="L2604" t="n">
        <v>8</v>
      </c>
      <c r="M2604" t="inlineStr">
        <is>
          <t>Todos</t>
        </is>
      </c>
      <c r="N2604" t="inlineStr">
        <is>
          <t>Pizzaria</t>
        </is>
      </c>
      <c r="O2604" t="n">
        <v>174</v>
      </c>
      <c r="P2604" t="n">
        <v>1536</v>
      </c>
      <c r="Q2604" t="n">
        <v>80</v>
      </c>
    </row>
    <row r="2605">
      <c r="J2605" t="inlineStr">
        <is>
          <t>M</t>
        </is>
      </c>
      <c r="K2605" t="n">
        <v>2025</v>
      </c>
      <c r="L2605" t="n">
        <v>8</v>
      </c>
      <c r="M2605" t="inlineStr">
        <is>
          <t>Todos</t>
        </is>
      </c>
      <c r="N2605" t="inlineStr">
        <is>
          <t>Pizzaria</t>
        </is>
      </c>
      <c r="O2605" t="n">
        <v>75</v>
      </c>
      <c r="P2605" t="n">
        <v>211</v>
      </c>
      <c r="Q2605" t="n">
        <v>0</v>
      </c>
    </row>
    <row r="2606">
      <c r="J2606" t="inlineStr">
        <is>
          <t>A</t>
        </is>
      </c>
      <c r="K2606" t="n">
        <v>2025</v>
      </c>
      <c r="L2606" t="n">
        <v>9</v>
      </c>
      <c r="M2606" t="inlineStr">
        <is>
          <t>Todos</t>
        </is>
      </c>
      <c r="N2606" t="inlineStr">
        <is>
          <t>Pizzaria</t>
        </is>
      </c>
      <c r="O2606" t="n">
        <v>183</v>
      </c>
      <c r="P2606" t="n">
        <v>1738</v>
      </c>
      <c r="Q2606" t="n">
        <v>88</v>
      </c>
    </row>
    <row r="2607">
      <c r="J2607" t="inlineStr">
        <is>
          <t>M</t>
        </is>
      </c>
      <c r="K2607" t="n">
        <v>2025</v>
      </c>
      <c r="L2607" t="n">
        <v>9</v>
      </c>
      <c r="M2607" t="inlineStr">
        <is>
          <t>Todos</t>
        </is>
      </c>
      <c r="N2607" t="inlineStr">
        <is>
          <t>Pizzaria</t>
        </is>
      </c>
      <c r="O2607" t="n">
        <v>68</v>
      </c>
      <c r="P2607" t="n">
        <v>202</v>
      </c>
      <c r="Q2607" t="n">
        <v>0</v>
      </c>
    </row>
    <row r="2608">
      <c r="J2608" t="inlineStr">
        <is>
          <t>A</t>
        </is>
      </c>
      <c r="K2608" t="n">
        <v>2025</v>
      </c>
      <c r="L2608" t="n">
        <v>10</v>
      </c>
      <c r="M2608" t="inlineStr">
        <is>
          <t>Todos</t>
        </is>
      </c>
      <c r="N2608" t="inlineStr">
        <is>
          <t>Pizzaria</t>
        </is>
      </c>
      <c r="O2608" t="n">
        <v>188</v>
      </c>
      <c r="P2608" t="n">
        <v>1935</v>
      </c>
      <c r="Q2608" t="n">
        <v>92</v>
      </c>
    </row>
    <row r="2609">
      <c r="J2609" t="inlineStr">
        <is>
          <t>M</t>
        </is>
      </c>
      <c r="K2609" t="n">
        <v>2025</v>
      </c>
      <c r="L2609" t="n">
        <v>10</v>
      </c>
      <c r="M2609" t="inlineStr">
        <is>
          <t>Todos</t>
        </is>
      </c>
      <c r="N2609" t="inlineStr">
        <is>
          <t>Pizzaria</t>
        </is>
      </c>
      <c r="O2609" t="n">
        <v>71</v>
      </c>
      <c r="P2609" t="n">
        <v>197</v>
      </c>
      <c r="Q2609" t="n">
        <v>0</v>
      </c>
    </row>
    <row r="2610">
      <c r="J2610" t="inlineStr">
        <is>
          <t>A</t>
        </is>
      </c>
      <c r="K2610" t="n">
        <v>2025</v>
      </c>
      <c r="L2610" t="n">
        <v>11</v>
      </c>
      <c r="M2610" t="inlineStr">
        <is>
          <t>Todos</t>
        </is>
      </c>
      <c r="N2610" t="inlineStr">
        <is>
          <t>Pizzaria</t>
        </is>
      </c>
      <c r="O2610" t="n">
        <v>197</v>
      </c>
      <c r="P2610" t="n">
        <v>2090</v>
      </c>
      <c r="Q2610" t="n">
        <v>98</v>
      </c>
    </row>
    <row r="2611">
      <c r="J2611" t="inlineStr">
        <is>
          <t>M</t>
        </is>
      </c>
      <c r="K2611" t="n">
        <v>2025</v>
      </c>
      <c r="L2611" t="n">
        <v>11</v>
      </c>
      <c r="M2611" t="inlineStr">
        <is>
          <t>Todos</t>
        </is>
      </c>
      <c r="N2611" t="inlineStr">
        <is>
          <t>Pizzaria</t>
        </is>
      </c>
      <c r="O2611" t="n">
        <v>57</v>
      </c>
      <c r="P2611" t="n">
        <v>155</v>
      </c>
      <c r="Q2611" t="n">
        <v>0</v>
      </c>
    </row>
    <row r="2612">
      <c r="J2612" t="inlineStr">
        <is>
          <t>A</t>
        </is>
      </c>
      <c r="K2612" t="n">
        <v>2025</v>
      </c>
      <c r="L2612" t="n">
        <v>12</v>
      </c>
      <c r="M2612" t="inlineStr">
        <is>
          <t>Todos</t>
        </is>
      </c>
      <c r="N2612" t="inlineStr">
        <is>
          <t>Pizzaria</t>
        </is>
      </c>
      <c r="O2612" t="n">
        <v>201</v>
      </c>
      <c r="P2612" t="n">
        <v>2234</v>
      </c>
      <c r="Q2612" t="n">
        <v>102</v>
      </c>
    </row>
    <row r="2613">
      <c r="J2613" t="inlineStr">
        <is>
          <t>M</t>
        </is>
      </c>
      <c r="K2613" t="n">
        <v>2025</v>
      </c>
      <c r="L2613" t="n">
        <v>12</v>
      </c>
      <c r="M2613" t="inlineStr">
        <is>
          <t>Todos</t>
        </is>
      </c>
      <c r="N2613" t="inlineStr">
        <is>
          <t>Pizzaria</t>
        </is>
      </c>
      <c r="O2613" t="n">
        <v>51</v>
      </c>
      <c r="P2613" t="n">
        <v>144</v>
      </c>
      <c r="Q2613" t="n">
        <v>0</v>
      </c>
    </row>
    <row r="2614">
      <c r="J2614" t="inlineStr">
        <is>
          <t>A</t>
        </is>
      </c>
      <c r="K2614" t="n">
        <v>2025</v>
      </c>
      <c r="L2614" t="n">
        <v>1</v>
      </c>
      <c r="M2614" t="inlineStr">
        <is>
          <t>Todos</t>
        </is>
      </c>
      <c r="N2614" t="inlineStr">
        <is>
          <t>Restaurante / Cantina</t>
        </is>
      </c>
      <c r="O2614" t="n">
        <v>23</v>
      </c>
      <c r="P2614" t="n">
        <v>51</v>
      </c>
      <c r="Q2614" t="n">
        <v>3</v>
      </c>
    </row>
    <row r="2615">
      <c r="J2615" t="inlineStr">
        <is>
          <t>M</t>
        </is>
      </c>
      <c r="K2615" t="n">
        <v>2025</v>
      </c>
      <c r="L2615" t="n">
        <v>1</v>
      </c>
      <c r="M2615" t="inlineStr">
        <is>
          <t>Todos</t>
        </is>
      </c>
      <c r="N2615" t="inlineStr">
        <is>
          <t>Restaurante / Cantina</t>
        </is>
      </c>
      <c r="O2615" t="n">
        <v>23</v>
      </c>
      <c r="P2615" t="n">
        <v>51</v>
      </c>
      <c r="Q2615" t="n">
        <v>0</v>
      </c>
    </row>
    <row r="2616">
      <c r="J2616" t="inlineStr">
        <is>
          <t>A</t>
        </is>
      </c>
      <c r="K2616" t="n">
        <v>2025</v>
      </c>
      <c r="L2616" t="n">
        <v>2</v>
      </c>
      <c r="M2616" t="inlineStr">
        <is>
          <t>Todos</t>
        </is>
      </c>
      <c r="N2616" t="inlineStr">
        <is>
          <t>Restaurante / Cantina</t>
        </is>
      </c>
      <c r="O2616" t="n">
        <v>40</v>
      </c>
      <c r="P2616" t="n">
        <v>108</v>
      </c>
      <c r="Q2616" t="n">
        <v>12</v>
      </c>
    </row>
    <row r="2617">
      <c r="J2617" t="inlineStr">
        <is>
          <t>M</t>
        </is>
      </c>
      <c r="K2617" t="n">
        <v>2025</v>
      </c>
      <c r="L2617" t="n">
        <v>2</v>
      </c>
      <c r="M2617" t="inlineStr">
        <is>
          <t>Todos</t>
        </is>
      </c>
      <c r="N2617" t="inlineStr">
        <is>
          <t>Restaurante / Cantina</t>
        </is>
      </c>
      <c r="O2617" t="n">
        <v>33</v>
      </c>
      <c r="P2617" t="n">
        <v>57</v>
      </c>
      <c r="Q2617" t="n">
        <v>0</v>
      </c>
    </row>
    <row r="2618">
      <c r="J2618" t="inlineStr">
        <is>
          <t>A</t>
        </is>
      </c>
      <c r="K2618" t="n">
        <v>2025</v>
      </c>
      <c r="L2618" t="n">
        <v>3</v>
      </c>
      <c r="M2618" t="inlineStr">
        <is>
          <t>Todos</t>
        </is>
      </c>
      <c r="N2618" t="inlineStr">
        <is>
          <t>Restaurante / Cantina</t>
        </is>
      </c>
      <c r="O2618" t="n">
        <v>48</v>
      </c>
      <c r="P2618" t="n">
        <v>153</v>
      </c>
      <c r="Q2618" t="n">
        <v>12</v>
      </c>
    </row>
    <row r="2619">
      <c r="J2619" t="inlineStr">
        <is>
          <t>M</t>
        </is>
      </c>
      <c r="K2619" t="n">
        <v>2025</v>
      </c>
      <c r="L2619" t="n">
        <v>3</v>
      </c>
      <c r="M2619" t="inlineStr">
        <is>
          <t>Todos</t>
        </is>
      </c>
      <c r="N2619" t="inlineStr">
        <is>
          <t>Restaurante / Cantina</t>
        </is>
      </c>
      <c r="O2619" t="n">
        <v>28</v>
      </c>
      <c r="P2619" t="n">
        <v>45</v>
      </c>
      <c r="Q2619" t="n">
        <v>0</v>
      </c>
    </row>
    <row r="2620">
      <c r="J2620" t="inlineStr">
        <is>
          <t>A</t>
        </is>
      </c>
      <c r="K2620" t="n">
        <v>2025</v>
      </c>
      <c r="L2620" t="n">
        <v>4</v>
      </c>
      <c r="M2620" t="inlineStr">
        <is>
          <t>Todos</t>
        </is>
      </c>
      <c r="N2620" t="inlineStr">
        <is>
          <t>Restaurante / Cantina</t>
        </is>
      </c>
      <c r="O2620" t="n">
        <v>52</v>
      </c>
      <c r="P2620" t="n">
        <v>193</v>
      </c>
      <c r="Q2620" t="n">
        <v>15</v>
      </c>
    </row>
    <row r="2621">
      <c r="J2621" t="inlineStr">
        <is>
          <t>M</t>
        </is>
      </c>
      <c r="K2621" t="n">
        <v>2025</v>
      </c>
      <c r="L2621" t="n">
        <v>4</v>
      </c>
      <c r="M2621" t="inlineStr">
        <is>
          <t>Todos</t>
        </is>
      </c>
      <c r="N2621" t="inlineStr">
        <is>
          <t>Restaurante / Cantina</t>
        </is>
      </c>
      <c r="O2621" t="n">
        <v>17</v>
      </c>
      <c r="P2621" t="n">
        <v>40</v>
      </c>
      <c r="Q2621" t="n">
        <v>0</v>
      </c>
    </row>
    <row r="2622">
      <c r="J2622" t="inlineStr">
        <is>
          <t>A</t>
        </is>
      </c>
      <c r="K2622" t="n">
        <v>2025</v>
      </c>
      <c r="L2622" t="n">
        <v>5</v>
      </c>
      <c r="M2622" t="inlineStr">
        <is>
          <t>Todos</t>
        </is>
      </c>
      <c r="N2622" t="inlineStr">
        <is>
          <t>Restaurante / Cantina</t>
        </is>
      </c>
      <c r="O2622" t="n">
        <v>64</v>
      </c>
      <c r="P2622" t="n">
        <v>264</v>
      </c>
      <c r="Q2622" t="n">
        <v>22</v>
      </c>
    </row>
    <row r="2623">
      <c r="J2623" t="inlineStr">
        <is>
          <t>M</t>
        </is>
      </c>
      <c r="K2623" t="n">
        <v>2025</v>
      </c>
      <c r="L2623" t="n">
        <v>5</v>
      </c>
      <c r="M2623" t="inlineStr">
        <is>
          <t>Todos</t>
        </is>
      </c>
      <c r="N2623" t="inlineStr">
        <is>
          <t>Restaurante / Cantina</t>
        </is>
      </c>
      <c r="O2623" t="n">
        <v>39</v>
      </c>
      <c r="P2623" t="n">
        <v>71</v>
      </c>
      <c r="Q2623" t="n">
        <v>0</v>
      </c>
    </row>
    <row r="2624">
      <c r="J2624" t="inlineStr">
        <is>
          <t>A</t>
        </is>
      </c>
      <c r="K2624" t="n">
        <v>2025</v>
      </c>
      <c r="L2624" t="n">
        <v>6</v>
      </c>
      <c r="M2624" t="inlineStr">
        <is>
          <t>Todos</t>
        </is>
      </c>
      <c r="N2624" t="inlineStr">
        <is>
          <t>Restaurante / Cantina</t>
        </is>
      </c>
      <c r="O2624" t="n">
        <v>74</v>
      </c>
      <c r="P2624" t="n">
        <v>327</v>
      </c>
      <c r="Q2624" t="n">
        <v>27</v>
      </c>
    </row>
    <row r="2625">
      <c r="J2625" t="inlineStr">
        <is>
          <t>M</t>
        </is>
      </c>
      <c r="K2625" t="n">
        <v>2025</v>
      </c>
      <c r="L2625" t="n">
        <v>6</v>
      </c>
      <c r="M2625" t="inlineStr">
        <is>
          <t>Todos</t>
        </is>
      </c>
      <c r="N2625" t="inlineStr">
        <is>
          <t>Restaurante / Cantina</t>
        </is>
      </c>
      <c r="O2625" t="n">
        <v>33</v>
      </c>
      <c r="P2625" t="n">
        <v>63</v>
      </c>
      <c r="Q2625" t="n">
        <v>0</v>
      </c>
    </row>
    <row r="2626">
      <c r="J2626" t="inlineStr">
        <is>
          <t>A</t>
        </is>
      </c>
      <c r="K2626" t="n">
        <v>2025</v>
      </c>
      <c r="L2626" t="n">
        <v>7</v>
      </c>
      <c r="M2626" t="inlineStr">
        <is>
          <t>Todos</t>
        </is>
      </c>
      <c r="N2626" t="inlineStr">
        <is>
          <t>Restaurante / Cantina</t>
        </is>
      </c>
      <c r="O2626" t="n">
        <v>81</v>
      </c>
      <c r="P2626" t="n">
        <v>401</v>
      </c>
      <c r="Q2626" t="n">
        <v>34</v>
      </c>
    </row>
    <row r="2627">
      <c r="J2627" t="inlineStr">
        <is>
          <t>M</t>
        </is>
      </c>
      <c r="K2627" t="n">
        <v>2025</v>
      </c>
      <c r="L2627" t="n">
        <v>7</v>
      </c>
      <c r="M2627" t="inlineStr">
        <is>
          <t>Todos</t>
        </is>
      </c>
      <c r="N2627" t="inlineStr">
        <is>
          <t>Restaurante / Cantina</t>
        </is>
      </c>
      <c r="O2627" t="n">
        <v>38</v>
      </c>
      <c r="P2627" t="n">
        <v>74</v>
      </c>
      <c r="Q2627" t="n">
        <v>0</v>
      </c>
    </row>
    <row r="2628">
      <c r="J2628" t="inlineStr">
        <is>
          <t>A</t>
        </is>
      </c>
      <c r="K2628" t="n">
        <v>2025</v>
      </c>
      <c r="L2628" t="n">
        <v>8</v>
      </c>
      <c r="M2628" t="inlineStr">
        <is>
          <t>Todos</t>
        </is>
      </c>
      <c r="N2628" t="inlineStr">
        <is>
          <t>Restaurante / Cantina</t>
        </is>
      </c>
      <c r="O2628" t="n">
        <v>88</v>
      </c>
      <c r="P2628" t="n">
        <v>460</v>
      </c>
      <c r="Q2628" t="n">
        <v>38</v>
      </c>
    </row>
    <row r="2629">
      <c r="J2629" t="inlineStr">
        <is>
          <t>M</t>
        </is>
      </c>
      <c r="K2629" t="n">
        <v>2025</v>
      </c>
      <c r="L2629" t="n">
        <v>8</v>
      </c>
      <c r="M2629" t="inlineStr">
        <is>
          <t>Todos</t>
        </is>
      </c>
      <c r="N2629" t="inlineStr">
        <is>
          <t>Restaurante / Cantina</t>
        </is>
      </c>
      <c r="O2629" t="n">
        <v>36</v>
      </c>
      <c r="P2629" t="n">
        <v>59</v>
      </c>
      <c r="Q2629" t="n">
        <v>0</v>
      </c>
    </row>
    <row r="2630">
      <c r="J2630" t="inlineStr">
        <is>
          <t>A</t>
        </is>
      </c>
      <c r="K2630" t="n">
        <v>2025</v>
      </c>
      <c r="L2630" t="n">
        <v>9</v>
      </c>
      <c r="M2630" t="inlineStr">
        <is>
          <t>Todos</t>
        </is>
      </c>
      <c r="N2630" t="inlineStr">
        <is>
          <t>Restaurante / Cantina</t>
        </is>
      </c>
      <c r="O2630" t="n">
        <v>92</v>
      </c>
      <c r="P2630" t="n">
        <v>525</v>
      </c>
      <c r="Q2630" t="n">
        <v>41</v>
      </c>
    </row>
    <row r="2631">
      <c r="J2631" t="inlineStr">
        <is>
          <t>M</t>
        </is>
      </c>
      <c r="K2631" t="n">
        <v>2025</v>
      </c>
      <c r="L2631" t="n">
        <v>9</v>
      </c>
      <c r="M2631" t="inlineStr">
        <is>
          <t>Todos</t>
        </is>
      </c>
      <c r="N2631" t="inlineStr">
        <is>
          <t>Restaurante / Cantina</t>
        </is>
      </c>
      <c r="O2631" t="n">
        <v>33</v>
      </c>
      <c r="P2631" t="n">
        <v>65</v>
      </c>
      <c r="Q2631" t="n">
        <v>0</v>
      </c>
    </row>
    <row r="2632">
      <c r="J2632" t="inlineStr">
        <is>
          <t>A</t>
        </is>
      </c>
      <c r="K2632" t="n">
        <v>2025</v>
      </c>
      <c r="L2632" t="n">
        <v>10</v>
      </c>
      <c r="M2632" t="inlineStr">
        <is>
          <t>Todos</t>
        </is>
      </c>
      <c r="N2632" t="inlineStr">
        <is>
          <t>Restaurante / Cantina</t>
        </is>
      </c>
      <c r="O2632" t="n">
        <v>99</v>
      </c>
      <c r="P2632" t="n">
        <v>597</v>
      </c>
      <c r="Q2632" t="n">
        <v>48</v>
      </c>
    </row>
    <row r="2633">
      <c r="J2633" t="inlineStr">
        <is>
          <t>M</t>
        </is>
      </c>
      <c r="K2633" t="n">
        <v>2025</v>
      </c>
      <c r="L2633" t="n">
        <v>10</v>
      </c>
      <c r="M2633" t="inlineStr">
        <is>
          <t>Todos</t>
        </is>
      </c>
      <c r="N2633" t="inlineStr">
        <is>
          <t>Restaurante / Cantina</t>
        </is>
      </c>
      <c r="O2633" t="n">
        <v>39</v>
      </c>
      <c r="P2633" t="n">
        <v>72</v>
      </c>
      <c r="Q2633" t="n">
        <v>0</v>
      </c>
    </row>
    <row r="2634">
      <c r="J2634" t="inlineStr">
        <is>
          <t>A</t>
        </is>
      </c>
      <c r="K2634" t="n">
        <v>2025</v>
      </c>
      <c r="L2634" t="n">
        <v>11</v>
      </c>
      <c r="M2634" t="inlineStr">
        <is>
          <t>Todos</t>
        </is>
      </c>
      <c r="N2634" t="inlineStr">
        <is>
          <t>Restaurante / Cantina</t>
        </is>
      </c>
      <c r="O2634" t="n">
        <v>107</v>
      </c>
      <c r="P2634" t="n">
        <v>644</v>
      </c>
      <c r="Q2634" t="n">
        <v>55</v>
      </c>
    </row>
    <row r="2635">
      <c r="J2635" t="inlineStr">
        <is>
          <t>M</t>
        </is>
      </c>
      <c r="K2635" t="n">
        <v>2025</v>
      </c>
      <c r="L2635" t="n">
        <v>11</v>
      </c>
      <c r="M2635" t="inlineStr">
        <is>
          <t>Todos</t>
        </is>
      </c>
      <c r="N2635" t="inlineStr">
        <is>
          <t>Restaurante / Cantina</t>
        </is>
      </c>
      <c r="O2635" t="n">
        <v>27</v>
      </c>
      <c r="P2635" t="n">
        <v>47</v>
      </c>
      <c r="Q2635" t="n">
        <v>0</v>
      </c>
    </row>
    <row r="2636">
      <c r="J2636" t="inlineStr">
        <is>
          <t>A</t>
        </is>
      </c>
      <c r="K2636" t="n">
        <v>2025</v>
      </c>
      <c r="L2636" t="n">
        <v>12</v>
      </c>
      <c r="M2636" t="inlineStr">
        <is>
          <t>Todos</t>
        </is>
      </c>
      <c r="N2636" t="inlineStr">
        <is>
          <t>Restaurante / Cantina</t>
        </is>
      </c>
      <c r="O2636" t="n">
        <v>112</v>
      </c>
      <c r="P2636" t="n">
        <v>689</v>
      </c>
      <c r="Q2636" t="n">
        <v>59</v>
      </c>
    </row>
    <row r="2637">
      <c r="J2637" t="inlineStr">
        <is>
          <t>M</t>
        </is>
      </c>
      <c r="K2637" t="n">
        <v>2025</v>
      </c>
      <c r="L2637" t="n">
        <v>12</v>
      </c>
      <c r="M2637" t="inlineStr">
        <is>
          <t>Todos</t>
        </is>
      </c>
      <c r="N2637" t="inlineStr">
        <is>
          <t>Restaurante / Cantina</t>
        </is>
      </c>
      <c r="O2637" t="n">
        <v>24</v>
      </c>
      <c r="P2637" t="n">
        <v>45</v>
      </c>
      <c r="Q2637" t="n">
        <v>0</v>
      </c>
    </row>
    <row r="2638">
      <c r="J2638" t="inlineStr">
        <is>
          <t>A</t>
        </is>
      </c>
      <c r="K2638" t="n">
        <v>2025</v>
      </c>
      <c r="L2638" t="n">
        <v>1</v>
      </c>
      <c r="M2638" t="inlineStr">
        <is>
          <t>Todos</t>
        </is>
      </c>
      <c r="N2638" t="inlineStr">
        <is>
          <t>Cozinha Industrial</t>
        </is>
      </c>
      <c r="O2638" t="n">
        <v>9</v>
      </c>
      <c r="P2638" t="n">
        <v>18</v>
      </c>
      <c r="Q2638" t="n">
        <v>4</v>
      </c>
    </row>
    <row r="2639">
      <c r="J2639" t="inlineStr">
        <is>
          <t>M</t>
        </is>
      </c>
      <c r="K2639" t="n">
        <v>2025</v>
      </c>
      <c r="L2639" t="n">
        <v>1</v>
      </c>
      <c r="M2639" t="inlineStr">
        <is>
          <t>Todos</t>
        </is>
      </c>
      <c r="N2639" t="inlineStr">
        <is>
          <t>Cozinha Industrial</t>
        </is>
      </c>
      <c r="O2639" t="n">
        <v>9</v>
      </c>
      <c r="P2639" t="n">
        <v>18</v>
      </c>
      <c r="Q2639" t="n">
        <v>0</v>
      </c>
    </row>
    <row r="2640">
      <c r="J2640" t="inlineStr">
        <is>
          <t>A</t>
        </is>
      </c>
      <c r="K2640" t="n">
        <v>2025</v>
      </c>
      <c r="L2640" t="n">
        <v>2</v>
      </c>
      <c r="M2640" t="inlineStr">
        <is>
          <t>Todos</t>
        </is>
      </c>
      <c r="N2640" t="inlineStr">
        <is>
          <t>Cozinha Industrial</t>
        </is>
      </c>
      <c r="O2640" t="n">
        <v>12</v>
      </c>
      <c r="P2640" t="n">
        <v>40</v>
      </c>
      <c r="Q2640" t="n">
        <v>5</v>
      </c>
    </row>
    <row r="2641">
      <c r="J2641" t="inlineStr">
        <is>
          <t>M</t>
        </is>
      </c>
      <c r="K2641" t="n">
        <v>2025</v>
      </c>
      <c r="L2641" t="n">
        <v>2</v>
      </c>
      <c r="M2641" t="inlineStr">
        <is>
          <t>Todos</t>
        </is>
      </c>
      <c r="N2641" t="inlineStr">
        <is>
          <t>Cozinha Industrial</t>
        </is>
      </c>
      <c r="O2641" t="n">
        <v>8</v>
      </c>
      <c r="P2641" t="n">
        <v>22</v>
      </c>
      <c r="Q2641" t="n">
        <v>0</v>
      </c>
    </row>
    <row r="2642">
      <c r="J2642" t="inlineStr">
        <is>
          <t>A</t>
        </is>
      </c>
      <c r="K2642" t="n">
        <v>2025</v>
      </c>
      <c r="L2642" t="n">
        <v>3</v>
      </c>
      <c r="M2642" t="inlineStr">
        <is>
          <t>Todos</t>
        </is>
      </c>
      <c r="N2642" t="inlineStr">
        <is>
          <t>Cozinha Industrial</t>
        </is>
      </c>
      <c r="O2642" t="n">
        <v>14</v>
      </c>
      <c r="P2642" t="n">
        <v>54</v>
      </c>
      <c r="Q2642" t="n">
        <v>6</v>
      </c>
    </row>
    <row r="2643">
      <c r="J2643" t="inlineStr">
        <is>
          <t>M</t>
        </is>
      </c>
      <c r="K2643" t="n">
        <v>2025</v>
      </c>
      <c r="L2643" t="n">
        <v>3</v>
      </c>
      <c r="M2643" t="inlineStr">
        <is>
          <t>Todos</t>
        </is>
      </c>
      <c r="N2643" t="inlineStr">
        <is>
          <t>Cozinha Industrial</t>
        </is>
      </c>
      <c r="O2643" t="n">
        <v>6</v>
      </c>
      <c r="P2643" t="n">
        <v>14</v>
      </c>
      <c r="Q2643" t="n">
        <v>0</v>
      </c>
    </row>
    <row r="2644">
      <c r="J2644" t="inlineStr">
        <is>
          <t>A</t>
        </is>
      </c>
      <c r="K2644" t="n">
        <v>2025</v>
      </c>
      <c r="L2644" t="n">
        <v>4</v>
      </c>
      <c r="M2644" t="inlineStr">
        <is>
          <t>Todos</t>
        </is>
      </c>
      <c r="N2644" t="inlineStr">
        <is>
          <t>Cozinha Industrial</t>
        </is>
      </c>
      <c r="O2644" t="n">
        <v>14</v>
      </c>
      <c r="P2644" t="n">
        <v>70</v>
      </c>
      <c r="Q2644" t="n">
        <v>6</v>
      </c>
    </row>
    <row r="2645">
      <c r="J2645" t="inlineStr">
        <is>
          <t>M</t>
        </is>
      </c>
      <c r="K2645" t="n">
        <v>2025</v>
      </c>
      <c r="L2645" t="n">
        <v>4</v>
      </c>
      <c r="M2645" t="inlineStr">
        <is>
          <t>Todos</t>
        </is>
      </c>
      <c r="N2645" t="inlineStr">
        <is>
          <t>Cozinha Industrial</t>
        </is>
      </c>
      <c r="O2645" t="n">
        <v>7</v>
      </c>
      <c r="P2645" t="n">
        <v>16</v>
      </c>
      <c r="Q2645" t="n">
        <v>0</v>
      </c>
    </row>
    <row r="2646">
      <c r="J2646" t="inlineStr">
        <is>
          <t>A</t>
        </is>
      </c>
      <c r="K2646" t="n">
        <v>2025</v>
      </c>
      <c r="L2646" t="n">
        <v>5</v>
      </c>
      <c r="M2646" t="inlineStr">
        <is>
          <t>Todos</t>
        </is>
      </c>
      <c r="N2646" t="inlineStr">
        <is>
          <t>Cozinha Industrial</t>
        </is>
      </c>
      <c r="O2646" t="n">
        <v>16</v>
      </c>
      <c r="P2646" t="n">
        <v>84</v>
      </c>
      <c r="Q2646" t="n">
        <v>7</v>
      </c>
    </row>
    <row r="2647">
      <c r="J2647" t="inlineStr">
        <is>
          <t>M</t>
        </is>
      </c>
      <c r="K2647" t="n">
        <v>2025</v>
      </c>
      <c r="L2647" t="n">
        <v>5</v>
      </c>
      <c r="M2647" t="inlineStr">
        <is>
          <t>Todos</t>
        </is>
      </c>
      <c r="N2647" t="inlineStr">
        <is>
          <t>Cozinha Industrial</t>
        </is>
      </c>
      <c r="O2647" t="n">
        <v>6</v>
      </c>
      <c r="P2647" t="n">
        <v>14</v>
      </c>
      <c r="Q2647" t="n">
        <v>0</v>
      </c>
    </row>
    <row r="2648">
      <c r="J2648" t="inlineStr">
        <is>
          <t>A</t>
        </is>
      </c>
      <c r="K2648" t="n">
        <v>2025</v>
      </c>
      <c r="L2648" t="n">
        <v>6</v>
      </c>
      <c r="M2648" t="inlineStr">
        <is>
          <t>Todos</t>
        </is>
      </c>
      <c r="N2648" t="inlineStr">
        <is>
          <t>Cozinha Industrial</t>
        </is>
      </c>
      <c r="O2648" t="n">
        <v>19</v>
      </c>
      <c r="P2648" t="n">
        <v>109</v>
      </c>
      <c r="Q2648" t="n">
        <v>9</v>
      </c>
    </row>
    <row r="2649">
      <c r="J2649" t="inlineStr">
        <is>
          <t>M</t>
        </is>
      </c>
      <c r="K2649" t="n">
        <v>2025</v>
      </c>
      <c r="L2649" t="n">
        <v>6</v>
      </c>
      <c r="M2649" t="inlineStr">
        <is>
          <t>Todos</t>
        </is>
      </c>
      <c r="N2649" t="inlineStr">
        <is>
          <t>Cozinha Industrial</t>
        </is>
      </c>
      <c r="O2649" t="n">
        <v>11</v>
      </c>
      <c r="P2649" t="n">
        <v>25</v>
      </c>
      <c r="Q2649" t="n">
        <v>0</v>
      </c>
    </row>
    <row r="2650">
      <c r="J2650" t="inlineStr">
        <is>
          <t>A</t>
        </is>
      </c>
      <c r="K2650" t="n">
        <v>2025</v>
      </c>
      <c r="L2650" t="n">
        <v>7</v>
      </c>
      <c r="M2650" t="inlineStr">
        <is>
          <t>Todos</t>
        </is>
      </c>
      <c r="N2650" t="inlineStr">
        <is>
          <t>Cozinha Industrial</t>
        </is>
      </c>
      <c r="O2650" t="n">
        <v>20</v>
      </c>
      <c r="P2650" t="n">
        <v>124</v>
      </c>
      <c r="Q2650" t="n">
        <v>9</v>
      </c>
    </row>
    <row r="2651">
      <c r="J2651" t="inlineStr">
        <is>
          <t>M</t>
        </is>
      </c>
      <c r="K2651" t="n">
        <v>2025</v>
      </c>
      <c r="L2651" t="n">
        <v>7</v>
      </c>
      <c r="M2651" t="inlineStr">
        <is>
          <t>Todos</t>
        </is>
      </c>
      <c r="N2651" t="inlineStr">
        <is>
          <t>Cozinha Industrial</t>
        </is>
      </c>
      <c r="O2651" t="n">
        <v>5</v>
      </c>
      <c r="P2651" t="n">
        <v>15</v>
      </c>
      <c r="Q2651" t="n">
        <v>0</v>
      </c>
    </row>
    <row r="2652">
      <c r="J2652" t="inlineStr">
        <is>
          <t>A</t>
        </is>
      </c>
      <c r="K2652" t="n">
        <v>2025</v>
      </c>
      <c r="L2652" t="n">
        <v>8</v>
      </c>
      <c r="M2652" t="inlineStr">
        <is>
          <t>Todos</t>
        </is>
      </c>
      <c r="N2652" t="inlineStr">
        <is>
          <t>Cozinha Industrial</t>
        </is>
      </c>
      <c r="O2652" t="n">
        <v>23</v>
      </c>
      <c r="P2652" t="n">
        <v>147</v>
      </c>
      <c r="Q2652" t="n">
        <v>11</v>
      </c>
    </row>
    <row r="2653">
      <c r="J2653" t="inlineStr">
        <is>
          <t>M</t>
        </is>
      </c>
      <c r="K2653" t="n">
        <v>2025</v>
      </c>
      <c r="L2653" t="n">
        <v>8</v>
      </c>
      <c r="M2653" t="inlineStr">
        <is>
          <t>Todos</t>
        </is>
      </c>
      <c r="N2653" t="inlineStr">
        <is>
          <t>Cozinha Industrial</t>
        </is>
      </c>
      <c r="O2653" t="n">
        <v>10</v>
      </c>
      <c r="P2653" t="n">
        <v>23</v>
      </c>
      <c r="Q2653" t="n">
        <v>0</v>
      </c>
    </row>
    <row r="2654">
      <c r="J2654" t="inlineStr">
        <is>
          <t>A</t>
        </is>
      </c>
      <c r="K2654" t="n">
        <v>2025</v>
      </c>
      <c r="L2654" t="n">
        <v>9</v>
      </c>
      <c r="M2654" t="inlineStr">
        <is>
          <t>Todos</t>
        </is>
      </c>
      <c r="N2654" t="inlineStr">
        <is>
          <t>Cozinha Industrial</t>
        </is>
      </c>
      <c r="O2654" t="n">
        <v>25</v>
      </c>
      <c r="P2654" t="n">
        <v>179</v>
      </c>
      <c r="Q2654" t="n">
        <v>12</v>
      </c>
    </row>
    <row r="2655">
      <c r="J2655" t="inlineStr">
        <is>
          <t>M</t>
        </is>
      </c>
      <c r="K2655" t="n">
        <v>2025</v>
      </c>
      <c r="L2655" t="n">
        <v>9</v>
      </c>
      <c r="M2655" t="inlineStr">
        <is>
          <t>Todos</t>
        </is>
      </c>
      <c r="N2655" t="inlineStr">
        <is>
          <t>Cozinha Industrial</t>
        </is>
      </c>
      <c r="O2655" t="n">
        <v>9</v>
      </c>
      <c r="P2655" t="n">
        <v>32</v>
      </c>
      <c r="Q2655" t="n">
        <v>0</v>
      </c>
    </row>
    <row r="2656">
      <c r="J2656" t="inlineStr">
        <is>
          <t>A</t>
        </is>
      </c>
      <c r="K2656" t="n">
        <v>2025</v>
      </c>
      <c r="L2656" t="n">
        <v>10</v>
      </c>
      <c r="M2656" t="inlineStr">
        <is>
          <t>Todos</t>
        </is>
      </c>
      <c r="N2656" t="inlineStr">
        <is>
          <t>Cozinha Industrial</t>
        </is>
      </c>
      <c r="O2656" t="n">
        <v>26</v>
      </c>
      <c r="P2656" t="n">
        <v>204</v>
      </c>
      <c r="Q2656" t="n">
        <v>13</v>
      </c>
    </row>
    <row r="2657">
      <c r="J2657" t="inlineStr">
        <is>
          <t>M</t>
        </is>
      </c>
      <c r="K2657" t="n">
        <v>2025</v>
      </c>
      <c r="L2657" t="n">
        <v>10</v>
      </c>
      <c r="M2657" t="inlineStr">
        <is>
          <t>Todos</t>
        </is>
      </c>
      <c r="N2657" t="inlineStr">
        <is>
          <t>Cozinha Industrial</t>
        </is>
      </c>
      <c r="O2657" t="n">
        <v>10</v>
      </c>
      <c r="P2657" t="n">
        <v>25</v>
      </c>
      <c r="Q2657" t="n">
        <v>0</v>
      </c>
    </row>
    <row r="2658">
      <c r="J2658" t="inlineStr">
        <is>
          <t>A</t>
        </is>
      </c>
      <c r="K2658" t="n">
        <v>2025</v>
      </c>
      <c r="L2658" t="n">
        <v>11</v>
      </c>
      <c r="M2658" t="inlineStr">
        <is>
          <t>Todos</t>
        </is>
      </c>
      <c r="N2658" t="inlineStr">
        <is>
          <t>Cozinha Industrial</t>
        </is>
      </c>
      <c r="O2658" t="n">
        <v>28</v>
      </c>
      <c r="P2658" t="n">
        <v>228</v>
      </c>
      <c r="Q2658" t="n">
        <v>15</v>
      </c>
    </row>
    <row r="2659">
      <c r="J2659" t="inlineStr">
        <is>
          <t>M</t>
        </is>
      </c>
      <c r="K2659" t="n">
        <v>2025</v>
      </c>
      <c r="L2659" t="n">
        <v>11</v>
      </c>
      <c r="M2659" t="inlineStr">
        <is>
          <t>Todos</t>
        </is>
      </c>
      <c r="N2659" t="inlineStr">
        <is>
          <t>Cozinha Industrial</t>
        </is>
      </c>
      <c r="O2659" t="n">
        <v>6</v>
      </c>
      <c r="P2659" t="n">
        <v>24</v>
      </c>
      <c r="Q2659" t="n">
        <v>0</v>
      </c>
    </row>
    <row r="2660">
      <c r="J2660" t="inlineStr">
        <is>
          <t>A</t>
        </is>
      </c>
      <c r="K2660" t="n">
        <v>2025</v>
      </c>
      <c r="L2660" t="n">
        <v>12</v>
      </c>
      <c r="M2660" t="inlineStr">
        <is>
          <t>Todos</t>
        </is>
      </c>
      <c r="N2660" t="inlineStr">
        <is>
          <t>Cozinha Industrial</t>
        </is>
      </c>
      <c r="O2660" t="n">
        <v>28</v>
      </c>
      <c r="P2660" t="n">
        <v>246</v>
      </c>
      <c r="Q2660" t="n">
        <v>15</v>
      </c>
    </row>
    <row r="2661">
      <c r="J2661" t="inlineStr">
        <is>
          <t>M</t>
        </is>
      </c>
      <c r="K2661" t="n">
        <v>2025</v>
      </c>
      <c r="L2661" t="n">
        <v>12</v>
      </c>
      <c r="M2661" t="inlineStr">
        <is>
          <t>Todos</t>
        </is>
      </c>
      <c r="N2661" t="inlineStr">
        <is>
          <t>Cozinha Industrial</t>
        </is>
      </c>
      <c r="O2661" t="n">
        <v>6</v>
      </c>
      <c r="P2661" t="n">
        <v>18</v>
      </c>
      <c r="Q2661" t="n">
        <v>0</v>
      </c>
    </row>
    <row r="2662">
      <c r="J2662" t="inlineStr">
        <is>
          <t>A</t>
        </is>
      </c>
      <c r="K2662" t="n">
        <v>2025</v>
      </c>
      <c r="L2662" t="n">
        <v>1</v>
      </c>
      <c r="M2662" t="inlineStr">
        <is>
          <t>Todos</t>
        </is>
      </c>
      <c r="N2662" t="inlineStr">
        <is>
          <t>Fábrica de Massas</t>
        </is>
      </c>
      <c r="O2662" t="n">
        <v>8</v>
      </c>
      <c r="P2662" t="n">
        <v>17</v>
      </c>
      <c r="Q2662" t="n">
        <v>1</v>
      </c>
    </row>
    <row r="2663">
      <c r="J2663" t="inlineStr">
        <is>
          <t>M</t>
        </is>
      </c>
      <c r="K2663" t="n">
        <v>2025</v>
      </c>
      <c r="L2663" t="n">
        <v>1</v>
      </c>
      <c r="M2663" t="inlineStr">
        <is>
          <t>Todos</t>
        </is>
      </c>
      <c r="N2663" t="inlineStr">
        <is>
          <t>Fábrica de Massas</t>
        </is>
      </c>
      <c r="O2663" t="n">
        <v>8</v>
      </c>
      <c r="P2663" t="n">
        <v>17</v>
      </c>
      <c r="Q2663" t="n">
        <v>0</v>
      </c>
    </row>
    <row r="2664">
      <c r="J2664" t="inlineStr">
        <is>
          <t>A</t>
        </is>
      </c>
      <c r="K2664" t="n">
        <v>2025</v>
      </c>
      <c r="L2664" t="n">
        <v>2</v>
      </c>
      <c r="M2664" t="inlineStr">
        <is>
          <t>Todos</t>
        </is>
      </c>
      <c r="N2664" t="inlineStr">
        <is>
          <t>Fábrica de Massas</t>
        </is>
      </c>
      <c r="O2664" t="n">
        <v>10</v>
      </c>
      <c r="P2664" t="n">
        <v>32</v>
      </c>
      <c r="Q2664" t="n">
        <v>3</v>
      </c>
    </row>
    <row r="2665">
      <c r="J2665" t="inlineStr">
        <is>
          <t>M</t>
        </is>
      </c>
      <c r="K2665" t="n">
        <v>2025</v>
      </c>
      <c r="L2665" t="n">
        <v>2</v>
      </c>
      <c r="M2665" t="inlineStr">
        <is>
          <t>Todos</t>
        </is>
      </c>
      <c r="N2665" t="inlineStr">
        <is>
          <t>Fábrica de Massas</t>
        </is>
      </c>
      <c r="O2665" t="n">
        <v>6</v>
      </c>
      <c r="P2665" t="n">
        <v>15</v>
      </c>
      <c r="Q2665" t="n">
        <v>0</v>
      </c>
    </row>
    <row r="2666">
      <c r="J2666" t="inlineStr">
        <is>
          <t>A</t>
        </is>
      </c>
      <c r="K2666" t="n">
        <v>2025</v>
      </c>
      <c r="L2666" t="n">
        <v>3</v>
      </c>
      <c r="M2666" t="inlineStr">
        <is>
          <t>Todos</t>
        </is>
      </c>
      <c r="N2666" t="inlineStr">
        <is>
          <t>Fábrica de Massas</t>
        </is>
      </c>
      <c r="O2666" t="n">
        <v>11</v>
      </c>
      <c r="P2666" t="n">
        <v>42</v>
      </c>
      <c r="Q2666" t="n">
        <v>3</v>
      </c>
    </row>
    <row r="2667">
      <c r="J2667" t="inlineStr">
        <is>
          <t>M</t>
        </is>
      </c>
      <c r="K2667" t="n">
        <v>2025</v>
      </c>
      <c r="L2667" t="n">
        <v>3</v>
      </c>
      <c r="M2667" t="inlineStr">
        <is>
          <t>Todos</t>
        </is>
      </c>
      <c r="N2667" t="inlineStr">
        <is>
          <t>Fábrica de Massas</t>
        </is>
      </c>
      <c r="O2667" t="n">
        <v>7</v>
      </c>
      <c r="P2667" t="n">
        <v>10</v>
      </c>
      <c r="Q2667" t="n">
        <v>0</v>
      </c>
    </row>
    <row r="2668">
      <c r="J2668" t="inlineStr">
        <is>
          <t>A</t>
        </is>
      </c>
      <c r="K2668" t="n">
        <v>2025</v>
      </c>
      <c r="L2668" t="n">
        <v>4</v>
      </c>
      <c r="M2668" t="inlineStr">
        <is>
          <t>Todos</t>
        </is>
      </c>
      <c r="N2668" t="inlineStr">
        <is>
          <t>Fábrica de Massas</t>
        </is>
      </c>
      <c r="O2668" t="n">
        <v>11</v>
      </c>
      <c r="P2668" t="n">
        <v>54</v>
      </c>
      <c r="Q2668" t="n">
        <v>3</v>
      </c>
    </row>
    <row r="2669">
      <c r="J2669" t="inlineStr">
        <is>
          <t>M</t>
        </is>
      </c>
      <c r="K2669" t="n">
        <v>2025</v>
      </c>
      <c r="L2669" t="n">
        <v>4</v>
      </c>
      <c r="M2669" t="inlineStr">
        <is>
          <t>Todos</t>
        </is>
      </c>
      <c r="N2669" t="inlineStr">
        <is>
          <t>Fábrica de Massas</t>
        </is>
      </c>
      <c r="O2669" t="n">
        <v>6</v>
      </c>
      <c r="P2669" t="n">
        <v>12</v>
      </c>
      <c r="Q2669" t="n">
        <v>0</v>
      </c>
    </row>
    <row r="2670">
      <c r="J2670" t="inlineStr">
        <is>
          <t>A</t>
        </is>
      </c>
      <c r="K2670" t="n">
        <v>2025</v>
      </c>
      <c r="L2670" t="n">
        <v>5</v>
      </c>
      <c r="M2670" t="inlineStr">
        <is>
          <t>Todos</t>
        </is>
      </c>
      <c r="N2670" t="inlineStr">
        <is>
          <t>Fábrica de Massas</t>
        </is>
      </c>
      <c r="O2670" t="n">
        <v>12</v>
      </c>
      <c r="P2670" t="n">
        <v>70</v>
      </c>
      <c r="Q2670" t="n">
        <v>4</v>
      </c>
    </row>
    <row r="2671">
      <c r="J2671" t="inlineStr">
        <is>
          <t>M</t>
        </is>
      </c>
      <c r="K2671" t="n">
        <v>2025</v>
      </c>
      <c r="L2671" t="n">
        <v>5</v>
      </c>
      <c r="M2671" t="inlineStr">
        <is>
          <t>Todos</t>
        </is>
      </c>
      <c r="N2671" t="inlineStr">
        <is>
          <t>Fábrica de Massas</t>
        </is>
      </c>
      <c r="O2671" t="n">
        <v>9</v>
      </c>
      <c r="P2671" t="n">
        <v>16</v>
      </c>
      <c r="Q2671" t="n">
        <v>0</v>
      </c>
    </row>
    <row r="2672">
      <c r="J2672" t="inlineStr">
        <is>
          <t>A</t>
        </is>
      </c>
      <c r="K2672" t="n">
        <v>2025</v>
      </c>
      <c r="L2672" t="n">
        <v>6</v>
      </c>
      <c r="M2672" t="inlineStr">
        <is>
          <t>Todos</t>
        </is>
      </c>
      <c r="N2672" t="inlineStr">
        <is>
          <t>Fábrica de Massas</t>
        </is>
      </c>
      <c r="O2672" t="n">
        <v>16</v>
      </c>
      <c r="P2672" t="n">
        <v>84</v>
      </c>
      <c r="Q2672" t="n">
        <v>7</v>
      </c>
    </row>
    <row r="2673">
      <c r="J2673" t="inlineStr">
        <is>
          <t>M</t>
        </is>
      </c>
      <c r="K2673" t="n">
        <v>2025</v>
      </c>
      <c r="L2673" t="n">
        <v>6</v>
      </c>
      <c r="M2673" t="inlineStr">
        <is>
          <t>Todos</t>
        </is>
      </c>
      <c r="N2673" t="inlineStr">
        <is>
          <t>Fábrica de Massas</t>
        </is>
      </c>
      <c r="O2673" t="n">
        <v>9</v>
      </c>
      <c r="P2673" t="n">
        <v>14</v>
      </c>
      <c r="Q2673" t="n">
        <v>0</v>
      </c>
    </row>
    <row r="2674">
      <c r="J2674" t="inlineStr">
        <is>
          <t>A</t>
        </is>
      </c>
      <c r="K2674" t="n">
        <v>2025</v>
      </c>
      <c r="L2674" t="n">
        <v>7</v>
      </c>
      <c r="M2674" t="inlineStr">
        <is>
          <t>Todos</t>
        </is>
      </c>
      <c r="N2674" t="inlineStr">
        <is>
          <t>Fábrica de Massas</t>
        </is>
      </c>
      <c r="O2674" t="n">
        <v>18</v>
      </c>
      <c r="P2674" t="n">
        <v>95</v>
      </c>
      <c r="Q2674" t="n">
        <v>9</v>
      </c>
    </row>
    <row r="2675">
      <c r="J2675" t="inlineStr">
        <is>
          <t>M</t>
        </is>
      </c>
      <c r="K2675" t="n">
        <v>2025</v>
      </c>
      <c r="L2675" t="n">
        <v>7</v>
      </c>
      <c r="M2675" t="inlineStr">
        <is>
          <t>Todos</t>
        </is>
      </c>
      <c r="N2675" t="inlineStr">
        <is>
          <t>Fábrica de Massas</t>
        </is>
      </c>
      <c r="O2675" t="n">
        <v>6</v>
      </c>
      <c r="P2675" t="n">
        <v>11</v>
      </c>
      <c r="Q2675" t="n">
        <v>0</v>
      </c>
    </row>
    <row r="2676">
      <c r="J2676" t="inlineStr">
        <is>
          <t>A</t>
        </is>
      </c>
      <c r="K2676" t="n">
        <v>2025</v>
      </c>
      <c r="L2676" t="n">
        <v>8</v>
      </c>
      <c r="M2676" t="inlineStr">
        <is>
          <t>Todos</t>
        </is>
      </c>
      <c r="N2676" t="inlineStr">
        <is>
          <t>Fábrica de Massas</t>
        </is>
      </c>
      <c r="O2676" t="n">
        <v>19</v>
      </c>
      <c r="P2676" t="n">
        <v>106</v>
      </c>
      <c r="Q2676" t="n">
        <v>10</v>
      </c>
    </row>
    <row r="2677">
      <c r="J2677" t="inlineStr">
        <is>
          <t>M</t>
        </is>
      </c>
      <c r="K2677" t="n">
        <v>2025</v>
      </c>
      <c r="L2677" t="n">
        <v>8</v>
      </c>
      <c r="M2677" t="inlineStr">
        <is>
          <t>Todos</t>
        </is>
      </c>
      <c r="N2677" t="inlineStr">
        <is>
          <t>Fábrica de Massas</t>
        </is>
      </c>
      <c r="O2677" t="n">
        <v>6</v>
      </c>
      <c r="P2677" t="n">
        <v>11</v>
      </c>
      <c r="Q2677" t="n">
        <v>0</v>
      </c>
    </row>
    <row r="2678">
      <c r="J2678" t="inlineStr">
        <is>
          <t>A</t>
        </is>
      </c>
      <c r="K2678" t="n">
        <v>2025</v>
      </c>
      <c r="L2678" t="n">
        <v>9</v>
      </c>
      <c r="M2678" t="inlineStr">
        <is>
          <t>Todos</t>
        </is>
      </c>
      <c r="N2678" t="inlineStr">
        <is>
          <t>Fábrica de Massas</t>
        </is>
      </c>
      <c r="O2678" t="n">
        <v>20</v>
      </c>
      <c r="P2678" t="n">
        <v>122</v>
      </c>
      <c r="Q2678" t="n">
        <v>11</v>
      </c>
    </row>
    <row r="2679">
      <c r="J2679" t="inlineStr">
        <is>
          <t>M</t>
        </is>
      </c>
      <c r="K2679" t="n">
        <v>2025</v>
      </c>
      <c r="L2679" t="n">
        <v>9</v>
      </c>
      <c r="M2679" t="inlineStr">
        <is>
          <t>Todos</t>
        </is>
      </c>
      <c r="N2679" t="inlineStr">
        <is>
          <t>Fábrica de Massas</t>
        </is>
      </c>
      <c r="O2679" t="n">
        <v>7</v>
      </c>
      <c r="P2679" t="n">
        <v>16</v>
      </c>
      <c r="Q2679" t="n">
        <v>0</v>
      </c>
    </row>
    <row r="2680">
      <c r="J2680" t="inlineStr">
        <is>
          <t>A</t>
        </is>
      </c>
      <c r="K2680" t="n">
        <v>2025</v>
      </c>
      <c r="L2680" t="n">
        <v>10</v>
      </c>
      <c r="M2680" t="inlineStr">
        <is>
          <t>Todos</t>
        </is>
      </c>
      <c r="N2680" t="inlineStr">
        <is>
          <t>Fábrica de Massas</t>
        </is>
      </c>
      <c r="O2680" t="n">
        <v>20</v>
      </c>
      <c r="P2680" t="n">
        <v>131</v>
      </c>
      <c r="Q2680" t="n">
        <v>11</v>
      </c>
    </row>
    <row r="2681">
      <c r="J2681" t="inlineStr">
        <is>
          <t>M</t>
        </is>
      </c>
      <c r="K2681" t="n">
        <v>2025</v>
      </c>
      <c r="L2681" t="n">
        <v>10</v>
      </c>
      <c r="M2681" t="inlineStr">
        <is>
          <t>Todos</t>
        </is>
      </c>
      <c r="N2681" t="inlineStr">
        <is>
          <t>Fábrica de Massas</t>
        </is>
      </c>
      <c r="O2681" t="n">
        <v>5</v>
      </c>
      <c r="P2681" t="n">
        <v>9</v>
      </c>
      <c r="Q2681" t="n">
        <v>0</v>
      </c>
    </row>
    <row r="2682">
      <c r="J2682" t="inlineStr">
        <is>
          <t>A</t>
        </is>
      </c>
      <c r="K2682" t="n">
        <v>2025</v>
      </c>
      <c r="L2682" t="n">
        <v>11</v>
      </c>
      <c r="M2682" t="inlineStr">
        <is>
          <t>Todos</t>
        </is>
      </c>
      <c r="N2682" t="inlineStr">
        <is>
          <t>Fábrica de Massas</t>
        </is>
      </c>
      <c r="O2682" t="n">
        <v>21</v>
      </c>
      <c r="P2682" t="n">
        <v>143</v>
      </c>
      <c r="Q2682" t="n">
        <v>12</v>
      </c>
    </row>
    <row r="2683">
      <c r="J2683" t="inlineStr">
        <is>
          <t>M</t>
        </is>
      </c>
      <c r="K2683" t="n">
        <v>2025</v>
      </c>
      <c r="L2683" t="n">
        <v>11</v>
      </c>
      <c r="M2683" t="inlineStr">
        <is>
          <t>Todos</t>
        </is>
      </c>
      <c r="N2683" t="inlineStr">
        <is>
          <t>Fábrica de Massas</t>
        </is>
      </c>
      <c r="O2683" t="n">
        <v>6</v>
      </c>
      <c r="P2683" t="n">
        <v>12</v>
      </c>
      <c r="Q2683" t="n">
        <v>0</v>
      </c>
    </row>
    <row r="2684">
      <c r="J2684" t="inlineStr">
        <is>
          <t>A</t>
        </is>
      </c>
      <c r="K2684" t="n">
        <v>2025</v>
      </c>
      <c r="L2684" t="n">
        <v>12</v>
      </c>
      <c r="M2684" t="inlineStr">
        <is>
          <t>Todos</t>
        </is>
      </c>
      <c r="N2684" t="inlineStr">
        <is>
          <t>Fábrica de Massas</t>
        </is>
      </c>
      <c r="O2684" t="n">
        <v>21</v>
      </c>
      <c r="P2684" t="n">
        <v>149</v>
      </c>
      <c r="Q2684" t="n">
        <v>12</v>
      </c>
    </row>
    <row r="2685">
      <c r="J2685" t="inlineStr">
        <is>
          <t>M</t>
        </is>
      </c>
      <c r="K2685" t="n">
        <v>2025</v>
      </c>
      <c r="L2685" t="n">
        <v>12</v>
      </c>
      <c r="M2685" t="inlineStr">
        <is>
          <t>Todos</t>
        </is>
      </c>
      <c r="N2685" t="inlineStr">
        <is>
          <t>Fábrica de Massas</t>
        </is>
      </c>
      <c r="O2685" t="n">
        <v>4</v>
      </c>
      <c r="P2685" t="n">
        <v>6</v>
      </c>
      <c r="Q2685" t="n">
        <v>0</v>
      </c>
    </row>
    <row r="2686">
      <c r="J2686" t="inlineStr">
        <is>
          <t>A</t>
        </is>
      </c>
      <c r="K2686" t="n">
        <v>2025</v>
      </c>
      <c r="L2686" t="n">
        <v>1</v>
      </c>
      <c r="M2686" t="inlineStr">
        <is>
          <t>Todos</t>
        </is>
      </c>
      <c r="N2686" t="inlineStr">
        <is>
          <t>Outros</t>
        </is>
      </c>
      <c r="O2686" t="n">
        <v>18</v>
      </c>
      <c r="P2686" t="n">
        <v>49</v>
      </c>
      <c r="Q2686" t="n">
        <v>3</v>
      </c>
    </row>
    <row r="2687">
      <c r="J2687" t="inlineStr">
        <is>
          <t>M</t>
        </is>
      </c>
      <c r="K2687" t="n">
        <v>2025</v>
      </c>
      <c r="L2687" t="n">
        <v>1</v>
      </c>
      <c r="M2687" t="inlineStr">
        <is>
          <t>Todos</t>
        </is>
      </c>
      <c r="N2687" t="inlineStr">
        <is>
          <t>Outros</t>
        </is>
      </c>
      <c r="O2687" t="n">
        <v>18</v>
      </c>
      <c r="P2687" t="n">
        <v>49</v>
      </c>
      <c r="Q2687" t="n">
        <v>0</v>
      </c>
    </row>
    <row r="2688">
      <c r="J2688" t="inlineStr">
        <is>
          <t>A</t>
        </is>
      </c>
      <c r="K2688" t="n">
        <v>2025</v>
      </c>
      <c r="L2688" t="n">
        <v>2</v>
      </c>
      <c r="M2688" t="inlineStr">
        <is>
          <t>Todos</t>
        </is>
      </c>
      <c r="N2688" t="inlineStr">
        <is>
          <t>Outros</t>
        </is>
      </c>
      <c r="O2688" t="n">
        <v>24</v>
      </c>
      <c r="P2688" t="n">
        <v>88</v>
      </c>
      <c r="Q2688" t="n">
        <v>9</v>
      </c>
    </row>
    <row r="2689">
      <c r="J2689" t="inlineStr">
        <is>
          <t>M</t>
        </is>
      </c>
      <c r="K2689" t="n">
        <v>2025</v>
      </c>
      <c r="L2689" t="n">
        <v>2</v>
      </c>
      <c r="M2689" t="inlineStr">
        <is>
          <t>Todos</t>
        </is>
      </c>
      <c r="N2689" t="inlineStr">
        <is>
          <t>Outros</t>
        </is>
      </c>
      <c r="O2689" t="n">
        <v>20</v>
      </c>
      <c r="P2689" t="n">
        <v>39</v>
      </c>
      <c r="Q2689" t="n">
        <v>0</v>
      </c>
    </row>
    <row r="2690">
      <c r="J2690" t="inlineStr">
        <is>
          <t>A</t>
        </is>
      </c>
      <c r="K2690" t="n">
        <v>2025</v>
      </c>
      <c r="L2690" t="n">
        <v>3</v>
      </c>
      <c r="M2690" t="inlineStr">
        <is>
          <t>Todos</t>
        </is>
      </c>
      <c r="N2690" t="inlineStr">
        <is>
          <t>Outros</t>
        </is>
      </c>
      <c r="O2690" t="n">
        <v>26</v>
      </c>
      <c r="P2690" t="n">
        <v>130</v>
      </c>
      <c r="Q2690" t="n">
        <v>11</v>
      </c>
    </row>
    <row r="2691">
      <c r="J2691" t="inlineStr">
        <is>
          <t>M</t>
        </is>
      </c>
      <c r="K2691" t="n">
        <v>2025</v>
      </c>
      <c r="L2691" t="n">
        <v>3</v>
      </c>
      <c r="M2691" t="inlineStr">
        <is>
          <t>Todos</t>
        </is>
      </c>
      <c r="N2691" t="inlineStr">
        <is>
          <t>Outros</t>
        </is>
      </c>
      <c r="O2691" t="n">
        <v>15</v>
      </c>
      <c r="P2691" t="n">
        <v>42</v>
      </c>
      <c r="Q2691" t="n">
        <v>0</v>
      </c>
    </row>
    <row r="2692">
      <c r="J2692" t="inlineStr">
        <is>
          <t>A</t>
        </is>
      </c>
      <c r="K2692" t="n">
        <v>2025</v>
      </c>
      <c r="L2692" t="n">
        <v>4</v>
      </c>
      <c r="M2692" t="inlineStr">
        <is>
          <t>Todos</t>
        </is>
      </c>
      <c r="N2692" t="inlineStr">
        <is>
          <t>Outros</t>
        </is>
      </c>
      <c r="O2692" t="n">
        <v>27</v>
      </c>
      <c r="P2692" t="n">
        <v>171</v>
      </c>
      <c r="Q2692" t="n">
        <v>12</v>
      </c>
    </row>
    <row r="2693">
      <c r="J2693" t="inlineStr">
        <is>
          <t>M</t>
        </is>
      </c>
      <c r="K2693" t="n">
        <v>2025</v>
      </c>
      <c r="L2693" t="n">
        <v>4</v>
      </c>
      <c r="M2693" t="inlineStr">
        <is>
          <t>Todos</t>
        </is>
      </c>
      <c r="N2693" t="inlineStr">
        <is>
          <t>Outros</t>
        </is>
      </c>
      <c r="O2693" t="n">
        <v>13</v>
      </c>
      <c r="P2693" t="n">
        <v>41</v>
      </c>
      <c r="Q2693" t="n">
        <v>0</v>
      </c>
    </row>
    <row r="2694">
      <c r="J2694" t="inlineStr">
        <is>
          <t>A</t>
        </is>
      </c>
      <c r="K2694" t="n">
        <v>2025</v>
      </c>
      <c r="L2694" t="n">
        <v>5</v>
      </c>
      <c r="M2694" t="inlineStr">
        <is>
          <t>Todos</t>
        </is>
      </c>
      <c r="N2694" t="inlineStr">
        <is>
          <t>Outros</t>
        </is>
      </c>
      <c r="O2694" t="n">
        <v>31</v>
      </c>
      <c r="P2694" t="n">
        <v>213</v>
      </c>
      <c r="Q2694" t="n">
        <v>14</v>
      </c>
    </row>
    <row r="2695">
      <c r="J2695" t="inlineStr">
        <is>
          <t>M</t>
        </is>
      </c>
      <c r="K2695" t="n">
        <v>2025</v>
      </c>
      <c r="L2695" t="n">
        <v>5</v>
      </c>
      <c r="M2695" t="inlineStr">
        <is>
          <t>Todos</t>
        </is>
      </c>
      <c r="N2695" t="inlineStr">
        <is>
          <t>Outros</t>
        </is>
      </c>
      <c r="O2695" t="n">
        <v>18</v>
      </c>
      <c r="P2695" t="n">
        <v>42</v>
      </c>
      <c r="Q2695" t="n">
        <v>0</v>
      </c>
    </row>
    <row r="2696">
      <c r="J2696" t="inlineStr">
        <is>
          <t>A</t>
        </is>
      </c>
      <c r="K2696" t="n">
        <v>2025</v>
      </c>
      <c r="L2696" t="n">
        <v>6</v>
      </c>
      <c r="M2696" t="inlineStr">
        <is>
          <t>Todos</t>
        </is>
      </c>
      <c r="N2696" t="inlineStr">
        <is>
          <t>Outros</t>
        </is>
      </c>
      <c r="O2696" t="n">
        <v>34</v>
      </c>
      <c r="P2696" t="n">
        <v>265</v>
      </c>
      <c r="Q2696" t="n">
        <v>16</v>
      </c>
    </row>
    <row r="2697">
      <c r="J2697" t="inlineStr">
        <is>
          <t>M</t>
        </is>
      </c>
      <c r="K2697" t="n">
        <v>2025</v>
      </c>
      <c r="L2697" t="n">
        <v>6</v>
      </c>
      <c r="M2697" t="inlineStr">
        <is>
          <t>Todos</t>
        </is>
      </c>
      <c r="N2697" t="inlineStr">
        <is>
          <t>Outros</t>
        </is>
      </c>
      <c r="O2697" t="n">
        <v>20</v>
      </c>
      <c r="P2697" t="n">
        <v>52</v>
      </c>
      <c r="Q2697" t="n">
        <v>0</v>
      </c>
    </row>
    <row r="2698">
      <c r="J2698" t="inlineStr">
        <is>
          <t>A</t>
        </is>
      </c>
      <c r="K2698" t="n">
        <v>2025</v>
      </c>
      <c r="L2698" t="n">
        <v>7</v>
      </c>
      <c r="M2698" t="inlineStr">
        <is>
          <t>Todos</t>
        </is>
      </c>
      <c r="N2698" t="inlineStr">
        <is>
          <t>Outros</t>
        </is>
      </c>
      <c r="O2698" t="n">
        <v>44</v>
      </c>
      <c r="P2698" t="n">
        <v>325</v>
      </c>
      <c r="Q2698" t="n">
        <v>23</v>
      </c>
    </row>
    <row r="2699">
      <c r="J2699" t="inlineStr">
        <is>
          <t>M</t>
        </is>
      </c>
      <c r="K2699" t="n">
        <v>2025</v>
      </c>
      <c r="L2699" t="n">
        <v>7</v>
      </c>
      <c r="M2699" t="inlineStr">
        <is>
          <t>Todos</t>
        </is>
      </c>
      <c r="N2699" t="inlineStr">
        <is>
          <t>Outros</t>
        </is>
      </c>
      <c r="O2699" t="n">
        <v>28</v>
      </c>
      <c r="P2699" t="n">
        <v>60</v>
      </c>
      <c r="Q2699" t="n">
        <v>0</v>
      </c>
    </row>
    <row r="2700">
      <c r="J2700" t="inlineStr">
        <is>
          <t>A</t>
        </is>
      </c>
      <c r="K2700" t="n">
        <v>2025</v>
      </c>
      <c r="L2700" t="n">
        <v>8</v>
      </c>
      <c r="M2700" t="inlineStr">
        <is>
          <t>Todos</t>
        </is>
      </c>
      <c r="N2700" t="inlineStr">
        <is>
          <t>Outros</t>
        </is>
      </c>
      <c r="O2700" t="n">
        <v>45</v>
      </c>
      <c r="P2700" t="n">
        <v>370</v>
      </c>
      <c r="Q2700" t="n">
        <v>24</v>
      </c>
    </row>
    <row r="2701">
      <c r="J2701" t="inlineStr">
        <is>
          <t>M</t>
        </is>
      </c>
      <c r="K2701" t="n">
        <v>2025</v>
      </c>
      <c r="L2701" t="n">
        <v>8</v>
      </c>
      <c r="M2701" t="inlineStr">
        <is>
          <t>Todos</t>
        </is>
      </c>
      <c r="N2701" t="inlineStr">
        <is>
          <t>Outros</t>
        </is>
      </c>
      <c r="O2701" t="n">
        <v>20</v>
      </c>
      <c r="P2701" t="n">
        <v>45</v>
      </c>
      <c r="Q2701" t="n">
        <v>0</v>
      </c>
    </row>
    <row r="2702">
      <c r="J2702" t="inlineStr">
        <is>
          <t>A</t>
        </is>
      </c>
      <c r="K2702" t="n">
        <v>2025</v>
      </c>
      <c r="L2702" t="n">
        <v>9</v>
      </c>
      <c r="M2702" t="inlineStr">
        <is>
          <t>Todos</t>
        </is>
      </c>
      <c r="N2702" t="inlineStr">
        <is>
          <t>Outros</t>
        </is>
      </c>
      <c r="O2702" t="n">
        <v>48</v>
      </c>
      <c r="P2702" t="n">
        <v>418</v>
      </c>
      <c r="Q2702" t="n">
        <v>27</v>
      </c>
    </row>
    <row r="2703">
      <c r="J2703" t="inlineStr">
        <is>
          <t>M</t>
        </is>
      </c>
      <c r="K2703" t="n">
        <v>2025</v>
      </c>
      <c r="L2703" t="n">
        <v>9</v>
      </c>
      <c r="M2703" t="inlineStr">
        <is>
          <t>Todos</t>
        </is>
      </c>
      <c r="N2703" t="inlineStr">
        <is>
          <t>Outros</t>
        </is>
      </c>
      <c r="O2703" t="n">
        <v>19</v>
      </c>
      <c r="P2703" t="n">
        <v>48</v>
      </c>
      <c r="Q2703" t="n">
        <v>0</v>
      </c>
    </row>
    <row r="2704">
      <c r="J2704" t="inlineStr">
        <is>
          <t>A</t>
        </is>
      </c>
      <c r="K2704" t="n">
        <v>2025</v>
      </c>
      <c r="L2704" t="n">
        <v>10</v>
      </c>
      <c r="M2704" t="inlineStr">
        <is>
          <t>Todos</t>
        </is>
      </c>
      <c r="N2704" t="inlineStr">
        <is>
          <t>Outros</t>
        </is>
      </c>
      <c r="O2704" t="n">
        <v>51</v>
      </c>
      <c r="P2704" t="n">
        <v>463</v>
      </c>
      <c r="Q2704" t="n">
        <v>29</v>
      </c>
    </row>
    <row r="2705">
      <c r="J2705" t="inlineStr">
        <is>
          <t>M</t>
        </is>
      </c>
      <c r="K2705" t="n">
        <v>2025</v>
      </c>
      <c r="L2705" t="n">
        <v>10</v>
      </c>
      <c r="M2705" t="inlineStr">
        <is>
          <t>Todos</t>
        </is>
      </c>
      <c r="N2705" t="inlineStr">
        <is>
          <t>Outros</t>
        </is>
      </c>
      <c r="O2705" t="n">
        <v>18</v>
      </c>
      <c r="P2705" t="n">
        <v>45</v>
      </c>
      <c r="Q2705" t="n">
        <v>0</v>
      </c>
    </row>
    <row r="2706">
      <c r="J2706" t="inlineStr">
        <is>
          <t>A</t>
        </is>
      </c>
      <c r="K2706" t="n">
        <v>2025</v>
      </c>
      <c r="L2706" t="n">
        <v>11</v>
      </c>
      <c r="M2706" t="inlineStr">
        <is>
          <t>Todos</t>
        </is>
      </c>
      <c r="N2706" t="inlineStr">
        <is>
          <t>Outros</t>
        </is>
      </c>
      <c r="O2706" t="n">
        <v>51</v>
      </c>
      <c r="P2706" t="n">
        <v>494</v>
      </c>
      <c r="Q2706" t="n">
        <v>29</v>
      </c>
    </row>
    <row r="2707">
      <c r="J2707" t="inlineStr">
        <is>
          <t>M</t>
        </is>
      </c>
      <c r="K2707" t="n">
        <v>2025</v>
      </c>
      <c r="L2707" t="n">
        <v>11</v>
      </c>
      <c r="M2707" t="inlineStr">
        <is>
          <t>Todos</t>
        </is>
      </c>
      <c r="N2707" t="inlineStr">
        <is>
          <t>Outros</t>
        </is>
      </c>
      <c r="O2707" t="n">
        <v>12</v>
      </c>
      <c r="P2707" t="n">
        <v>31</v>
      </c>
      <c r="Q2707" t="n">
        <v>0</v>
      </c>
    </row>
    <row r="2708">
      <c r="J2708" t="inlineStr">
        <is>
          <t>A</t>
        </is>
      </c>
      <c r="K2708" t="n">
        <v>2025</v>
      </c>
      <c r="L2708" t="n">
        <v>12</v>
      </c>
      <c r="M2708" t="inlineStr">
        <is>
          <t>Todos</t>
        </is>
      </c>
      <c r="N2708" t="inlineStr">
        <is>
          <t>Outros</t>
        </is>
      </c>
      <c r="O2708" t="n">
        <v>52</v>
      </c>
      <c r="P2708" t="n">
        <v>522</v>
      </c>
      <c r="Q2708" t="n">
        <v>30</v>
      </c>
    </row>
    <row r="2709">
      <c r="J2709" t="inlineStr">
        <is>
          <t>M</t>
        </is>
      </c>
      <c r="K2709" t="n">
        <v>2025</v>
      </c>
      <c r="L2709" t="n">
        <v>12</v>
      </c>
      <c r="M2709" t="inlineStr">
        <is>
          <t>Todos</t>
        </is>
      </c>
      <c r="N2709" t="inlineStr">
        <is>
          <t>Outros</t>
        </is>
      </c>
      <c r="O2709" t="n">
        <v>12</v>
      </c>
      <c r="P2709" t="n">
        <v>28</v>
      </c>
      <c r="Q2709" t="n">
        <v>0</v>
      </c>
    </row>
    <row r="2710">
      <c r="J2710" t="inlineStr">
        <is>
          <t>A</t>
        </is>
      </c>
      <c r="K2710" t="n">
        <v>2025</v>
      </c>
      <c r="L2710" t="n">
        <v>1</v>
      </c>
      <c r="M2710" t="inlineStr">
        <is>
          <t>Todos</t>
        </is>
      </c>
      <c r="N2710" t="inlineStr">
        <is>
          <t>Pessoa Física</t>
        </is>
      </c>
      <c r="O2710" t="n">
        <v>8</v>
      </c>
      <c r="P2710" t="n">
        <v>14</v>
      </c>
      <c r="Q2710" t="n">
        <v>0</v>
      </c>
    </row>
    <row r="2711">
      <c r="J2711" t="inlineStr">
        <is>
          <t>M</t>
        </is>
      </c>
      <c r="K2711" t="n">
        <v>2025</v>
      </c>
      <c r="L2711" t="n">
        <v>1</v>
      </c>
      <c r="M2711" t="inlineStr">
        <is>
          <t>Todos</t>
        </is>
      </c>
      <c r="N2711" t="inlineStr">
        <is>
          <t>Pessoa Física</t>
        </is>
      </c>
      <c r="O2711" t="n">
        <v>8</v>
      </c>
      <c r="P2711" t="n">
        <v>14</v>
      </c>
      <c r="Q2711" t="n">
        <v>0</v>
      </c>
    </row>
    <row r="2712">
      <c r="J2712" t="inlineStr">
        <is>
          <t>A</t>
        </is>
      </c>
      <c r="K2712" t="n">
        <v>2025</v>
      </c>
      <c r="L2712" t="n">
        <v>2</v>
      </c>
      <c r="M2712" t="inlineStr">
        <is>
          <t>Todos</t>
        </is>
      </c>
      <c r="N2712" t="inlineStr">
        <is>
          <t>Pessoa Física</t>
        </is>
      </c>
      <c r="O2712" t="n">
        <v>16</v>
      </c>
      <c r="P2712" t="n">
        <v>32</v>
      </c>
      <c r="Q2712" t="n">
        <v>4</v>
      </c>
    </row>
    <row r="2713">
      <c r="J2713" t="inlineStr">
        <is>
          <t>M</t>
        </is>
      </c>
      <c r="K2713" t="n">
        <v>2025</v>
      </c>
      <c r="L2713" t="n">
        <v>2</v>
      </c>
      <c r="M2713" t="inlineStr">
        <is>
          <t>Todos</t>
        </is>
      </c>
      <c r="N2713" t="inlineStr">
        <is>
          <t>Pessoa Física</t>
        </is>
      </c>
      <c r="O2713" t="n">
        <v>12</v>
      </c>
      <c r="P2713" t="n">
        <v>18</v>
      </c>
      <c r="Q2713" t="n">
        <v>0</v>
      </c>
    </row>
    <row r="2714">
      <c r="J2714" t="inlineStr">
        <is>
          <t>A</t>
        </is>
      </c>
      <c r="K2714" t="n">
        <v>2025</v>
      </c>
      <c r="L2714" t="n">
        <v>3</v>
      </c>
      <c r="M2714" t="inlineStr">
        <is>
          <t>Todos</t>
        </is>
      </c>
      <c r="N2714" t="inlineStr">
        <is>
          <t>Pessoa Física</t>
        </is>
      </c>
      <c r="O2714" t="n">
        <v>17</v>
      </c>
      <c r="P2714" t="n">
        <v>43</v>
      </c>
      <c r="Q2714" t="n">
        <v>4</v>
      </c>
    </row>
    <row r="2715">
      <c r="J2715" t="inlineStr">
        <is>
          <t>M</t>
        </is>
      </c>
      <c r="K2715" t="n">
        <v>2025</v>
      </c>
      <c r="L2715" t="n">
        <v>3</v>
      </c>
      <c r="M2715" t="inlineStr">
        <is>
          <t>Todos</t>
        </is>
      </c>
      <c r="N2715" t="inlineStr">
        <is>
          <t>Pessoa Física</t>
        </is>
      </c>
      <c r="O2715" t="n">
        <v>6</v>
      </c>
      <c r="P2715" t="n">
        <v>11</v>
      </c>
      <c r="Q2715" t="n">
        <v>0</v>
      </c>
    </row>
    <row r="2716">
      <c r="J2716" t="inlineStr">
        <is>
          <t>A</t>
        </is>
      </c>
      <c r="K2716" t="n">
        <v>2025</v>
      </c>
      <c r="L2716" t="n">
        <v>4</v>
      </c>
      <c r="M2716" t="inlineStr">
        <is>
          <t>Todos</t>
        </is>
      </c>
      <c r="N2716" t="inlineStr">
        <is>
          <t>Pessoa Física</t>
        </is>
      </c>
      <c r="O2716" t="n">
        <v>17</v>
      </c>
      <c r="P2716" t="n">
        <v>53</v>
      </c>
      <c r="Q2716" t="n">
        <v>4</v>
      </c>
    </row>
    <row r="2717">
      <c r="J2717" t="inlineStr">
        <is>
          <t>M</t>
        </is>
      </c>
      <c r="K2717" t="n">
        <v>2025</v>
      </c>
      <c r="L2717" t="n">
        <v>4</v>
      </c>
      <c r="M2717" t="inlineStr">
        <is>
          <t>Todos</t>
        </is>
      </c>
      <c r="N2717" t="inlineStr">
        <is>
          <t>Pessoa Física</t>
        </is>
      </c>
      <c r="O2717" t="n">
        <v>7</v>
      </c>
      <c r="P2717" t="n">
        <v>10</v>
      </c>
      <c r="Q2717" t="n">
        <v>0</v>
      </c>
    </row>
    <row r="2718">
      <c r="J2718" t="inlineStr">
        <is>
          <t>A</t>
        </is>
      </c>
      <c r="K2718" t="n">
        <v>2025</v>
      </c>
      <c r="L2718" t="n">
        <v>5</v>
      </c>
      <c r="M2718" t="inlineStr">
        <is>
          <t>Todos</t>
        </is>
      </c>
      <c r="N2718" t="inlineStr">
        <is>
          <t>Pessoa Física</t>
        </is>
      </c>
      <c r="O2718" t="n">
        <v>18</v>
      </c>
      <c r="P2718" t="n">
        <v>61</v>
      </c>
      <c r="Q2718" t="n">
        <v>5</v>
      </c>
    </row>
    <row r="2719">
      <c r="J2719" t="inlineStr">
        <is>
          <t>M</t>
        </is>
      </c>
      <c r="K2719" t="n">
        <v>2025</v>
      </c>
      <c r="L2719" t="n">
        <v>5</v>
      </c>
      <c r="M2719" t="inlineStr">
        <is>
          <t>Todos</t>
        </is>
      </c>
      <c r="N2719" t="inlineStr">
        <is>
          <t>Pessoa Física</t>
        </is>
      </c>
      <c r="O2719" t="n">
        <v>5</v>
      </c>
      <c r="P2719" t="n">
        <v>8</v>
      </c>
      <c r="Q2719" t="n">
        <v>0</v>
      </c>
    </row>
    <row r="2720">
      <c r="J2720" t="inlineStr">
        <is>
          <t>A</t>
        </is>
      </c>
      <c r="K2720" t="n">
        <v>2025</v>
      </c>
      <c r="L2720" t="n">
        <v>6</v>
      </c>
      <c r="M2720" t="inlineStr">
        <is>
          <t>Todos</t>
        </is>
      </c>
      <c r="N2720" t="inlineStr">
        <is>
          <t>Pessoa Física</t>
        </is>
      </c>
      <c r="O2720" t="n">
        <v>21</v>
      </c>
      <c r="P2720" t="n">
        <v>74</v>
      </c>
      <c r="Q2720" t="n">
        <v>7</v>
      </c>
    </row>
    <row r="2721">
      <c r="J2721" t="inlineStr">
        <is>
          <t>M</t>
        </is>
      </c>
      <c r="K2721" t="n">
        <v>2025</v>
      </c>
      <c r="L2721" t="n">
        <v>6</v>
      </c>
      <c r="M2721" t="inlineStr">
        <is>
          <t>Todos</t>
        </is>
      </c>
      <c r="N2721" t="inlineStr">
        <is>
          <t>Pessoa Física</t>
        </is>
      </c>
      <c r="O2721" t="n">
        <v>9</v>
      </c>
      <c r="P2721" t="n">
        <v>13</v>
      </c>
      <c r="Q2721" t="n">
        <v>0</v>
      </c>
    </row>
    <row r="2722">
      <c r="J2722" t="inlineStr">
        <is>
          <t>A</t>
        </is>
      </c>
      <c r="K2722" t="n">
        <v>2025</v>
      </c>
      <c r="L2722" t="n">
        <v>7</v>
      </c>
      <c r="M2722" t="inlineStr">
        <is>
          <t>Todos</t>
        </is>
      </c>
      <c r="N2722" t="inlineStr">
        <is>
          <t>Pessoa Física</t>
        </is>
      </c>
      <c r="O2722" t="n">
        <v>25</v>
      </c>
      <c r="P2722" t="n">
        <v>87</v>
      </c>
      <c r="Q2722" t="n">
        <v>11</v>
      </c>
    </row>
    <row r="2723">
      <c r="J2723" t="inlineStr">
        <is>
          <t>M</t>
        </is>
      </c>
      <c r="K2723" t="n">
        <v>2025</v>
      </c>
      <c r="L2723" t="n">
        <v>7</v>
      </c>
      <c r="M2723" t="inlineStr">
        <is>
          <t>Todos</t>
        </is>
      </c>
      <c r="N2723" t="inlineStr">
        <is>
          <t>Pessoa Física</t>
        </is>
      </c>
      <c r="O2723" t="n">
        <v>8</v>
      </c>
      <c r="P2723" t="n">
        <v>13</v>
      </c>
      <c r="Q2723" t="n">
        <v>0</v>
      </c>
    </row>
    <row r="2724">
      <c r="J2724" t="inlineStr">
        <is>
          <t>A</t>
        </is>
      </c>
      <c r="K2724" t="n">
        <v>2025</v>
      </c>
      <c r="L2724" t="n">
        <v>8</v>
      </c>
      <c r="M2724" t="inlineStr">
        <is>
          <t>Todos</t>
        </is>
      </c>
      <c r="N2724" t="inlineStr">
        <is>
          <t>Pessoa Física</t>
        </is>
      </c>
      <c r="O2724" t="n">
        <v>25</v>
      </c>
      <c r="P2724" t="n">
        <v>100</v>
      </c>
      <c r="Q2724" t="n">
        <v>11</v>
      </c>
    </row>
    <row r="2725">
      <c r="J2725" t="inlineStr">
        <is>
          <t>M</t>
        </is>
      </c>
      <c r="K2725" t="n">
        <v>2025</v>
      </c>
      <c r="L2725" t="n">
        <v>8</v>
      </c>
      <c r="M2725" t="inlineStr">
        <is>
          <t>Todos</t>
        </is>
      </c>
      <c r="N2725" t="inlineStr">
        <is>
          <t>Pessoa Física</t>
        </is>
      </c>
      <c r="O2725" t="n">
        <v>9</v>
      </c>
      <c r="P2725" t="n">
        <v>13</v>
      </c>
      <c r="Q2725" t="n">
        <v>0</v>
      </c>
    </row>
    <row r="2726">
      <c r="J2726" t="inlineStr">
        <is>
          <t>A</t>
        </is>
      </c>
      <c r="K2726" t="n">
        <v>2025</v>
      </c>
      <c r="L2726" t="n">
        <v>9</v>
      </c>
      <c r="M2726" t="inlineStr">
        <is>
          <t>Todos</t>
        </is>
      </c>
      <c r="N2726" t="inlineStr">
        <is>
          <t>Pessoa Física</t>
        </is>
      </c>
      <c r="O2726" t="n">
        <v>26</v>
      </c>
      <c r="P2726" t="n">
        <v>111</v>
      </c>
      <c r="Q2726" t="n">
        <v>12</v>
      </c>
    </row>
    <row r="2727">
      <c r="J2727" t="inlineStr">
        <is>
          <t>M</t>
        </is>
      </c>
      <c r="K2727" t="n">
        <v>2025</v>
      </c>
      <c r="L2727" t="n">
        <v>9</v>
      </c>
      <c r="M2727" t="inlineStr">
        <is>
          <t>Todos</t>
        </is>
      </c>
      <c r="N2727" t="inlineStr">
        <is>
          <t>Pessoa Física</t>
        </is>
      </c>
      <c r="O2727" t="n">
        <v>8</v>
      </c>
      <c r="P2727" t="n">
        <v>11</v>
      </c>
      <c r="Q2727" t="n">
        <v>0</v>
      </c>
    </row>
    <row r="2728">
      <c r="J2728" t="inlineStr">
        <is>
          <t>A</t>
        </is>
      </c>
      <c r="K2728" t="n">
        <v>2025</v>
      </c>
      <c r="L2728" t="n">
        <v>10</v>
      </c>
      <c r="M2728" t="inlineStr">
        <is>
          <t>Todos</t>
        </is>
      </c>
      <c r="N2728" t="inlineStr">
        <is>
          <t>Pessoa Física</t>
        </is>
      </c>
      <c r="O2728" t="n">
        <v>27</v>
      </c>
      <c r="P2728" t="n">
        <v>114</v>
      </c>
      <c r="Q2728" t="n">
        <v>13</v>
      </c>
    </row>
    <row r="2729">
      <c r="J2729" t="inlineStr">
        <is>
          <t>M</t>
        </is>
      </c>
      <c r="K2729" t="n">
        <v>2025</v>
      </c>
      <c r="L2729" t="n">
        <v>10</v>
      </c>
      <c r="M2729" t="inlineStr">
        <is>
          <t>Todos</t>
        </is>
      </c>
      <c r="N2729" t="inlineStr">
        <is>
          <t>Pessoa Física</t>
        </is>
      </c>
      <c r="O2729" t="n">
        <v>3</v>
      </c>
      <c r="P2729" t="n">
        <v>3</v>
      </c>
      <c r="Q2729" t="n">
        <v>0</v>
      </c>
    </row>
    <row r="2730">
      <c r="J2730" t="inlineStr">
        <is>
          <t>A</t>
        </is>
      </c>
      <c r="K2730" t="n">
        <v>2025</v>
      </c>
      <c r="L2730" t="n">
        <v>11</v>
      </c>
      <c r="M2730" t="inlineStr">
        <is>
          <t>Todos</t>
        </is>
      </c>
      <c r="N2730" t="inlineStr">
        <is>
          <t>Pessoa Física</t>
        </is>
      </c>
      <c r="O2730" t="n">
        <v>27</v>
      </c>
      <c r="P2730" t="n">
        <v>116</v>
      </c>
      <c r="Q2730" t="n">
        <v>13</v>
      </c>
    </row>
    <row r="2731">
      <c r="J2731" t="inlineStr">
        <is>
          <t>M</t>
        </is>
      </c>
      <c r="K2731" t="n">
        <v>2025</v>
      </c>
      <c r="L2731" t="n">
        <v>11</v>
      </c>
      <c r="M2731" t="inlineStr">
        <is>
          <t>Todos</t>
        </is>
      </c>
      <c r="N2731" t="inlineStr">
        <is>
          <t>Pessoa Física</t>
        </is>
      </c>
      <c r="O2731" t="n">
        <v>1</v>
      </c>
      <c r="P2731" t="n">
        <v>2</v>
      </c>
      <c r="Q2731" t="n">
        <v>0</v>
      </c>
    </row>
    <row r="2732">
      <c r="J2732" t="inlineStr">
        <is>
          <t>A</t>
        </is>
      </c>
      <c r="K2732" t="n">
        <v>2025</v>
      </c>
      <c r="L2732" t="n">
        <v>12</v>
      </c>
      <c r="M2732" t="inlineStr">
        <is>
          <t>Todos</t>
        </is>
      </c>
      <c r="N2732" t="inlineStr">
        <is>
          <t>Pessoa Física</t>
        </is>
      </c>
      <c r="O2732" t="n">
        <v>28</v>
      </c>
      <c r="P2732" t="n">
        <v>121</v>
      </c>
      <c r="Q2732" t="n">
        <v>13</v>
      </c>
    </row>
    <row r="2733">
      <c r="J2733" t="inlineStr">
        <is>
          <t>M</t>
        </is>
      </c>
      <c r="K2733" t="n">
        <v>2025</v>
      </c>
      <c r="L2733" t="n">
        <v>12</v>
      </c>
      <c r="M2733" t="inlineStr">
        <is>
          <t>Todos</t>
        </is>
      </c>
      <c r="N2733" t="inlineStr">
        <is>
          <t>Pessoa Física</t>
        </is>
      </c>
      <c r="O2733" t="n">
        <v>4</v>
      </c>
      <c r="P2733" t="n">
        <v>5</v>
      </c>
      <c r="Q2733" t="n">
        <v>0</v>
      </c>
    </row>
    <row r="2734">
      <c r="J2734" t="inlineStr">
        <is>
          <t>A</t>
        </is>
      </c>
      <c r="K2734" t="n">
        <v>2025</v>
      </c>
      <c r="L2734" t="n">
        <v>1</v>
      </c>
      <c r="M2734" t="inlineStr">
        <is>
          <t>Todos</t>
        </is>
      </c>
      <c r="N2734" t="inlineStr">
        <is>
          <t>Pastelaria</t>
        </is>
      </c>
      <c r="O2734" t="n">
        <v>13</v>
      </c>
      <c r="P2734" t="n">
        <v>24</v>
      </c>
      <c r="Q2734" t="n">
        <v>0</v>
      </c>
    </row>
    <row r="2735">
      <c r="J2735" t="inlineStr">
        <is>
          <t>M</t>
        </is>
      </c>
      <c r="K2735" t="n">
        <v>2025</v>
      </c>
      <c r="L2735" t="n">
        <v>1</v>
      </c>
      <c r="M2735" t="inlineStr">
        <is>
          <t>Todos</t>
        </is>
      </c>
      <c r="N2735" t="inlineStr">
        <is>
          <t>Pastelaria</t>
        </is>
      </c>
      <c r="O2735" t="n">
        <v>13</v>
      </c>
      <c r="P2735" t="n">
        <v>24</v>
      </c>
      <c r="Q2735" t="n">
        <v>0</v>
      </c>
    </row>
    <row r="2736">
      <c r="J2736" t="inlineStr">
        <is>
          <t>A</t>
        </is>
      </c>
      <c r="K2736" t="n">
        <v>2025</v>
      </c>
      <c r="L2736" t="n">
        <v>2</v>
      </c>
      <c r="M2736" t="inlineStr">
        <is>
          <t>Todos</t>
        </is>
      </c>
      <c r="N2736" t="inlineStr">
        <is>
          <t>Pastelaria</t>
        </is>
      </c>
      <c r="O2736" t="n">
        <v>14</v>
      </c>
      <c r="P2736" t="n">
        <v>44</v>
      </c>
      <c r="Q2736" t="n">
        <v>0</v>
      </c>
    </row>
    <row r="2737">
      <c r="J2737" t="inlineStr">
        <is>
          <t>M</t>
        </is>
      </c>
      <c r="K2737" t="n">
        <v>2025</v>
      </c>
      <c r="L2737" t="n">
        <v>2</v>
      </c>
      <c r="M2737" t="inlineStr">
        <is>
          <t>Todos</t>
        </is>
      </c>
      <c r="N2737" t="inlineStr">
        <is>
          <t>Pastelaria</t>
        </is>
      </c>
      <c r="O2737" t="n">
        <v>9</v>
      </c>
      <c r="P2737" t="n">
        <v>20</v>
      </c>
      <c r="Q2737" t="n">
        <v>0</v>
      </c>
    </row>
    <row r="2738">
      <c r="J2738" t="inlineStr">
        <is>
          <t>A</t>
        </is>
      </c>
      <c r="K2738" t="n">
        <v>2025</v>
      </c>
      <c r="L2738" t="n">
        <v>3</v>
      </c>
      <c r="M2738" t="inlineStr">
        <is>
          <t>Todos</t>
        </is>
      </c>
      <c r="N2738" t="inlineStr">
        <is>
          <t>Pastelaria</t>
        </is>
      </c>
      <c r="O2738" t="n">
        <v>15</v>
      </c>
      <c r="P2738" t="n">
        <v>70</v>
      </c>
      <c r="Q2738" t="n">
        <v>1</v>
      </c>
    </row>
    <row r="2739">
      <c r="J2739" t="inlineStr">
        <is>
          <t>M</t>
        </is>
      </c>
      <c r="K2739" t="n">
        <v>2025</v>
      </c>
      <c r="L2739" t="n">
        <v>3</v>
      </c>
      <c r="M2739" t="inlineStr">
        <is>
          <t>Todos</t>
        </is>
      </c>
      <c r="N2739" t="inlineStr">
        <is>
          <t>Pastelaria</t>
        </is>
      </c>
      <c r="O2739" t="n">
        <v>13</v>
      </c>
      <c r="P2739" t="n">
        <v>26</v>
      </c>
      <c r="Q2739" t="n">
        <v>0</v>
      </c>
    </row>
    <row r="2740">
      <c r="J2740" t="inlineStr">
        <is>
          <t>A</t>
        </is>
      </c>
      <c r="K2740" t="n">
        <v>2025</v>
      </c>
      <c r="L2740" t="n">
        <v>4</v>
      </c>
      <c r="M2740" t="inlineStr">
        <is>
          <t>Todos</t>
        </is>
      </c>
      <c r="N2740" t="inlineStr">
        <is>
          <t>Pastelaria</t>
        </is>
      </c>
      <c r="O2740" t="n">
        <v>17</v>
      </c>
      <c r="P2740" t="n">
        <v>97</v>
      </c>
      <c r="Q2740" t="n">
        <v>3</v>
      </c>
    </row>
    <row r="2741">
      <c r="J2741" t="inlineStr">
        <is>
          <t>M</t>
        </is>
      </c>
      <c r="K2741" t="n">
        <v>2025</v>
      </c>
      <c r="L2741" t="n">
        <v>4</v>
      </c>
      <c r="M2741" t="inlineStr">
        <is>
          <t>Todos</t>
        </is>
      </c>
      <c r="N2741" t="inlineStr">
        <is>
          <t>Pastelaria</t>
        </is>
      </c>
      <c r="O2741" t="n">
        <v>11</v>
      </c>
      <c r="P2741" t="n">
        <v>27</v>
      </c>
      <c r="Q2741" t="n">
        <v>0</v>
      </c>
    </row>
    <row r="2742">
      <c r="J2742" t="inlineStr">
        <is>
          <t>A</t>
        </is>
      </c>
      <c r="K2742" t="n">
        <v>2025</v>
      </c>
      <c r="L2742" t="n">
        <v>5</v>
      </c>
      <c r="M2742" t="inlineStr">
        <is>
          <t>Todos</t>
        </is>
      </c>
      <c r="N2742" t="inlineStr">
        <is>
          <t>Pastelaria</t>
        </is>
      </c>
      <c r="O2742" t="n">
        <v>17</v>
      </c>
      <c r="P2742" t="n">
        <v>118</v>
      </c>
      <c r="Q2742" t="n">
        <v>3</v>
      </c>
    </row>
    <row r="2743">
      <c r="J2743" t="inlineStr">
        <is>
          <t>M</t>
        </is>
      </c>
      <c r="K2743" t="n">
        <v>2025</v>
      </c>
      <c r="L2743" t="n">
        <v>5</v>
      </c>
      <c r="M2743" t="inlineStr">
        <is>
          <t>Todos</t>
        </is>
      </c>
      <c r="N2743" t="inlineStr">
        <is>
          <t>Pastelaria</t>
        </is>
      </c>
      <c r="O2743" t="n">
        <v>11</v>
      </c>
      <c r="P2743" t="n">
        <v>21</v>
      </c>
      <c r="Q2743" t="n">
        <v>0</v>
      </c>
    </row>
    <row r="2744">
      <c r="J2744" t="inlineStr">
        <is>
          <t>A</t>
        </is>
      </c>
      <c r="K2744" t="n">
        <v>2025</v>
      </c>
      <c r="L2744" t="n">
        <v>6</v>
      </c>
      <c r="M2744" t="inlineStr">
        <is>
          <t>Todos</t>
        </is>
      </c>
      <c r="N2744" t="inlineStr">
        <is>
          <t>Pastelaria</t>
        </is>
      </c>
      <c r="O2744" t="n">
        <v>17</v>
      </c>
      <c r="P2744" t="n">
        <v>142</v>
      </c>
      <c r="Q2744" t="n">
        <v>3</v>
      </c>
    </row>
    <row r="2745">
      <c r="J2745" t="inlineStr">
        <is>
          <t>M</t>
        </is>
      </c>
      <c r="K2745" t="n">
        <v>2025</v>
      </c>
      <c r="L2745" t="n">
        <v>6</v>
      </c>
      <c r="M2745" t="inlineStr">
        <is>
          <t>Todos</t>
        </is>
      </c>
      <c r="N2745" t="inlineStr">
        <is>
          <t>Pastelaria</t>
        </is>
      </c>
      <c r="O2745" t="n">
        <v>10</v>
      </c>
      <c r="P2745" t="n">
        <v>24</v>
      </c>
      <c r="Q2745" t="n">
        <v>0</v>
      </c>
    </row>
    <row r="2746">
      <c r="J2746" t="inlineStr">
        <is>
          <t>A</t>
        </is>
      </c>
      <c r="K2746" t="n">
        <v>2025</v>
      </c>
      <c r="L2746" t="n">
        <v>7</v>
      </c>
      <c r="M2746" t="inlineStr">
        <is>
          <t>Todos</t>
        </is>
      </c>
      <c r="N2746" t="inlineStr">
        <is>
          <t>Pastelaria</t>
        </is>
      </c>
      <c r="O2746" t="n">
        <v>19</v>
      </c>
      <c r="P2746" t="n">
        <v>167</v>
      </c>
      <c r="Q2746" t="n">
        <v>5</v>
      </c>
    </row>
    <row r="2747">
      <c r="J2747" t="inlineStr">
        <is>
          <t>M</t>
        </is>
      </c>
      <c r="K2747" t="n">
        <v>2025</v>
      </c>
      <c r="L2747" t="n">
        <v>7</v>
      </c>
      <c r="M2747" t="inlineStr">
        <is>
          <t>Todos</t>
        </is>
      </c>
      <c r="N2747" t="inlineStr">
        <is>
          <t>Pastelaria</t>
        </is>
      </c>
      <c r="O2747" t="n">
        <v>9</v>
      </c>
      <c r="P2747" t="n">
        <v>25</v>
      </c>
      <c r="Q2747" t="n">
        <v>0</v>
      </c>
    </row>
    <row r="2748">
      <c r="J2748" t="inlineStr">
        <is>
          <t>A</t>
        </is>
      </c>
      <c r="K2748" t="n">
        <v>2025</v>
      </c>
      <c r="L2748" t="n">
        <v>8</v>
      </c>
      <c r="M2748" t="inlineStr">
        <is>
          <t>Todos</t>
        </is>
      </c>
      <c r="N2748" t="inlineStr">
        <is>
          <t>Pastelaria</t>
        </is>
      </c>
      <c r="O2748" t="n">
        <v>19</v>
      </c>
      <c r="P2748" t="n">
        <v>190</v>
      </c>
      <c r="Q2748" t="n">
        <v>5</v>
      </c>
    </row>
    <row r="2749">
      <c r="J2749" t="inlineStr">
        <is>
          <t>M</t>
        </is>
      </c>
      <c r="K2749" t="n">
        <v>2025</v>
      </c>
      <c r="L2749" t="n">
        <v>8</v>
      </c>
      <c r="M2749" t="inlineStr">
        <is>
          <t>Todos</t>
        </is>
      </c>
      <c r="N2749" t="inlineStr">
        <is>
          <t>Pastelaria</t>
        </is>
      </c>
      <c r="O2749" t="n">
        <v>7</v>
      </c>
      <c r="P2749" t="n">
        <v>23</v>
      </c>
      <c r="Q2749" t="n">
        <v>0</v>
      </c>
    </row>
    <row r="2750">
      <c r="J2750" t="inlineStr">
        <is>
          <t>A</t>
        </is>
      </c>
      <c r="K2750" t="n">
        <v>2025</v>
      </c>
      <c r="L2750" t="n">
        <v>9</v>
      </c>
      <c r="M2750" t="inlineStr">
        <is>
          <t>Todos</t>
        </is>
      </c>
      <c r="N2750" t="inlineStr">
        <is>
          <t>Pastelaria</t>
        </is>
      </c>
      <c r="O2750" t="n">
        <v>19</v>
      </c>
      <c r="P2750" t="n">
        <v>214</v>
      </c>
      <c r="Q2750" t="n">
        <v>5</v>
      </c>
    </row>
    <row r="2751">
      <c r="J2751" t="inlineStr">
        <is>
          <t>M</t>
        </is>
      </c>
      <c r="K2751" t="n">
        <v>2025</v>
      </c>
      <c r="L2751" t="n">
        <v>9</v>
      </c>
      <c r="M2751" t="inlineStr">
        <is>
          <t>Todos</t>
        </is>
      </c>
      <c r="N2751" t="inlineStr">
        <is>
          <t>Pastelaria</t>
        </is>
      </c>
      <c r="O2751" t="n">
        <v>7</v>
      </c>
      <c r="P2751" t="n">
        <v>24</v>
      </c>
      <c r="Q2751" t="n">
        <v>0</v>
      </c>
    </row>
    <row r="2752">
      <c r="J2752" t="inlineStr">
        <is>
          <t>A</t>
        </is>
      </c>
      <c r="K2752" t="n">
        <v>2025</v>
      </c>
      <c r="L2752" t="n">
        <v>10</v>
      </c>
      <c r="M2752" t="inlineStr">
        <is>
          <t>Todos</t>
        </is>
      </c>
      <c r="N2752" t="inlineStr">
        <is>
          <t>Pastelaria</t>
        </is>
      </c>
      <c r="O2752" t="n">
        <v>19</v>
      </c>
      <c r="P2752" t="n">
        <v>236</v>
      </c>
      <c r="Q2752" t="n">
        <v>5</v>
      </c>
    </row>
    <row r="2753">
      <c r="J2753" t="inlineStr">
        <is>
          <t>M</t>
        </is>
      </c>
      <c r="K2753" t="n">
        <v>2025</v>
      </c>
      <c r="L2753" t="n">
        <v>10</v>
      </c>
      <c r="M2753" t="inlineStr">
        <is>
          <t>Todos</t>
        </is>
      </c>
      <c r="N2753" t="inlineStr">
        <is>
          <t>Pastelaria</t>
        </is>
      </c>
      <c r="O2753" t="n">
        <v>6</v>
      </c>
      <c r="P2753" t="n">
        <v>22</v>
      </c>
      <c r="Q2753" t="n">
        <v>0</v>
      </c>
    </row>
    <row r="2754">
      <c r="J2754" t="inlineStr">
        <is>
          <t>A</t>
        </is>
      </c>
      <c r="K2754" t="n">
        <v>2025</v>
      </c>
      <c r="L2754" t="n">
        <v>11</v>
      </c>
      <c r="M2754" t="inlineStr">
        <is>
          <t>Todos</t>
        </is>
      </c>
      <c r="N2754" t="inlineStr">
        <is>
          <t>Pastelaria</t>
        </is>
      </c>
      <c r="O2754" t="n">
        <v>19</v>
      </c>
      <c r="P2754" t="n">
        <v>261</v>
      </c>
      <c r="Q2754" t="n">
        <v>5</v>
      </c>
    </row>
    <row r="2755">
      <c r="J2755" t="inlineStr">
        <is>
          <t>M</t>
        </is>
      </c>
      <c r="K2755" t="n">
        <v>2025</v>
      </c>
      <c r="L2755" t="n">
        <v>11</v>
      </c>
      <c r="M2755" t="inlineStr">
        <is>
          <t>Todos</t>
        </is>
      </c>
      <c r="N2755" t="inlineStr">
        <is>
          <t>Pastelaria</t>
        </is>
      </c>
      <c r="O2755" t="n">
        <v>6</v>
      </c>
      <c r="P2755" t="n">
        <v>25</v>
      </c>
      <c r="Q2755" t="n">
        <v>0</v>
      </c>
    </row>
    <row r="2756">
      <c r="J2756" t="inlineStr">
        <is>
          <t>A</t>
        </is>
      </c>
      <c r="K2756" t="n">
        <v>2025</v>
      </c>
      <c r="L2756" t="n">
        <v>12</v>
      </c>
      <c r="M2756" t="inlineStr">
        <is>
          <t>Todos</t>
        </is>
      </c>
      <c r="N2756" t="inlineStr">
        <is>
          <t>Pastelaria</t>
        </is>
      </c>
      <c r="O2756" t="n">
        <v>19</v>
      </c>
      <c r="P2756" t="n">
        <v>283</v>
      </c>
      <c r="Q2756" t="n">
        <v>5</v>
      </c>
    </row>
    <row r="2757">
      <c r="J2757" t="inlineStr">
        <is>
          <t>M</t>
        </is>
      </c>
      <c r="K2757" t="n">
        <v>2025</v>
      </c>
      <c r="L2757" t="n">
        <v>12</v>
      </c>
      <c r="M2757" t="inlineStr">
        <is>
          <t>Todos</t>
        </is>
      </c>
      <c r="N2757" t="inlineStr">
        <is>
          <t>Pastelaria</t>
        </is>
      </c>
      <c r="O2757" t="n">
        <v>6</v>
      </c>
      <c r="P2757" t="n">
        <v>22</v>
      </c>
      <c r="Q2757" t="n">
        <v>0</v>
      </c>
    </row>
    <row r="2758">
      <c r="J2758" t="inlineStr">
        <is>
          <t>A</t>
        </is>
      </c>
      <c r="K2758" t="n">
        <v>2025</v>
      </c>
      <c r="L2758" t="n">
        <v>1</v>
      </c>
      <c r="M2758" t="inlineStr">
        <is>
          <t>Todos</t>
        </is>
      </c>
      <c r="N2758" t="inlineStr">
        <is>
          <t>Esfiharia</t>
        </is>
      </c>
      <c r="O2758" t="n">
        <v>3</v>
      </c>
      <c r="P2758" t="n">
        <v>8</v>
      </c>
      <c r="Q2758" t="n">
        <v>0</v>
      </c>
    </row>
    <row r="2759">
      <c r="J2759" t="inlineStr">
        <is>
          <t>M</t>
        </is>
      </c>
      <c r="K2759" t="n">
        <v>2025</v>
      </c>
      <c r="L2759" t="n">
        <v>1</v>
      </c>
      <c r="M2759" t="inlineStr">
        <is>
          <t>Todos</t>
        </is>
      </c>
      <c r="N2759" t="inlineStr">
        <is>
          <t>Esfiharia</t>
        </is>
      </c>
      <c r="O2759" t="n">
        <v>3</v>
      </c>
      <c r="P2759" t="n">
        <v>8</v>
      </c>
      <c r="Q2759" t="n">
        <v>0</v>
      </c>
    </row>
    <row r="2760">
      <c r="J2760" t="inlineStr">
        <is>
          <t>A</t>
        </is>
      </c>
      <c r="K2760" t="n">
        <v>2025</v>
      </c>
      <c r="L2760" t="n">
        <v>2</v>
      </c>
      <c r="M2760" t="inlineStr">
        <is>
          <t>Todos</t>
        </is>
      </c>
      <c r="N2760" t="inlineStr">
        <is>
          <t>Esfiharia</t>
        </is>
      </c>
      <c r="O2760" t="n">
        <v>4</v>
      </c>
      <c r="P2760" t="n">
        <v>17</v>
      </c>
      <c r="Q2760" t="n">
        <v>0</v>
      </c>
    </row>
    <row r="2761">
      <c r="J2761" t="inlineStr">
        <is>
          <t>M</t>
        </is>
      </c>
      <c r="K2761" t="n">
        <v>2025</v>
      </c>
      <c r="L2761" t="n">
        <v>2</v>
      </c>
      <c r="M2761" t="inlineStr">
        <is>
          <t>Todos</t>
        </is>
      </c>
      <c r="N2761" t="inlineStr">
        <is>
          <t>Esfiharia</t>
        </is>
      </c>
      <c r="O2761" t="n">
        <v>3</v>
      </c>
      <c r="P2761" t="n">
        <v>9</v>
      </c>
      <c r="Q2761" t="n">
        <v>0</v>
      </c>
    </row>
    <row r="2762">
      <c r="J2762" t="inlineStr">
        <is>
          <t>A</t>
        </is>
      </c>
      <c r="K2762" t="n">
        <v>2025</v>
      </c>
      <c r="L2762" t="n">
        <v>3</v>
      </c>
      <c r="M2762" t="inlineStr">
        <is>
          <t>Todos</t>
        </is>
      </c>
      <c r="N2762" t="inlineStr">
        <is>
          <t>Esfiharia</t>
        </is>
      </c>
      <c r="O2762" t="n">
        <v>5</v>
      </c>
      <c r="P2762" t="n">
        <v>31</v>
      </c>
      <c r="Q2762" t="n">
        <v>0</v>
      </c>
    </row>
    <row r="2763">
      <c r="J2763" t="inlineStr">
        <is>
          <t>M</t>
        </is>
      </c>
      <c r="K2763" t="n">
        <v>2025</v>
      </c>
      <c r="L2763" t="n">
        <v>3</v>
      </c>
      <c r="M2763" t="inlineStr">
        <is>
          <t>Todos</t>
        </is>
      </c>
      <c r="N2763" t="inlineStr">
        <is>
          <t>Esfiharia</t>
        </is>
      </c>
      <c r="O2763" t="n">
        <v>5</v>
      </c>
      <c r="P2763" t="n">
        <v>14</v>
      </c>
      <c r="Q2763" t="n">
        <v>0</v>
      </c>
    </row>
    <row r="2764">
      <c r="J2764" t="inlineStr">
        <is>
          <t>A</t>
        </is>
      </c>
      <c r="K2764" t="n">
        <v>2025</v>
      </c>
      <c r="L2764" t="n">
        <v>4</v>
      </c>
      <c r="M2764" t="inlineStr">
        <is>
          <t>Todos</t>
        </is>
      </c>
      <c r="N2764" t="inlineStr">
        <is>
          <t>Esfiharia</t>
        </is>
      </c>
      <c r="O2764" t="n">
        <v>5</v>
      </c>
      <c r="P2764" t="n">
        <v>38</v>
      </c>
      <c r="Q2764" t="n">
        <v>0</v>
      </c>
    </row>
    <row r="2765">
      <c r="J2765" t="inlineStr">
        <is>
          <t>M</t>
        </is>
      </c>
      <c r="K2765" t="n">
        <v>2025</v>
      </c>
      <c r="L2765" t="n">
        <v>4</v>
      </c>
      <c r="M2765" t="inlineStr">
        <is>
          <t>Todos</t>
        </is>
      </c>
      <c r="N2765" t="inlineStr">
        <is>
          <t>Esfiharia</t>
        </is>
      </c>
      <c r="O2765" t="n">
        <v>2</v>
      </c>
      <c r="P2765" t="n">
        <v>7</v>
      </c>
      <c r="Q2765" t="n">
        <v>0</v>
      </c>
    </row>
    <row r="2766">
      <c r="J2766" t="inlineStr">
        <is>
          <t>A</t>
        </is>
      </c>
      <c r="K2766" t="n">
        <v>2025</v>
      </c>
      <c r="L2766" t="n">
        <v>5</v>
      </c>
      <c r="M2766" t="inlineStr">
        <is>
          <t>Todos</t>
        </is>
      </c>
      <c r="N2766" t="inlineStr">
        <is>
          <t>Esfiharia</t>
        </is>
      </c>
      <c r="O2766" t="n">
        <v>6</v>
      </c>
      <c r="P2766" t="n">
        <v>49</v>
      </c>
      <c r="Q2766" t="n">
        <v>1</v>
      </c>
    </row>
    <row r="2767">
      <c r="J2767" t="inlineStr">
        <is>
          <t>M</t>
        </is>
      </c>
      <c r="K2767" t="n">
        <v>2025</v>
      </c>
      <c r="L2767" t="n">
        <v>5</v>
      </c>
      <c r="M2767" t="inlineStr">
        <is>
          <t>Todos</t>
        </is>
      </c>
      <c r="N2767" t="inlineStr">
        <is>
          <t>Esfiharia</t>
        </is>
      </c>
      <c r="O2767" t="n">
        <v>4</v>
      </c>
      <c r="P2767" t="n">
        <v>11</v>
      </c>
      <c r="Q2767" t="n">
        <v>0</v>
      </c>
    </row>
    <row r="2768">
      <c r="J2768" t="inlineStr">
        <is>
          <t>A</t>
        </is>
      </c>
      <c r="K2768" t="n">
        <v>2025</v>
      </c>
      <c r="L2768" t="n">
        <v>6</v>
      </c>
      <c r="M2768" t="inlineStr">
        <is>
          <t>Todos</t>
        </is>
      </c>
      <c r="N2768" t="inlineStr">
        <is>
          <t>Esfiharia</t>
        </is>
      </c>
      <c r="O2768" t="n">
        <v>7</v>
      </c>
      <c r="P2768" t="n">
        <v>62</v>
      </c>
      <c r="Q2768" t="n">
        <v>2</v>
      </c>
    </row>
    <row r="2769">
      <c r="J2769" t="inlineStr">
        <is>
          <t>M</t>
        </is>
      </c>
      <c r="K2769" t="n">
        <v>2025</v>
      </c>
      <c r="L2769" t="n">
        <v>6</v>
      </c>
      <c r="M2769" t="inlineStr">
        <is>
          <t>Todos</t>
        </is>
      </c>
      <c r="N2769" t="inlineStr">
        <is>
          <t>Esfiharia</t>
        </is>
      </c>
      <c r="O2769" t="n">
        <v>3</v>
      </c>
      <c r="P2769" t="n">
        <v>13</v>
      </c>
      <c r="Q2769" t="n">
        <v>0</v>
      </c>
    </row>
    <row r="2770">
      <c r="J2770" t="inlineStr">
        <is>
          <t>A</t>
        </is>
      </c>
      <c r="K2770" t="n">
        <v>2025</v>
      </c>
      <c r="L2770" t="n">
        <v>7</v>
      </c>
      <c r="M2770" t="inlineStr">
        <is>
          <t>Todos</t>
        </is>
      </c>
      <c r="N2770" t="inlineStr">
        <is>
          <t>Esfiharia</t>
        </is>
      </c>
      <c r="O2770" t="n">
        <v>8</v>
      </c>
      <c r="P2770" t="n">
        <v>76</v>
      </c>
      <c r="Q2770" t="n">
        <v>3</v>
      </c>
    </row>
    <row r="2771">
      <c r="J2771" t="inlineStr">
        <is>
          <t>M</t>
        </is>
      </c>
      <c r="K2771" t="n">
        <v>2025</v>
      </c>
      <c r="L2771" t="n">
        <v>7</v>
      </c>
      <c r="M2771" t="inlineStr">
        <is>
          <t>Todos</t>
        </is>
      </c>
      <c r="N2771" t="inlineStr">
        <is>
          <t>Esfiharia</t>
        </is>
      </c>
      <c r="O2771" t="n">
        <v>4</v>
      </c>
      <c r="P2771" t="n">
        <v>14</v>
      </c>
      <c r="Q2771" t="n">
        <v>0</v>
      </c>
    </row>
    <row r="2772">
      <c r="J2772" t="inlineStr">
        <is>
          <t>A</t>
        </is>
      </c>
      <c r="K2772" t="n">
        <v>2025</v>
      </c>
      <c r="L2772" t="n">
        <v>8</v>
      </c>
      <c r="M2772" t="inlineStr">
        <is>
          <t>Todos</t>
        </is>
      </c>
      <c r="N2772" t="inlineStr">
        <is>
          <t>Esfiharia</t>
        </is>
      </c>
      <c r="O2772" t="n">
        <v>9</v>
      </c>
      <c r="P2772" t="n">
        <v>95</v>
      </c>
      <c r="Q2772" t="n">
        <v>4</v>
      </c>
    </row>
    <row r="2773">
      <c r="J2773" t="inlineStr">
        <is>
          <t>M</t>
        </is>
      </c>
      <c r="K2773" t="n">
        <v>2025</v>
      </c>
      <c r="L2773" t="n">
        <v>8</v>
      </c>
      <c r="M2773" t="inlineStr">
        <is>
          <t>Todos</t>
        </is>
      </c>
      <c r="N2773" t="inlineStr">
        <is>
          <t>Esfiharia</t>
        </is>
      </c>
      <c r="O2773" t="n">
        <v>6</v>
      </c>
      <c r="P2773" t="n">
        <v>19</v>
      </c>
      <c r="Q2773" t="n">
        <v>0</v>
      </c>
    </row>
    <row r="2774">
      <c r="J2774" t="inlineStr">
        <is>
          <t>A</t>
        </is>
      </c>
      <c r="K2774" t="n">
        <v>2025</v>
      </c>
      <c r="L2774" t="n">
        <v>9</v>
      </c>
      <c r="M2774" t="inlineStr">
        <is>
          <t>Todos</t>
        </is>
      </c>
      <c r="N2774" t="inlineStr">
        <is>
          <t>Esfiharia</t>
        </is>
      </c>
      <c r="O2774" t="n">
        <v>10</v>
      </c>
      <c r="P2774" t="n">
        <v>110</v>
      </c>
      <c r="Q2774" t="n">
        <v>5</v>
      </c>
    </row>
    <row r="2775">
      <c r="J2775" t="inlineStr">
        <is>
          <t>M</t>
        </is>
      </c>
      <c r="K2775" t="n">
        <v>2025</v>
      </c>
      <c r="L2775" t="n">
        <v>9</v>
      </c>
      <c r="M2775" t="inlineStr">
        <is>
          <t>Todos</t>
        </is>
      </c>
      <c r="N2775" t="inlineStr">
        <is>
          <t>Esfiharia</t>
        </is>
      </c>
      <c r="O2775" t="n">
        <v>6</v>
      </c>
      <c r="P2775" t="n">
        <v>15</v>
      </c>
      <c r="Q2775" t="n">
        <v>0</v>
      </c>
    </row>
    <row r="2776">
      <c r="J2776" t="inlineStr">
        <is>
          <t>A</t>
        </is>
      </c>
      <c r="K2776" t="n">
        <v>2025</v>
      </c>
      <c r="L2776" t="n">
        <v>10</v>
      </c>
      <c r="M2776" t="inlineStr">
        <is>
          <t>Todos</t>
        </is>
      </c>
      <c r="N2776" t="inlineStr">
        <is>
          <t>Esfiharia</t>
        </is>
      </c>
      <c r="O2776" t="n">
        <v>10</v>
      </c>
      <c r="P2776" t="n">
        <v>127</v>
      </c>
      <c r="Q2776" t="n">
        <v>5</v>
      </c>
    </row>
    <row r="2777">
      <c r="J2777" t="inlineStr">
        <is>
          <t>M</t>
        </is>
      </c>
      <c r="K2777" t="n">
        <v>2025</v>
      </c>
      <c r="L2777" t="n">
        <v>10</v>
      </c>
      <c r="M2777" t="inlineStr">
        <is>
          <t>Todos</t>
        </is>
      </c>
      <c r="N2777" t="inlineStr">
        <is>
          <t>Esfiharia</t>
        </is>
      </c>
      <c r="O2777" t="n">
        <v>6</v>
      </c>
      <c r="P2777" t="n">
        <v>17</v>
      </c>
      <c r="Q2777" t="n">
        <v>0</v>
      </c>
    </row>
    <row r="2778">
      <c r="J2778" t="inlineStr">
        <is>
          <t>A</t>
        </is>
      </c>
      <c r="K2778" t="n">
        <v>2025</v>
      </c>
      <c r="L2778" t="n">
        <v>11</v>
      </c>
      <c r="M2778" t="inlineStr">
        <is>
          <t>Todos</t>
        </is>
      </c>
      <c r="N2778" t="inlineStr">
        <is>
          <t>Esfiharia</t>
        </is>
      </c>
      <c r="O2778" t="n">
        <v>10</v>
      </c>
      <c r="P2778" t="n">
        <v>140</v>
      </c>
      <c r="Q2778" t="n">
        <v>5</v>
      </c>
    </row>
    <row r="2779">
      <c r="J2779" t="inlineStr">
        <is>
          <t>M</t>
        </is>
      </c>
      <c r="K2779" t="n">
        <v>2025</v>
      </c>
      <c r="L2779" t="n">
        <v>11</v>
      </c>
      <c r="M2779" t="inlineStr">
        <is>
          <t>Todos</t>
        </is>
      </c>
      <c r="N2779" t="inlineStr">
        <is>
          <t>Esfiharia</t>
        </is>
      </c>
      <c r="O2779" t="n">
        <v>5</v>
      </c>
      <c r="P2779" t="n">
        <v>13</v>
      </c>
      <c r="Q2779" t="n">
        <v>0</v>
      </c>
    </row>
    <row r="2780">
      <c r="J2780" t="inlineStr">
        <is>
          <t>A</t>
        </is>
      </c>
      <c r="K2780" t="n">
        <v>2025</v>
      </c>
      <c r="L2780" t="n">
        <v>12</v>
      </c>
      <c r="M2780" t="inlineStr">
        <is>
          <t>Todos</t>
        </is>
      </c>
      <c r="N2780" t="inlineStr">
        <is>
          <t>Esfiharia</t>
        </is>
      </c>
      <c r="O2780" t="n">
        <v>10</v>
      </c>
      <c r="P2780" t="n">
        <v>150</v>
      </c>
      <c r="Q2780" t="n">
        <v>5</v>
      </c>
    </row>
    <row r="2781">
      <c r="J2781" t="inlineStr">
        <is>
          <t>M</t>
        </is>
      </c>
      <c r="K2781" t="n">
        <v>2025</v>
      </c>
      <c r="L2781" t="n">
        <v>12</v>
      </c>
      <c r="M2781" t="inlineStr">
        <is>
          <t>Todos</t>
        </is>
      </c>
      <c r="N2781" t="inlineStr">
        <is>
          <t>Esfiharia</t>
        </is>
      </c>
      <c r="O2781" t="n">
        <v>3</v>
      </c>
      <c r="P2781" t="n">
        <v>10</v>
      </c>
      <c r="Q2781" t="n">
        <v>0</v>
      </c>
    </row>
    <row r="2782">
      <c r="J2782" t="inlineStr">
        <is>
          <t>A</t>
        </is>
      </c>
      <c r="K2782" t="n">
        <v>2025</v>
      </c>
      <c r="L2782" t="n">
        <v>1</v>
      </c>
      <c r="M2782" t="inlineStr">
        <is>
          <t>Todos</t>
        </is>
      </c>
      <c r="N2782" t="inlineStr">
        <is>
          <t>Lanchonete / Cafeteria</t>
        </is>
      </c>
      <c r="O2782" t="n">
        <v>10</v>
      </c>
      <c r="P2782" t="n">
        <v>19</v>
      </c>
      <c r="Q2782" t="n">
        <v>0</v>
      </c>
    </row>
    <row r="2783">
      <c r="J2783" t="inlineStr">
        <is>
          <t>M</t>
        </is>
      </c>
      <c r="K2783" t="n">
        <v>2025</v>
      </c>
      <c r="L2783" t="n">
        <v>1</v>
      </c>
      <c r="M2783" t="inlineStr">
        <is>
          <t>Todos</t>
        </is>
      </c>
      <c r="N2783" t="inlineStr">
        <is>
          <t>Lanchonete / Cafeteria</t>
        </is>
      </c>
      <c r="O2783" t="n">
        <v>10</v>
      </c>
      <c r="P2783" t="n">
        <v>19</v>
      </c>
      <c r="Q2783" t="n">
        <v>0</v>
      </c>
    </row>
    <row r="2784">
      <c r="J2784" t="inlineStr">
        <is>
          <t>A</t>
        </is>
      </c>
      <c r="K2784" t="n">
        <v>2025</v>
      </c>
      <c r="L2784" t="n">
        <v>2</v>
      </c>
      <c r="M2784" t="inlineStr">
        <is>
          <t>Todos</t>
        </is>
      </c>
      <c r="N2784" t="inlineStr">
        <is>
          <t>Lanchonete / Cafeteria</t>
        </is>
      </c>
      <c r="O2784" t="n">
        <v>14</v>
      </c>
      <c r="P2784" t="n">
        <v>36</v>
      </c>
      <c r="Q2784" t="n">
        <v>3</v>
      </c>
    </row>
    <row r="2785">
      <c r="J2785" t="inlineStr">
        <is>
          <t>M</t>
        </is>
      </c>
      <c r="K2785" t="n">
        <v>2025</v>
      </c>
      <c r="L2785" t="n">
        <v>2</v>
      </c>
      <c r="M2785" t="inlineStr">
        <is>
          <t>Todos</t>
        </is>
      </c>
      <c r="N2785" t="inlineStr">
        <is>
          <t>Lanchonete / Cafeteria</t>
        </is>
      </c>
      <c r="O2785" t="n">
        <v>12</v>
      </c>
      <c r="P2785" t="n">
        <v>17</v>
      </c>
      <c r="Q2785" t="n">
        <v>0</v>
      </c>
    </row>
    <row r="2786">
      <c r="J2786" t="inlineStr">
        <is>
          <t>A</t>
        </is>
      </c>
      <c r="K2786" t="n">
        <v>2025</v>
      </c>
      <c r="L2786" t="n">
        <v>3</v>
      </c>
      <c r="M2786" t="inlineStr">
        <is>
          <t>Todos</t>
        </is>
      </c>
      <c r="N2786" t="inlineStr">
        <is>
          <t>Lanchonete / Cafeteria</t>
        </is>
      </c>
      <c r="O2786" t="n">
        <v>19</v>
      </c>
      <c r="P2786" t="n">
        <v>61</v>
      </c>
      <c r="Q2786" t="n">
        <v>7</v>
      </c>
    </row>
    <row r="2787">
      <c r="J2787" t="inlineStr">
        <is>
          <t>M</t>
        </is>
      </c>
      <c r="K2787" t="n">
        <v>2025</v>
      </c>
      <c r="L2787" t="n">
        <v>3</v>
      </c>
      <c r="M2787" t="inlineStr">
        <is>
          <t>Todos</t>
        </is>
      </c>
      <c r="N2787" t="inlineStr">
        <is>
          <t>Lanchonete / Cafeteria</t>
        </is>
      </c>
      <c r="O2787" t="n">
        <v>14</v>
      </c>
      <c r="P2787" t="n">
        <v>25</v>
      </c>
      <c r="Q2787" t="n">
        <v>0</v>
      </c>
    </row>
    <row r="2788">
      <c r="J2788" t="inlineStr">
        <is>
          <t>A</t>
        </is>
      </c>
      <c r="K2788" t="n">
        <v>2025</v>
      </c>
      <c r="L2788" t="n">
        <v>4</v>
      </c>
      <c r="M2788" t="inlineStr">
        <is>
          <t>Todos</t>
        </is>
      </c>
      <c r="N2788" t="inlineStr">
        <is>
          <t>Lanchonete / Cafeteria</t>
        </is>
      </c>
      <c r="O2788" t="n">
        <v>22</v>
      </c>
      <c r="P2788" t="n">
        <v>85</v>
      </c>
      <c r="Q2788" t="n">
        <v>9</v>
      </c>
    </row>
    <row r="2789">
      <c r="J2789" t="inlineStr">
        <is>
          <t>M</t>
        </is>
      </c>
      <c r="K2789" t="n">
        <v>2025</v>
      </c>
      <c r="L2789" t="n">
        <v>4</v>
      </c>
      <c r="M2789" t="inlineStr">
        <is>
          <t>Todos</t>
        </is>
      </c>
      <c r="N2789" t="inlineStr">
        <is>
          <t>Lanchonete / Cafeteria</t>
        </is>
      </c>
      <c r="O2789" t="n">
        <v>12</v>
      </c>
      <c r="P2789" t="n">
        <v>24</v>
      </c>
      <c r="Q2789" t="n">
        <v>0</v>
      </c>
    </row>
    <row r="2790">
      <c r="J2790" t="inlineStr">
        <is>
          <t>A</t>
        </is>
      </c>
      <c r="K2790" t="n">
        <v>2025</v>
      </c>
      <c r="L2790" t="n">
        <v>5</v>
      </c>
      <c r="M2790" t="inlineStr">
        <is>
          <t>Todos</t>
        </is>
      </c>
      <c r="N2790" t="inlineStr">
        <is>
          <t>Lanchonete / Cafeteria</t>
        </is>
      </c>
      <c r="O2790" t="n">
        <v>24</v>
      </c>
      <c r="P2790" t="n">
        <v>106</v>
      </c>
      <c r="Q2790" t="n">
        <v>10</v>
      </c>
    </row>
    <row r="2791">
      <c r="J2791" t="inlineStr">
        <is>
          <t>M</t>
        </is>
      </c>
      <c r="K2791" t="n">
        <v>2025</v>
      </c>
      <c r="L2791" t="n">
        <v>5</v>
      </c>
      <c r="M2791" t="inlineStr">
        <is>
          <t>Todos</t>
        </is>
      </c>
      <c r="N2791" t="inlineStr">
        <is>
          <t>Lanchonete / Cafeteria</t>
        </is>
      </c>
      <c r="O2791" t="n">
        <v>11</v>
      </c>
      <c r="P2791" t="n">
        <v>21</v>
      </c>
      <c r="Q2791" t="n">
        <v>0</v>
      </c>
    </row>
    <row r="2792">
      <c r="J2792" t="inlineStr">
        <is>
          <t>A</t>
        </is>
      </c>
      <c r="K2792" t="n">
        <v>2025</v>
      </c>
      <c r="L2792" t="n">
        <v>6</v>
      </c>
      <c r="M2792" t="inlineStr">
        <is>
          <t>Todos</t>
        </is>
      </c>
      <c r="N2792" t="inlineStr">
        <is>
          <t>Lanchonete / Cafeteria</t>
        </is>
      </c>
      <c r="O2792" t="n">
        <v>26</v>
      </c>
      <c r="P2792" t="n">
        <v>135</v>
      </c>
      <c r="Q2792" t="n">
        <v>12</v>
      </c>
    </row>
    <row r="2793">
      <c r="J2793" t="inlineStr">
        <is>
          <t>M</t>
        </is>
      </c>
      <c r="K2793" t="n">
        <v>2025</v>
      </c>
      <c r="L2793" t="n">
        <v>6</v>
      </c>
      <c r="M2793" t="inlineStr">
        <is>
          <t>Todos</t>
        </is>
      </c>
      <c r="N2793" t="inlineStr">
        <is>
          <t>Lanchonete / Cafeteria</t>
        </is>
      </c>
      <c r="O2793" t="n">
        <v>12</v>
      </c>
      <c r="P2793" t="n">
        <v>29</v>
      </c>
      <c r="Q2793" t="n">
        <v>0</v>
      </c>
    </row>
    <row r="2794">
      <c r="J2794" t="inlineStr">
        <is>
          <t>A</t>
        </is>
      </c>
      <c r="K2794" t="n">
        <v>2025</v>
      </c>
      <c r="L2794" t="n">
        <v>7</v>
      </c>
      <c r="M2794" t="inlineStr">
        <is>
          <t>Todos</t>
        </is>
      </c>
      <c r="N2794" t="inlineStr">
        <is>
          <t>Lanchonete / Cafeteria</t>
        </is>
      </c>
      <c r="O2794" t="n">
        <v>27</v>
      </c>
      <c r="P2794" t="n">
        <v>168</v>
      </c>
      <c r="Q2794" t="n">
        <v>13</v>
      </c>
    </row>
    <row r="2795">
      <c r="J2795" t="inlineStr">
        <is>
          <t>M</t>
        </is>
      </c>
      <c r="K2795" t="n">
        <v>2025</v>
      </c>
      <c r="L2795" t="n">
        <v>7</v>
      </c>
      <c r="M2795" t="inlineStr">
        <is>
          <t>Todos</t>
        </is>
      </c>
      <c r="N2795" t="inlineStr">
        <is>
          <t>Lanchonete / Cafeteria</t>
        </is>
      </c>
      <c r="O2795" t="n">
        <v>17</v>
      </c>
      <c r="P2795" t="n">
        <v>33</v>
      </c>
      <c r="Q2795" t="n">
        <v>0</v>
      </c>
    </row>
    <row r="2796">
      <c r="J2796" t="inlineStr">
        <is>
          <t>A</t>
        </is>
      </c>
      <c r="K2796" t="n">
        <v>2025</v>
      </c>
      <c r="L2796" t="n">
        <v>8</v>
      </c>
      <c r="M2796" t="inlineStr">
        <is>
          <t>Todos</t>
        </is>
      </c>
      <c r="N2796" t="inlineStr">
        <is>
          <t>Lanchonete / Cafeteria</t>
        </is>
      </c>
      <c r="O2796" t="n">
        <v>29</v>
      </c>
      <c r="P2796" t="n">
        <v>188</v>
      </c>
      <c r="Q2796" t="n">
        <v>15</v>
      </c>
    </row>
    <row r="2797">
      <c r="J2797" t="inlineStr">
        <is>
          <t>M</t>
        </is>
      </c>
      <c r="K2797" t="n">
        <v>2025</v>
      </c>
      <c r="L2797" t="n">
        <v>8</v>
      </c>
      <c r="M2797" t="inlineStr">
        <is>
          <t>Todos</t>
        </is>
      </c>
      <c r="N2797" t="inlineStr">
        <is>
          <t>Lanchonete / Cafeteria</t>
        </is>
      </c>
      <c r="O2797" t="n">
        <v>10</v>
      </c>
      <c r="P2797" t="n">
        <v>20</v>
      </c>
      <c r="Q2797" t="n">
        <v>0</v>
      </c>
    </row>
    <row r="2798">
      <c r="J2798" t="inlineStr">
        <is>
          <t>A</t>
        </is>
      </c>
      <c r="K2798" t="n">
        <v>2025</v>
      </c>
      <c r="L2798" t="n">
        <v>9</v>
      </c>
      <c r="M2798" t="inlineStr">
        <is>
          <t>Todos</t>
        </is>
      </c>
      <c r="N2798" t="inlineStr">
        <is>
          <t>Lanchonete / Cafeteria</t>
        </is>
      </c>
      <c r="O2798" t="n">
        <v>33</v>
      </c>
      <c r="P2798" t="n">
        <v>211</v>
      </c>
      <c r="Q2798" t="n">
        <v>19</v>
      </c>
    </row>
    <row r="2799">
      <c r="J2799" t="inlineStr">
        <is>
          <t>M</t>
        </is>
      </c>
      <c r="K2799" t="n">
        <v>2025</v>
      </c>
      <c r="L2799" t="n">
        <v>9</v>
      </c>
      <c r="M2799" t="inlineStr">
        <is>
          <t>Todos</t>
        </is>
      </c>
      <c r="N2799" t="inlineStr">
        <is>
          <t>Lanchonete / Cafeteria</t>
        </is>
      </c>
      <c r="O2799" t="n">
        <v>14</v>
      </c>
      <c r="P2799" t="n">
        <v>23</v>
      </c>
      <c r="Q2799" t="n">
        <v>0</v>
      </c>
    </row>
    <row r="2800">
      <c r="J2800" t="inlineStr">
        <is>
          <t>A</t>
        </is>
      </c>
      <c r="K2800" t="n">
        <v>2025</v>
      </c>
      <c r="L2800" t="n">
        <v>10</v>
      </c>
      <c r="M2800" t="inlineStr">
        <is>
          <t>Todos</t>
        </is>
      </c>
      <c r="N2800" t="inlineStr">
        <is>
          <t>Lanchonete / Cafeteria</t>
        </is>
      </c>
      <c r="O2800" t="n">
        <v>34</v>
      </c>
      <c r="P2800" t="n">
        <v>242</v>
      </c>
      <c r="Q2800" t="n">
        <v>19</v>
      </c>
    </row>
    <row r="2801">
      <c r="J2801" t="inlineStr">
        <is>
          <t>M</t>
        </is>
      </c>
      <c r="K2801" t="n">
        <v>2025</v>
      </c>
      <c r="L2801" t="n">
        <v>10</v>
      </c>
      <c r="M2801" t="inlineStr">
        <is>
          <t>Todos</t>
        </is>
      </c>
      <c r="N2801" t="inlineStr">
        <is>
          <t>Lanchonete / Cafeteria</t>
        </is>
      </c>
      <c r="O2801" t="n">
        <v>13</v>
      </c>
      <c r="P2801" t="n">
        <v>31</v>
      </c>
      <c r="Q2801" t="n">
        <v>0</v>
      </c>
    </row>
    <row r="2802">
      <c r="J2802" t="inlineStr">
        <is>
          <t>A</t>
        </is>
      </c>
      <c r="K2802" t="n">
        <v>2025</v>
      </c>
      <c r="L2802" t="n">
        <v>11</v>
      </c>
      <c r="M2802" t="inlineStr">
        <is>
          <t>Todos</t>
        </is>
      </c>
      <c r="N2802" t="inlineStr">
        <is>
          <t>Lanchonete / Cafeteria</t>
        </is>
      </c>
      <c r="O2802" t="n">
        <v>39</v>
      </c>
      <c r="P2802" t="n">
        <v>261</v>
      </c>
      <c r="Q2802" t="n">
        <v>23</v>
      </c>
    </row>
    <row r="2803">
      <c r="J2803" t="inlineStr">
        <is>
          <t>M</t>
        </is>
      </c>
      <c r="K2803" t="n">
        <v>2025</v>
      </c>
      <c r="L2803" t="n">
        <v>11</v>
      </c>
      <c r="M2803" t="inlineStr">
        <is>
          <t>Todos</t>
        </is>
      </c>
      <c r="N2803" t="inlineStr">
        <is>
          <t>Lanchonete / Cafeteria</t>
        </is>
      </c>
      <c r="O2803" t="n">
        <v>10</v>
      </c>
      <c r="P2803" t="n">
        <v>19</v>
      </c>
      <c r="Q2803" t="n">
        <v>0</v>
      </c>
    </row>
    <row r="2804">
      <c r="J2804" t="inlineStr">
        <is>
          <t>A</t>
        </is>
      </c>
      <c r="K2804" t="n">
        <v>2025</v>
      </c>
      <c r="L2804" t="n">
        <v>12</v>
      </c>
      <c r="M2804" t="inlineStr">
        <is>
          <t>Todos</t>
        </is>
      </c>
      <c r="N2804" t="inlineStr">
        <is>
          <t>Lanchonete / Cafeteria</t>
        </is>
      </c>
      <c r="O2804" t="n">
        <v>42</v>
      </c>
      <c r="P2804" t="n">
        <v>287</v>
      </c>
      <c r="Q2804" t="n">
        <v>26</v>
      </c>
    </row>
    <row r="2805">
      <c r="J2805" t="inlineStr">
        <is>
          <t>M</t>
        </is>
      </c>
      <c r="K2805" t="n">
        <v>2025</v>
      </c>
      <c r="L2805" t="n">
        <v>12</v>
      </c>
      <c r="M2805" t="inlineStr">
        <is>
          <t>Todos</t>
        </is>
      </c>
      <c r="N2805" t="inlineStr">
        <is>
          <t>Lanchonete / Cafeteria</t>
        </is>
      </c>
      <c r="O2805" t="n">
        <v>17</v>
      </c>
      <c r="P2805" t="n">
        <v>26</v>
      </c>
      <c r="Q2805" t="n">
        <v>0</v>
      </c>
    </row>
    <row r="2806">
      <c r="J2806" t="inlineStr">
        <is>
          <t>A</t>
        </is>
      </c>
      <c r="K2806" t="n">
        <v>2025</v>
      </c>
      <c r="L2806" t="n">
        <v>1</v>
      </c>
      <c r="M2806" t="inlineStr">
        <is>
          <t>Todos</t>
        </is>
      </c>
      <c r="N2806" t="inlineStr">
        <is>
          <t>Padaria</t>
        </is>
      </c>
      <c r="O2806" t="n">
        <v>12</v>
      </c>
      <c r="P2806" t="n">
        <v>16</v>
      </c>
      <c r="Q2806" t="n">
        <v>2</v>
      </c>
    </row>
    <row r="2807">
      <c r="J2807" t="inlineStr">
        <is>
          <t>M</t>
        </is>
      </c>
      <c r="K2807" t="n">
        <v>2025</v>
      </c>
      <c r="L2807" t="n">
        <v>1</v>
      </c>
      <c r="M2807" t="inlineStr">
        <is>
          <t>Todos</t>
        </is>
      </c>
      <c r="N2807" t="inlineStr">
        <is>
          <t>Padaria</t>
        </is>
      </c>
      <c r="O2807" t="n">
        <v>12</v>
      </c>
      <c r="P2807" t="n">
        <v>16</v>
      </c>
      <c r="Q2807" t="n">
        <v>0</v>
      </c>
    </row>
    <row r="2808">
      <c r="J2808" t="inlineStr">
        <is>
          <t>A</t>
        </is>
      </c>
      <c r="K2808" t="n">
        <v>2025</v>
      </c>
      <c r="L2808" t="n">
        <v>2</v>
      </c>
      <c r="M2808" t="inlineStr">
        <is>
          <t>Todos</t>
        </is>
      </c>
      <c r="N2808" t="inlineStr">
        <is>
          <t>Padaria</t>
        </is>
      </c>
      <c r="O2808" t="n">
        <v>14</v>
      </c>
      <c r="P2808" t="n">
        <v>38</v>
      </c>
      <c r="Q2808" t="n">
        <v>2</v>
      </c>
    </row>
    <row r="2809">
      <c r="J2809" t="inlineStr">
        <is>
          <t>M</t>
        </is>
      </c>
      <c r="K2809" t="n">
        <v>2025</v>
      </c>
      <c r="L2809" t="n">
        <v>2</v>
      </c>
      <c r="M2809" t="inlineStr">
        <is>
          <t>Todos</t>
        </is>
      </c>
      <c r="N2809" t="inlineStr">
        <is>
          <t>Padaria</t>
        </is>
      </c>
      <c r="O2809" t="n">
        <v>11</v>
      </c>
      <c r="P2809" t="n">
        <v>22</v>
      </c>
      <c r="Q2809" t="n">
        <v>0</v>
      </c>
    </row>
    <row r="2810">
      <c r="J2810" t="inlineStr">
        <is>
          <t>A</t>
        </is>
      </c>
      <c r="K2810" t="n">
        <v>2025</v>
      </c>
      <c r="L2810" t="n">
        <v>3</v>
      </c>
      <c r="M2810" t="inlineStr">
        <is>
          <t>Todos</t>
        </is>
      </c>
      <c r="N2810" t="inlineStr">
        <is>
          <t>Padaria</t>
        </is>
      </c>
      <c r="O2810" t="n">
        <v>15</v>
      </c>
      <c r="P2810" t="n">
        <v>53</v>
      </c>
      <c r="Q2810" t="n">
        <v>2</v>
      </c>
    </row>
    <row r="2811">
      <c r="J2811" t="inlineStr">
        <is>
          <t>M</t>
        </is>
      </c>
      <c r="K2811" t="n">
        <v>2025</v>
      </c>
      <c r="L2811" t="n">
        <v>3</v>
      </c>
      <c r="M2811" t="inlineStr">
        <is>
          <t>Todos</t>
        </is>
      </c>
      <c r="N2811" t="inlineStr">
        <is>
          <t>Padaria</t>
        </is>
      </c>
      <c r="O2811" t="n">
        <v>10</v>
      </c>
      <c r="P2811" t="n">
        <v>15</v>
      </c>
      <c r="Q2811" t="n">
        <v>0</v>
      </c>
    </row>
    <row r="2812">
      <c r="J2812" t="inlineStr">
        <is>
          <t>A</t>
        </is>
      </c>
      <c r="K2812" t="n">
        <v>2025</v>
      </c>
      <c r="L2812" t="n">
        <v>4</v>
      </c>
      <c r="M2812" t="inlineStr">
        <is>
          <t>Todos</t>
        </is>
      </c>
      <c r="N2812" t="inlineStr">
        <is>
          <t>Padaria</t>
        </is>
      </c>
      <c r="O2812" t="n">
        <v>16</v>
      </c>
      <c r="P2812" t="n">
        <v>71</v>
      </c>
      <c r="Q2812" t="n">
        <v>3</v>
      </c>
    </row>
    <row r="2813">
      <c r="J2813" t="inlineStr">
        <is>
          <t>M</t>
        </is>
      </c>
      <c r="K2813" t="n">
        <v>2025</v>
      </c>
      <c r="L2813" t="n">
        <v>4</v>
      </c>
      <c r="M2813" t="inlineStr">
        <is>
          <t>Todos</t>
        </is>
      </c>
      <c r="N2813" t="inlineStr">
        <is>
          <t>Padaria</t>
        </is>
      </c>
      <c r="O2813" t="n">
        <v>11</v>
      </c>
      <c r="P2813" t="n">
        <v>18</v>
      </c>
      <c r="Q2813" t="n">
        <v>0</v>
      </c>
    </row>
    <row r="2814">
      <c r="J2814" t="inlineStr">
        <is>
          <t>A</t>
        </is>
      </c>
      <c r="K2814" t="n">
        <v>2025</v>
      </c>
      <c r="L2814" t="n">
        <v>5</v>
      </c>
      <c r="M2814" t="inlineStr">
        <is>
          <t>Todos</t>
        </is>
      </c>
      <c r="N2814" t="inlineStr">
        <is>
          <t>Padaria</t>
        </is>
      </c>
      <c r="O2814" t="n">
        <v>17</v>
      </c>
      <c r="P2814" t="n">
        <v>85</v>
      </c>
      <c r="Q2814" t="n">
        <v>4</v>
      </c>
    </row>
    <row r="2815">
      <c r="J2815" t="inlineStr">
        <is>
          <t>M</t>
        </is>
      </c>
      <c r="K2815" t="n">
        <v>2025</v>
      </c>
      <c r="L2815" t="n">
        <v>5</v>
      </c>
      <c r="M2815" t="inlineStr">
        <is>
          <t>Todos</t>
        </is>
      </c>
      <c r="N2815" t="inlineStr">
        <is>
          <t>Padaria</t>
        </is>
      </c>
      <c r="O2815" t="n">
        <v>8</v>
      </c>
      <c r="P2815" t="n">
        <v>14</v>
      </c>
      <c r="Q2815" t="n">
        <v>0</v>
      </c>
    </row>
    <row r="2816">
      <c r="J2816" t="inlineStr">
        <is>
          <t>A</t>
        </is>
      </c>
      <c r="K2816" t="n">
        <v>2025</v>
      </c>
      <c r="L2816" t="n">
        <v>6</v>
      </c>
      <c r="M2816" t="inlineStr">
        <is>
          <t>Todos</t>
        </is>
      </c>
      <c r="N2816" t="inlineStr">
        <is>
          <t>Padaria</t>
        </is>
      </c>
      <c r="O2816" t="n">
        <v>19</v>
      </c>
      <c r="P2816" t="n">
        <v>96</v>
      </c>
      <c r="Q2816" t="n">
        <v>5</v>
      </c>
    </row>
    <row r="2817">
      <c r="J2817" t="inlineStr">
        <is>
          <t>M</t>
        </is>
      </c>
      <c r="K2817" t="n">
        <v>2025</v>
      </c>
      <c r="L2817" t="n">
        <v>6</v>
      </c>
      <c r="M2817" t="inlineStr">
        <is>
          <t>Todos</t>
        </is>
      </c>
      <c r="N2817" t="inlineStr">
        <is>
          <t>Padaria</t>
        </is>
      </c>
      <c r="O2817" t="n">
        <v>9</v>
      </c>
      <c r="P2817" t="n">
        <v>11</v>
      </c>
      <c r="Q2817" t="n">
        <v>0</v>
      </c>
    </row>
    <row r="2818">
      <c r="J2818" t="inlineStr">
        <is>
          <t>A</t>
        </is>
      </c>
      <c r="K2818" t="n">
        <v>2025</v>
      </c>
      <c r="L2818" t="n">
        <v>7</v>
      </c>
      <c r="M2818" t="inlineStr">
        <is>
          <t>Todos</t>
        </is>
      </c>
      <c r="N2818" t="inlineStr">
        <is>
          <t>Padaria</t>
        </is>
      </c>
      <c r="O2818" t="n">
        <v>22</v>
      </c>
      <c r="P2818" t="n">
        <v>112</v>
      </c>
      <c r="Q2818" t="n">
        <v>8</v>
      </c>
    </row>
    <row r="2819">
      <c r="J2819" t="inlineStr">
        <is>
          <t>M</t>
        </is>
      </c>
      <c r="K2819" t="n">
        <v>2025</v>
      </c>
      <c r="L2819" t="n">
        <v>7</v>
      </c>
      <c r="M2819" t="inlineStr">
        <is>
          <t>Todos</t>
        </is>
      </c>
      <c r="N2819" t="inlineStr">
        <is>
          <t>Padaria</t>
        </is>
      </c>
      <c r="O2819" t="n">
        <v>10</v>
      </c>
      <c r="P2819" t="n">
        <v>16</v>
      </c>
      <c r="Q2819" t="n">
        <v>0</v>
      </c>
    </row>
    <row r="2820">
      <c r="J2820" t="inlineStr">
        <is>
          <t>A</t>
        </is>
      </c>
      <c r="K2820" t="n">
        <v>2025</v>
      </c>
      <c r="L2820" t="n">
        <v>8</v>
      </c>
      <c r="M2820" t="inlineStr">
        <is>
          <t>Todos</t>
        </is>
      </c>
      <c r="N2820" t="inlineStr">
        <is>
          <t>Padaria</t>
        </is>
      </c>
      <c r="O2820" t="n">
        <v>23</v>
      </c>
      <c r="P2820" t="n">
        <v>126</v>
      </c>
      <c r="Q2820" t="n">
        <v>9</v>
      </c>
    </row>
    <row r="2821">
      <c r="J2821" t="inlineStr">
        <is>
          <t>M</t>
        </is>
      </c>
      <c r="K2821" t="n">
        <v>2025</v>
      </c>
      <c r="L2821" t="n">
        <v>8</v>
      </c>
      <c r="M2821" t="inlineStr">
        <is>
          <t>Todos</t>
        </is>
      </c>
      <c r="N2821" t="inlineStr">
        <is>
          <t>Padaria</t>
        </is>
      </c>
      <c r="O2821" t="n">
        <v>9</v>
      </c>
      <c r="P2821" t="n">
        <v>14</v>
      </c>
      <c r="Q2821" t="n">
        <v>0</v>
      </c>
    </row>
    <row r="2822">
      <c r="J2822" t="inlineStr">
        <is>
          <t>A</t>
        </is>
      </c>
      <c r="K2822" t="n">
        <v>2025</v>
      </c>
      <c r="L2822" t="n">
        <v>9</v>
      </c>
      <c r="M2822" t="inlineStr">
        <is>
          <t>Todos</t>
        </is>
      </c>
      <c r="N2822" t="inlineStr">
        <is>
          <t>Padaria</t>
        </is>
      </c>
      <c r="O2822" t="n">
        <v>25</v>
      </c>
      <c r="P2822" t="n">
        <v>146</v>
      </c>
      <c r="Q2822" t="n">
        <v>11</v>
      </c>
    </row>
    <row r="2823">
      <c r="J2823" t="inlineStr">
        <is>
          <t>M</t>
        </is>
      </c>
      <c r="K2823" t="n">
        <v>2025</v>
      </c>
      <c r="L2823" t="n">
        <v>9</v>
      </c>
      <c r="M2823" t="inlineStr">
        <is>
          <t>Todos</t>
        </is>
      </c>
      <c r="N2823" t="inlineStr">
        <is>
          <t>Padaria</t>
        </is>
      </c>
      <c r="O2823" t="n">
        <v>11</v>
      </c>
      <c r="P2823" t="n">
        <v>20</v>
      </c>
      <c r="Q2823" t="n">
        <v>0</v>
      </c>
    </row>
    <row r="2824">
      <c r="J2824" t="inlineStr">
        <is>
          <t>A</t>
        </is>
      </c>
      <c r="K2824" t="n">
        <v>2025</v>
      </c>
      <c r="L2824" t="n">
        <v>10</v>
      </c>
      <c r="M2824" t="inlineStr">
        <is>
          <t>Todos</t>
        </is>
      </c>
      <c r="N2824" t="inlineStr">
        <is>
          <t>Padaria</t>
        </is>
      </c>
      <c r="O2824" t="n">
        <v>26</v>
      </c>
      <c r="P2824" t="n">
        <v>164</v>
      </c>
      <c r="Q2824" t="n">
        <v>12</v>
      </c>
    </row>
    <row r="2825">
      <c r="J2825" t="inlineStr">
        <is>
          <t>M</t>
        </is>
      </c>
      <c r="K2825" t="n">
        <v>2025</v>
      </c>
      <c r="L2825" t="n">
        <v>10</v>
      </c>
      <c r="M2825" t="inlineStr">
        <is>
          <t>Todos</t>
        </is>
      </c>
      <c r="N2825" t="inlineStr">
        <is>
          <t>Padaria</t>
        </is>
      </c>
      <c r="O2825" t="n">
        <v>10</v>
      </c>
      <c r="P2825" t="n">
        <v>18</v>
      </c>
      <c r="Q2825" t="n">
        <v>0</v>
      </c>
    </row>
    <row r="2826">
      <c r="J2826" t="inlineStr">
        <is>
          <t>A</t>
        </is>
      </c>
      <c r="K2826" t="n">
        <v>2025</v>
      </c>
      <c r="L2826" t="n">
        <v>11</v>
      </c>
      <c r="M2826" t="inlineStr">
        <is>
          <t>Todos</t>
        </is>
      </c>
      <c r="N2826" t="inlineStr">
        <is>
          <t>Padaria</t>
        </is>
      </c>
      <c r="O2826" t="n">
        <v>28</v>
      </c>
      <c r="P2826" t="n">
        <v>181</v>
      </c>
      <c r="Q2826" t="n">
        <v>14</v>
      </c>
    </row>
    <row r="2827">
      <c r="J2827" t="inlineStr">
        <is>
          <t>M</t>
        </is>
      </c>
      <c r="K2827" t="n">
        <v>2025</v>
      </c>
      <c r="L2827" t="n">
        <v>11</v>
      </c>
      <c r="M2827" t="inlineStr">
        <is>
          <t>Todos</t>
        </is>
      </c>
      <c r="N2827" t="inlineStr">
        <is>
          <t>Padaria</t>
        </is>
      </c>
      <c r="O2827" t="n">
        <v>11</v>
      </c>
      <c r="P2827" t="n">
        <v>17</v>
      </c>
      <c r="Q2827" t="n">
        <v>0</v>
      </c>
    </row>
    <row r="2828">
      <c r="J2828" t="inlineStr">
        <is>
          <t>A</t>
        </is>
      </c>
      <c r="K2828" t="n">
        <v>2025</v>
      </c>
      <c r="L2828" t="n">
        <v>12</v>
      </c>
      <c r="M2828" t="inlineStr">
        <is>
          <t>Todos</t>
        </is>
      </c>
      <c r="N2828" t="inlineStr">
        <is>
          <t>Padaria</t>
        </is>
      </c>
      <c r="O2828" t="n">
        <v>29</v>
      </c>
      <c r="P2828" t="n">
        <v>193</v>
      </c>
      <c r="Q2828" t="n">
        <v>15</v>
      </c>
    </row>
    <row r="2829">
      <c r="J2829" t="inlineStr">
        <is>
          <t>M</t>
        </is>
      </c>
      <c r="K2829" t="n">
        <v>2025</v>
      </c>
      <c r="L2829" t="n">
        <v>12</v>
      </c>
      <c r="M2829" t="inlineStr">
        <is>
          <t>Todos</t>
        </is>
      </c>
      <c r="N2829" t="inlineStr">
        <is>
          <t>Padaria</t>
        </is>
      </c>
      <c r="O2829" t="n">
        <v>9</v>
      </c>
      <c r="P2829" t="n">
        <v>12</v>
      </c>
      <c r="Q2829" t="n">
        <v>0</v>
      </c>
    </row>
    <row r="2830">
      <c r="J2830" t="inlineStr">
        <is>
          <t>A</t>
        </is>
      </c>
      <c r="K2830" t="n">
        <v>2025</v>
      </c>
      <c r="L2830" t="n">
        <v>1</v>
      </c>
      <c r="M2830" t="inlineStr">
        <is>
          <t>Todos</t>
        </is>
      </c>
      <c r="N2830" t="inlineStr">
        <is>
          <t>Supermercado</t>
        </is>
      </c>
      <c r="O2830" t="n">
        <v>4</v>
      </c>
      <c r="P2830" t="n">
        <v>11</v>
      </c>
      <c r="Q2830" t="n">
        <v>0</v>
      </c>
    </row>
    <row r="2831">
      <c r="J2831" t="inlineStr">
        <is>
          <t>M</t>
        </is>
      </c>
      <c r="K2831" t="n">
        <v>2025</v>
      </c>
      <c r="L2831" t="n">
        <v>1</v>
      </c>
      <c r="M2831" t="inlineStr">
        <is>
          <t>Todos</t>
        </is>
      </c>
      <c r="N2831" t="inlineStr">
        <is>
          <t>Supermercado</t>
        </is>
      </c>
      <c r="O2831" t="n">
        <v>4</v>
      </c>
      <c r="P2831" t="n">
        <v>11</v>
      </c>
      <c r="Q2831" t="n">
        <v>0</v>
      </c>
    </row>
    <row r="2832">
      <c r="J2832" t="inlineStr">
        <is>
          <t>A</t>
        </is>
      </c>
      <c r="K2832" t="n">
        <v>2025</v>
      </c>
      <c r="L2832" t="n">
        <v>2</v>
      </c>
      <c r="M2832" t="inlineStr">
        <is>
          <t>Todos</t>
        </is>
      </c>
      <c r="N2832" t="inlineStr">
        <is>
          <t>Supermercado</t>
        </is>
      </c>
      <c r="O2832" t="n">
        <v>5</v>
      </c>
      <c r="P2832" t="n">
        <v>24</v>
      </c>
      <c r="Q2832" t="n">
        <v>0</v>
      </c>
    </row>
    <row r="2833">
      <c r="J2833" t="inlineStr">
        <is>
          <t>M</t>
        </is>
      </c>
      <c r="K2833" t="n">
        <v>2025</v>
      </c>
      <c r="L2833" t="n">
        <v>2</v>
      </c>
      <c r="M2833" t="inlineStr">
        <is>
          <t>Todos</t>
        </is>
      </c>
      <c r="N2833" t="inlineStr">
        <is>
          <t>Supermercado</t>
        </is>
      </c>
      <c r="O2833" t="n">
        <v>3</v>
      </c>
      <c r="P2833" t="n">
        <v>13</v>
      </c>
      <c r="Q2833" t="n">
        <v>0</v>
      </c>
    </row>
    <row r="2834">
      <c r="J2834" t="inlineStr">
        <is>
          <t>A</t>
        </is>
      </c>
      <c r="K2834" t="n">
        <v>2025</v>
      </c>
      <c r="L2834" t="n">
        <v>3</v>
      </c>
      <c r="M2834" t="inlineStr">
        <is>
          <t>Todos</t>
        </is>
      </c>
      <c r="N2834" t="inlineStr">
        <is>
          <t>Supermercado</t>
        </is>
      </c>
      <c r="O2834" t="n">
        <v>7</v>
      </c>
      <c r="P2834" t="n">
        <v>41</v>
      </c>
      <c r="Q2834" t="n">
        <v>2</v>
      </c>
    </row>
    <row r="2835">
      <c r="J2835" t="inlineStr">
        <is>
          <t>M</t>
        </is>
      </c>
      <c r="K2835" t="n">
        <v>2025</v>
      </c>
      <c r="L2835" t="n">
        <v>3</v>
      </c>
      <c r="M2835" t="inlineStr">
        <is>
          <t>Todos</t>
        </is>
      </c>
      <c r="N2835" t="inlineStr">
        <is>
          <t>Supermercado</t>
        </is>
      </c>
      <c r="O2835" t="n">
        <v>6</v>
      </c>
      <c r="P2835" t="n">
        <v>17</v>
      </c>
      <c r="Q2835" t="n">
        <v>0</v>
      </c>
    </row>
    <row r="2836">
      <c r="J2836" t="inlineStr">
        <is>
          <t>A</t>
        </is>
      </c>
      <c r="K2836" t="n">
        <v>2025</v>
      </c>
      <c r="L2836" t="n">
        <v>4</v>
      </c>
      <c r="M2836" t="inlineStr">
        <is>
          <t>Todos</t>
        </is>
      </c>
      <c r="N2836" t="inlineStr">
        <is>
          <t>Supermercado</t>
        </is>
      </c>
      <c r="O2836" t="n">
        <v>8</v>
      </c>
      <c r="P2836" t="n">
        <v>50</v>
      </c>
      <c r="Q2836" t="n">
        <v>3</v>
      </c>
    </row>
    <row r="2837">
      <c r="J2837" t="inlineStr">
        <is>
          <t>M</t>
        </is>
      </c>
      <c r="K2837" t="n">
        <v>2025</v>
      </c>
      <c r="L2837" t="n">
        <v>4</v>
      </c>
      <c r="M2837" t="inlineStr">
        <is>
          <t>Todos</t>
        </is>
      </c>
      <c r="N2837" t="inlineStr">
        <is>
          <t>Supermercado</t>
        </is>
      </c>
      <c r="O2837" t="n">
        <v>4</v>
      </c>
      <c r="P2837" t="n">
        <v>9</v>
      </c>
      <c r="Q2837" t="n">
        <v>0</v>
      </c>
    </row>
    <row r="2838">
      <c r="J2838" t="inlineStr">
        <is>
          <t>A</t>
        </is>
      </c>
      <c r="K2838" t="n">
        <v>2025</v>
      </c>
      <c r="L2838" t="n">
        <v>5</v>
      </c>
      <c r="M2838" t="inlineStr">
        <is>
          <t>Todos</t>
        </is>
      </c>
      <c r="N2838" t="inlineStr">
        <is>
          <t>Supermercado</t>
        </is>
      </c>
      <c r="O2838" t="n">
        <v>8</v>
      </c>
      <c r="P2838" t="n">
        <v>56</v>
      </c>
      <c r="Q2838" t="n">
        <v>3</v>
      </c>
    </row>
    <row r="2839">
      <c r="J2839" t="inlineStr">
        <is>
          <t>M</t>
        </is>
      </c>
      <c r="K2839" t="n">
        <v>2025</v>
      </c>
      <c r="L2839" t="n">
        <v>5</v>
      </c>
      <c r="M2839" t="inlineStr">
        <is>
          <t>Todos</t>
        </is>
      </c>
      <c r="N2839" t="inlineStr">
        <is>
          <t>Supermercado</t>
        </is>
      </c>
      <c r="O2839" t="n">
        <v>3</v>
      </c>
      <c r="P2839" t="n">
        <v>6</v>
      </c>
      <c r="Q2839" t="n">
        <v>0</v>
      </c>
    </row>
    <row r="2840">
      <c r="J2840" t="inlineStr">
        <is>
          <t>A</t>
        </is>
      </c>
      <c r="K2840" t="n">
        <v>2025</v>
      </c>
      <c r="L2840" t="n">
        <v>6</v>
      </c>
      <c r="M2840" t="inlineStr">
        <is>
          <t>Todos</t>
        </is>
      </c>
      <c r="N2840" t="inlineStr">
        <is>
          <t>Supermercado</t>
        </is>
      </c>
      <c r="O2840" t="n">
        <v>8</v>
      </c>
      <c r="P2840" t="n">
        <v>68</v>
      </c>
      <c r="Q2840" t="n">
        <v>3</v>
      </c>
    </row>
    <row r="2841">
      <c r="J2841" t="inlineStr">
        <is>
          <t>M</t>
        </is>
      </c>
      <c r="K2841" t="n">
        <v>2025</v>
      </c>
      <c r="L2841" t="n">
        <v>6</v>
      </c>
      <c r="M2841" t="inlineStr">
        <is>
          <t>Todos</t>
        </is>
      </c>
      <c r="N2841" t="inlineStr">
        <is>
          <t>Supermercado</t>
        </is>
      </c>
      <c r="O2841" t="n">
        <v>5</v>
      </c>
      <c r="P2841" t="n">
        <v>12</v>
      </c>
      <c r="Q2841" t="n">
        <v>0</v>
      </c>
    </row>
    <row r="2842">
      <c r="J2842" t="inlineStr">
        <is>
          <t>A</t>
        </is>
      </c>
      <c r="K2842" t="n">
        <v>2025</v>
      </c>
      <c r="L2842" t="n">
        <v>7</v>
      </c>
      <c r="M2842" t="inlineStr">
        <is>
          <t>Todos</t>
        </is>
      </c>
      <c r="N2842" t="inlineStr">
        <is>
          <t>Supermercado</t>
        </is>
      </c>
      <c r="O2842" t="n">
        <v>8</v>
      </c>
      <c r="P2842" t="n">
        <v>81</v>
      </c>
      <c r="Q2842" t="n">
        <v>3</v>
      </c>
    </row>
    <row r="2843">
      <c r="J2843" t="inlineStr">
        <is>
          <t>M</t>
        </is>
      </c>
      <c r="K2843" t="n">
        <v>2025</v>
      </c>
      <c r="L2843" t="n">
        <v>7</v>
      </c>
      <c r="M2843" t="inlineStr">
        <is>
          <t>Todos</t>
        </is>
      </c>
      <c r="N2843" t="inlineStr">
        <is>
          <t>Supermercado</t>
        </is>
      </c>
      <c r="O2843" t="n">
        <v>4</v>
      </c>
      <c r="P2843" t="n">
        <v>13</v>
      </c>
      <c r="Q2843" t="n">
        <v>0</v>
      </c>
    </row>
    <row r="2844">
      <c r="J2844" t="inlineStr">
        <is>
          <t>A</t>
        </is>
      </c>
      <c r="K2844" t="n">
        <v>2025</v>
      </c>
      <c r="L2844" t="n">
        <v>8</v>
      </c>
      <c r="M2844" t="inlineStr">
        <is>
          <t>Todos</t>
        </is>
      </c>
      <c r="N2844" t="inlineStr">
        <is>
          <t>Supermercado</t>
        </is>
      </c>
      <c r="O2844" t="n">
        <v>8</v>
      </c>
      <c r="P2844" t="n">
        <v>91</v>
      </c>
      <c r="Q2844" t="n">
        <v>3</v>
      </c>
    </row>
    <row r="2845">
      <c r="J2845" t="inlineStr">
        <is>
          <t>M</t>
        </is>
      </c>
      <c r="K2845" t="n">
        <v>2025</v>
      </c>
      <c r="L2845" t="n">
        <v>8</v>
      </c>
      <c r="M2845" t="inlineStr">
        <is>
          <t>Todos</t>
        </is>
      </c>
      <c r="N2845" t="inlineStr">
        <is>
          <t>Supermercado</t>
        </is>
      </c>
      <c r="O2845" t="n">
        <v>4</v>
      </c>
      <c r="P2845" t="n">
        <v>10</v>
      </c>
      <c r="Q2845" t="n">
        <v>0</v>
      </c>
    </row>
    <row r="2846">
      <c r="J2846" t="inlineStr">
        <is>
          <t>A</t>
        </is>
      </c>
      <c r="K2846" t="n">
        <v>2025</v>
      </c>
      <c r="L2846" t="n">
        <v>9</v>
      </c>
      <c r="M2846" t="inlineStr">
        <is>
          <t>Todos</t>
        </is>
      </c>
      <c r="N2846" t="inlineStr">
        <is>
          <t>Supermercado</t>
        </is>
      </c>
      <c r="O2846" t="n">
        <v>9</v>
      </c>
      <c r="P2846" t="n">
        <v>105</v>
      </c>
      <c r="Q2846" t="n">
        <v>3</v>
      </c>
    </row>
    <row r="2847">
      <c r="J2847" t="inlineStr">
        <is>
          <t>M</t>
        </is>
      </c>
      <c r="K2847" t="n">
        <v>2025</v>
      </c>
      <c r="L2847" t="n">
        <v>9</v>
      </c>
      <c r="M2847" t="inlineStr">
        <is>
          <t>Todos</t>
        </is>
      </c>
      <c r="N2847" t="inlineStr">
        <is>
          <t>Supermercado</t>
        </is>
      </c>
      <c r="O2847" t="n">
        <v>5</v>
      </c>
      <c r="P2847" t="n">
        <v>14</v>
      </c>
      <c r="Q2847" t="n">
        <v>0</v>
      </c>
    </row>
    <row r="2848">
      <c r="J2848" t="inlineStr">
        <is>
          <t>A</t>
        </is>
      </c>
      <c r="K2848" t="n">
        <v>2025</v>
      </c>
      <c r="L2848" t="n">
        <v>10</v>
      </c>
      <c r="M2848" t="inlineStr">
        <is>
          <t>Todos</t>
        </is>
      </c>
      <c r="N2848" t="inlineStr">
        <is>
          <t>Supermercado</t>
        </is>
      </c>
      <c r="O2848" t="n">
        <v>9</v>
      </c>
      <c r="P2848" t="n">
        <v>121</v>
      </c>
      <c r="Q2848" t="n">
        <v>3</v>
      </c>
    </row>
    <row r="2849">
      <c r="J2849" t="inlineStr">
        <is>
          <t>M</t>
        </is>
      </c>
      <c r="K2849" t="n">
        <v>2025</v>
      </c>
      <c r="L2849" t="n">
        <v>10</v>
      </c>
      <c r="M2849" t="inlineStr">
        <is>
          <t>Todos</t>
        </is>
      </c>
      <c r="N2849" t="inlineStr">
        <is>
          <t>Supermercado</t>
        </is>
      </c>
      <c r="O2849" t="n">
        <v>5</v>
      </c>
      <c r="P2849" t="n">
        <v>16</v>
      </c>
      <c r="Q2849" t="n">
        <v>0</v>
      </c>
    </row>
    <row r="2850">
      <c r="J2850" t="inlineStr">
        <is>
          <t>A</t>
        </is>
      </c>
      <c r="K2850" t="n">
        <v>2025</v>
      </c>
      <c r="L2850" t="n">
        <v>11</v>
      </c>
      <c r="M2850" t="inlineStr">
        <is>
          <t>Todos</t>
        </is>
      </c>
      <c r="N2850" t="inlineStr">
        <is>
          <t>Supermercado</t>
        </is>
      </c>
      <c r="O2850" t="n">
        <v>9</v>
      </c>
      <c r="P2850" t="n">
        <v>132</v>
      </c>
      <c r="Q2850" t="n">
        <v>3</v>
      </c>
    </row>
    <row r="2851">
      <c r="J2851" t="inlineStr">
        <is>
          <t>M</t>
        </is>
      </c>
      <c r="K2851" t="n">
        <v>2025</v>
      </c>
      <c r="L2851" t="n">
        <v>11</v>
      </c>
      <c r="M2851" t="inlineStr">
        <is>
          <t>Todos</t>
        </is>
      </c>
      <c r="N2851" t="inlineStr">
        <is>
          <t>Supermercado</t>
        </is>
      </c>
      <c r="O2851" t="n">
        <v>3</v>
      </c>
      <c r="P2851" t="n">
        <v>11</v>
      </c>
      <c r="Q2851" t="n">
        <v>0</v>
      </c>
    </row>
    <row r="2852">
      <c r="J2852" t="inlineStr">
        <is>
          <t>A</t>
        </is>
      </c>
      <c r="K2852" t="n">
        <v>2025</v>
      </c>
      <c r="L2852" t="n">
        <v>12</v>
      </c>
      <c r="M2852" t="inlineStr">
        <is>
          <t>Todos</t>
        </is>
      </c>
      <c r="N2852" t="inlineStr">
        <is>
          <t>Supermercado</t>
        </is>
      </c>
      <c r="O2852" t="n">
        <v>9</v>
      </c>
      <c r="P2852" t="n">
        <v>145</v>
      </c>
      <c r="Q2852" t="n">
        <v>3</v>
      </c>
    </row>
    <row r="2853">
      <c r="J2853" t="inlineStr">
        <is>
          <t>M</t>
        </is>
      </c>
      <c r="K2853" t="n">
        <v>2025</v>
      </c>
      <c r="L2853" t="n">
        <v>12</v>
      </c>
      <c r="M2853" t="inlineStr">
        <is>
          <t>Todos</t>
        </is>
      </c>
      <c r="N2853" t="inlineStr">
        <is>
          <t>Supermercado</t>
        </is>
      </c>
      <c r="O2853" t="n">
        <v>3</v>
      </c>
      <c r="P2853" t="n">
        <v>13</v>
      </c>
      <c r="Q2853" t="n">
        <v>0</v>
      </c>
    </row>
    <row r="2854">
      <c r="J2854" t="inlineStr">
        <is>
          <t>A</t>
        </is>
      </c>
      <c r="K2854" t="n">
        <v>2025</v>
      </c>
      <c r="L2854" t="n">
        <v>3</v>
      </c>
      <c r="M2854" t="inlineStr">
        <is>
          <t>Todos</t>
        </is>
      </c>
      <c r="N2854" t="inlineStr">
        <is>
          <t>Rotisserie</t>
        </is>
      </c>
      <c r="O2854" t="n">
        <v>1</v>
      </c>
      <c r="P2854" t="n">
        <v>1</v>
      </c>
      <c r="Q2854" t="n">
        <v>0</v>
      </c>
    </row>
    <row r="2855">
      <c r="J2855" t="inlineStr">
        <is>
          <t>M</t>
        </is>
      </c>
      <c r="K2855" t="n">
        <v>2025</v>
      </c>
      <c r="L2855" t="n">
        <v>3</v>
      </c>
      <c r="M2855" t="inlineStr">
        <is>
          <t>Todos</t>
        </is>
      </c>
      <c r="N2855" t="inlineStr">
        <is>
          <t>Rotisserie</t>
        </is>
      </c>
      <c r="O2855" t="n">
        <v>1</v>
      </c>
      <c r="P2855" t="n">
        <v>1</v>
      </c>
      <c r="Q2855" t="n">
        <v>0</v>
      </c>
    </row>
    <row r="2856">
      <c r="J2856" t="inlineStr">
        <is>
          <t>A</t>
        </is>
      </c>
      <c r="K2856" t="n">
        <v>2025</v>
      </c>
      <c r="L2856" t="n">
        <v>4</v>
      </c>
      <c r="M2856" t="inlineStr">
        <is>
          <t>Todos</t>
        </is>
      </c>
      <c r="N2856" t="inlineStr">
        <is>
          <t>Rotisserie</t>
        </is>
      </c>
      <c r="O2856" t="n">
        <v>1</v>
      </c>
      <c r="P2856" t="n">
        <v>2</v>
      </c>
      <c r="Q2856" t="n">
        <v>0</v>
      </c>
    </row>
    <row r="2857">
      <c r="J2857" t="inlineStr">
        <is>
          <t>M</t>
        </is>
      </c>
      <c r="K2857" t="n">
        <v>2025</v>
      </c>
      <c r="L2857" t="n">
        <v>4</v>
      </c>
      <c r="M2857" t="inlineStr">
        <is>
          <t>Todos</t>
        </is>
      </c>
      <c r="N2857" t="inlineStr">
        <is>
          <t>Rotisserie</t>
        </is>
      </c>
      <c r="O2857" t="n">
        <v>1</v>
      </c>
      <c r="P2857" t="n">
        <v>1</v>
      </c>
      <c r="Q2857" t="n">
        <v>0</v>
      </c>
    </row>
    <row r="2858">
      <c r="J2858" t="inlineStr">
        <is>
          <t>A</t>
        </is>
      </c>
      <c r="K2858" t="n">
        <v>2025</v>
      </c>
      <c r="L2858" t="n">
        <v>5</v>
      </c>
      <c r="M2858" t="inlineStr">
        <is>
          <t>Todos</t>
        </is>
      </c>
      <c r="N2858" t="inlineStr">
        <is>
          <t>Rotisserie</t>
        </is>
      </c>
      <c r="O2858" t="n">
        <v>1</v>
      </c>
      <c r="P2858" t="n">
        <v>7</v>
      </c>
      <c r="Q2858" t="n">
        <v>0</v>
      </c>
    </row>
    <row r="2859">
      <c r="J2859" t="inlineStr">
        <is>
          <t>M</t>
        </is>
      </c>
      <c r="K2859" t="n">
        <v>2025</v>
      </c>
      <c r="L2859" t="n">
        <v>5</v>
      </c>
      <c r="M2859" t="inlineStr">
        <is>
          <t>Todos</t>
        </is>
      </c>
      <c r="N2859" t="inlineStr">
        <is>
          <t>Rotisserie</t>
        </is>
      </c>
      <c r="O2859" t="n">
        <v>1</v>
      </c>
      <c r="P2859" t="n">
        <v>5</v>
      </c>
      <c r="Q2859" t="n">
        <v>0</v>
      </c>
    </row>
    <row r="2860">
      <c r="J2860" t="inlineStr">
        <is>
          <t>A</t>
        </is>
      </c>
      <c r="K2860" t="n">
        <v>2025</v>
      </c>
      <c r="L2860" t="n">
        <v>6</v>
      </c>
      <c r="M2860" t="inlineStr">
        <is>
          <t>Todos</t>
        </is>
      </c>
      <c r="N2860" t="inlineStr">
        <is>
          <t>Rotisserie</t>
        </is>
      </c>
      <c r="O2860" t="n">
        <v>1</v>
      </c>
      <c r="P2860" t="n">
        <v>8</v>
      </c>
      <c r="Q2860" t="n">
        <v>0</v>
      </c>
    </row>
    <row r="2861">
      <c r="J2861" t="inlineStr">
        <is>
          <t>M</t>
        </is>
      </c>
      <c r="K2861" t="n">
        <v>2025</v>
      </c>
      <c r="L2861" t="n">
        <v>6</v>
      </c>
      <c r="M2861" t="inlineStr">
        <is>
          <t>Todos</t>
        </is>
      </c>
      <c r="N2861" t="inlineStr">
        <is>
          <t>Rotisserie</t>
        </is>
      </c>
      <c r="O2861" t="n">
        <v>1</v>
      </c>
      <c r="P2861" t="n">
        <v>1</v>
      </c>
      <c r="Q2861" t="n">
        <v>0</v>
      </c>
    </row>
    <row r="2862">
      <c r="J2862" t="inlineStr">
        <is>
          <t>A</t>
        </is>
      </c>
      <c r="K2862" t="n">
        <v>2025</v>
      </c>
      <c r="L2862" t="n">
        <v>7</v>
      </c>
      <c r="M2862" t="inlineStr">
        <is>
          <t>Todos</t>
        </is>
      </c>
      <c r="N2862" t="inlineStr">
        <is>
          <t>Rotisserie</t>
        </is>
      </c>
      <c r="O2862" t="n">
        <v>1</v>
      </c>
      <c r="P2862" t="n">
        <v>11</v>
      </c>
      <c r="Q2862" t="n">
        <v>0</v>
      </c>
    </row>
    <row r="2863">
      <c r="J2863" t="inlineStr">
        <is>
          <t>M</t>
        </is>
      </c>
      <c r="K2863" t="n">
        <v>2025</v>
      </c>
      <c r="L2863" t="n">
        <v>7</v>
      </c>
      <c r="M2863" t="inlineStr">
        <is>
          <t>Todos</t>
        </is>
      </c>
      <c r="N2863" t="inlineStr">
        <is>
          <t>Rotisserie</t>
        </is>
      </c>
      <c r="O2863" t="n">
        <v>1</v>
      </c>
      <c r="P2863" t="n">
        <v>3</v>
      </c>
      <c r="Q2863" t="n">
        <v>0</v>
      </c>
    </row>
    <row r="2864">
      <c r="J2864" t="inlineStr">
        <is>
          <t>A</t>
        </is>
      </c>
      <c r="K2864" t="n">
        <v>2025</v>
      </c>
      <c r="L2864" t="n">
        <v>8</v>
      </c>
      <c r="M2864" t="inlineStr">
        <is>
          <t>Todos</t>
        </is>
      </c>
      <c r="N2864" t="inlineStr">
        <is>
          <t>Rotisserie</t>
        </is>
      </c>
      <c r="O2864" t="n">
        <v>2</v>
      </c>
      <c r="P2864" t="n">
        <v>16</v>
      </c>
      <c r="Q2864" t="n">
        <v>1</v>
      </c>
    </row>
    <row r="2865">
      <c r="J2865" t="inlineStr">
        <is>
          <t>M</t>
        </is>
      </c>
      <c r="K2865" t="n">
        <v>2025</v>
      </c>
      <c r="L2865" t="n">
        <v>8</v>
      </c>
      <c r="M2865" t="inlineStr">
        <is>
          <t>Todos</t>
        </is>
      </c>
      <c r="N2865" t="inlineStr">
        <is>
          <t>Rotisserie</t>
        </is>
      </c>
      <c r="O2865" t="n">
        <v>2</v>
      </c>
      <c r="P2865" t="n">
        <v>5</v>
      </c>
      <c r="Q2865" t="n">
        <v>0</v>
      </c>
    </row>
    <row r="2866">
      <c r="J2866" t="inlineStr">
        <is>
          <t>A</t>
        </is>
      </c>
      <c r="K2866" t="n">
        <v>2025</v>
      </c>
      <c r="L2866" t="n">
        <v>9</v>
      </c>
      <c r="M2866" t="inlineStr">
        <is>
          <t>Todos</t>
        </is>
      </c>
      <c r="N2866" t="inlineStr">
        <is>
          <t>Rotisserie</t>
        </is>
      </c>
      <c r="O2866" t="n">
        <v>2</v>
      </c>
      <c r="P2866" t="n">
        <v>22</v>
      </c>
      <c r="Q2866" t="n">
        <v>1</v>
      </c>
    </row>
    <row r="2867">
      <c r="J2867" t="inlineStr">
        <is>
          <t>M</t>
        </is>
      </c>
      <c r="K2867" t="n">
        <v>2025</v>
      </c>
      <c r="L2867" t="n">
        <v>9</v>
      </c>
      <c r="M2867" t="inlineStr">
        <is>
          <t>Todos</t>
        </is>
      </c>
      <c r="N2867" t="inlineStr">
        <is>
          <t>Rotisserie</t>
        </is>
      </c>
      <c r="O2867" t="n">
        <v>2</v>
      </c>
      <c r="P2867" t="n">
        <v>6</v>
      </c>
      <c r="Q2867" t="n">
        <v>0</v>
      </c>
    </row>
    <row r="2868">
      <c r="J2868" t="inlineStr">
        <is>
          <t>A</t>
        </is>
      </c>
      <c r="K2868" t="n">
        <v>2025</v>
      </c>
      <c r="L2868" t="n">
        <v>10</v>
      </c>
      <c r="M2868" t="inlineStr">
        <is>
          <t>Todos</t>
        </is>
      </c>
      <c r="N2868" t="inlineStr">
        <is>
          <t>Rotisserie</t>
        </is>
      </c>
      <c r="O2868" t="n">
        <v>2</v>
      </c>
      <c r="P2868" t="n">
        <v>29</v>
      </c>
      <c r="Q2868" t="n">
        <v>1</v>
      </c>
    </row>
    <row r="2869">
      <c r="J2869" t="inlineStr">
        <is>
          <t>M</t>
        </is>
      </c>
      <c r="K2869" t="n">
        <v>2025</v>
      </c>
      <c r="L2869" t="n">
        <v>10</v>
      </c>
      <c r="M2869" t="inlineStr">
        <is>
          <t>Todos</t>
        </is>
      </c>
      <c r="N2869" t="inlineStr">
        <is>
          <t>Rotisserie</t>
        </is>
      </c>
      <c r="O2869" t="n">
        <v>2</v>
      </c>
      <c r="P2869" t="n">
        <v>7</v>
      </c>
      <c r="Q2869" t="n">
        <v>0</v>
      </c>
    </row>
    <row r="2870">
      <c r="J2870" t="inlineStr">
        <is>
          <t>A</t>
        </is>
      </c>
      <c r="K2870" t="n">
        <v>2025</v>
      </c>
      <c r="L2870" t="n">
        <v>11</v>
      </c>
      <c r="M2870" t="inlineStr">
        <is>
          <t>Todos</t>
        </is>
      </c>
      <c r="N2870" t="inlineStr">
        <is>
          <t>Rotisserie</t>
        </is>
      </c>
      <c r="O2870" t="n">
        <v>2</v>
      </c>
      <c r="P2870" t="n">
        <v>33</v>
      </c>
      <c r="Q2870" t="n">
        <v>1</v>
      </c>
    </row>
    <row r="2871">
      <c r="J2871" t="inlineStr">
        <is>
          <t>M</t>
        </is>
      </c>
      <c r="K2871" t="n">
        <v>2025</v>
      </c>
      <c r="L2871" t="n">
        <v>11</v>
      </c>
      <c r="M2871" t="inlineStr">
        <is>
          <t>Todos</t>
        </is>
      </c>
      <c r="N2871" t="inlineStr">
        <is>
          <t>Rotisserie</t>
        </is>
      </c>
      <c r="O2871" t="n">
        <v>1</v>
      </c>
      <c r="P2871" t="n">
        <v>4</v>
      </c>
      <c r="Q2871" t="n">
        <v>0</v>
      </c>
    </row>
    <row r="2872">
      <c r="J2872" t="inlineStr">
        <is>
          <t>A</t>
        </is>
      </c>
      <c r="K2872" t="n">
        <v>2025</v>
      </c>
      <c r="L2872" t="n">
        <v>12</v>
      </c>
      <c r="M2872" t="inlineStr">
        <is>
          <t>Todos</t>
        </is>
      </c>
      <c r="N2872" t="inlineStr">
        <is>
          <t>Rotisserie</t>
        </is>
      </c>
      <c r="O2872" t="n">
        <v>2</v>
      </c>
      <c r="P2872" t="n">
        <v>35</v>
      </c>
      <c r="Q2872" t="n">
        <v>1</v>
      </c>
    </row>
    <row r="2873">
      <c r="J2873" t="inlineStr">
        <is>
          <t>M</t>
        </is>
      </c>
      <c r="K2873" t="n">
        <v>2025</v>
      </c>
      <c r="L2873" t="n">
        <v>12</v>
      </c>
      <c r="M2873" t="inlineStr">
        <is>
          <t>Todos</t>
        </is>
      </c>
      <c r="N2873" t="inlineStr">
        <is>
          <t>Rotisserie</t>
        </is>
      </c>
      <c r="O2873" t="n">
        <v>1</v>
      </c>
      <c r="P2873" t="n">
        <v>2</v>
      </c>
      <c r="Q2873" t="n">
        <v>0</v>
      </c>
    </row>
    <row r="2874">
      <c r="J2874" t="inlineStr">
        <is>
          <t>A</t>
        </is>
      </c>
      <c r="K2874" t="n">
        <v>2025</v>
      </c>
      <c r="L2874" t="n">
        <v>1</v>
      </c>
      <c r="M2874" t="inlineStr">
        <is>
          <t>Todos</t>
        </is>
      </c>
      <c r="N2874" t="inlineStr">
        <is>
          <t>Mercearia / Sacolão</t>
        </is>
      </c>
      <c r="O2874" t="n">
        <v>1</v>
      </c>
      <c r="P2874" t="n">
        <v>2</v>
      </c>
      <c r="Q2874" t="n">
        <v>0</v>
      </c>
    </row>
    <row r="2875">
      <c r="J2875" t="inlineStr">
        <is>
          <t>M</t>
        </is>
      </c>
      <c r="K2875" t="n">
        <v>2025</v>
      </c>
      <c r="L2875" t="n">
        <v>1</v>
      </c>
      <c r="M2875" t="inlineStr">
        <is>
          <t>Todos</t>
        </is>
      </c>
      <c r="N2875" t="inlineStr">
        <is>
          <t>Mercearia / Sacolão</t>
        </is>
      </c>
      <c r="O2875" t="n">
        <v>1</v>
      </c>
      <c r="P2875" t="n">
        <v>2</v>
      </c>
      <c r="Q2875" t="n">
        <v>0</v>
      </c>
    </row>
    <row r="2876">
      <c r="J2876" t="inlineStr">
        <is>
          <t>A</t>
        </is>
      </c>
      <c r="K2876" t="n">
        <v>2025</v>
      </c>
      <c r="L2876" t="n">
        <v>2</v>
      </c>
      <c r="M2876" t="inlineStr">
        <is>
          <t>Todos</t>
        </is>
      </c>
      <c r="N2876" t="inlineStr">
        <is>
          <t>Mercearia / Sacolão</t>
        </is>
      </c>
      <c r="O2876" t="n">
        <v>3</v>
      </c>
      <c r="P2876" t="n">
        <v>6</v>
      </c>
      <c r="Q2876" t="n">
        <v>2</v>
      </c>
    </row>
    <row r="2877">
      <c r="J2877" t="inlineStr">
        <is>
          <t>M</t>
        </is>
      </c>
      <c r="K2877" t="n">
        <v>2025</v>
      </c>
      <c r="L2877" t="n">
        <v>2</v>
      </c>
      <c r="M2877" t="inlineStr">
        <is>
          <t>Todos</t>
        </is>
      </c>
      <c r="N2877" t="inlineStr">
        <is>
          <t>Mercearia / Sacolão</t>
        </is>
      </c>
      <c r="O2877" t="n">
        <v>3</v>
      </c>
      <c r="P2877" t="n">
        <v>4</v>
      </c>
      <c r="Q2877" t="n">
        <v>0</v>
      </c>
    </row>
    <row r="2878">
      <c r="J2878" t="inlineStr">
        <is>
          <t>A</t>
        </is>
      </c>
      <c r="K2878" t="n">
        <v>2025</v>
      </c>
      <c r="L2878" t="n">
        <v>3</v>
      </c>
      <c r="M2878" t="inlineStr">
        <is>
          <t>Todos</t>
        </is>
      </c>
      <c r="N2878" t="inlineStr">
        <is>
          <t>Mercearia / Sacolão</t>
        </is>
      </c>
      <c r="O2878" t="n">
        <v>3</v>
      </c>
      <c r="P2878" t="n">
        <v>8</v>
      </c>
      <c r="Q2878" t="n">
        <v>2</v>
      </c>
    </row>
    <row r="2879">
      <c r="J2879" t="inlineStr">
        <is>
          <t>M</t>
        </is>
      </c>
      <c r="K2879" t="n">
        <v>2025</v>
      </c>
      <c r="L2879" t="n">
        <v>3</v>
      </c>
      <c r="M2879" t="inlineStr">
        <is>
          <t>Todos</t>
        </is>
      </c>
      <c r="N2879" t="inlineStr">
        <is>
          <t>Mercearia / Sacolão</t>
        </is>
      </c>
      <c r="O2879" t="n">
        <v>1</v>
      </c>
      <c r="P2879" t="n">
        <v>2</v>
      </c>
      <c r="Q2879" t="n">
        <v>0</v>
      </c>
    </row>
    <row r="2880">
      <c r="J2880" t="inlineStr">
        <is>
          <t>A</t>
        </is>
      </c>
      <c r="K2880" t="n">
        <v>2025</v>
      </c>
      <c r="L2880" t="n">
        <v>4</v>
      </c>
      <c r="M2880" t="inlineStr">
        <is>
          <t>Todos</t>
        </is>
      </c>
      <c r="N2880" t="inlineStr">
        <is>
          <t>Mercearia / Sacolão</t>
        </is>
      </c>
      <c r="O2880" t="n">
        <v>4</v>
      </c>
      <c r="P2880" t="n">
        <v>11</v>
      </c>
      <c r="Q2880" t="n">
        <v>2</v>
      </c>
    </row>
    <row r="2881">
      <c r="J2881" t="inlineStr">
        <is>
          <t>M</t>
        </is>
      </c>
      <c r="K2881" t="n">
        <v>2025</v>
      </c>
      <c r="L2881" t="n">
        <v>4</v>
      </c>
      <c r="M2881" t="inlineStr">
        <is>
          <t>Todos</t>
        </is>
      </c>
      <c r="N2881" t="inlineStr">
        <is>
          <t>Mercearia / Sacolão</t>
        </is>
      </c>
      <c r="O2881" t="n">
        <v>2</v>
      </c>
      <c r="P2881" t="n">
        <v>3</v>
      </c>
      <c r="Q2881" t="n">
        <v>0</v>
      </c>
    </row>
    <row r="2882">
      <c r="J2882" t="inlineStr">
        <is>
          <t>A</t>
        </is>
      </c>
      <c r="K2882" t="n">
        <v>2025</v>
      </c>
      <c r="L2882" t="n">
        <v>5</v>
      </c>
      <c r="M2882" t="inlineStr">
        <is>
          <t>Todos</t>
        </is>
      </c>
      <c r="N2882" t="inlineStr">
        <is>
          <t>Mercearia / Sacolão</t>
        </is>
      </c>
      <c r="O2882" t="n">
        <v>5</v>
      </c>
      <c r="P2882" t="n">
        <v>15</v>
      </c>
      <c r="Q2882" t="n">
        <v>3</v>
      </c>
    </row>
    <row r="2883">
      <c r="J2883" t="inlineStr">
        <is>
          <t>M</t>
        </is>
      </c>
      <c r="K2883" t="n">
        <v>2025</v>
      </c>
      <c r="L2883" t="n">
        <v>5</v>
      </c>
      <c r="M2883" t="inlineStr">
        <is>
          <t>Todos</t>
        </is>
      </c>
      <c r="N2883" t="inlineStr">
        <is>
          <t>Mercearia / Sacolão</t>
        </is>
      </c>
      <c r="O2883" t="n">
        <v>2</v>
      </c>
      <c r="P2883" t="n">
        <v>4</v>
      </c>
      <c r="Q2883" t="n">
        <v>0</v>
      </c>
    </row>
    <row r="2884">
      <c r="J2884" t="inlineStr">
        <is>
          <t>A</t>
        </is>
      </c>
      <c r="K2884" t="n">
        <v>2025</v>
      </c>
      <c r="L2884" t="n">
        <v>6</v>
      </c>
      <c r="M2884" t="inlineStr">
        <is>
          <t>Todos</t>
        </is>
      </c>
      <c r="N2884" t="inlineStr">
        <is>
          <t>Mercearia / Sacolão</t>
        </is>
      </c>
      <c r="O2884" t="n">
        <v>5</v>
      </c>
      <c r="P2884" t="n">
        <v>18</v>
      </c>
      <c r="Q2884" t="n">
        <v>3</v>
      </c>
    </row>
    <row r="2885">
      <c r="J2885" t="inlineStr">
        <is>
          <t>M</t>
        </is>
      </c>
      <c r="K2885" t="n">
        <v>2025</v>
      </c>
      <c r="L2885" t="n">
        <v>6</v>
      </c>
      <c r="M2885" t="inlineStr">
        <is>
          <t>Todos</t>
        </is>
      </c>
      <c r="N2885" t="inlineStr">
        <is>
          <t>Mercearia / Sacolão</t>
        </is>
      </c>
      <c r="O2885" t="n">
        <v>2</v>
      </c>
      <c r="P2885" t="n">
        <v>3</v>
      </c>
      <c r="Q2885" t="n">
        <v>0</v>
      </c>
    </row>
    <row r="2886">
      <c r="J2886" t="inlineStr">
        <is>
          <t>A</t>
        </is>
      </c>
      <c r="K2886" t="n">
        <v>2025</v>
      </c>
      <c r="L2886" t="n">
        <v>7</v>
      </c>
      <c r="M2886" t="inlineStr">
        <is>
          <t>Todos</t>
        </is>
      </c>
      <c r="N2886" t="inlineStr">
        <is>
          <t>Mercearia / Sacolão</t>
        </is>
      </c>
      <c r="O2886" t="n">
        <v>5</v>
      </c>
      <c r="P2886" t="n">
        <v>22</v>
      </c>
      <c r="Q2886" t="n">
        <v>3</v>
      </c>
    </row>
    <row r="2887">
      <c r="J2887" t="inlineStr">
        <is>
          <t>M</t>
        </is>
      </c>
      <c r="K2887" t="n">
        <v>2025</v>
      </c>
      <c r="L2887" t="n">
        <v>7</v>
      </c>
      <c r="M2887" t="inlineStr">
        <is>
          <t>Todos</t>
        </is>
      </c>
      <c r="N2887" t="inlineStr">
        <is>
          <t>Mercearia / Sacolão</t>
        </is>
      </c>
      <c r="O2887" t="n">
        <v>3</v>
      </c>
      <c r="P2887" t="n">
        <v>4</v>
      </c>
      <c r="Q2887" t="n">
        <v>0</v>
      </c>
    </row>
    <row r="2888">
      <c r="J2888" t="inlineStr">
        <is>
          <t>A</t>
        </is>
      </c>
      <c r="K2888" t="n">
        <v>2025</v>
      </c>
      <c r="L2888" t="n">
        <v>8</v>
      </c>
      <c r="M2888" t="inlineStr">
        <is>
          <t>Todos</t>
        </is>
      </c>
      <c r="N2888" t="inlineStr">
        <is>
          <t>Mercearia / Sacolão</t>
        </is>
      </c>
      <c r="O2888" t="n">
        <v>6</v>
      </c>
      <c r="P2888" t="n">
        <v>24</v>
      </c>
      <c r="Q2888" t="n">
        <v>3</v>
      </c>
    </row>
    <row r="2889">
      <c r="J2889" t="inlineStr">
        <is>
          <t>M</t>
        </is>
      </c>
      <c r="K2889" t="n">
        <v>2025</v>
      </c>
      <c r="L2889" t="n">
        <v>8</v>
      </c>
      <c r="M2889" t="inlineStr">
        <is>
          <t>Todos</t>
        </is>
      </c>
      <c r="N2889" t="inlineStr">
        <is>
          <t>Mercearia / Sacolão</t>
        </is>
      </c>
      <c r="O2889" t="n">
        <v>2</v>
      </c>
      <c r="P2889" t="n">
        <v>2</v>
      </c>
      <c r="Q2889" t="n">
        <v>0</v>
      </c>
    </row>
    <row r="2890">
      <c r="J2890" t="inlineStr">
        <is>
          <t>A</t>
        </is>
      </c>
      <c r="K2890" t="n">
        <v>2025</v>
      </c>
      <c r="L2890" t="n">
        <v>9</v>
      </c>
      <c r="M2890" t="inlineStr">
        <is>
          <t>Todos</t>
        </is>
      </c>
      <c r="N2890" t="inlineStr">
        <is>
          <t>Mercearia / Sacolão</t>
        </is>
      </c>
      <c r="O2890" t="n">
        <v>6</v>
      </c>
      <c r="P2890" t="n">
        <v>25</v>
      </c>
      <c r="Q2890" t="n">
        <v>3</v>
      </c>
    </row>
    <row r="2891">
      <c r="J2891" t="inlineStr">
        <is>
          <t>M</t>
        </is>
      </c>
      <c r="K2891" t="n">
        <v>2025</v>
      </c>
      <c r="L2891" t="n">
        <v>9</v>
      </c>
      <c r="M2891" t="inlineStr">
        <is>
          <t>Todos</t>
        </is>
      </c>
      <c r="N2891" t="inlineStr">
        <is>
          <t>Mercearia / Sacolão</t>
        </is>
      </c>
      <c r="O2891" t="n">
        <v>1</v>
      </c>
      <c r="P2891" t="n">
        <v>1</v>
      </c>
      <c r="Q2891" t="n">
        <v>0</v>
      </c>
    </row>
    <row r="2892">
      <c r="J2892" t="inlineStr">
        <is>
          <t>A</t>
        </is>
      </c>
      <c r="K2892" t="n">
        <v>2025</v>
      </c>
      <c r="L2892" t="n">
        <v>10</v>
      </c>
      <c r="M2892" t="inlineStr">
        <is>
          <t>Todos</t>
        </is>
      </c>
      <c r="N2892" t="inlineStr">
        <is>
          <t>Mercearia / Sacolão</t>
        </is>
      </c>
      <c r="O2892" t="n">
        <v>6</v>
      </c>
      <c r="P2892" t="n">
        <v>25</v>
      </c>
      <c r="Q2892" t="n">
        <v>3</v>
      </c>
    </row>
    <row r="2893">
      <c r="J2893" t="inlineStr">
        <is>
          <t>A</t>
        </is>
      </c>
      <c r="K2893" t="n">
        <v>2025</v>
      </c>
      <c r="L2893" t="n">
        <v>11</v>
      </c>
      <c r="M2893" t="inlineStr">
        <is>
          <t>Todos</t>
        </is>
      </c>
      <c r="N2893" t="inlineStr">
        <is>
          <t>Mercearia / Sacolão</t>
        </is>
      </c>
      <c r="O2893" t="n">
        <v>7</v>
      </c>
      <c r="P2893" t="n">
        <v>28</v>
      </c>
      <c r="Q2893" t="n">
        <v>4</v>
      </c>
    </row>
    <row r="2894">
      <c r="J2894" t="inlineStr">
        <is>
          <t>M</t>
        </is>
      </c>
      <c r="K2894" t="n">
        <v>2025</v>
      </c>
      <c r="L2894" t="n">
        <v>11</v>
      </c>
      <c r="M2894" t="inlineStr">
        <is>
          <t>Todos</t>
        </is>
      </c>
      <c r="N2894" t="inlineStr">
        <is>
          <t>Mercearia / Sacolão</t>
        </is>
      </c>
      <c r="O2894" t="n">
        <v>2</v>
      </c>
      <c r="P2894" t="n">
        <v>3</v>
      </c>
      <c r="Q2894" t="n">
        <v>0</v>
      </c>
    </row>
    <row r="2895">
      <c r="J2895" t="inlineStr">
        <is>
          <t>A</t>
        </is>
      </c>
      <c r="K2895" t="n">
        <v>2025</v>
      </c>
      <c r="L2895" t="n">
        <v>12</v>
      </c>
      <c r="M2895" t="inlineStr">
        <is>
          <t>Todos</t>
        </is>
      </c>
      <c r="N2895" t="inlineStr">
        <is>
          <t>Mercearia / Sacolão</t>
        </is>
      </c>
      <c r="O2895" t="n">
        <v>7</v>
      </c>
      <c r="P2895" t="n">
        <v>29</v>
      </c>
      <c r="Q2895" t="n">
        <v>4</v>
      </c>
    </row>
    <row r="2896">
      <c r="J2896" t="inlineStr">
        <is>
          <t>M</t>
        </is>
      </c>
      <c r="K2896" t="n">
        <v>2025</v>
      </c>
      <c r="L2896" t="n">
        <v>12</v>
      </c>
      <c r="M2896" t="inlineStr">
        <is>
          <t>Todos</t>
        </is>
      </c>
      <c r="N2896" t="inlineStr">
        <is>
          <t>Mercearia / Sacolão</t>
        </is>
      </c>
      <c r="O2896" t="n">
        <v>1</v>
      </c>
      <c r="P2896" t="n">
        <v>1</v>
      </c>
      <c r="Q2896" t="n">
        <v>0</v>
      </c>
    </row>
    <row r="2897">
      <c r="J2897" t="inlineStr">
        <is>
          <t>A</t>
        </is>
      </c>
      <c r="K2897" t="n">
        <v>2025</v>
      </c>
      <c r="L2897" t="n">
        <v>1</v>
      </c>
      <c r="M2897" t="inlineStr">
        <is>
          <t>Todos</t>
        </is>
      </c>
      <c r="N2897" t="inlineStr">
        <is>
          <t>Buffet</t>
        </is>
      </c>
      <c r="O2897" t="n">
        <v>4</v>
      </c>
      <c r="P2897" t="n">
        <v>7</v>
      </c>
      <c r="Q2897" t="n">
        <v>0</v>
      </c>
    </row>
    <row r="2898">
      <c r="J2898" t="inlineStr">
        <is>
          <t>M</t>
        </is>
      </c>
      <c r="K2898" t="n">
        <v>2025</v>
      </c>
      <c r="L2898" t="n">
        <v>1</v>
      </c>
      <c r="M2898" t="inlineStr">
        <is>
          <t>Todos</t>
        </is>
      </c>
      <c r="N2898" t="inlineStr">
        <is>
          <t>Buffet</t>
        </is>
      </c>
      <c r="O2898" t="n">
        <v>4</v>
      </c>
      <c r="P2898" t="n">
        <v>7</v>
      </c>
      <c r="Q2898" t="n">
        <v>0</v>
      </c>
    </row>
    <row r="2899">
      <c r="J2899" t="inlineStr">
        <is>
          <t>A</t>
        </is>
      </c>
      <c r="K2899" t="n">
        <v>2025</v>
      </c>
      <c r="L2899" t="n">
        <v>2</v>
      </c>
      <c r="M2899" t="inlineStr">
        <is>
          <t>Todos</t>
        </is>
      </c>
      <c r="N2899" t="inlineStr">
        <is>
          <t>Buffet</t>
        </is>
      </c>
      <c r="O2899" t="n">
        <v>4</v>
      </c>
      <c r="P2899" t="n">
        <v>11</v>
      </c>
      <c r="Q2899" t="n">
        <v>0</v>
      </c>
    </row>
    <row r="2900">
      <c r="J2900" t="inlineStr">
        <is>
          <t>M</t>
        </is>
      </c>
      <c r="K2900" t="n">
        <v>2025</v>
      </c>
      <c r="L2900" t="n">
        <v>2</v>
      </c>
      <c r="M2900" t="inlineStr">
        <is>
          <t>Todos</t>
        </is>
      </c>
      <c r="N2900" t="inlineStr">
        <is>
          <t>Buffet</t>
        </is>
      </c>
      <c r="O2900" t="n">
        <v>2</v>
      </c>
      <c r="P2900" t="n">
        <v>4</v>
      </c>
      <c r="Q2900" t="n">
        <v>0</v>
      </c>
    </row>
    <row r="2901">
      <c r="J2901" t="inlineStr">
        <is>
          <t>A</t>
        </is>
      </c>
      <c r="K2901" t="n">
        <v>2025</v>
      </c>
      <c r="L2901" t="n">
        <v>3</v>
      </c>
      <c r="M2901" t="inlineStr">
        <is>
          <t>Todos</t>
        </is>
      </c>
      <c r="N2901" t="inlineStr">
        <is>
          <t>Buffet</t>
        </is>
      </c>
      <c r="O2901" t="n">
        <v>4</v>
      </c>
      <c r="P2901" t="n">
        <v>18</v>
      </c>
      <c r="Q2901" t="n">
        <v>0</v>
      </c>
    </row>
    <row r="2902">
      <c r="J2902" t="inlineStr">
        <is>
          <t>M</t>
        </is>
      </c>
      <c r="K2902" t="n">
        <v>2025</v>
      </c>
      <c r="L2902" t="n">
        <v>3</v>
      </c>
      <c r="M2902" t="inlineStr">
        <is>
          <t>Todos</t>
        </is>
      </c>
      <c r="N2902" t="inlineStr">
        <is>
          <t>Buffet</t>
        </is>
      </c>
      <c r="O2902" t="n">
        <v>2</v>
      </c>
      <c r="P2902" t="n">
        <v>7</v>
      </c>
      <c r="Q2902" t="n">
        <v>0</v>
      </c>
    </row>
    <row r="2903">
      <c r="J2903" t="inlineStr">
        <is>
          <t>A</t>
        </is>
      </c>
      <c r="K2903" t="n">
        <v>2025</v>
      </c>
      <c r="L2903" t="n">
        <v>4</v>
      </c>
      <c r="M2903" t="inlineStr">
        <is>
          <t>Todos</t>
        </is>
      </c>
      <c r="N2903" t="inlineStr">
        <is>
          <t>Buffet</t>
        </is>
      </c>
      <c r="O2903" t="n">
        <v>4</v>
      </c>
      <c r="P2903" t="n">
        <v>22</v>
      </c>
      <c r="Q2903" t="n">
        <v>0</v>
      </c>
    </row>
    <row r="2904">
      <c r="J2904" t="inlineStr">
        <is>
          <t>M</t>
        </is>
      </c>
      <c r="K2904" t="n">
        <v>2025</v>
      </c>
      <c r="L2904" t="n">
        <v>4</v>
      </c>
      <c r="M2904" t="inlineStr">
        <is>
          <t>Todos</t>
        </is>
      </c>
      <c r="N2904" t="inlineStr">
        <is>
          <t>Buffet</t>
        </is>
      </c>
      <c r="O2904" t="n">
        <v>2</v>
      </c>
      <c r="P2904" t="n">
        <v>4</v>
      </c>
      <c r="Q2904" t="n">
        <v>0</v>
      </c>
    </row>
    <row r="2905">
      <c r="J2905" t="inlineStr">
        <is>
          <t>A</t>
        </is>
      </c>
      <c r="K2905" t="n">
        <v>2025</v>
      </c>
      <c r="L2905" t="n">
        <v>5</v>
      </c>
      <c r="M2905" t="inlineStr">
        <is>
          <t>Todos</t>
        </is>
      </c>
      <c r="N2905" t="inlineStr">
        <is>
          <t>Buffet</t>
        </is>
      </c>
      <c r="O2905" t="n">
        <v>5</v>
      </c>
      <c r="P2905" t="n">
        <v>28</v>
      </c>
      <c r="Q2905" t="n">
        <v>1</v>
      </c>
    </row>
    <row r="2906">
      <c r="J2906" t="inlineStr">
        <is>
          <t>M</t>
        </is>
      </c>
      <c r="K2906" t="n">
        <v>2025</v>
      </c>
      <c r="L2906" t="n">
        <v>5</v>
      </c>
      <c r="M2906" t="inlineStr">
        <is>
          <t>Todos</t>
        </is>
      </c>
      <c r="N2906" t="inlineStr">
        <is>
          <t>Buffet</t>
        </is>
      </c>
      <c r="O2906" t="n">
        <v>3</v>
      </c>
      <c r="P2906" t="n">
        <v>6</v>
      </c>
      <c r="Q2906" t="n">
        <v>0</v>
      </c>
    </row>
    <row r="2907">
      <c r="J2907" t="inlineStr">
        <is>
          <t>A</t>
        </is>
      </c>
      <c r="K2907" t="n">
        <v>2025</v>
      </c>
      <c r="L2907" t="n">
        <v>6</v>
      </c>
      <c r="M2907" t="inlineStr">
        <is>
          <t>Todos</t>
        </is>
      </c>
      <c r="N2907" t="inlineStr">
        <is>
          <t>Buffet</t>
        </is>
      </c>
      <c r="O2907" t="n">
        <v>5</v>
      </c>
      <c r="P2907" t="n">
        <v>35</v>
      </c>
      <c r="Q2907" t="n">
        <v>1</v>
      </c>
    </row>
    <row r="2908">
      <c r="J2908" t="inlineStr">
        <is>
          <t>M</t>
        </is>
      </c>
      <c r="K2908" t="n">
        <v>2025</v>
      </c>
      <c r="L2908" t="n">
        <v>6</v>
      </c>
      <c r="M2908" t="inlineStr">
        <is>
          <t>Todos</t>
        </is>
      </c>
      <c r="N2908" t="inlineStr">
        <is>
          <t>Buffet</t>
        </is>
      </c>
      <c r="O2908" t="n">
        <v>2</v>
      </c>
      <c r="P2908" t="n">
        <v>7</v>
      </c>
      <c r="Q2908" t="n">
        <v>0</v>
      </c>
    </row>
    <row r="2909">
      <c r="J2909" t="inlineStr">
        <is>
          <t>A</t>
        </is>
      </c>
      <c r="K2909" t="n">
        <v>2025</v>
      </c>
      <c r="L2909" t="n">
        <v>7</v>
      </c>
      <c r="M2909" t="inlineStr">
        <is>
          <t>Todos</t>
        </is>
      </c>
      <c r="N2909" t="inlineStr">
        <is>
          <t>Buffet</t>
        </is>
      </c>
      <c r="O2909" t="n">
        <v>6</v>
      </c>
      <c r="P2909" t="n">
        <v>42</v>
      </c>
      <c r="Q2909" t="n">
        <v>1</v>
      </c>
    </row>
    <row r="2910">
      <c r="J2910" t="inlineStr">
        <is>
          <t>M</t>
        </is>
      </c>
      <c r="K2910" t="n">
        <v>2025</v>
      </c>
      <c r="L2910" t="n">
        <v>7</v>
      </c>
      <c r="M2910" t="inlineStr">
        <is>
          <t>Todos</t>
        </is>
      </c>
      <c r="N2910" t="inlineStr">
        <is>
          <t>Buffet</t>
        </is>
      </c>
      <c r="O2910" t="n">
        <v>5</v>
      </c>
      <c r="P2910" t="n">
        <v>7</v>
      </c>
      <c r="Q2910" t="n">
        <v>0</v>
      </c>
    </row>
    <row r="2911">
      <c r="J2911" t="inlineStr">
        <is>
          <t>A</t>
        </is>
      </c>
      <c r="K2911" t="n">
        <v>2025</v>
      </c>
      <c r="L2911" t="n">
        <v>8</v>
      </c>
      <c r="M2911" t="inlineStr">
        <is>
          <t>Todos</t>
        </is>
      </c>
      <c r="N2911" t="inlineStr">
        <is>
          <t>Buffet</t>
        </is>
      </c>
      <c r="O2911" t="n">
        <v>6</v>
      </c>
      <c r="P2911" t="n">
        <v>48</v>
      </c>
      <c r="Q2911" t="n">
        <v>1</v>
      </c>
    </row>
    <row r="2912">
      <c r="J2912" t="inlineStr">
        <is>
          <t>M</t>
        </is>
      </c>
      <c r="K2912" t="n">
        <v>2025</v>
      </c>
      <c r="L2912" t="n">
        <v>8</v>
      </c>
      <c r="M2912" t="inlineStr">
        <is>
          <t>Todos</t>
        </is>
      </c>
      <c r="N2912" t="inlineStr">
        <is>
          <t>Buffet</t>
        </is>
      </c>
      <c r="O2912" t="n">
        <v>3</v>
      </c>
      <c r="P2912" t="n">
        <v>6</v>
      </c>
      <c r="Q2912" t="n">
        <v>0</v>
      </c>
    </row>
    <row r="2913">
      <c r="J2913" t="inlineStr">
        <is>
          <t>A</t>
        </is>
      </c>
      <c r="K2913" t="n">
        <v>2025</v>
      </c>
      <c r="L2913" t="n">
        <v>9</v>
      </c>
      <c r="M2913" t="inlineStr">
        <is>
          <t>Todos</t>
        </is>
      </c>
      <c r="N2913" t="inlineStr">
        <is>
          <t>Buffet</t>
        </is>
      </c>
      <c r="O2913" t="n">
        <v>7</v>
      </c>
      <c r="P2913" t="n">
        <v>57</v>
      </c>
      <c r="Q2913" t="n">
        <v>2</v>
      </c>
    </row>
    <row r="2914">
      <c r="J2914" t="inlineStr">
        <is>
          <t>M</t>
        </is>
      </c>
      <c r="K2914" t="n">
        <v>2025</v>
      </c>
      <c r="L2914" t="n">
        <v>9</v>
      </c>
      <c r="M2914" t="inlineStr">
        <is>
          <t>Todos</t>
        </is>
      </c>
      <c r="N2914" t="inlineStr">
        <is>
          <t>Buffet</t>
        </is>
      </c>
      <c r="O2914" t="n">
        <v>3</v>
      </c>
      <c r="P2914" t="n">
        <v>9</v>
      </c>
      <c r="Q2914" t="n">
        <v>0</v>
      </c>
    </row>
    <row r="2915">
      <c r="J2915" t="inlineStr">
        <is>
          <t>A</t>
        </is>
      </c>
      <c r="K2915" t="n">
        <v>2025</v>
      </c>
      <c r="L2915" t="n">
        <v>10</v>
      </c>
      <c r="M2915" t="inlineStr">
        <is>
          <t>Todos</t>
        </is>
      </c>
      <c r="N2915" t="inlineStr">
        <is>
          <t>Buffet</t>
        </is>
      </c>
      <c r="O2915" t="n">
        <v>7</v>
      </c>
      <c r="P2915" t="n">
        <v>62</v>
      </c>
      <c r="Q2915" t="n">
        <v>2</v>
      </c>
    </row>
    <row r="2916">
      <c r="J2916" t="inlineStr">
        <is>
          <t>M</t>
        </is>
      </c>
      <c r="K2916" t="n">
        <v>2025</v>
      </c>
      <c r="L2916" t="n">
        <v>10</v>
      </c>
      <c r="M2916" t="inlineStr">
        <is>
          <t>Todos</t>
        </is>
      </c>
      <c r="N2916" t="inlineStr">
        <is>
          <t>Buffet</t>
        </is>
      </c>
      <c r="O2916" t="n">
        <v>2</v>
      </c>
      <c r="P2916" t="n">
        <v>5</v>
      </c>
      <c r="Q2916" t="n">
        <v>0</v>
      </c>
    </row>
    <row r="2917">
      <c r="J2917" t="inlineStr">
        <is>
          <t>A</t>
        </is>
      </c>
      <c r="K2917" t="n">
        <v>2025</v>
      </c>
      <c r="L2917" t="n">
        <v>11</v>
      </c>
      <c r="M2917" t="inlineStr">
        <is>
          <t>Todos</t>
        </is>
      </c>
      <c r="N2917" t="inlineStr">
        <is>
          <t>Buffet</t>
        </is>
      </c>
      <c r="O2917" t="n">
        <v>7</v>
      </c>
      <c r="P2917" t="n">
        <v>68</v>
      </c>
      <c r="Q2917" t="n">
        <v>2</v>
      </c>
    </row>
    <row r="2918">
      <c r="J2918" t="inlineStr">
        <is>
          <t>M</t>
        </is>
      </c>
      <c r="K2918" t="n">
        <v>2025</v>
      </c>
      <c r="L2918" t="n">
        <v>11</v>
      </c>
      <c r="M2918" t="inlineStr">
        <is>
          <t>Todos</t>
        </is>
      </c>
      <c r="N2918" t="inlineStr">
        <is>
          <t>Buffet</t>
        </is>
      </c>
      <c r="O2918" t="n">
        <v>3</v>
      </c>
      <c r="P2918" t="n">
        <v>6</v>
      </c>
      <c r="Q2918" t="n">
        <v>0</v>
      </c>
    </row>
    <row r="2919">
      <c r="J2919" t="inlineStr">
        <is>
          <t>A</t>
        </is>
      </c>
      <c r="K2919" t="n">
        <v>2025</v>
      </c>
      <c r="L2919" t="n">
        <v>12</v>
      </c>
      <c r="M2919" t="inlineStr">
        <is>
          <t>Todos</t>
        </is>
      </c>
      <c r="N2919" t="inlineStr">
        <is>
          <t>Buffet</t>
        </is>
      </c>
      <c r="O2919" t="n">
        <v>10</v>
      </c>
      <c r="P2919" t="n">
        <v>77</v>
      </c>
      <c r="Q2919" t="n">
        <v>5</v>
      </c>
    </row>
    <row r="2920">
      <c r="J2920" t="inlineStr">
        <is>
          <t>M</t>
        </is>
      </c>
      <c r="K2920" t="n">
        <v>2025</v>
      </c>
      <c r="L2920" t="n">
        <v>12</v>
      </c>
      <c r="M2920" t="inlineStr">
        <is>
          <t>Todos</t>
        </is>
      </c>
      <c r="N2920" t="inlineStr">
        <is>
          <t>Buffet</t>
        </is>
      </c>
      <c r="O2920" t="n">
        <v>6</v>
      </c>
      <c r="P2920" t="n">
        <v>9</v>
      </c>
      <c r="Q2920" t="n">
        <v>0</v>
      </c>
    </row>
    <row r="2921">
      <c r="J2921" t="inlineStr">
        <is>
          <t>A</t>
        </is>
      </c>
      <c r="K2921" t="n">
        <v>2025</v>
      </c>
      <c r="L2921" t="n">
        <v>1</v>
      </c>
      <c r="M2921" t="inlineStr">
        <is>
          <t>Todos</t>
        </is>
      </c>
      <c r="N2921" t="inlineStr">
        <is>
          <t>Hotel / Motel / Pousada</t>
        </is>
      </c>
      <c r="O2921" t="n">
        <v>8</v>
      </c>
      <c r="P2921" t="n">
        <v>12</v>
      </c>
      <c r="Q2921" t="n">
        <v>1</v>
      </c>
    </row>
    <row r="2922">
      <c r="J2922" t="inlineStr">
        <is>
          <t>M</t>
        </is>
      </c>
      <c r="K2922" t="n">
        <v>2025</v>
      </c>
      <c r="L2922" t="n">
        <v>1</v>
      </c>
      <c r="M2922" t="inlineStr">
        <is>
          <t>Todos</t>
        </is>
      </c>
      <c r="N2922" t="inlineStr">
        <is>
          <t>Hotel / Motel / Pousada</t>
        </is>
      </c>
      <c r="O2922" t="n">
        <v>8</v>
      </c>
      <c r="P2922" t="n">
        <v>12</v>
      </c>
      <c r="Q2922" t="n">
        <v>0</v>
      </c>
    </row>
    <row r="2923">
      <c r="J2923" t="inlineStr">
        <is>
          <t>A</t>
        </is>
      </c>
      <c r="K2923" t="n">
        <v>2025</v>
      </c>
      <c r="L2923" t="n">
        <v>2</v>
      </c>
      <c r="M2923" t="inlineStr">
        <is>
          <t>Todos</t>
        </is>
      </c>
      <c r="N2923" t="inlineStr">
        <is>
          <t>Hotel / Motel / Pousada</t>
        </is>
      </c>
      <c r="O2923" t="n">
        <v>10</v>
      </c>
      <c r="P2923" t="n">
        <v>17</v>
      </c>
      <c r="Q2923" t="n">
        <v>2</v>
      </c>
    </row>
    <row r="2924">
      <c r="J2924" t="inlineStr">
        <is>
          <t>M</t>
        </is>
      </c>
      <c r="K2924" t="n">
        <v>2025</v>
      </c>
      <c r="L2924" t="n">
        <v>2</v>
      </c>
      <c r="M2924" t="inlineStr">
        <is>
          <t>Todos</t>
        </is>
      </c>
      <c r="N2924" t="inlineStr">
        <is>
          <t>Hotel / Motel / Pousada</t>
        </is>
      </c>
      <c r="O2924" t="n">
        <v>5</v>
      </c>
      <c r="P2924" t="n">
        <v>5</v>
      </c>
      <c r="Q2924" t="n">
        <v>0</v>
      </c>
    </row>
    <row r="2925">
      <c r="J2925" t="inlineStr">
        <is>
          <t>A</t>
        </is>
      </c>
      <c r="K2925" t="n">
        <v>2025</v>
      </c>
      <c r="L2925" t="n">
        <v>3</v>
      </c>
      <c r="M2925" t="inlineStr">
        <is>
          <t>Todos</t>
        </is>
      </c>
      <c r="N2925" t="inlineStr">
        <is>
          <t>Hotel / Motel / Pousada</t>
        </is>
      </c>
      <c r="O2925" t="n">
        <v>14</v>
      </c>
      <c r="P2925" t="n">
        <v>25</v>
      </c>
      <c r="Q2925" t="n">
        <v>4</v>
      </c>
    </row>
    <row r="2926">
      <c r="J2926" t="inlineStr">
        <is>
          <t>M</t>
        </is>
      </c>
      <c r="K2926" t="n">
        <v>2025</v>
      </c>
      <c r="L2926" t="n">
        <v>3</v>
      </c>
      <c r="M2926" t="inlineStr">
        <is>
          <t>Todos</t>
        </is>
      </c>
      <c r="N2926" t="inlineStr">
        <is>
          <t>Hotel / Motel / Pousada</t>
        </is>
      </c>
      <c r="O2926" t="n">
        <v>7</v>
      </c>
      <c r="P2926" t="n">
        <v>8</v>
      </c>
      <c r="Q2926" t="n">
        <v>0</v>
      </c>
    </row>
    <row r="2927">
      <c r="J2927" t="inlineStr">
        <is>
          <t>A</t>
        </is>
      </c>
      <c r="K2927" t="n">
        <v>2025</v>
      </c>
      <c r="L2927" t="n">
        <v>4</v>
      </c>
      <c r="M2927" t="inlineStr">
        <is>
          <t>Todos</t>
        </is>
      </c>
      <c r="N2927" t="inlineStr">
        <is>
          <t>Hotel / Motel / Pousada</t>
        </is>
      </c>
      <c r="O2927" t="n">
        <v>16</v>
      </c>
      <c r="P2927" t="n">
        <v>30</v>
      </c>
      <c r="Q2927" t="n">
        <v>4</v>
      </c>
    </row>
    <row r="2928">
      <c r="J2928" t="inlineStr">
        <is>
          <t>M</t>
        </is>
      </c>
      <c r="K2928" t="n">
        <v>2025</v>
      </c>
      <c r="L2928" t="n">
        <v>4</v>
      </c>
      <c r="M2928" t="inlineStr">
        <is>
          <t>Todos</t>
        </is>
      </c>
      <c r="N2928" t="inlineStr">
        <is>
          <t>Hotel / Motel / Pousada</t>
        </is>
      </c>
      <c r="O2928" t="n">
        <v>4</v>
      </c>
      <c r="P2928" t="n">
        <v>5</v>
      </c>
      <c r="Q2928" t="n">
        <v>0</v>
      </c>
    </row>
    <row r="2929">
      <c r="J2929" t="inlineStr">
        <is>
          <t>A</t>
        </is>
      </c>
      <c r="K2929" t="n">
        <v>2025</v>
      </c>
      <c r="L2929" t="n">
        <v>5</v>
      </c>
      <c r="M2929" t="inlineStr">
        <is>
          <t>Todos</t>
        </is>
      </c>
      <c r="N2929" t="inlineStr">
        <is>
          <t>Hotel / Motel / Pousada</t>
        </is>
      </c>
      <c r="O2929" t="n">
        <v>19</v>
      </c>
      <c r="P2929" t="n">
        <v>37</v>
      </c>
      <c r="Q2929" t="n">
        <v>6</v>
      </c>
    </row>
    <row r="2930">
      <c r="J2930" t="inlineStr">
        <is>
          <t>M</t>
        </is>
      </c>
      <c r="K2930" t="n">
        <v>2025</v>
      </c>
      <c r="L2930" t="n">
        <v>5</v>
      </c>
      <c r="M2930" t="inlineStr">
        <is>
          <t>Todos</t>
        </is>
      </c>
      <c r="N2930" t="inlineStr">
        <is>
          <t>Hotel / Motel / Pousada</t>
        </is>
      </c>
      <c r="O2930" t="n">
        <v>7</v>
      </c>
      <c r="P2930" t="n">
        <v>7</v>
      </c>
      <c r="Q2930" t="n">
        <v>0</v>
      </c>
    </row>
    <row r="2931">
      <c r="J2931" t="inlineStr">
        <is>
          <t>A</t>
        </is>
      </c>
      <c r="K2931" t="n">
        <v>2025</v>
      </c>
      <c r="L2931" t="n">
        <v>6</v>
      </c>
      <c r="M2931" t="inlineStr">
        <is>
          <t>Todos</t>
        </is>
      </c>
      <c r="N2931" t="inlineStr">
        <is>
          <t>Hotel / Motel / Pousada</t>
        </is>
      </c>
      <c r="O2931" t="n">
        <v>21</v>
      </c>
      <c r="P2931" t="n">
        <v>44</v>
      </c>
      <c r="Q2931" t="n">
        <v>7</v>
      </c>
    </row>
    <row r="2932">
      <c r="J2932" t="inlineStr">
        <is>
          <t>M</t>
        </is>
      </c>
      <c r="K2932" t="n">
        <v>2025</v>
      </c>
      <c r="L2932" t="n">
        <v>6</v>
      </c>
      <c r="M2932" t="inlineStr">
        <is>
          <t>Todos</t>
        </is>
      </c>
      <c r="N2932" t="inlineStr">
        <is>
          <t>Hotel / Motel / Pousada</t>
        </is>
      </c>
      <c r="O2932" t="n">
        <v>4</v>
      </c>
      <c r="P2932" t="n">
        <v>7</v>
      </c>
      <c r="Q2932" t="n">
        <v>0</v>
      </c>
    </row>
    <row r="2933">
      <c r="J2933" t="inlineStr">
        <is>
          <t>A</t>
        </is>
      </c>
      <c r="K2933" t="n">
        <v>2025</v>
      </c>
      <c r="L2933" t="n">
        <v>7</v>
      </c>
      <c r="M2933" t="inlineStr">
        <is>
          <t>Todos</t>
        </is>
      </c>
      <c r="N2933" t="inlineStr">
        <is>
          <t>Hotel / Motel / Pousada</t>
        </is>
      </c>
      <c r="O2933" t="n">
        <v>24</v>
      </c>
      <c r="P2933" t="n">
        <v>55</v>
      </c>
      <c r="Q2933" t="n">
        <v>9</v>
      </c>
    </row>
    <row r="2934">
      <c r="J2934" t="inlineStr">
        <is>
          <t>M</t>
        </is>
      </c>
      <c r="K2934" t="n">
        <v>2025</v>
      </c>
      <c r="L2934" t="n">
        <v>7</v>
      </c>
      <c r="M2934" t="inlineStr">
        <is>
          <t>Todos</t>
        </is>
      </c>
      <c r="N2934" t="inlineStr">
        <is>
          <t>Hotel / Motel / Pousada</t>
        </is>
      </c>
      <c r="O2934" t="n">
        <v>9</v>
      </c>
      <c r="P2934" t="n">
        <v>11</v>
      </c>
      <c r="Q2934" t="n">
        <v>0</v>
      </c>
    </row>
    <row r="2935">
      <c r="J2935" t="inlineStr">
        <is>
          <t>A</t>
        </is>
      </c>
      <c r="K2935" t="n">
        <v>2025</v>
      </c>
      <c r="L2935" t="n">
        <v>8</v>
      </c>
      <c r="M2935" t="inlineStr">
        <is>
          <t>Todos</t>
        </is>
      </c>
      <c r="N2935" t="inlineStr">
        <is>
          <t>Hotel / Motel / Pousada</t>
        </is>
      </c>
      <c r="O2935" t="n">
        <v>30</v>
      </c>
      <c r="P2935" t="n">
        <v>69</v>
      </c>
      <c r="Q2935" t="n">
        <v>14</v>
      </c>
    </row>
    <row r="2936">
      <c r="J2936" t="inlineStr">
        <is>
          <t>M</t>
        </is>
      </c>
      <c r="K2936" t="n">
        <v>2025</v>
      </c>
      <c r="L2936" t="n">
        <v>8</v>
      </c>
      <c r="M2936" t="inlineStr">
        <is>
          <t>Todos</t>
        </is>
      </c>
      <c r="N2936" t="inlineStr">
        <is>
          <t>Hotel / Motel / Pousada</t>
        </is>
      </c>
      <c r="O2936" t="n">
        <v>12</v>
      </c>
      <c r="P2936" t="n">
        <v>14</v>
      </c>
      <c r="Q2936" t="n">
        <v>0</v>
      </c>
    </row>
    <row r="2937">
      <c r="J2937" t="inlineStr">
        <is>
          <t>A</t>
        </is>
      </c>
      <c r="K2937" t="n">
        <v>2025</v>
      </c>
      <c r="L2937" t="n">
        <v>9</v>
      </c>
      <c r="M2937" t="inlineStr">
        <is>
          <t>Todos</t>
        </is>
      </c>
      <c r="N2937" t="inlineStr">
        <is>
          <t>Hotel / Motel / Pousada</t>
        </is>
      </c>
      <c r="O2937" t="n">
        <v>33</v>
      </c>
      <c r="P2937" t="n">
        <v>83</v>
      </c>
      <c r="Q2937" t="n">
        <v>17</v>
      </c>
    </row>
    <row r="2938">
      <c r="J2938" t="inlineStr">
        <is>
          <t>M</t>
        </is>
      </c>
      <c r="K2938" t="n">
        <v>2025</v>
      </c>
      <c r="L2938" t="n">
        <v>9</v>
      </c>
      <c r="M2938" t="inlineStr">
        <is>
          <t>Todos</t>
        </is>
      </c>
      <c r="N2938" t="inlineStr">
        <is>
          <t>Hotel / Motel / Pousada</t>
        </is>
      </c>
      <c r="O2938" t="n">
        <v>11</v>
      </c>
      <c r="P2938" t="n">
        <v>14</v>
      </c>
      <c r="Q2938" t="n">
        <v>0</v>
      </c>
    </row>
    <row r="2939">
      <c r="J2939" t="inlineStr">
        <is>
          <t>A</t>
        </is>
      </c>
      <c r="K2939" t="n">
        <v>2025</v>
      </c>
      <c r="L2939" t="n">
        <v>10</v>
      </c>
      <c r="M2939" t="inlineStr">
        <is>
          <t>Todos</t>
        </is>
      </c>
      <c r="N2939" t="inlineStr">
        <is>
          <t>Hotel / Motel / Pousada</t>
        </is>
      </c>
      <c r="O2939" t="n">
        <v>36</v>
      </c>
      <c r="P2939" t="n">
        <v>96</v>
      </c>
      <c r="Q2939" t="n">
        <v>19</v>
      </c>
    </row>
    <row r="2940">
      <c r="J2940" t="inlineStr">
        <is>
          <t>M</t>
        </is>
      </c>
      <c r="K2940" t="n">
        <v>2025</v>
      </c>
      <c r="L2940" t="n">
        <v>10</v>
      </c>
      <c r="M2940" t="inlineStr">
        <is>
          <t>Todos</t>
        </is>
      </c>
      <c r="N2940" t="inlineStr">
        <is>
          <t>Hotel / Motel / Pousada</t>
        </is>
      </c>
      <c r="O2940" t="n">
        <v>10</v>
      </c>
      <c r="P2940" t="n">
        <v>13</v>
      </c>
      <c r="Q2940" t="n">
        <v>0</v>
      </c>
    </row>
    <row r="2941">
      <c r="J2941" t="inlineStr">
        <is>
          <t>A</t>
        </is>
      </c>
      <c r="K2941" t="n">
        <v>2025</v>
      </c>
      <c r="L2941" t="n">
        <v>11</v>
      </c>
      <c r="M2941" t="inlineStr">
        <is>
          <t>Todos</t>
        </is>
      </c>
      <c r="N2941" t="inlineStr">
        <is>
          <t>Hotel / Motel / Pousada</t>
        </is>
      </c>
      <c r="O2941" t="n">
        <v>37</v>
      </c>
      <c r="P2941" t="n">
        <v>102</v>
      </c>
      <c r="Q2941" t="n">
        <v>20</v>
      </c>
    </row>
    <row r="2942">
      <c r="J2942" t="inlineStr">
        <is>
          <t>M</t>
        </is>
      </c>
      <c r="K2942" t="n">
        <v>2025</v>
      </c>
      <c r="L2942" t="n">
        <v>11</v>
      </c>
      <c r="M2942" t="inlineStr">
        <is>
          <t>Todos</t>
        </is>
      </c>
      <c r="N2942" t="inlineStr">
        <is>
          <t>Hotel / Motel / Pousada</t>
        </is>
      </c>
      <c r="O2942" t="n">
        <v>5</v>
      </c>
      <c r="P2942" t="n">
        <v>6</v>
      </c>
      <c r="Q2942" t="n">
        <v>0</v>
      </c>
    </row>
    <row r="2943">
      <c r="J2943" t="inlineStr">
        <is>
          <t>A</t>
        </is>
      </c>
      <c r="K2943" t="n">
        <v>2025</v>
      </c>
      <c r="L2943" t="n">
        <v>12</v>
      </c>
      <c r="M2943" t="inlineStr">
        <is>
          <t>Todos</t>
        </is>
      </c>
      <c r="N2943" t="inlineStr">
        <is>
          <t>Hotel / Motel / Pousada</t>
        </is>
      </c>
      <c r="O2943" t="n">
        <v>41</v>
      </c>
      <c r="P2943" t="n">
        <v>119</v>
      </c>
      <c r="Q2943" t="n">
        <v>24</v>
      </c>
    </row>
    <row r="2944">
      <c r="J2944" t="inlineStr">
        <is>
          <t>M</t>
        </is>
      </c>
      <c r="K2944" t="n">
        <v>2025</v>
      </c>
      <c r="L2944" t="n">
        <v>12</v>
      </c>
      <c r="M2944" t="inlineStr">
        <is>
          <t>Todos</t>
        </is>
      </c>
      <c r="N2944" t="inlineStr">
        <is>
          <t>Hotel / Motel / Pousada</t>
        </is>
      </c>
      <c r="O2944" t="n">
        <v>14</v>
      </c>
      <c r="P2944" t="n">
        <v>17</v>
      </c>
      <c r="Q2944" t="n">
        <v>0</v>
      </c>
    </row>
    <row r="2945">
      <c r="J2945" t="inlineStr">
        <is>
          <t>A</t>
        </is>
      </c>
      <c r="K2945" t="n">
        <v>2025</v>
      </c>
      <c r="L2945" t="n">
        <v>1</v>
      </c>
      <c r="M2945" t="inlineStr">
        <is>
          <t>Todos</t>
        </is>
      </c>
      <c r="N2945" t="inlineStr">
        <is>
          <t>Hamburgueria</t>
        </is>
      </c>
      <c r="O2945" t="n">
        <v>3</v>
      </c>
      <c r="P2945" t="n">
        <v>6</v>
      </c>
      <c r="Q2945" t="n">
        <v>0</v>
      </c>
    </row>
    <row r="2946">
      <c r="J2946" t="inlineStr">
        <is>
          <t>M</t>
        </is>
      </c>
      <c r="K2946" t="n">
        <v>2025</v>
      </c>
      <c r="L2946" t="n">
        <v>1</v>
      </c>
      <c r="M2946" t="inlineStr">
        <is>
          <t>Todos</t>
        </is>
      </c>
      <c r="N2946" t="inlineStr">
        <is>
          <t>Hamburgueria</t>
        </is>
      </c>
      <c r="O2946" t="n">
        <v>3</v>
      </c>
      <c r="P2946" t="n">
        <v>6</v>
      </c>
      <c r="Q2946" t="n">
        <v>0</v>
      </c>
    </row>
    <row r="2947">
      <c r="J2947" t="inlineStr">
        <is>
          <t>A</t>
        </is>
      </c>
      <c r="K2947" t="n">
        <v>2025</v>
      </c>
      <c r="L2947" t="n">
        <v>2</v>
      </c>
      <c r="M2947" t="inlineStr">
        <is>
          <t>Todos</t>
        </is>
      </c>
      <c r="N2947" t="inlineStr">
        <is>
          <t>Hamburgueria</t>
        </is>
      </c>
      <c r="O2947" t="n">
        <v>5</v>
      </c>
      <c r="P2947" t="n">
        <v>13</v>
      </c>
      <c r="Q2947" t="n">
        <v>2</v>
      </c>
    </row>
    <row r="2948">
      <c r="J2948" t="inlineStr">
        <is>
          <t>M</t>
        </is>
      </c>
      <c r="K2948" t="n">
        <v>2025</v>
      </c>
      <c r="L2948" t="n">
        <v>2</v>
      </c>
      <c r="M2948" t="inlineStr">
        <is>
          <t>Todos</t>
        </is>
      </c>
      <c r="N2948" t="inlineStr">
        <is>
          <t>Hamburgueria</t>
        </is>
      </c>
      <c r="O2948" t="n">
        <v>4</v>
      </c>
      <c r="P2948" t="n">
        <v>7</v>
      </c>
      <c r="Q2948" t="n">
        <v>0</v>
      </c>
    </row>
    <row r="2949">
      <c r="J2949" t="inlineStr">
        <is>
          <t>A</t>
        </is>
      </c>
      <c r="K2949" t="n">
        <v>2025</v>
      </c>
      <c r="L2949" t="n">
        <v>3</v>
      </c>
      <c r="M2949" t="inlineStr">
        <is>
          <t>Todos</t>
        </is>
      </c>
      <c r="N2949" t="inlineStr">
        <is>
          <t>Hamburgueria</t>
        </is>
      </c>
      <c r="O2949" t="n">
        <v>5</v>
      </c>
      <c r="P2949" t="n">
        <v>20</v>
      </c>
      <c r="Q2949" t="n">
        <v>2</v>
      </c>
    </row>
    <row r="2950">
      <c r="J2950" t="inlineStr">
        <is>
          <t>M</t>
        </is>
      </c>
      <c r="K2950" t="n">
        <v>2025</v>
      </c>
      <c r="L2950" t="n">
        <v>3</v>
      </c>
      <c r="M2950" t="inlineStr">
        <is>
          <t>Todos</t>
        </is>
      </c>
      <c r="N2950" t="inlineStr">
        <is>
          <t>Hamburgueria</t>
        </is>
      </c>
      <c r="O2950" t="n">
        <v>3</v>
      </c>
      <c r="P2950" t="n">
        <v>7</v>
      </c>
      <c r="Q2950" t="n">
        <v>0</v>
      </c>
    </row>
    <row r="2951">
      <c r="J2951" t="inlineStr">
        <is>
          <t>A</t>
        </is>
      </c>
      <c r="K2951" t="n">
        <v>2025</v>
      </c>
      <c r="L2951" t="n">
        <v>4</v>
      </c>
      <c r="M2951" t="inlineStr">
        <is>
          <t>Todos</t>
        </is>
      </c>
      <c r="N2951" t="inlineStr">
        <is>
          <t>Hamburgueria</t>
        </is>
      </c>
      <c r="O2951" t="n">
        <v>6</v>
      </c>
      <c r="P2951" t="n">
        <v>24</v>
      </c>
      <c r="Q2951" t="n">
        <v>3</v>
      </c>
    </row>
    <row r="2952">
      <c r="J2952" t="inlineStr">
        <is>
          <t>M</t>
        </is>
      </c>
      <c r="K2952" t="n">
        <v>2025</v>
      </c>
      <c r="L2952" t="n">
        <v>4</v>
      </c>
      <c r="M2952" t="inlineStr">
        <is>
          <t>Todos</t>
        </is>
      </c>
      <c r="N2952" t="inlineStr">
        <is>
          <t>Hamburgueria</t>
        </is>
      </c>
      <c r="O2952" t="n">
        <v>2</v>
      </c>
      <c r="P2952" t="n">
        <v>4</v>
      </c>
      <c r="Q2952" t="n">
        <v>0</v>
      </c>
    </row>
    <row r="2953">
      <c r="J2953" t="inlineStr">
        <is>
          <t>A</t>
        </is>
      </c>
      <c r="K2953" t="n">
        <v>2025</v>
      </c>
      <c r="L2953" t="n">
        <v>5</v>
      </c>
      <c r="M2953" t="inlineStr">
        <is>
          <t>Todos</t>
        </is>
      </c>
      <c r="N2953" t="inlineStr">
        <is>
          <t>Hamburgueria</t>
        </is>
      </c>
      <c r="O2953" t="n">
        <v>6</v>
      </c>
      <c r="P2953" t="n">
        <v>26</v>
      </c>
      <c r="Q2953" t="n">
        <v>3</v>
      </c>
    </row>
    <row r="2954">
      <c r="J2954" t="inlineStr">
        <is>
          <t>M</t>
        </is>
      </c>
      <c r="K2954" t="n">
        <v>2025</v>
      </c>
      <c r="L2954" t="n">
        <v>5</v>
      </c>
      <c r="M2954" t="inlineStr">
        <is>
          <t>Todos</t>
        </is>
      </c>
      <c r="N2954" t="inlineStr">
        <is>
          <t>Hamburgueria</t>
        </is>
      </c>
      <c r="O2954" t="n">
        <v>1</v>
      </c>
      <c r="P2954" t="n">
        <v>2</v>
      </c>
      <c r="Q2954" t="n">
        <v>0</v>
      </c>
    </row>
    <row r="2955">
      <c r="J2955" t="inlineStr">
        <is>
          <t>A</t>
        </is>
      </c>
      <c r="K2955" t="n">
        <v>2025</v>
      </c>
      <c r="L2955" t="n">
        <v>6</v>
      </c>
      <c r="M2955" t="inlineStr">
        <is>
          <t>Todos</t>
        </is>
      </c>
      <c r="N2955" t="inlineStr">
        <is>
          <t>Hamburgueria</t>
        </is>
      </c>
      <c r="O2955" t="n">
        <v>6</v>
      </c>
      <c r="P2955" t="n">
        <v>28</v>
      </c>
      <c r="Q2955" t="n">
        <v>3</v>
      </c>
    </row>
    <row r="2956">
      <c r="J2956" t="inlineStr">
        <is>
          <t>M</t>
        </is>
      </c>
      <c r="K2956" t="n">
        <v>2025</v>
      </c>
      <c r="L2956" t="n">
        <v>6</v>
      </c>
      <c r="M2956" t="inlineStr">
        <is>
          <t>Todos</t>
        </is>
      </c>
      <c r="N2956" t="inlineStr">
        <is>
          <t>Hamburgueria</t>
        </is>
      </c>
      <c r="O2956" t="n">
        <v>1</v>
      </c>
      <c r="P2956" t="n">
        <v>2</v>
      </c>
      <c r="Q2956" t="n">
        <v>0</v>
      </c>
    </row>
    <row r="2957">
      <c r="J2957" t="inlineStr">
        <is>
          <t>A</t>
        </is>
      </c>
      <c r="K2957" t="n">
        <v>2025</v>
      </c>
      <c r="L2957" t="n">
        <v>7</v>
      </c>
      <c r="M2957" t="inlineStr">
        <is>
          <t>Todos</t>
        </is>
      </c>
      <c r="N2957" t="inlineStr">
        <is>
          <t>Hamburgueria</t>
        </is>
      </c>
      <c r="O2957" t="n">
        <v>9</v>
      </c>
      <c r="P2957" t="n">
        <v>31</v>
      </c>
      <c r="Q2957" t="n">
        <v>6</v>
      </c>
    </row>
    <row r="2958">
      <c r="J2958" t="inlineStr">
        <is>
          <t>M</t>
        </is>
      </c>
      <c r="K2958" t="n">
        <v>2025</v>
      </c>
      <c r="L2958" t="n">
        <v>7</v>
      </c>
      <c r="M2958" t="inlineStr">
        <is>
          <t>Todos</t>
        </is>
      </c>
      <c r="N2958" t="inlineStr">
        <is>
          <t>Hamburgueria</t>
        </is>
      </c>
      <c r="O2958" t="n">
        <v>3</v>
      </c>
      <c r="P2958" t="n">
        <v>3</v>
      </c>
      <c r="Q2958" t="n">
        <v>0</v>
      </c>
    </row>
    <row r="2959">
      <c r="J2959" t="inlineStr">
        <is>
          <t>A</t>
        </is>
      </c>
      <c r="K2959" t="n">
        <v>2025</v>
      </c>
      <c r="L2959" t="n">
        <v>8</v>
      </c>
      <c r="M2959" t="inlineStr">
        <is>
          <t>Todos</t>
        </is>
      </c>
      <c r="N2959" t="inlineStr">
        <is>
          <t>Hamburgueria</t>
        </is>
      </c>
      <c r="O2959" t="n">
        <v>10</v>
      </c>
      <c r="P2959" t="n">
        <v>32</v>
      </c>
      <c r="Q2959" t="n">
        <v>7</v>
      </c>
    </row>
    <row r="2960">
      <c r="J2960" t="inlineStr">
        <is>
          <t>M</t>
        </is>
      </c>
      <c r="K2960" t="n">
        <v>2025</v>
      </c>
      <c r="L2960" t="n">
        <v>8</v>
      </c>
      <c r="M2960" t="inlineStr">
        <is>
          <t>Todos</t>
        </is>
      </c>
      <c r="N2960" t="inlineStr">
        <is>
          <t>Hamburgueria</t>
        </is>
      </c>
      <c r="O2960" t="n">
        <v>1</v>
      </c>
      <c r="P2960" t="n">
        <v>1</v>
      </c>
      <c r="Q2960" t="n">
        <v>0</v>
      </c>
    </row>
    <row r="2961">
      <c r="J2961" t="inlineStr">
        <is>
          <t>A</t>
        </is>
      </c>
      <c r="K2961" t="n">
        <v>2025</v>
      </c>
      <c r="L2961" t="n">
        <v>9</v>
      </c>
      <c r="M2961" t="inlineStr">
        <is>
          <t>Todos</t>
        </is>
      </c>
      <c r="N2961" t="inlineStr">
        <is>
          <t>Hamburgueria</t>
        </is>
      </c>
      <c r="O2961" t="n">
        <v>10</v>
      </c>
      <c r="P2961" t="n">
        <v>32</v>
      </c>
      <c r="Q2961" t="n">
        <v>7</v>
      </c>
    </row>
    <row r="2962">
      <c r="J2962" t="inlineStr">
        <is>
          <t>A</t>
        </is>
      </c>
      <c r="K2962" t="n">
        <v>2025</v>
      </c>
      <c r="L2962" t="n">
        <v>10</v>
      </c>
      <c r="M2962" t="inlineStr">
        <is>
          <t>Todos</t>
        </is>
      </c>
      <c r="N2962" t="inlineStr">
        <is>
          <t>Hamburgueria</t>
        </is>
      </c>
      <c r="O2962" t="n">
        <v>10</v>
      </c>
      <c r="P2962" t="n">
        <v>32</v>
      </c>
      <c r="Q2962" t="n">
        <v>7</v>
      </c>
    </row>
    <row r="2963">
      <c r="J2963" t="inlineStr">
        <is>
          <t>A</t>
        </is>
      </c>
      <c r="K2963" t="n">
        <v>2025</v>
      </c>
      <c r="L2963" t="n">
        <v>11</v>
      </c>
      <c r="M2963" t="inlineStr">
        <is>
          <t>Todos</t>
        </is>
      </c>
      <c r="N2963" t="inlineStr">
        <is>
          <t>Hamburgueria</t>
        </is>
      </c>
      <c r="O2963" t="n">
        <v>10</v>
      </c>
      <c r="P2963" t="n">
        <v>32</v>
      </c>
      <c r="Q2963" t="n">
        <v>7</v>
      </c>
    </row>
    <row r="2964">
      <c r="J2964" t="inlineStr">
        <is>
          <t>A</t>
        </is>
      </c>
      <c r="K2964" t="n">
        <v>2025</v>
      </c>
      <c r="L2964" t="n">
        <v>12</v>
      </c>
      <c r="M2964" t="inlineStr">
        <is>
          <t>Todos</t>
        </is>
      </c>
      <c r="N2964" t="inlineStr">
        <is>
          <t>Hamburgueria</t>
        </is>
      </c>
      <c r="O2964" t="n">
        <v>10</v>
      </c>
      <c r="P2964" t="n">
        <v>32</v>
      </c>
      <c r="Q2964" t="n">
        <v>7</v>
      </c>
    </row>
    <row r="2965">
      <c r="J2965" t="inlineStr">
        <is>
          <t>A</t>
        </is>
      </c>
      <c r="K2965" t="n">
        <v>2025</v>
      </c>
      <c r="L2965" t="n">
        <v>1</v>
      </c>
      <c r="M2965" t="inlineStr">
        <is>
          <t>Todos</t>
        </is>
      </c>
      <c r="N2965" t="inlineStr">
        <is>
          <t>Laticínios / Distribuidor</t>
        </is>
      </c>
      <c r="O2965" t="n">
        <v>2</v>
      </c>
      <c r="P2965" t="n">
        <v>2</v>
      </c>
      <c r="Q2965" t="n">
        <v>1</v>
      </c>
    </row>
    <row r="2966">
      <c r="J2966" t="inlineStr">
        <is>
          <t>M</t>
        </is>
      </c>
      <c r="K2966" t="n">
        <v>2025</v>
      </c>
      <c r="L2966" t="n">
        <v>1</v>
      </c>
      <c r="M2966" t="inlineStr">
        <is>
          <t>Todos</t>
        </is>
      </c>
      <c r="N2966" t="inlineStr">
        <is>
          <t>Laticínios / Distribuidor</t>
        </is>
      </c>
      <c r="O2966" t="n">
        <v>2</v>
      </c>
      <c r="P2966" t="n">
        <v>2</v>
      </c>
      <c r="Q2966" t="n">
        <v>0</v>
      </c>
    </row>
    <row r="2967">
      <c r="J2967" t="inlineStr">
        <is>
          <t>A</t>
        </is>
      </c>
      <c r="K2967" t="n">
        <v>2025</v>
      </c>
      <c r="L2967" t="n">
        <v>2</v>
      </c>
      <c r="M2967" t="inlineStr">
        <is>
          <t>Todos</t>
        </is>
      </c>
      <c r="N2967" t="inlineStr">
        <is>
          <t>Laticínios / Distribuidor</t>
        </is>
      </c>
      <c r="O2967" t="n">
        <v>2</v>
      </c>
      <c r="P2967" t="n">
        <v>2</v>
      </c>
      <c r="Q2967" t="n">
        <v>1</v>
      </c>
    </row>
    <row r="2968">
      <c r="J2968" t="inlineStr">
        <is>
          <t>A</t>
        </is>
      </c>
      <c r="K2968" t="n">
        <v>2025</v>
      </c>
      <c r="L2968" t="n">
        <v>3</v>
      </c>
      <c r="M2968" t="inlineStr">
        <is>
          <t>Todos</t>
        </is>
      </c>
      <c r="N2968" t="inlineStr">
        <is>
          <t>Laticínios / Distribuidor</t>
        </is>
      </c>
      <c r="O2968" t="n">
        <v>2</v>
      </c>
      <c r="P2968" t="n">
        <v>2</v>
      </c>
      <c r="Q2968" t="n">
        <v>1</v>
      </c>
    </row>
    <row r="2969">
      <c r="J2969" t="inlineStr">
        <is>
          <t>A</t>
        </is>
      </c>
      <c r="K2969" t="n">
        <v>2025</v>
      </c>
      <c r="L2969" t="n">
        <v>4</v>
      </c>
      <c r="M2969" t="inlineStr">
        <is>
          <t>Todos</t>
        </is>
      </c>
      <c r="N2969" t="inlineStr">
        <is>
          <t>Laticínios / Distribuidor</t>
        </is>
      </c>
      <c r="O2969" t="n">
        <v>2</v>
      </c>
      <c r="P2969" t="n">
        <v>2</v>
      </c>
      <c r="Q2969" t="n">
        <v>1</v>
      </c>
    </row>
    <row r="2970">
      <c r="J2970" t="inlineStr">
        <is>
          <t>A</t>
        </is>
      </c>
      <c r="K2970" t="n">
        <v>2025</v>
      </c>
      <c r="L2970" t="n">
        <v>5</v>
      </c>
      <c r="M2970" t="inlineStr">
        <is>
          <t>Todos</t>
        </is>
      </c>
      <c r="N2970" t="inlineStr">
        <is>
          <t>Laticínios / Distribuidor</t>
        </is>
      </c>
      <c r="O2970" t="n">
        <v>3</v>
      </c>
      <c r="P2970" t="n">
        <v>4</v>
      </c>
      <c r="Q2970" t="n">
        <v>2</v>
      </c>
    </row>
    <row r="2971">
      <c r="J2971" t="inlineStr">
        <is>
          <t>M</t>
        </is>
      </c>
      <c r="K2971" t="n">
        <v>2025</v>
      </c>
      <c r="L2971" t="n">
        <v>5</v>
      </c>
      <c r="M2971" t="inlineStr">
        <is>
          <t>Todos</t>
        </is>
      </c>
      <c r="N2971" t="inlineStr">
        <is>
          <t>Laticínios / Distribuidor</t>
        </is>
      </c>
      <c r="O2971" t="n">
        <v>2</v>
      </c>
      <c r="P2971" t="n">
        <v>2</v>
      </c>
      <c r="Q2971" t="n">
        <v>0</v>
      </c>
    </row>
    <row r="2972">
      <c r="J2972" t="inlineStr">
        <is>
          <t>A</t>
        </is>
      </c>
      <c r="K2972" t="n">
        <v>2025</v>
      </c>
      <c r="L2972" t="n">
        <v>6</v>
      </c>
      <c r="M2972" t="inlineStr">
        <is>
          <t>Todos</t>
        </is>
      </c>
      <c r="N2972" t="inlineStr">
        <is>
          <t>Laticínios / Distribuidor</t>
        </is>
      </c>
      <c r="O2972" t="n">
        <v>3</v>
      </c>
      <c r="P2972" t="n">
        <v>4</v>
      </c>
      <c r="Q2972" t="n">
        <v>2</v>
      </c>
    </row>
    <row r="2973">
      <c r="J2973" t="inlineStr">
        <is>
          <t>A</t>
        </is>
      </c>
      <c r="K2973" t="n">
        <v>2025</v>
      </c>
      <c r="L2973" t="n">
        <v>7</v>
      </c>
      <c r="M2973" t="inlineStr">
        <is>
          <t>Todos</t>
        </is>
      </c>
      <c r="N2973" t="inlineStr">
        <is>
          <t>Laticínios / Distribuidor</t>
        </is>
      </c>
      <c r="O2973" t="n">
        <v>3</v>
      </c>
      <c r="P2973" t="n">
        <v>6</v>
      </c>
      <c r="Q2973" t="n">
        <v>2</v>
      </c>
    </row>
    <row r="2974">
      <c r="J2974" t="inlineStr">
        <is>
          <t>M</t>
        </is>
      </c>
      <c r="K2974" t="n">
        <v>2025</v>
      </c>
      <c r="L2974" t="n">
        <v>7</v>
      </c>
      <c r="M2974" t="inlineStr">
        <is>
          <t>Todos</t>
        </is>
      </c>
      <c r="N2974" t="inlineStr">
        <is>
          <t>Laticínios / Distribuidor</t>
        </is>
      </c>
      <c r="O2974" t="n">
        <v>2</v>
      </c>
      <c r="P2974" t="n">
        <v>2</v>
      </c>
      <c r="Q2974" t="n">
        <v>0</v>
      </c>
    </row>
    <row r="2975">
      <c r="J2975" t="inlineStr">
        <is>
          <t>A</t>
        </is>
      </c>
      <c r="K2975" t="n">
        <v>2025</v>
      </c>
      <c r="L2975" t="n">
        <v>8</v>
      </c>
      <c r="M2975" t="inlineStr">
        <is>
          <t>Todos</t>
        </is>
      </c>
      <c r="N2975" t="inlineStr">
        <is>
          <t>Laticínios / Distribuidor</t>
        </is>
      </c>
      <c r="O2975" t="n">
        <v>4</v>
      </c>
      <c r="P2975" t="n">
        <v>7</v>
      </c>
      <c r="Q2975" t="n">
        <v>3</v>
      </c>
    </row>
    <row r="2976">
      <c r="J2976" t="inlineStr">
        <is>
          <t>M</t>
        </is>
      </c>
      <c r="K2976" t="n">
        <v>2025</v>
      </c>
      <c r="L2976" t="n">
        <v>8</v>
      </c>
      <c r="M2976" t="inlineStr">
        <is>
          <t>Todos</t>
        </is>
      </c>
      <c r="N2976" t="inlineStr">
        <is>
          <t>Laticínios / Distribuidor</t>
        </is>
      </c>
      <c r="O2976" t="n">
        <v>1</v>
      </c>
      <c r="P2976" t="n">
        <v>1</v>
      </c>
      <c r="Q2976" t="n">
        <v>0</v>
      </c>
    </row>
    <row r="2977">
      <c r="J2977" t="inlineStr">
        <is>
          <t>A</t>
        </is>
      </c>
      <c r="K2977" t="n">
        <v>2025</v>
      </c>
      <c r="L2977" t="n">
        <v>9</v>
      </c>
      <c r="M2977" t="inlineStr">
        <is>
          <t>Todos</t>
        </is>
      </c>
      <c r="N2977" t="inlineStr">
        <is>
          <t>Laticínios / Distribuidor</t>
        </is>
      </c>
      <c r="O2977" t="n">
        <v>5</v>
      </c>
      <c r="P2977" t="n">
        <v>9</v>
      </c>
      <c r="Q2977" t="n">
        <v>4</v>
      </c>
    </row>
    <row r="2978">
      <c r="J2978" t="inlineStr">
        <is>
          <t>M</t>
        </is>
      </c>
      <c r="K2978" t="n">
        <v>2025</v>
      </c>
      <c r="L2978" t="n">
        <v>9</v>
      </c>
      <c r="M2978" t="inlineStr">
        <is>
          <t>Todos</t>
        </is>
      </c>
      <c r="N2978" t="inlineStr">
        <is>
          <t>Laticínios / Distribuidor</t>
        </is>
      </c>
      <c r="O2978" t="n">
        <v>2</v>
      </c>
      <c r="P2978" t="n">
        <v>2</v>
      </c>
      <c r="Q2978" t="n">
        <v>0</v>
      </c>
    </row>
    <row r="2979">
      <c r="J2979" t="inlineStr">
        <is>
          <t>A</t>
        </is>
      </c>
      <c r="K2979" t="n">
        <v>2025</v>
      </c>
      <c r="L2979" t="n">
        <v>10</v>
      </c>
      <c r="M2979" t="inlineStr">
        <is>
          <t>Todos</t>
        </is>
      </c>
      <c r="N2979" t="inlineStr">
        <is>
          <t>Laticínios / Distribuidor</t>
        </is>
      </c>
      <c r="O2979" t="n">
        <v>6</v>
      </c>
      <c r="P2979" t="n">
        <v>11</v>
      </c>
      <c r="Q2979" t="n">
        <v>5</v>
      </c>
    </row>
    <row r="2980">
      <c r="J2980" t="inlineStr">
        <is>
          <t>M</t>
        </is>
      </c>
      <c r="K2980" t="n">
        <v>2025</v>
      </c>
      <c r="L2980" t="n">
        <v>10</v>
      </c>
      <c r="M2980" t="inlineStr">
        <is>
          <t>Todos</t>
        </is>
      </c>
      <c r="N2980" t="inlineStr">
        <is>
          <t>Laticínios / Distribuidor</t>
        </is>
      </c>
      <c r="O2980" t="n">
        <v>2</v>
      </c>
      <c r="P2980" t="n">
        <v>2</v>
      </c>
      <c r="Q2980" t="n">
        <v>0</v>
      </c>
    </row>
    <row r="2981">
      <c r="J2981" t="inlineStr">
        <is>
          <t>A</t>
        </is>
      </c>
      <c r="K2981" t="n">
        <v>2025</v>
      </c>
      <c r="L2981" t="n">
        <v>11</v>
      </c>
      <c r="M2981" t="inlineStr">
        <is>
          <t>Todos</t>
        </is>
      </c>
      <c r="N2981" t="inlineStr">
        <is>
          <t>Laticínios / Distribuidor</t>
        </is>
      </c>
      <c r="O2981" t="n">
        <v>6</v>
      </c>
      <c r="P2981" t="n">
        <v>11</v>
      </c>
      <c r="Q2981" t="n">
        <v>5</v>
      </c>
    </row>
    <row r="2982">
      <c r="J2982" t="inlineStr">
        <is>
          <t>A</t>
        </is>
      </c>
      <c r="K2982" t="n">
        <v>2025</v>
      </c>
      <c r="L2982" t="n">
        <v>12</v>
      </c>
      <c r="M2982" t="inlineStr">
        <is>
          <t>Todos</t>
        </is>
      </c>
      <c r="N2982" t="inlineStr">
        <is>
          <t>Laticínios / Distribuidor</t>
        </is>
      </c>
      <c r="O2982" t="n">
        <v>6</v>
      </c>
      <c r="P2982" t="n">
        <v>11</v>
      </c>
      <c r="Q2982" t="n">
        <v>5</v>
      </c>
    </row>
    <row r="2983">
      <c r="J2983" t="inlineStr">
        <is>
          <t>A</t>
        </is>
      </c>
      <c r="K2983" t="n">
        <v>2025</v>
      </c>
      <c r="L2983" t="n">
        <v>1</v>
      </c>
      <c r="M2983" t="inlineStr">
        <is>
          <t>Todos</t>
        </is>
      </c>
      <c r="N2983" t="inlineStr">
        <is>
          <t>Cozinha Oriental</t>
        </is>
      </c>
      <c r="O2983" t="n">
        <v>3</v>
      </c>
      <c r="P2983" t="n">
        <v>10</v>
      </c>
      <c r="Q2983" t="n">
        <v>1</v>
      </c>
    </row>
    <row r="2984">
      <c r="J2984" t="inlineStr">
        <is>
          <t>M</t>
        </is>
      </c>
      <c r="K2984" t="n">
        <v>2025</v>
      </c>
      <c r="L2984" t="n">
        <v>1</v>
      </c>
      <c r="M2984" t="inlineStr">
        <is>
          <t>Todos</t>
        </is>
      </c>
      <c r="N2984" t="inlineStr">
        <is>
          <t>Cozinha Oriental</t>
        </is>
      </c>
      <c r="O2984" t="n">
        <v>3</v>
      </c>
      <c r="P2984" t="n">
        <v>10</v>
      </c>
      <c r="Q2984" t="n">
        <v>0</v>
      </c>
    </row>
    <row r="2985">
      <c r="J2985" t="inlineStr">
        <is>
          <t>A</t>
        </is>
      </c>
      <c r="K2985" t="n">
        <v>2025</v>
      </c>
      <c r="L2985" t="n">
        <v>2</v>
      </c>
      <c r="M2985" t="inlineStr">
        <is>
          <t>Todos</t>
        </is>
      </c>
      <c r="N2985" t="inlineStr">
        <is>
          <t>Cozinha Oriental</t>
        </is>
      </c>
      <c r="O2985" t="n">
        <v>4</v>
      </c>
      <c r="P2985" t="n">
        <v>17</v>
      </c>
      <c r="Q2985" t="n">
        <v>2</v>
      </c>
    </row>
    <row r="2986">
      <c r="J2986" t="inlineStr">
        <is>
          <t>M</t>
        </is>
      </c>
      <c r="K2986" t="n">
        <v>2025</v>
      </c>
      <c r="L2986" t="n">
        <v>2</v>
      </c>
      <c r="M2986" t="inlineStr">
        <is>
          <t>Todos</t>
        </is>
      </c>
      <c r="N2986" t="inlineStr">
        <is>
          <t>Cozinha Oriental</t>
        </is>
      </c>
      <c r="O2986" t="n">
        <v>2</v>
      </c>
      <c r="P2986" t="n">
        <v>7</v>
      </c>
      <c r="Q2986" t="n">
        <v>0</v>
      </c>
    </row>
    <row r="2987">
      <c r="J2987" t="inlineStr">
        <is>
          <t>A</t>
        </is>
      </c>
      <c r="K2987" t="n">
        <v>2025</v>
      </c>
      <c r="L2987" t="n">
        <v>3</v>
      </c>
      <c r="M2987" t="inlineStr">
        <is>
          <t>Todos</t>
        </is>
      </c>
      <c r="N2987" t="inlineStr">
        <is>
          <t>Cozinha Oriental</t>
        </is>
      </c>
      <c r="O2987" t="n">
        <v>4</v>
      </c>
      <c r="P2987" t="n">
        <v>23</v>
      </c>
      <c r="Q2987" t="n">
        <v>2</v>
      </c>
    </row>
    <row r="2988">
      <c r="J2988" t="inlineStr">
        <is>
          <t>M</t>
        </is>
      </c>
      <c r="K2988" t="n">
        <v>2025</v>
      </c>
      <c r="L2988" t="n">
        <v>3</v>
      </c>
      <c r="M2988" t="inlineStr">
        <is>
          <t>Todos</t>
        </is>
      </c>
      <c r="N2988" t="inlineStr">
        <is>
          <t>Cozinha Oriental</t>
        </is>
      </c>
      <c r="O2988" t="n">
        <v>1</v>
      </c>
      <c r="P2988" t="n">
        <v>6</v>
      </c>
      <c r="Q2988" t="n">
        <v>0</v>
      </c>
    </row>
    <row r="2989">
      <c r="J2989" t="inlineStr">
        <is>
          <t>A</t>
        </is>
      </c>
      <c r="K2989" t="n">
        <v>2025</v>
      </c>
      <c r="L2989" t="n">
        <v>4</v>
      </c>
      <c r="M2989" t="inlineStr">
        <is>
          <t>Todos</t>
        </is>
      </c>
      <c r="N2989" t="inlineStr">
        <is>
          <t>Cozinha Oriental</t>
        </is>
      </c>
      <c r="O2989" t="n">
        <v>5</v>
      </c>
      <c r="P2989" t="n">
        <v>26</v>
      </c>
      <c r="Q2989" t="n">
        <v>3</v>
      </c>
    </row>
    <row r="2990">
      <c r="J2990" t="inlineStr">
        <is>
          <t>M</t>
        </is>
      </c>
      <c r="K2990" t="n">
        <v>2025</v>
      </c>
      <c r="L2990" t="n">
        <v>4</v>
      </c>
      <c r="M2990" t="inlineStr">
        <is>
          <t>Todos</t>
        </is>
      </c>
      <c r="N2990" t="inlineStr">
        <is>
          <t>Cozinha Oriental</t>
        </is>
      </c>
      <c r="O2990" t="n">
        <v>3</v>
      </c>
      <c r="P2990" t="n">
        <v>3</v>
      </c>
      <c r="Q2990" t="n">
        <v>0</v>
      </c>
    </row>
    <row r="2991">
      <c r="J2991" t="inlineStr">
        <is>
          <t>A</t>
        </is>
      </c>
      <c r="K2991" t="n">
        <v>2025</v>
      </c>
      <c r="L2991" t="n">
        <v>5</v>
      </c>
      <c r="M2991" t="inlineStr">
        <is>
          <t>Todos</t>
        </is>
      </c>
      <c r="N2991" t="inlineStr">
        <is>
          <t>Cozinha Oriental</t>
        </is>
      </c>
      <c r="O2991" t="n">
        <v>6</v>
      </c>
      <c r="P2991" t="n">
        <v>29</v>
      </c>
      <c r="Q2991" t="n">
        <v>3</v>
      </c>
    </row>
    <row r="2992">
      <c r="J2992" t="inlineStr">
        <is>
          <t>M</t>
        </is>
      </c>
      <c r="K2992" t="n">
        <v>2025</v>
      </c>
      <c r="L2992" t="n">
        <v>5</v>
      </c>
      <c r="M2992" t="inlineStr">
        <is>
          <t>Todos</t>
        </is>
      </c>
      <c r="N2992" t="inlineStr">
        <is>
          <t>Cozinha Oriental</t>
        </is>
      </c>
      <c r="O2992" t="n">
        <v>3</v>
      </c>
      <c r="P2992" t="n">
        <v>3</v>
      </c>
      <c r="Q2992" t="n">
        <v>0</v>
      </c>
    </row>
    <row r="2993">
      <c r="J2993" t="inlineStr">
        <is>
          <t>A</t>
        </is>
      </c>
      <c r="K2993" t="n">
        <v>2025</v>
      </c>
      <c r="L2993" t="n">
        <v>6</v>
      </c>
      <c r="M2993" t="inlineStr">
        <is>
          <t>Todos</t>
        </is>
      </c>
      <c r="N2993" t="inlineStr">
        <is>
          <t>Cozinha Oriental</t>
        </is>
      </c>
      <c r="O2993" t="n">
        <v>6</v>
      </c>
      <c r="P2993" t="n">
        <v>32</v>
      </c>
      <c r="Q2993" t="n">
        <v>3</v>
      </c>
    </row>
    <row r="2994">
      <c r="J2994" t="inlineStr">
        <is>
          <t>M</t>
        </is>
      </c>
      <c r="K2994" t="n">
        <v>2025</v>
      </c>
      <c r="L2994" t="n">
        <v>6</v>
      </c>
      <c r="M2994" t="inlineStr">
        <is>
          <t>Todos</t>
        </is>
      </c>
      <c r="N2994" t="inlineStr">
        <is>
          <t>Cozinha Oriental</t>
        </is>
      </c>
      <c r="O2994" t="n">
        <v>3</v>
      </c>
      <c r="P2994" t="n">
        <v>3</v>
      </c>
      <c r="Q2994" t="n">
        <v>0</v>
      </c>
    </row>
    <row r="2995">
      <c r="J2995" t="inlineStr">
        <is>
          <t>A</t>
        </is>
      </c>
      <c r="K2995" t="n">
        <v>2025</v>
      </c>
      <c r="L2995" t="n">
        <v>7</v>
      </c>
      <c r="M2995" t="inlineStr">
        <is>
          <t>Todos</t>
        </is>
      </c>
      <c r="N2995" t="inlineStr">
        <is>
          <t>Cozinha Oriental</t>
        </is>
      </c>
      <c r="O2995" t="n">
        <v>7</v>
      </c>
      <c r="P2995" t="n">
        <v>34</v>
      </c>
      <c r="Q2995" t="n">
        <v>4</v>
      </c>
    </row>
    <row r="2996">
      <c r="J2996" t="inlineStr">
        <is>
          <t>M</t>
        </is>
      </c>
      <c r="K2996" t="n">
        <v>2025</v>
      </c>
      <c r="L2996" t="n">
        <v>7</v>
      </c>
      <c r="M2996" t="inlineStr">
        <is>
          <t>Todos</t>
        </is>
      </c>
      <c r="N2996" t="inlineStr">
        <is>
          <t>Cozinha Oriental</t>
        </is>
      </c>
      <c r="O2996" t="n">
        <v>2</v>
      </c>
      <c r="P2996" t="n">
        <v>2</v>
      </c>
      <c r="Q2996" t="n">
        <v>0</v>
      </c>
    </row>
    <row r="2997">
      <c r="J2997" t="inlineStr">
        <is>
          <t>A</t>
        </is>
      </c>
      <c r="K2997" t="n">
        <v>2025</v>
      </c>
      <c r="L2997" t="n">
        <v>8</v>
      </c>
      <c r="M2997" t="inlineStr">
        <is>
          <t>Todos</t>
        </is>
      </c>
      <c r="N2997" t="inlineStr">
        <is>
          <t>Cozinha Oriental</t>
        </is>
      </c>
      <c r="O2997" t="n">
        <v>7</v>
      </c>
      <c r="P2997" t="n">
        <v>35</v>
      </c>
      <c r="Q2997" t="n">
        <v>4</v>
      </c>
    </row>
    <row r="2998">
      <c r="J2998" t="inlineStr">
        <is>
          <t>M</t>
        </is>
      </c>
      <c r="K2998" t="n">
        <v>2025</v>
      </c>
      <c r="L2998" t="n">
        <v>8</v>
      </c>
      <c r="M2998" t="inlineStr">
        <is>
          <t>Todos</t>
        </is>
      </c>
      <c r="N2998" t="inlineStr">
        <is>
          <t>Cozinha Oriental</t>
        </is>
      </c>
      <c r="O2998" t="n">
        <v>1</v>
      </c>
      <c r="P2998" t="n">
        <v>1</v>
      </c>
      <c r="Q2998" t="n">
        <v>0</v>
      </c>
    </row>
    <row r="2999">
      <c r="J2999" t="inlineStr">
        <is>
          <t>A</t>
        </is>
      </c>
      <c r="K2999" t="n">
        <v>2025</v>
      </c>
      <c r="L2999" t="n">
        <v>9</v>
      </c>
      <c r="M2999" t="inlineStr">
        <is>
          <t>Todos</t>
        </is>
      </c>
      <c r="N2999" t="inlineStr">
        <is>
          <t>Cozinha Oriental</t>
        </is>
      </c>
      <c r="O2999" t="n">
        <v>7</v>
      </c>
      <c r="P2999" t="n">
        <v>35</v>
      </c>
      <c r="Q2999" t="n">
        <v>4</v>
      </c>
    </row>
    <row r="3000">
      <c r="J3000" t="inlineStr">
        <is>
          <t>A</t>
        </is>
      </c>
      <c r="K3000" t="n">
        <v>2025</v>
      </c>
      <c r="L3000" t="n">
        <v>10</v>
      </c>
      <c r="M3000" t="inlineStr">
        <is>
          <t>Todos</t>
        </is>
      </c>
      <c r="N3000" t="inlineStr">
        <is>
          <t>Cozinha Oriental</t>
        </is>
      </c>
      <c r="O3000" t="n">
        <v>7</v>
      </c>
      <c r="P3000" t="n">
        <v>35</v>
      </c>
      <c r="Q3000" t="n">
        <v>4</v>
      </c>
    </row>
    <row r="3001">
      <c r="J3001" t="inlineStr">
        <is>
          <t>A</t>
        </is>
      </c>
      <c r="K3001" t="n">
        <v>2025</v>
      </c>
      <c r="L3001" t="n">
        <v>11</v>
      </c>
      <c r="M3001" t="inlineStr">
        <is>
          <t>Todos</t>
        </is>
      </c>
      <c r="N3001" t="inlineStr">
        <is>
          <t>Cozinha Oriental</t>
        </is>
      </c>
      <c r="O3001" t="n">
        <v>7</v>
      </c>
      <c r="P3001" t="n">
        <v>35</v>
      </c>
      <c r="Q3001" t="n">
        <v>4</v>
      </c>
    </row>
    <row r="3002">
      <c r="J3002" t="inlineStr">
        <is>
          <t>A</t>
        </is>
      </c>
      <c r="K3002" t="n">
        <v>2025</v>
      </c>
      <c r="L3002" t="n">
        <v>12</v>
      </c>
      <c r="M3002" t="inlineStr">
        <is>
          <t>Todos</t>
        </is>
      </c>
      <c r="N3002" t="inlineStr">
        <is>
          <t>Cozinha Oriental</t>
        </is>
      </c>
      <c r="O3002" t="n">
        <v>7</v>
      </c>
      <c r="P3002" t="n">
        <v>35</v>
      </c>
      <c r="Q3002" t="n">
        <v>4</v>
      </c>
    </row>
    <row r="3003">
      <c r="J3003" t="inlineStr">
        <is>
          <t>A</t>
        </is>
      </c>
      <c r="K3003" t="n">
        <v>2025</v>
      </c>
      <c r="L3003" t="n">
        <v>3</v>
      </c>
      <c r="M3003" t="inlineStr">
        <is>
          <t>Todos</t>
        </is>
      </c>
      <c r="N3003" t="inlineStr">
        <is>
          <t>Adega</t>
        </is>
      </c>
      <c r="O3003" t="n">
        <v>1</v>
      </c>
      <c r="P3003" t="n">
        <v>1</v>
      </c>
      <c r="Q3003" t="n">
        <v>0</v>
      </c>
    </row>
    <row r="3004">
      <c r="J3004" t="inlineStr">
        <is>
          <t>M</t>
        </is>
      </c>
      <c r="K3004" t="n">
        <v>2025</v>
      </c>
      <c r="L3004" t="n">
        <v>3</v>
      </c>
      <c r="M3004" t="inlineStr">
        <is>
          <t>Todos</t>
        </is>
      </c>
      <c r="N3004" t="inlineStr">
        <is>
          <t>Adega</t>
        </is>
      </c>
      <c r="O3004" t="n">
        <v>1</v>
      </c>
      <c r="P3004" t="n">
        <v>1</v>
      </c>
      <c r="Q3004" t="n">
        <v>0</v>
      </c>
    </row>
    <row r="3005">
      <c r="J3005" t="inlineStr">
        <is>
          <t>A</t>
        </is>
      </c>
      <c r="K3005" t="n">
        <v>2025</v>
      </c>
      <c r="L3005" t="n">
        <v>4</v>
      </c>
      <c r="M3005" t="inlineStr">
        <is>
          <t>Todos</t>
        </is>
      </c>
      <c r="N3005" t="inlineStr">
        <is>
          <t>Adega</t>
        </is>
      </c>
      <c r="O3005" t="n">
        <v>1</v>
      </c>
      <c r="P3005" t="n">
        <v>1</v>
      </c>
      <c r="Q3005" t="n">
        <v>0</v>
      </c>
    </row>
    <row r="3006">
      <c r="J3006" t="inlineStr">
        <is>
          <t>A</t>
        </is>
      </c>
      <c r="K3006" t="n">
        <v>2025</v>
      </c>
      <c r="L3006" t="n">
        <v>5</v>
      </c>
      <c r="M3006" t="inlineStr">
        <is>
          <t>Todos</t>
        </is>
      </c>
      <c r="N3006" t="inlineStr">
        <is>
          <t>Adega</t>
        </is>
      </c>
      <c r="O3006" t="n">
        <v>1</v>
      </c>
      <c r="P3006" t="n">
        <v>1</v>
      </c>
      <c r="Q3006" t="n">
        <v>0</v>
      </c>
    </row>
    <row r="3007">
      <c r="J3007" t="inlineStr">
        <is>
          <t>A</t>
        </is>
      </c>
      <c r="K3007" t="n">
        <v>2025</v>
      </c>
      <c r="L3007" t="n">
        <v>6</v>
      </c>
      <c r="M3007" t="inlineStr">
        <is>
          <t>Todos</t>
        </is>
      </c>
      <c r="N3007" t="inlineStr">
        <is>
          <t>Adega</t>
        </is>
      </c>
      <c r="O3007" t="n">
        <v>1</v>
      </c>
      <c r="P3007" t="n">
        <v>1</v>
      </c>
      <c r="Q3007" t="n">
        <v>0</v>
      </c>
    </row>
    <row r="3008">
      <c r="J3008" t="inlineStr">
        <is>
          <t>A</t>
        </is>
      </c>
      <c r="K3008" t="n">
        <v>2025</v>
      </c>
      <c r="L3008" t="n">
        <v>7</v>
      </c>
      <c r="M3008" t="inlineStr">
        <is>
          <t>Todos</t>
        </is>
      </c>
      <c r="N3008" t="inlineStr">
        <is>
          <t>Adega</t>
        </is>
      </c>
      <c r="O3008" t="n">
        <v>1</v>
      </c>
      <c r="P3008" t="n">
        <v>1</v>
      </c>
      <c r="Q3008" t="n">
        <v>0</v>
      </c>
    </row>
    <row r="3009">
      <c r="J3009" t="inlineStr">
        <is>
          <t>A</t>
        </is>
      </c>
      <c r="K3009" t="n">
        <v>2025</v>
      </c>
      <c r="L3009" t="n">
        <v>8</v>
      </c>
      <c r="M3009" t="inlineStr">
        <is>
          <t>Todos</t>
        </is>
      </c>
      <c r="N3009" t="inlineStr">
        <is>
          <t>Adega</t>
        </is>
      </c>
      <c r="O3009" t="n">
        <v>1</v>
      </c>
      <c r="P3009" t="n">
        <v>1</v>
      </c>
      <c r="Q3009" t="n">
        <v>0</v>
      </c>
    </row>
    <row r="3010">
      <c r="J3010" t="inlineStr">
        <is>
          <t>A</t>
        </is>
      </c>
      <c r="K3010" t="n">
        <v>2025</v>
      </c>
      <c r="L3010" t="n">
        <v>9</v>
      </c>
      <c r="M3010" t="inlineStr">
        <is>
          <t>Todos</t>
        </is>
      </c>
      <c r="N3010" t="inlineStr">
        <is>
          <t>Adega</t>
        </is>
      </c>
      <c r="O3010" t="n">
        <v>1</v>
      </c>
      <c r="P3010" t="n">
        <v>1</v>
      </c>
      <c r="Q3010" t="n">
        <v>0</v>
      </c>
    </row>
    <row r="3011">
      <c r="J3011" t="inlineStr">
        <is>
          <t>A</t>
        </is>
      </c>
      <c r="K3011" t="n">
        <v>2025</v>
      </c>
      <c r="L3011" t="n">
        <v>10</v>
      </c>
      <c r="M3011" t="inlineStr">
        <is>
          <t>Todos</t>
        </is>
      </c>
      <c r="N3011" t="inlineStr">
        <is>
          <t>Adega</t>
        </is>
      </c>
      <c r="O3011" t="n">
        <v>1</v>
      </c>
      <c r="P3011" t="n">
        <v>1</v>
      </c>
      <c r="Q3011" t="n">
        <v>0</v>
      </c>
    </row>
    <row r="3012">
      <c r="J3012" t="inlineStr">
        <is>
          <t>A</t>
        </is>
      </c>
      <c r="K3012" t="n">
        <v>2025</v>
      </c>
      <c r="L3012" t="n">
        <v>11</v>
      </c>
      <c r="M3012" t="inlineStr">
        <is>
          <t>Todos</t>
        </is>
      </c>
      <c r="N3012" t="inlineStr">
        <is>
          <t>Adega</t>
        </is>
      </c>
      <c r="O3012" t="n">
        <v>1</v>
      </c>
      <c r="P3012" t="n">
        <v>1</v>
      </c>
      <c r="Q3012" t="n">
        <v>0</v>
      </c>
    </row>
    <row r="3013">
      <c r="J3013" t="inlineStr">
        <is>
          <t>A</t>
        </is>
      </c>
      <c r="K3013" t="n">
        <v>2025</v>
      </c>
      <c r="L3013" t="n">
        <v>12</v>
      </c>
      <c r="M3013" t="inlineStr">
        <is>
          <t>Todos</t>
        </is>
      </c>
      <c r="N3013" t="inlineStr">
        <is>
          <t>Adega</t>
        </is>
      </c>
      <c r="O3013" t="n">
        <v>1</v>
      </c>
      <c r="P3013" t="n">
        <v>1</v>
      </c>
      <c r="Q3013" t="n">
        <v>0</v>
      </c>
    </row>
    <row r="3014">
      <c r="J3014" t="inlineStr">
        <is>
          <t>A</t>
        </is>
      </c>
      <c r="K3014" t="n">
        <v>2025</v>
      </c>
      <c r="L3014" t="n">
        <v>1</v>
      </c>
      <c r="M3014" t="inlineStr">
        <is>
          <t>Todos</t>
        </is>
      </c>
      <c r="N3014" t="inlineStr">
        <is>
          <t>Bar / Chopperia</t>
        </is>
      </c>
      <c r="O3014" t="n">
        <v>1</v>
      </c>
      <c r="P3014" t="n">
        <v>3</v>
      </c>
      <c r="Q3014" t="n">
        <v>0</v>
      </c>
    </row>
    <row r="3015">
      <c r="J3015" t="inlineStr">
        <is>
          <t>M</t>
        </is>
      </c>
      <c r="K3015" t="n">
        <v>2025</v>
      </c>
      <c r="L3015" t="n">
        <v>1</v>
      </c>
      <c r="M3015" t="inlineStr">
        <is>
          <t>Todos</t>
        </is>
      </c>
      <c r="N3015" t="inlineStr">
        <is>
          <t>Bar / Chopperia</t>
        </is>
      </c>
      <c r="O3015" t="n">
        <v>1</v>
      </c>
      <c r="P3015" t="n">
        <v>3</v>
      </c>
      <c r="Q3015" t="n">
        <v>0</v>
      </c>
    </row>
    <row r="3016">
      <c r="J3016" t="inlineStr">
        <is>
          <t>A</t>
        </is>
      </c>
      <c r="K3016" t="n">
        <v>2025</v>
      </c>
      <c r="L3016" t="n">
        <v>2</v>
      </c>
      <c r="M3016" t="inlineStr">
        <is>
          <t>Todos</t>
        </is>
      </c>
      <c r="N3016" t="inlineStr">
        <is>
          <t>Bar / Chopperia</t>
        </is>
      </c>
      <c r="O3016" t="n">
        <v>3</v>
      </c>
      <c r="P3016" t="n">
        <v>8</v>
      </c>
      <c r="Q3016" t="n">
        <v>2</v>
      </c>
    </row>
    <row r="3017">
      <c r="J3017" t="inlineStr">
        <is>
          <t>M</t>
        </is>
      </c>
      <c r="K3017" t="n">
        <v>2025</v>
      </c>
      <c r="L3017" t="n">
        <v>2</v>
      </c>
      <c r="M3017" t="inlineStr">
        <is>
          <t>Todos</t>
        </is>
      </c>
      <c r="N3017" t="inlineStr">
        <is>
          <t>Bar / Chopperia</t>
        </is>
      </c>
      <c r="O3017" t="n">
        <v>3</v>
      </c>
      <c r="P3017" t="n">
        <v>5</v>
      </c>
      <c r="Q3017" t="n">
        <v>0</v>
      </c>
    </row>
    <row r="3018">
      <c r="J3018" t="inlineStr">
        <is>
          <t>A</t>
        </is>
      </c>
      <c r="K3018" t="n">
        <v>2025</v>
      </c>
      <c r="L3018" t="n">
        <v>3</v>
      </c>
      <c r="M3018" t="inlineStr">
        <is>
          <t>Todos</t>
        </is>
      </c>
      <c r="N3018" t="inlineStr">
        <is>
          <t>Bar / Chopperia</t>
        </is>
      </c>
      <c r="O3018" t="n">
        <v>4</v>
      </c>
      <c r="P3018" t="n">
        <v>13</v>
      </c>
      <c r="Q3018" t="n">
        <v>2</v>
      </c>
    </row>
    <row r="3019">
      <c r="J3019" t="inlineStr">
        <is>
          <t>M</t>
        </is>
      </c>
      <c r="K3019" t="n">
        <v>2025</v>
      </c>
      <c r="L3019" t="n">
        <v>3</v>
      </c>
      <c r="M3019" t="inlineStr">
        <is>
          <t>Todos</t>
        </is>
      </c>
      <c r="N3019" t="inlineStr">
        <is>
          <t>Bar / Chopperia</t>
        </is>
      </c>
      <c r="O3019" t="n">
        <v>2</v>
      </c>
      <c r="P3019" t="n">
        <v>5</v>
      </c>
      <c r="Q3019" t="n">
        <v>0</v>
      </c>
    </row>
    <row r="3020">
      <c r="J3020" t="inlineStr">
        <is>
          <t>A</t>
        </is>
      </c>
      <c r="K3020" t="n">
        <v>2025</v>
      </c>
      <c r="L3020" t="n">
        <v>4</v>
      </c>
      <c r="M3020" t="inlineStr">
        <is>
          <t>Todos</t>
        </is>
      </c>
      <c r="N3020" t="inlineStr">
        <is>
          <t>Bar / Chopperia</t>
        </is>
      </c>
      <c r="O3020" t="n">
        <v>4</v>
      </c>
      <c r="P3020" t="n">
        <v>17</v>
      </c>
      <c r="Q3020" t="n">
        <v>2</v>
      </c>
    </row>
    <row r="3021">
      <c r="J3021" t="inlineStr">
        <is>
          <t>M</t>
        </is>
      </c>
      <c r="K3021" t="n">
        <v>2025</v>
      </c>
      <c r="L3021" t="n">
        <v>4</v>
      </c>
      <c r="M3021" t="inlineStr">
        <is>
          <t>Todos</t>
        </is>
      </c>
      <c r="N3021" t="inlineStr">
        <is>
          <t>Bar / Chopperia</t>
        </is>
      </c>
      <c r="O3021" t="n">
        <v>1</v>
      </c>
      <c r="P3021" t="n">
        <v>4</v>
      </c>
      <c r="Q3021" t="n">
        <v>0</v>
      </c>
    </row>
    <row r="3022">
      <c r="J3022" t="inlineStr">
        <is>
          <t>A</t>
        </is>
      </c>
      <c r="K3022" t="n">
        <v>2025</v>
      </c>
      <c r="L3022" t="n">
        <v>5</v>
      </c>
      <c r="M3022" t="inlineStr">
        <is>
          <t>Todos</t>
        </is>
      </c>
      <c r="N3022" t="inlineStr">
        <is>
          <t>Bar / Chopperia</t>
        </is>
      </c>
      <c r="O3022" t="n">
        <v>5</v>
      </c>
      <c r="P3022" t="n">
        <v>23</v>
      </c>
      <c r="Q3022" t="n">
        <v>3</v>
      </c>
    </row>
    <row r="3023">
      <c r="J3023" t="inlineStr">
        <is>
          <t>M</t>
        </is>
      </c>
      <c r="K3023" t="n">
        <v>2025</v>
      </c>
      <c r="L3023" t="n">
        <v>5</v>
      </c>
      <c r="M3023" t="inlineStr">
        <is>
          <t>Todos</t>
        </is>
      </c>
      <c r="N3023" t="inlineStr">
        <is>
          <t>Bar / Chopperia</t>
        </is>
      </c>
      <c r="O3023" t="n">
        <v>3</v>
      </c>
      <c r="P3023" t="n">
        <v>6</v>
      </c>
      <c r="Q3023" t="n">
        <v>0</v>
      </c>
    </row>
    <row r="3024">
      <c r="J3024" t="inlineStr">
        <is>
          <t>A</t>
        </is>
      </c>
      <c r="K3024" t="n">
        <v>2025</v>
      </c>
      <c r="L3024" t="n">
        <v>6</v>
      </c>
      <c r="M3024" t="inlineStr">
        <is>
          <t>Todos</t>
        </is>
      </c>
      <c r="N3024" t="inlineStr">
        <is>
          <t>Bar / Chopperia</t>
        </is>
      </c>
      <c r="O3024" t="n">
        <v>5</v>
      </c>
      <c r="P3024" t="n">
        <v>28</v>
      </c>
      <c r="Q3024" t="n">
        <v>3</v>
      </c>
    </row>
    <row r="3025">
      <c r="J3025" t="inlineStr">
        <is>
          <t>M</t>
        </is>
      </c>
      <c r="K3025" t="n">
        <v>2025</v>
      </c>
      <c r="L3025" t="n">
        <v>6</v>
      </c>
      <c r="M3025" t="inlineStr">
        <is>
          <t>Todos</t>
        </is>
      </c>
      <c r="N3025" t="inlineStr">
        <is>
          <t>Bar / Chopperia</t>
        </is>
      </c>
      <c r="O3025" t="n">
        <v>1</v>
      </c>
      <c r="P3025" t="n">
        <v>5</v>
      </c>
      <c r="Q3025" t="n">
        <v>0</v>
      </c>
    </row>
    <row r="3026">
      <c r="J3026" t="inlineStr">
        <is>
          <t>A</t>
        </is>
      </c>
      <c r="K3026" t="n">
        <v>2025</v>
      </c>
      <c r="L3026" t="n">
        <v>7</v>
      </c>
      <c r="M3026" t="inlineStr">
        <is>
          <t>Todos</t>
        </is>
      </c>
      <c r="N3026" t="inlineStr">
        <is>
          <t>Bar / Chopperia</t>
        </is>
      </c>
      <c r="O3026" t="n">
        <v>5</v>
      </c>
      <c r="P3026" t="n">
        <v>31</v>
      </c>
      <c r="Q3026" t="n">
        <v>3</v>
      </c>
    </row>
    <row r="3027">
      <c r="J3027" t="inlineStr">
        <is>
          <t>M</t>
        </is>
      </c>
      <c r="K3027" t="n">
        <v>2025</v>
      </c>
      <c r="L3027" t="n">
        <v>7</v>
      </c>
      <c r="M3027" t="inlineStr">
        <is>
          <t>Todos</t>
        </is>
      </c>
      <c r="N3027" t="inlineStr">
        <is>
          <t>Bar / Chopperia</t>
        </is>
      </c>
      <c r="O3027" t="n">
        <v>1</v>
      </c>
      <c r="P3027" t="n">
        <v>3</v>
      </c>
      <c r="Q3027" t="n">
        <v>0</v>
      </c>
    </row>
    <row r="3028">
      <c r="J3028" t="inlineStr">
        <is>
          <t>A</t>
        </is>
      </c>
      <c r="K3028" t="n">
        <v>2025</v>
      </c>
      <c r="L3028" t="n">
        <v>8</v>
      </c>
      <c r="M3028" t="inlineStr">
        <is>
          <t>Todos</t>
        </is>
      </c>
      <c r="N3028" t="inlineStr">
        <is>
          <t>Bar / Chopperia</t>
        </is>
      </c>
      <c r="O3028" t="n">
        <v>5</v>
      </c>
      <c r="P3028" t="n">
        <v>36</v>
      </c>
      <c r="Q3028" t="n">
        <v>3</v>
      </c>
    </row>
    <row r="3029">
      <c r="J3029" t="inlineStr">
        <is>
          <t>M</t>
        </is>
      </c>
      <c r="K3029" t="n">
        <v>2025</v>
      </c>
      <c r="L3029" t="n">
        <v>8</v>
      </c>
      <c r="M3029" t="inlineStr">
        <is>
          <t>Todos</t>
        </is>
      </c>
      <c r="N3029" t="inlineStr">
        <is>
          <t>Bar / Chopperia</t>
        </is>
      </c>
      <c r="O3029" t="n">
        <v>2</v>
      </c>
      <c r="P3029" t="n">
        <v>5</v>
      </c>
      <c r="Q3029" t="n">
        <v>0</v>
      </c>
    </row>
    <row r="3030">
      <c r="J3030" t="inlineStr">
        <is>
          <t>A</t>
        </is>
      </c>
      <c r="K3030" t="n">
        <v>2025</v>
      </c>
      <c r="L3030" t="n">
        <v>9</v>
      </c>
      <c r="M3030" t="inlineStr">
        <is>
          <t>Todos</t>
        </is>
      </c>
      <c r="N3030" t="inlineStr">
        <is>
          <t>Bar / Chopperia</t>
        </is>
      </c>
      <c r="O3030" t="n">
        <v>5</v>
      </c>
      <c r="P3030" t="n">
        <v>39</v>
      </c>
      <c r="Q3030" t="n">
        <v>3</v>
      </c>
    </row>
    <row r="3031">
      <c r="J3031" t="inlineStr">
        <is>
          <t>M</t>
        </is>
      </c>
      <c r="K3031" t="n">
        <v>2025</v>
      </c>
      <c r="L3031" t="n">
        <v>9</v>
      </c>
      <c r="M3031" t="inlineStr">
        <is>
          <t>Todos</t>
        </is>
      </c>
      <c r="N3031" t="inlineStr">
        <is>
          <t>Bar / Chopperia</t>
        </is>
      </c>
      <c r="O3031" t="n">
        <v>2</v>
      </c>
      <c r="P3031" t="n">
        <v>3</v>
      </c>
      <c r="Q3031" t="n">
        <v>0</v>
      </c>
    </row>
    <row r="3032">
      <c r="J3032" t="inlineStr">
        <is>
          <t>A</t>
        </is>
      </c>
      <c r="K3032" t="n">
        <v>2025</v>
      </c>
      <c r="L3032" t="n">
        <v>10</v>
      </c>
      <c r="M3032" t="inlineStr">
        <is>
          <t>Todos</t>
        </is>
      </c>
      <c r="N3032" t="inlineStr">
        <is>
          <t>Bar / Chopperia</t>
        </is>
      </c>
      <c r="O3032" t="n">
        <v>6</v>
      </c>
      <c r="P3032" t="n">
        <v>44</v>
      </c>
      <c r="Q3032" t="n">
        <v>4</v>
      </c>
    </row>
    <row r="3033">
      <c r="J3033" t="inlineStr">
        <is>
          <t>M</t>
        </is>
      </c>
      <c r="K3033" t="n">
        <v>2025</v>
      </c>
      <c r="L3033" t="n">
        <v>10</v>
      </c>
      <c r="M3033" t="inlineStr">
        <is>
          <t>Todos</t>
        </is>
      </c>
      <c r="N3033" t="inlineStr">
        <is>
          <t>Bar / Chopperia</t>
        </is>
      </c>
      <c r="O3033" t="n">
        <v>2</v>
      </c>
      <c r="P3033" t="n">
        <v>5</v>
      </c>
      <c r="Q3033" t="n">
        <v>0</v>
      </c>
    </row>
    <row r="3034">
      <c r="J3034" t="inlineStr">
        <is>
          <t>A</t>
        </is>
      </c>
      <c r="K3034" t="n">
        <v>2025</v>
      </c>
      <c r="L3034" t="n">
        <v>11</v>
      </c>
      <c r="M3034" t="inlineStr">
        <is>
          <t>Todos</t>
        </is>
      </c>
      <c r="N3034" t="inlineStr">
        <is>
          <t>Bar / Chopperia</t>
        </is>
      </c>
      <c r="O3034" t="n">
        <v>8</v>
      </c>
      <c r="P3034" t="n">
        <v>49</v>
      </c>
      <c r="Q3034" t="n">
        <v>6</v>
      </c>
    </row>
    <row r="3035">
      <c r="J3035" t="inlineStr">
        <is>
          <t>M</t>
        </is>
      </c>
      <c r="K3035" t="n">
        <v>2025</v>
      </c>
      <c r="L3035" t="n">
        <v>11</v>
      </c>
      <c r="M3035" t="inlineStr">
        <is>
          <t>Todos</t>
        </is>
      </c>
      <c r="N3035" t="inlineStr">
        <is>
          <t>Bar / Chopperia</t>
        </is>
      </c>
      <c r="O3035" t="n">
        <v>3</v>
      </c>
      <c r="P3035" t="n">
        <v>5</v>
      </c>
      <c r="Q3035" t="n">
        <v>0</v>
      </c>
    </row>
    <row r="3036">
      <c r="J3036" t="inlineStr">
        <is>
          <t>A</t>
        </is>
      </c>
      <c r="K3036" t="n">
        <v>2025</v>
      </c>
      <c r="L3036" t="n">
        <v>12</v>
      </c>
      <c r="M3036" t="inlineStr">
        <is>
          <t>Todos</t>
        </is>
      </c>
      <c r="N3036" t="inlineStr">
        <is>
          <t>Bar / Chopperia</t>
        </is>
      </c>
      <c r="O3036" t="n">
        <v>8</v>
      </c>
      <c r="P3036" t="n">
        <v>51</v>
      </c>
      <c r="Q3036" t="n">
        <v>6</v>
      </c>
    </row>
    <row r="3037">
      <c r="J3037" t="inlineStr">
        <is>
          <t>M</t>
        </is>
      </c>
      <c r="K3037" t="n">
        <v>2025</v>
      </c>
      <c r="L3037" t="n">
        <v>12</v>
      </c>
      <c r="M3037" t="inlineStr">
        <is>
          <t>Todos</t>
        </is>
      </c>
      <c r="N3037" t="inlineStr">
        <is>
          <t>Bar / Chopperia</t>
        </is>
      </c>
      <c r="O3037" t="n">
        <v>1</v>
      </c>
      <c r="P3037" t="n">
        <v>2</v>
      </c>
      <c r="Q3037" t="n">
        <v>0</v>
      </c>
    </row>
    <row r="3038">
      <c r="J3038" t="inlineStr">
        <is>
          <t>A</t>
        </is>
      </c>
      <c r="K3038" t="n">
        <v>2025</v>
      </c>
      <c r="L3038" t="n">
        <v>1</v>
      </c>
      <c r="M3038" t="inlineStr">
        <is>
          <t>Todos</t>
        </is>
      </c>
      <c r="N3038" t="inlineStr">
        <is>
          <t>Confeitaria</t>
        </is>
      </c>
      <c r="O3038" t="n">
        <v>1</v>
      </c>
      <c r="P3038" t="n">
        <v>1</v>
      </c>
      <c r="Q3038" t="n">
        <v>0</v>
      </c>
    </row>
    <row r="3039">
      <c r="J3039" t="inlineStr">
        <is>
          <t>M</t>
        </is>
      </c>
      <c r="K3039" t="n">
        <v>2025</v>
      </c>
      <c r="L3039" t="n">
        <v>1</v>
      </c>
      <c r="M3039" t="inlineStr">
        <is>
          <t>Todos</t>
        </is>
      </c>
      <c r="N3039" t="inlineStr">
        <is>
          <t>Confeitaria</t>
        </is>
      </c>
      <c r="O3039" t="n">
        <v>1</v>
      </c>
      <c r="P3039" t="n">
        <v>1</v>
      </c>
      <c r="Q3039" t="n">
        <v>0</v>
      </c>
    </row>
    <row r="3040">
      <c r="J3040" t="inlineStr">
        <is>
          <t>A</t>
        </is>
      </c>
      <c r="K3040" t="n">
        <v>2025</v>
      </c>
      <c r="L3040" t="n">
        <v>2</v>
      </c>
      <c r="M3040" t="inlineStr">
        <is>
          <t>Todos</t>
        </is>
      </c>
      <c r="N3040" t="inlineStr">
        <is>
          <t>Confeitaria</t>
        </is>
      </c>
      <c r="O3040" t="n">
        <v>2</v>
      </c>
      <c r="P3040" t="n">
        <v>3</v>
      </c>
      <c r="Q3040" t="n">
        <v>1</v>
      </c>
    </row>
    <row r="3041">
      <c r="J3041" t="inlineStr">
        <is>
          <t>M</t>
        </is>
      </c>
      <c r="K3041" t="n">
        <v>2025</v>
      </c>
      <c r="L3041" t="n">
        <v>2</v>
      </c>
      <c r="M3041" t="inlineStr">
        <is>
          <t>Todos</t>
        </is>
      </c>
      <c r="N3041" t="inlineStr">
        <is>
          <t>Confeitaria</t>
        </is>
      </c>
      <c r="O3041" t="n">
        <v>2</v>
      </c>
      <c r="P3041" t="n">
        <v>2</v>
      </c>
      <c r="Q3041" t="n">
        <v>0</v>
      </c>
    </row>
    <row r="3042">
      <c r="J3042" t="inlineStr">
        <is>
          <t>A</t>
        </is>
      </c>
      <c r="K3042" t="n">
        <v>2025</v>
      </c>
      <c r="L3042" t="n">
        <v>3</v>
      </c>
      <c r="M3042" t="inlineStr">
        <is>
          <t>Todos</t>
        </is>
      </c>
      <c r="N3042" t="inlineStr">
        <is>
          <t>Confeitaria</t>
        </is>
      </c>
      <c r="O3042" t="n">
        <v>3</v>
      </c>
      <c r="P3042" t="n">
        <v>5</v>
      </c>
      <c r="Q3042" t="n">
        <v>2</v>
      </c>
    </row>
    <row r="3043">
      <c r="J3043" t="inlineStr">
        <is>
          <t>M</t>
        </is>
      </c>
      <c r="K3043" t="n">
        <v>2025</v>
      </c>
      <c r="L3043" t="n">
        <v>3</v>
      </c>
      <c r="M3043" t="inlineStr">
        <is>
          <t>Todos</t>
        </is>
      </c>
      <c r="N3043" t="inlineStr">
        <is>
          <t>Confeitaria</t>
        </is>
      </c>
      <c r="O3043" t="n">
        <v>2</v>
      </c>
      <c r="P3043" t="n">
        <v>2</v>
      </c>
      <c r="Q3043" t="n">
        <v>0</v>
      </c>
    </row>
    <row r="3044">
      <c r="J3044" t="inlineStr">
        <is>
          <t>A</t>
        </is>
      </c>
      <c r="K3044" t="n">
        <v>2025</v>
      </c>
      <c r="L3044" t="n">
        <v>4</v>
      </c>
      <c r="M3044" t="inlineStr">
        <is>
          <t>Todos</t>
        </is>
      </c>
      <c r="N3044" t="inlineStr">
        <is>
          <t>Confeitaria</t>
        </is>
      </c>
      <c r="O3044" t="n">
        <v>3</v>
      </c>
      <c r="P3044" t="n">
        <v>6</v>
      </c>
      <c r="Q3044" t="n">
        <v>2</v>
      </c>
    </row>
    <row r="3045">
      <c r="J3045" t="inlineStr">
        <is>
          <t>M</t>
        </is>
      </c>
      <c r="K3045" t="n">
        <v>2025</v>
      </c>
      <c r="L3045" t="n">
        <v>4</v>
      </c>
      <c r="M3045" t="inlineStr">
        <is>
          <t>Todos</t>
        </is>
      </c>
      <c r="N3045" t="inlineStr">
        <is>
          <t>Confeitaria</t>
        </is>
      </c>
      <c r="O3045" t="n">
        <v>1</v>
      </c>
      <c r="P3045" t="n">
        <v>1</v>
      </c>
      <c r="Q3045" t="n">
        <v>0</v>
      </c>
    </row>
    <row r="3046">
      <c r="J3046" t="inlineStr">
        <is>
          <t>A</t>
        </is>
      </c>
      <c r="K3046" t="n">
        <v>2025</v>
      </c>
      <c r="L3046" t="n">
        <v>5</v>
      </c>
      <c r="M3046" t="inlineStr">
        <is>
          <t>Todos</t>
        </is>
      </c>
      <c r="N3046" t="inlineStr">
        <is>
          <t>Confeitaria</t>
        </is>
      </c>
      <c r="O3046" t="n">
        <v>3</v>
      </c>
      <c r="P3046" t="n">
        <v>7</v>
      </c>
      <c r="Q3046" t="n">
        <v>2</v>
      </c>
    </row>
    <row r="3047">
      <c r="J3047" t="inlineStr">
        <is>
          <t>M</t>
        </is>
      </c>
      <c r="K3047" t="n">
        <v>2025</v>
      </c>
      <c r="L3047" t="n">
        <v>5</v>
      </c>
      <c r="M3047" t="inlineStr">
        <is>
          <t>Todos</t>
        </is>
      </c>
      <c r="N3047" t="inlineStr">
        <is>
          <t>Confeitaria</t>
        </is>
      </c>
      <c r="O3047" t="n">
        <v>1</v>
      </c>
      <c r="P3047" t="n">
        <v>1</v>
      </c>
      <c r="Q3047" t="n">
        <v>0</v>
      </c>
    </row>
    <row r="3048">
      <c r="J3048" t="inlineStr">
        <is>
          <t>A</t>
        </is>
      </c>
      <c r="K3048" t="n">
        <v>2025</v>
      </c>
      <c r="L3048" t="n">
        <v>6</v>
      </c>
      <c r="M3048" t="inlineStr">
        <is>
          <t>Todos</t>
        </is>
      </c>
      <c r="N3048" t="inlineStr">
        <is>
          <t>Confeitaria</t>
        </is>
      </c>
      <c r="O3048" t="n">
        <v>4</v>
      </c>
      <c r="P3048" t="n">
        <v>9</v>
      </c>
      <c r="Q3048" t="n">
        <v>3</v>
      </c>
    </row>
    <row r="3049">
      <c r="J3049" t="inlineStr">
        <is>
          <t>M</t>
        </is>
      </c>
      <c r="K3049" t="n">
        <v>2025</v>
      </c>
      <c r="L3049" t="n">
        <v>6</v>
      </c>
      <c r="M3049" t="inlineStr">
        <is>
          <t>Todos</t>
        </is>
      </c>
      <c r="N3049" t="inlineStr">
        <is>
          <t>Confeitaria</t>
        </is>
      </c>
      <c r="O3049" t="n">
        <v>2</v>
      </c>
      <c r="P3049" t="n">
        <v>2</v>
      </c>
      <c r="Q3049" t="n">
        <v>0</v>
      </c>
    </row>
    <row r="3050">
      <c r="J3050" t="inlineStr">
        <is>
          <t>A</t>
        </is>
      </c>
      <c r="K3050" t="n">
        <v>2025</v>
      </c>
      <c r="L3050" t="n">
        <v>7</v>
      </c>
      <c r="M3050" t="inlineStr">
        <is>
          <t>Todos</t>
        </is>
      </c>
      <c r="N3050" t="inlineStr">
        <is>
          <t>Confeitaria</t>
        </is>
      </c>
      <c r="O3050" t="n">
        <v>5</v>
      </c>
      <c r="P3050" t="n">
        <v>11</v>
      </c>
      <c r="Q3050" t="n">
        <v>4</v>
      </c>
    </row>
    <row r="3051">
      <c r="J3051" t="inlineStr">
        <is>
          <t>M</t>
        </is>
      </c>
      <c r="K3051" t="n">
        <v>2025</v>
      </c>
      <c r="L3051" t="n">
        <v>7</v>
      </c>
      <c r="M3051" t="inlineStr">
        <is>
          <t>Todos</t>
        </is>
      </c>
      <c r="N3051" t="inlineStr">
        <is>
          <t>Confeitaria</t>
        </is>
      </c>
      <c r="O3051" t="n">
        <v>2</v>
      </c>
      <c r="P3051" t="n">
        <v>2</v>
      </c>
      <c r="Q3051" t="n">
        <v>0</v>
      </c>
    </row>
    <row r="3052">
      <c r="J3052" t="inlineStr">
        <is>
          <t>A</t>
        </is>
      </c>
      <c r="K3052" t="n">
        <v>2025</v>
      </c>
      <c r="L3052" t="n">
        <v>8</v>
      </c>
      <c r="M3052" t="inlineStr">
        <is>
          <t>Todos</t>
        </is>
      </c>
      <c r="N3052" t="inlineStr">
        <is>
          <t>Confeitaria</t>
        </is>
      </c>
      <c r="O3052" t="n">
        <v>5</v>
      </c>
      <c r="P3052" t="n">
        <v>13</v>
      </c>
      <c r="Q3052" t="n">
        <v>4</v>
      </c>
    </row>
    <row r="3053">
      <c r="J3053" t="inlineStr">
        <is>
          <t>M</t>
        </is>
      </c>
      <c r="K3053" t="n">
        <v>2025</v>
      </c>
      <c r="L3053" t="n">
        <v>8</v>
      </c>
      <c r="M3053" t="inlineStr">
        <is>
          <t>Todos</t>
        </is>
      </c>
      <c r="N3053" t="inlineStr">
        <is>
          <t>Confeitaria</t>
        </is>
      </c>
      <c r="O3053" t="n">
        <v>2</v>
      </c>
      <c r="P3053" t="n">
        <v>2</v>
      </c>
      <c r="Q3053" t="n">
        <v>0</v>
      </c>
    </row>
    <row r="3054">
      <c r="J3054" t="inlineStr">
        <is>
          <t>A</t>
        </is>
      </c>
      <c r="K3054" t="n">
        <v>2025</v>
      </c>
      <c r="L3054" t="n">
        <v>9</v>
      </c>
      <c r="M3054" t="inlineStr">
        <is>
          <t>Todos</t>
        </is>
      </c>
      <c r="N3054" t="inlineStr">
        <is>
          <t>Confeitaria</t>
        </is>
      </c>
      <c r="O3054" t="n">
        <v>7</v>
      </c>
      <c r="P3054" t="n">
        <v>17</v>
      </c>
      <c r="Q3054" t="n">
        <v>6</v>
      </c>
    </row>
    <row r="3055">
      <c r="J3055" t="inlineStr">
        <is>
          <t>M</t>
        </is>
      </c>
      <c r="K3055" t="n">
        <v>2025</v>
      </c>
      <c r="L3055" t="n">
        <v>9</v>
      </c>
      <c r="M3055" t="inlineStr">
        <is>
          <t>Todos</t>
        </is>
      </c>
      <c r="N3055" t="inlineStr">
        <is>
          <t>Confeitaria</t>
        </is>
      </c>
      <c r="O3055" t="n">
        <v>4</v>
      </c>
      <c r="P3055" t="n">
        <v>4</v>
      </c>
      <c r="Q3055" t="n">
        <v>0</v>
      </c>
    </row>
    <row r="3056">
      <c r="J3056" t="inlineStr">
        <is>
          <t>A</t>
        </is>
      </c>
      <c r="K3056" t="n">
        <v>2025</v>
      </c>
      <c r="L3056" t="n">
        <v>10</v>
      </c>
      <c r="M3056" t="inlineStr">
        <is>
          <t>Todos</t>
        </is>
      </c>
      <c r="N3056" t="inlineStr">
        <is>
          <t>Confeitaria</t>
        </is>
      </c>
      <c r="O3056" t="n">
        <v>7</v>
      </c>
      <c r="P3056" t="n">
        <v>19</v>
      </c>
      <c r="Q3056" t="n">
        <v>6</v>
      </c>
    </row>
    <row r="3057">
      <c r="J3057" t="inlineStr">
        <is>
          <t>M</t>
        </is>
      </c>
      <c r="K3057" t="n">
        <v>2025</v>
      </c>
      <c r="L3057" t="n">
        <v>10</v>
      </c>
      <c r="M3057" t="inlineStr">
        <is>
          <t>Todos</t>
        </is>
      </c>
      <c r="N3057" t="inlineStr">
        <is>
          <t>Confeitaria</t>
        </is>
      </c>
      <c r="O3057" t="n">
        <v>2</v>
      </c>
      <c r="P3057" t="n">
        <v>2</v>
      </c>
      <c r="Q3057" t="n">
        <v>0</v>
      </c>
    </row>
    <row r="3058">
      <c r="J3058" t="inlineStr">
        <is>
          <t>A</t>
        </is>
      </c>
      <c r="K3058" t="n">
        <v>2025</v>
      </c>
      <c r="L3058" t="n">
        <v>11</v>
      </c>
      <c r="M3058" t="inlineStr">
        <is>
          <t>Todos</t>
        </is>
      </c>
      <c r="N3058" t="inlineStr">
        <is>
          <t>Confeitaria</t>
        </is>
      </c>
      <c r="O3058" t="n">
        <v>8</v>
      </c>
      <c r="P3058" t="n">
        <v>22</v>
      </c>
      <c r="Q3058" t="n">
        <v>7</v>
      </c>
    </row>
    <row r="3059">
      <c r="J3059" t="inlineStr">
        <is>
          <t>M</t>
        </is>
      </c>
      <c r="K3059" t="n">
        <v>2025</v>
      </c>
      <c r="L3059" t="n">
        <v>11</v>
      </c>
      <c r="M3059" t="inlineStr">
        <is>
          <t>Todos</t>
        </is>
      </c>
      <c r="N3059" t="inlineStr">
        <is>
          <t>Confeitaria</t>
        </is>
      </c>
      <c r="O3059" t="n">
        <v>3</v>
      </c>
      <c r="P3059" t="n">
        <v>3</v>
      </c>
      <c r="Q3059" t="n">
        <v>0</v>
      </c>
    </row>
    <row r="3060">
      <c r="J3060" t="inlineStr">
        <is>
          <t>A</t>
        </is>
      </c>
      <c r="K3060" t="n">
        <v>2025</v>
      </c>
      <c r="L3060" t="n">
        <v>12</v>
      </c>
      <c r="M3060" t="inlineStr">
        <is>
          <t>Todos</t>
        </is>
      </c>
      <c r="N3060" t="inlineStr">
        <is>
          <t>Confeitaria</t>
        </is>
      </c>
      <c r="O3060" t="n">
        <v>8</v>
      </c>
      <c r="P3060" t="n">
        <v>24</v>
      </c>
      <c r="Q3060" t="n">
        <v>7</v>
      </c>
    </row>
    <row r="3061">
      <c r="J3061" t="inlineStr">
        <is>
          <t>M</t>
        </is>
      </c>
      <c r="K3061" t="n">
        <v>2025</v>
      </c>
      <c r="L3061" t="n">
        <v>12</v>
      </c>
      <c r="M3061" t="inlineStr">
        <is>
          <t>Todos</t>
        </is>
      </c>
      <c r="N3061" t="inlineStr">
        <is>
          <t>Confeitaria</t>
        </is>
      </c>
      <c r="O3061" t="n">
        <v>2</v>
      </c>
      <c r="P3061" t="n">
        <v>2</v>
      </c>
      <c r="Q3061" t="n">
        <v>0</v>
      </c>
    </row>
    <row r="3062">
      <c r="J3062" t="inlineStr">
        <is>
          <t>A</t>
        </is>
      </c>
      <c r="K3062" t="n">
        <v>2025</v>
      </c>
      <c r="L3062" t="n">
        <v>1</v>
      </c>
      <c r="M3062" t="inlineStr">
        <is>
          <t>Todos</t>
        </is>
      </c>
      <c r="N3062" t="inlineStr">
        <is>
          <t>Churrascaria</t>
        </is>
      </c>
      <c r="O3062" t="n">
        <v>2</v>
      </c>
      <c r="P3062" t="n">
        <v>2</v>
      </c>
      <c r="Q3062" t="n">
        <v>0</v>
      </c>
    </row>
    <row r="3063">
      <c r="J3063" t="inlineStr">
        <is>
          <t>M</t>
        </is>
      </c>
      <c r="K3063" t="n">
        <v>2025</v>
      </c>
      <c r="L3063" t="n">
        <v>1</v>
      </c>
      <c r="M3063" t="inlineStr">
        <is>
          <t>Todos</t>
        </is>
      </c>
      <c r="N3063" t="inlineStr">
        <is>
          <t>Churrascaria</t>
        </is>
      </c>
      <c r="O3063" t="n">
        <v>2</v>
      </c>
      <c r="P3063" t="n">
        <v>2</v>
      </c>
      <c r="Q3063" t="n">
        <v>0</v>
      </c>
    </row>
    <row r="3064">
      <c r="J3064" t="inlineStr">
        <is>
          <t>A</t>
        </is>
      </c>
      <c r="K3064" t="n">
        <v>2025</v>
      </c>
      <c r="L3064" t="n">
        <v>2</v>
      </c>
      <c r="M3064" t="inlineStr">
        <is>
          <t>Todos</t>
        </is>
      </c>
      <c r="N3064" t="inlineStr">
        <is>
          <t>Churrascaria</t>
        </is>
      </c>
      <c r="O3064" t="n">
        <v>4</v>
      </c>
      <c r="P3064" t="n">
        <v>7</v>
      </c>
      <c r="Q3064" t="n">
        <v>1</v>
      </c>
    </row>
    <row r="3065">
      <c r="J3065" t="inlineStr">
        <is>
          <t>M</t>
        </is>
      </c>
      <c r="K3065" t="n">
        <v>2025</v>
      </c>
      <c r="L3065" t="n">
        <v>2</v>
      </c>
      <c r="M3065" t="inlineStr">
        <is>
          <t>Todos</t>
        </is>
      </c>
      <c r="N3065" t="inlineStr">
        <is>
          <t>Churrascaria</t>
        </is>
      </c>
      <c r="O3065" t="n">
        <v>3</v>
      </c>
      <c r="P3065" t="n">
        <v>5</v>
      </c>
      <c r="Q3065" t="n">
        <v>0</v>
      </c>
    </row>
    <row r="3066">
      <c r="J3066" t="inlineStr">
        <is>
          <t>A</t>
        </is>
      </c>
      <c r="K3066" t="n">
        <v>2025</v>
      </c>
      <c r="L3066" t="n">
        <v>3</v>
      </c>
      <c r="M3066" t="inlineStr">
        <is>
          <t>Todos</t>
        </is>
      </c>
      <c r="N3066" t="inlineStr">
        <is>
          <t>Churrascaria</t>
        </is>
      </c>
      <c r="O3066" t="n">
        <v>6</v>
      </c>
      <c r="P3066" t="n">
        <v>9</v>
      </c>
      <c r="Q3066" t="n">
        <v>3</v>
      </c>
    </row>
    <row r="3067">
      <c r="J3067" t="inlineStr">
        <is>
          <t>M</t>
        </is>
      </c>
      <c r="K3067" t="n">
        <v>2025</v>
      </c>
      <c r="L3067" t="n">
        <v>3</v>
      </c>
      <c r="M3067" t="inlineStr">
        <is>
          <t>Todos</t>
        </is>
      </c>
      <c r="N3067" t="inlineStr">
        <is>
          <t>Churrascaria</t>
        </is>
      </c>
      <c r="O3067" t="n">
        <v>2</v>
      </c>
      <c r="P3067" t="n">
        <v>2</v>
      </c>
      <c r="Q3067" t="n">
        <v>0</v>
      </c>
    </row>
    <row r="3068">
      <c r="J3068" t="inlineStr">
        <is>
          <t>A</t>
        </is>
      </c>
      <c r="K3068" t="n">
        <v>2025</v>
      </c>
      <c r="L3068" t="n">
        <v>4</v>
      </c>
      <c r="M3068" t="inlineStr">
        <is>
          <t>Todos</t>
        </is>
      </c>
      <c r="N3068" t="inlineStr">
        <is>
          <t>Churrascaria</t>
        </is>
      </c>
      <c r="O3068" t="n">
        <v>6</v>
      </c>
      <c r="P3068" t="n">
        <v>12</v>
      </c>
      <c r="Q3068" t="n">
        <v>3</v>
      </c>
    </row>
    <row r="3069">
      <c r="J3069" t="inlineStr">
        <is>
          <t>M</t>
        </is>
      </c>
      <c r="K3069" t="n">
        <v>2025</v>
      </c>
      <c r="L3069" t="n">
        <v>4</v>
      </c>
      <c r="M3069" t="inlineStr">
        <is>
          <t>Todos</t>
        </is>
      </c>
      <c r="N3069" t="inlineStr">
        <is>
          <t>Churrascaria</t>
        </is>
      </c>
      <c r="O3069" t="n">
        <v>2</v>
      </c>
      <c r="P3069" t="n">
        <v>3</v>
      </c>
      <c r="Q3069" t="n">
        <v>0</v>
      </c>
    </row>
    <row r="3070">
      <c r="J3070" t="inlineStr">
        <is>
          <t>A</t>
        </is>
      </c>
      <c r="K3070" t="n">
        <v>2025</v>
      </c>
      <c r="L3070" t="n">
        <v>5</v>
      </c>
      <c r="M3070" t="inlineStr">
        <is>
          <t>Todos</t>
        </is>
      </c>
      <c r="N3070" t="inlineStr">
        <is>
          <t>Churrascaria</t>
        </is>
      </c>
      <c r="O3070" t="n">
        <v>7</v>
      </c>
      <c r="P3070" t="n">
        <v>13</v>
      </c>
      <c r="Q3070" t="n">
        <v>3</v>
      </c>
    </row>
    <row r="3071">
      <c r="J3071" t="inlineStr">
        <is>
          <t>M</t>
        </is>
      </c>
      <c r="K3071" t="n">
        <v>2025</v>
      </c>
      <c r="L3071" t="n">
        <v>5</v>
      </c>
      <c r="M3071" t="inlineStr">
        <is>
          <t>Todos</t>
        </is>
      </c>
      <c r="N3071" t="inlineStr">
        <is>
          <t>Churrascaria</t>
        </is>
      </c>
      <c r="O3071" t="n">
        <v>1</v>
      </c>
      <c r="P3071" t="n">
        <v>1</v>
      </c>
      <c r="Q3071" t="n">
        <v>0</v>
      </c>
    </row>
    <row r="3072">
      <c r="J3072" t="inlineStr">
        <is>
          <t>A</t>
        </is>
      </c>
      <c r="K3072" t="n">
        <v>2025</v>
      </c>
      <c r="L3072" t="n">
        <v>6</v>
      </c>
      <c r="M3072" t="inlineStr">
        <is>
          <t>Todos</t>
        </is>
      </c>
      <c r="N3072" t="inlineStr">
        <is>
          <t>Churrascaria</t>
        </is>
      </c>
      <c r="O3072" t="n">
        <v>7</v>
      </c>
      <c r="P3072" t="n">
        <v>13</v>
      </c>
      <c r="Q3072" t="n">
        <v>3</v>
      </c>
    </row>
    <row r="3073">
      <c r="J3073" t="inlineStr">
        <is>
          <t>A</t>
        </is>
      </c>
      <c r="K3073" t="n">
        <v>2025</v>
      </c>
      <c r="L3073" t="n">
        <v>7</v>
      </c>
      <c r="M3073" t="inlineStr">
        <is>
          <t>Todos</t>
        </is>
      </c>
      <c r="N3073" t="inlineStr">
        <is>
          <t>Churrascaria</t>
        </is>
      </c>
      <c r="O3073" t="n">
        <v>8</v>
      </c>
      <c r="P3073" t="n">
        <v>17</v>
      </c>
      <c r="Q3073" t="n">
        <v>4</v>
      </c>
    </row>
    <row r="3074">
      <c r="J3074" t="inlineStr">
        <is>
          <t>M</t>
        </is>
      </c>
      <c r="K3074" t="n">
        <v>2025</v>
      </c>
      <c r="L3074" t="n">
        <v>7</v>
      </c>
      <c r="M3074" t="inlineStr">
        <is>
          <t>Todos</t>
        </is>
      </c>
      <c r="N3074" t="inlineStr">
        <is>
          <t>Churrascaria</t>
        </is>
      </c>
      <c r="O3074" t="n">
        <v>2</v>
      </c>
      <c r="P3074" t="n">
        <v>4</v>
      </c>
      <c r="Q3074" t="n">
        <v>0</v>
      </c>
    </row>
    <row r="3075">
      <c r="J3075" t="inlineStr">
        <is>
          <t>A</t>
        </is>
      </c>
      <c r="K3075" t="n">
        <v>2025</v>
      </c>
      <c r="L3075" t="n">
        <v>8</v>
      </c>
      <c r="M3075" t="inlineStr">
        <is>
          <t>Todos</t>
        </is>
      </c>
      <c r="N3075" t="inlineStr">
        <is>
          <t>Churrascaria</t>
        </is>
      </c>
      <c r="O3075" t="n">
        <v>9</v>
      </c>
      <c r="P3075" t="n">
        <v>20</v>
      </c>
      <c r="Q3075" t="n">
        <v>4</v>
      </c>
    </row>
    <row r="3076">
      <c r="J3076" t="inlineStr">
        <is>
          <t>M</t>
        </is>
      </c>
      <c r="K3076" t="n">
        <v>2025</v>
      </c>
      <c r="L3076" t="n">
        <v>8</v>
      </c>
      <c r="M3076" t="inlineStr">
        <is>
          <t>Todos</t>
        </is>
      </c>
      <c r="N3076" t="inlineStr">
        <is>
          <t>Churrascaria</t>
        </is>
      </c>
      <c r="O3076" t="n">
        <v>3</v>
      </c>
      <c r="P3076" t="n">
        <v>3</v>
      </c>
      <c r="Q3076" t="n">
        <v>0</v>
      </c>
    </row>
    <row r="3077">
      <c r="J3077" t="inlineStr">
        <is>
          <t>A</t>
        </is>
      </c>
      <c r="K3077" t="n">
        <v>2025</v>
      </c>
      <c r="L3077" t="n">
        <v>9</v>
      </c>
      <c r="M3077" t="inlineStr">
        <is>
          <t>Todos</t>
        </is>
      </c>
      <c r="N3077" t="inlineStr">
        <is>
          <t>Churrascaria</t>
        </is>
      </c>
      <c r="O3077" t="n">
        <v>9</v>
      </c>
      <c r="P3077" t="n">
        <v>25</v>
      </c>
      <c r="Q3077" t="n">
        <v>4</v>
      </c>
    </row>
    <row r="3078">
      <c r="J3078" t="inlineStr">
        <is>
          <t>M</t>
        </is>
      </c>
      <c r="K3078" t="n">
        <v>2025</v>
      </c>
      <c r="L3078" t="n">
        <v>9</v>
      </c>
      <c r="M3078" t="inlineStr">
        <is>
          <t>Todos</t>
        </is>
      </c>
      <c r="N3078" t="inlineStr">
        <is>
          <t>Churrascaria</t>
        </is>
      </c>
      <c r="O3078" t="n">
        <v>4</v>
      </c>
      <c r="P3078" t="n">
        <v>5</v>
      </c>
      <c r="Q3078" t="n">
        <v>0</v>
      </c>
    </row>
    <row r="3079">
      <c r="J3079" t="inlineStr">
        <is>
          <t>A</t>
        </is>
      </c>
      <c r="K3079" t="n">
        <v>2025</v>
      </c>
      <c r="L3079" t="n">
        <v>10</v>
      </c>
      <c r="M3079" t="inlineStr">
        <is>
          <t>Todos</t>
        </is>
      </c>
      <c r="N3079" t="inlineStr">
        <is>
          <t>Churrascaria</t>
        </is>
      </c>
      <c r="O3079" t="n">
        <v>9</v>
      </c>
      <c r="P3079" t="n">
        <v>31</v>
      </c>
      <c r="Q3079" t="n">
        <v>4</v>
      </c>
    </row>
    <row r="3080">
      <c r="J3080" t="inlineStr">
        <is>
          <t>M</t>
        </is>
      </c>
      <c r="K3080" t="n">
        <v>2025</v>
      </c>
      <c r="L3080" t="n">
        <v>10</v>
      </c>
      <c r="M3080" t="inlineStr">
        <is>
          <t>Todos</t>
        </is>
      </c>
      <c r="N3080" t="inlineStr">
        <is>
          <t>Churrascaria</t>
        </is>
      </c>
      <c r="O3080" t="n">
        <v>3</v>
      </c>
      <c r="P3080" t="n">
        <v>6</v>
      </c>
      <c r="Q3080" t="n">
        <v>0</v>
      </c>
    </row>
    <row r="3081">
      <c r="J3081" t="inlineStr">
        <is>
          <t>A</t>
        </is>
      </c>
      <c r="K3081" t="n">
        <v>2025</v>
      </c>
      <c r="L3081" t="n">
        <v>11</v>
      </c>
      <c r="M3081" t="inlineStr">
        <is>
          <t>Todos</t>
        </is>
      </c>
      <c r="N3081" t="inlineStr">
        <is>
          <t>Churrascaria</t>
        </is>
      </c>
      <c r="O3081" t="n">
        <v>9</v>
      </c>
      <c r="P3081" t="n">
        <v>38</v>
      </c>
      <c r="Q3081" t="n">
        <v>4</v>
      </c>
    </row>
    <row r="3082">
      <c r="J3082" t="inlineStr">
        <is>
          <t>M</t>
        </is>
      </c>
      <c r="K3082" t="n">
        <v>2025</v>
      </c>
      <c r="L3082" t="n">
        <v>11</v>
      </c>
      <c r="M3082" t="inlineStr">
        <is>
          <t>Todos</t>
        </is>
      </c>
      <c r="N3082" t="inlineStr">
        <is>
          <t>Churrascaria</t>
        </is>
      </c>
      <c r="O3082" t="n">
        <v>4</v>
      </c>
      <c r="P3082" t="n">
        <v>7</v>
      </c>
      <c r="Q3082" t="n">
        <v>0</v>
      </c>
    </row>
    <row r="3083">
      <c r="J3083" t="inlineStr">
        <is>
          <t>A</t>
        </is>
      </c>
      <c r="K3083" t="n">
        <v>2025</v>
      </c>
      <c r="L3083" t="n">
        <v>12</v>
      </c>
      <c r="M3083" t="inlineStr">
        <is>
          <t>Todos</t>
        </is>
      </c>
      <c r="N3083" t="inlineStr">
        <is>
          <t>Churrascaria</t>
        </is>
      </c>
      <c r="O3083" t="n">
        <v>9</v>
      </c>
      <c r="P3083" t="n">
        <v>41</v>
      </c>
      <c r="Q3083" t="n">
        <v>4</v>
      </c>
    </row>
    <row r="3084">
      <c r="J3084" t="inlineStr">
        <is>
          <t>M</t>
        </is>
      </c>
      <c r="K3084" t="n">
        <v>2025</v>
      </c>
      <c r="L3084" t="n">
        <v>12</v>
      </c>
      <c r="M3084" t="inlineStr">
        <is>
          <t>Todos</t>
        </is>
      </c>
      <c r="N3084" t="inlineStr">
        <is>
          <t>Churrascaria</t>
        </is>
      </c>
      <c r="O3084" t="n">
        <v>2</v>
      </c>
      <c r="P3084" t="n">
        <v>3</v>
      </c>
      <c r="Q3084" t="n">
        <v>0</v>
      </c>
    </row>
    <row r="3085">
      <c r="J3085" t="inlineStr">
        <is>
          <t>A</t>
        </is>
      </c>
      <c r="K3085" t="n">
        <v>2025</v>
      </c>
      <c r="L3085" t="n">
        <v>3</v>
      </c>
      <c r="M3085" t="inlineStr">
        <is>
          <t>Todos</t>
        </is>
      </c>
      <c r="N3085" t="inlineStr">
        <is>
          <t>Não Selecionado</t>
        </is>
      </c>
      <c r="O3085" t="n">
        <v>1</v>
      </c>
      <c r="P3085" t="n">
        <v>1</v>
      </c>
      <c r="Q3085" t="n">
        <v>0</v>
      </c>
    </row>
    <row r="3086">
      <c r="J3086" t="inlineStr">
        <is>
          <t>M</t>
        </is>
      </c>
      <c r="K3086" t="n">
        <v>2025</v>
      </c>
      <c r="L3086" t="n">
        <v>3</v>
      </c>
      <c r="M3086" t="inlineStr">
        <is>
          <t>Todos</t>
        </is>
      </c>
      <c r="N3086" t="inlineStr">
        <is>
          <t>Não Selecionado</t>
        </is>
      </c>
      <c r="O3086" t="n">
        <v>1</v>
      </c>
      <c r="P3086" t="n">
        <v>1</v>
      </c>
      <c r="Q3086" t="n">
        <v>0</v>
      </c>
    </row>
    <row r="3087">
      <c r="J3087" t="inlineStr">
        <is>
          <t>A</t>
        </is>
      </c>
      <c r="K3087" t="n">
        <v>2025</v>
      </c>
      <c r="L3087" t="n">
        <v>4</v>
      </c>
      <c r="M3087" t="inlineStr">
        <is>
          <t>Todos</t>
        </is>
      </c>
      <c r="N3087" t="inlineStr">
        <is>
          <t>Não Selecionado</t>
        </is>
      </c>
      <c r="O3087" t="n">
        <v>1</v>
      </c>
      <c r="P3087" t="n">
        <v>2</v>
      </c>
      <c r="Q3087" t="n">
        <v>0</v>
      </c>
    </row>
    <row r="3088">
      <c r="J3088" t="inlineStr">
        <is>
          <t>M</t>
        </is>
      </c>
      <c r="K3088" t="n">
        <v>2025</v>
      </c>
      <c r="L3088" t="n">
        <v>4</v>
      </c>
      <c r="M3088" t="inlineStr">
        <is>
          <t>Todos</t>
        </is>
      </c>
      <c r="N3088" t="inlineStr">
        <is>
          <t>Não Selecionado</t>
        </is>
      </c>
      <c r="O3088" t="n">
        <v>1</v>
      </c>
      <c r="P3088" t="n">
        <v>1</v>
      </c>
      <c r="Q3088" t="n">
        <v>0</v>
      </c>
    </row>
    <row r="3089">
      <c r="J3089" t="inlineStr">
        <is>
          <t>A</t>
        </is>
      </c>
      <c r="K3089" t="n">
        <v>2025</v>
      </c>
      <c r="L3089" t="n">
        <v>5</v>
      </c>
      <c r="M3089" t="inlineStr">
        <is>
          <t>Todos</t>
        </is>
      </c>
      <c r="N3089" t="inlineStr">
        <is>
          <t>Não Selecionado</t>
        </is>
      </c>
      <c r="O3089" t="n">
        <v>1</v>
      </c>
      <c r="P3089" t="n">
        <v>2</v>
      </c>
      <c r="Q3089" t="n">
        <v>0</v>
      </c>
    </row>
    <row r="3090">
      <c r="J3090" t="inlineStr">
        <is>
          <t>A</t>
        </is>
      </c>
      <c r="K3090" t="n">
        <v>2025</v>
      </c>
      <c r="L3090" t="n">
        <v>6</v>
      </c>
      <c r="M3090" t="inlineStr">
        <is>
          <t>Todos</t>
        </is>
      </c>
      <c r="N3090" t="inlineStr">
        <is>
          <t>Não Selecionado</t>
        </is>
      </c>
      <c r="O3090" t="n">
        <v>1</v>
      </c>
      <c r="P3090" t="n">
        <v>2</v>
      </c>
      <c r="Q3090" t="n">
        <v>0</v>
      </c>
    </row>
    <row r="3091">
      <c r="J3091" t="inlineStr">
        <is>
          <t>A</t>
        </is>
      </c>
      <c r="K3091" t="n">
        <v>2025</v>
      </c>
      <c r="L3091" t="n">
        <v>7</v>
      </c>
      <c r="M3091" t="inlineStr">
        <is>
          <t>Todos</t>
        </is>
      </c>
      <c r="N3091" t="inlineStr">
        <is>
          <t>Não Selecionado</t>
        </is>
      </c>
      <c r="O3091" t="n">
        <v>2</v>
      </c>
      <c r="P3091" t="n">
        <v>5</v>
      </c>
      <c r="Q3091" t="n">
        <v>1</v>
      </c>
    </row>
    <row r="3092">
      <c r="J3092" t="inlineStr">
        <is>
          <t>M</t>
        </is>
      </c>
      <c r="K3092" t="n">
        <v>2025</v>
      </c>
      <c r="L3092" t="n">
        <v>7</v>
      </c>
      <c r="M3092" t="inlineStr">
        <is>
          <t>Todos</t>
        </is>
      </c>
      <c r="N3092" t="inlineStr">
        <is>
          <t>Não Selecionado</t>
        </is>
      </c>
      <c r="O3092" t="n">
        <v>1</v>
      </c>
      <c r="P3092" t="n">
        <v>3</v>
      </c>
      <c r="Q3092" t="n">
        <v>0</v>
      </c>
    </row>
    <row r="3093">
      <c r="J3093" t="inlineStr">
        <is>
          <t>A</t>
        </is>
      </c>
      <c r="K3093" t="n">
        <v>2025</v>
      </c>
      <c r="L3093" t="n">
        <v>8</v>
      </c>
      <c r="M3093" t="inlineStr">
        <is>
          <t>Todos</t>
        </is>
      </c>
      <c r="N3093" t="inlineStr">
        <is>
          <t>Não Selecionado</t>
        </is>
      </c>
      <c r="O3093" t="n">
        <v>2</v>
      </c>
      <c r="P3093" t="n">
        <v>8</v>
      </c>
      <c r="Q3093" t="n">
        <v>1</v>
      </c>
    </row>
    <row r="3094">
      <c r="J3094" t="inlineStr">
        <is>
          <t>M</t>
        </is>
      </c>
      <c r="K3094" t="n">
        <v>2025</v>
      </c>
      <c r="L3094" t="n">
        <v>8</v>
      </c>
      <c r="M3094" t="inlineStr">
        <is>
          <t>Todos</t>
        </is>
      </c>
      <c r="N3094" t="inlineStr">
        <is>
          <t>Não Selecionado</t>
        </is>
      </c>
      <c r="O3094" t="n">
        <v>1</v>
      </c>
      <c r="P3094" t="n">
        <v>3</v>
      </c>
      <c r="Q3094" t="n">
        <v>0</v>
      </c>
    </row>
    <row r="3095">
      <c r="J3095" t="inlineStr">
        <is>
          <t>A</t>
        </is>
      </c>
      <c r="K3095" t="n">
        <v>2025</v>
      </c>
      <c r="L3095" t="n">
        <v>9</v>
      </c>
      <c r="M3095" t="inlineStr">
        <is>
          <t>Todos</t>
        </is>
      </c>
      <c r="N3095" t="inlineStr">
        <is>
          <t>Não Selecionado</t>
        </is>
      </c>
      <c r="O3095" t="n">
        <v>2</v>
      </c>
      <c r="P3095" t="n">
        <v>13</v>
      </c>
      <c r="Q3095" t="n">
        <v>1</v>
      </c>
    </row>
    <row r="3096">
      <c r="J3096" t="inlineStr">
        <is>
          <t>M</t>
        </is>
      </c>
      <c r="K3096" t="n">
        <v>2025</v>
      </c>
      <c r="L3096" t="n">
        <v>9</v>
      </c>
      <c r="M3096" t="inlineStr">
        <is>
          <t>Todos</t>
        </is>
      </c>
      <c r="N3096" t="inlineStr">
        <is>
          <t>Não Selecionado</t>
        </is>
      </c>
      <c r="O3096" t="n">
        <v>1</v>
      </c>
      <c r="P3096" t="n">
        <v>5</v>
      </c>
      <c r="Q3096" t="n">
        <v>0</v>
      </c>
    </row>
    <row r="3097">
      <c r="J3097" t="inlineStr">
        <is>
          <t>A</t>
        </is>
      </c>
      <c r="K3097" t="n">
        <v>2025</v>
      </c>
      <c r="L3097" t="n">
        <v>10</v>
      </c>
      <c r="M3097" t="inlineStr">
        <is>
          <t>Todos</t>
        </is>
      </c>
      <c r="N3097" t="inlineStr">
        <is>
          <t>Não Selecionado</t>
        </is>
      </c>
      <c r="O3097" t="n">
        <v>3</v>
      </c>
      <c r="P3097" t="n">
        <v>14</v>
      </c>
      <c r="Q3097" t="n">
        <v>2</v>
      </c>
    </row>
    <row r="3098">
      <c r="J3098" t="inlineStr">
        <is>
          <t>M</t>
        </is>
      </c>
      <c r="K3098" t="n">
        <v>2025</v>
      </c>
      <c r="L3098" t="n">
        <v>10</v>
      </c>
      <c r="M3098" t="inlineStr">
        <is>
          <t>Todos</t>
        </is>
      </c>
      <c r="N3098" t="inlineStr">
        <is>
          <t>Não Selecionado</t>
        </is>
      </c>
      <c r="O3098" t="n">
        <v>1</v>
      </c>
      <c r="P3098" t="n">
        <v>1</v>
      </c>
      <c r="Q3098" t="n">
        <v>0</v>
      </c>
    </row>
    <row r="3099">
      <c r="J3099" t="inlineStr">
        <is>
          <t>A</t>
        </is>
      </c>
      <c r="K3099" t="n">
        <v>2025</v>
      </c>
      <c r="L3099" t="n">
        <v>11</v>
      </c>
      <c r="M3099" t="inlineStr">
        <is>
          <t>Todos</t>
        </is>
      </c>
      <c r="N3099" t="inlineStr">
        <is>
          <t>Não Selecionado</t>
        </is>
      </c>
      <c r="O3099" t="n">
        <v>3</v>
      </c>
      <c r="P3099" t="n">
        <v>15</v>
      </c>
      <c r="Q3099" t="n">
        <v>2</v>
      </c>
    </row>
    <row r="3100">
      <c r="J3100" t="inlineStr">
        <is>
          <t>M</t>
        </is>
      </c>
      <c r="K3100" t="n">
        <v>2025</v>
      </c>
      <c r="L3100" t="n">
        <v>11</v>
      </c>
      <c r="M3100" t="inlineStr">
        <is>
          <t>Todos</t>
        </is>
      </c>
      <c r="N3100" t="inlineStr">
        <is>
          <t>Não Selecionado</t>
        </is>
      </c>
      <c r="O3100" t="n">
        <v>1</v>
      </c>
      <c r="P3100" t="n">
        <v>1</v>
      </c>
      <c r="Q3100" t="n">
        <v>0</v>
      </c>
    </row>
    <row r="3101">
      <c r="J3101" t="inlineStr">
        <is>
          <t>A</t>
        </is>
      </c>
      <c r="K3101" t="n">
        <v>2025</v>
      </c>
      <c r="L3101" t="n">
        <v>12</v>
      </c>
      <c r="M3101" t="inlineStr">
        <is>
          <t>Todos</t>
        </is>
      </c>
      <c r="N3101" t="inlineStr">
        <is>
          <t>Não Selecionado</t>
        </is>
      </c>
      <c r="O3101" t="n">
        <v>4</v>
      </c>
      <c r="P3101" t="n">
        <v>16</v>
      </c>
      <c r="Q3101" t="n">
        <v>3</v>
      </c>
    </row>
    <row r="3102">
      <c r="J3102" t="inlineStr">
        <is>
          <t>M</t>
        </is>
      </c>
      <c r="K3102" t="n">
        <v>2025</v>
      </c>
      <c r="L3102" t="n">
        <v>12</v>
      </c>
      <c r="M3102" t="inlineStr">
        <is>
          <t>Todos</t>
        </is>
      </c>
      <c r="N3102" t="inlineStr">
        <is>
          <t>Não Selecionado</t>
        </is>
      </c>
      <c r="O3102" t="n">
        <v>1</v>
      </c>
      <c r="P3102" t="n">
        <v>1</v>
      </c>
      <c r="Q3102" t="n">
        <v>0</v>
      </c>
    </row>
    <row r="3103">
      <c r="J3103" t="inlineStr">
        <is>
          <t>A</t>
        </is>
      </c>
      <c r="K3103" t="n">
        <v>2025</v>
      </c>
      <c r="L3103" t="n">
        <v>8</v>
      </c>
      <c r="M3103" t="inlineStr">
        <is>
          <t>Todos</t>
        </is>
      </c>
      <c r="N3103" t="inlineStr">
        <is>
          <t>Loja de Conveniência</t>
        </is>
      </c>
      <c r="O3103" t="n">
        <v>1</v>
      </c>
      <c r="P3103" t="n">
        <v>1</v>
      </c>
      <c r="Q3103" t="n">
        <v>1</v>
      </c>
    </row>
    <row r="3104">
      <c r="J3104" t="inlineStr">
        <is>
          <t>M</t>
        </is>
      </c>
      <c r="K3104" t="n">
        <v>2025</v>
      </c>
      <c r="L3104" t="n">
        <v>8</v>
      </c>
      <c r="M3104" t="inlineStr">
        <is>
          <t>Todos</t>
        </is>
      </c>
      <c r="N3104" t="inlineStr">
        <is>
          <t>Loja de Conveniência</t>
        </is>
      </c>
      <c r="O3104" t="n">
        <v>1</v>
      </c>
      <c r="P3104" t="n">
        <v>1</v>
      </c>
      <c r="Q3104" t="n">
        <v>0</v>
      </c>
    </row>
    <row r="3105">
      <c r="J3105" t="inlineStr">
        <is>
          <t>A</t>
        </is>
      </c>
      <c r="K3105" t="n">
        <v>2025</v>
      </c>
      <c r="L3105" t="n">
        <v>9</v>
      </c>
      <c r="M3105" t="inlineStr">
        <is>
          <t>Todos</t>
        </is>
      </c>
      <c r="N3105" t="inlineStr">
        <is>
          <t>Loja de Conveniência</t>
        </is>
      </c>
      <c r="O3105" t="n">
        <v>3</v>
      </c>
      <c r="P3105" t="n">
        <v>6</v>
      </c>
      <c r="Q3105" t="n">
        <v>3</v>
      </c>
    </row>
    <row r="3106">
      <c r="J3106" t="inlineStr">
        <is>
          <t>M</t>
        </is>
      </c>
      <c r="K3106" t="n">
        <v>2025</v>
      </c>
      <c r="L3106" t="n">
        <v>9</v>
      </c>
      <c r="M3106" t="inlineStr">
        <is>
          <t>Todos</t>
        </is>
      </c>
      <c r="N3106" t="inlineStr">
        <is>
          <t>Loja de Conveniência</t>
        </is>
      </c>
      <c r="O3106" t="n">
        <v>3</v>
      </c>
      <c r="P3106" t="n">
        <v>5</v>
      </c>
      <c r="Q3106" t="n">
        <v>0</v>
      </c>
    </row>
    <row r="3107">
      <c r="J3107" t="inlineStr">
        <is>
          <t>A</t>
        </is>
      </c>
      <c r="K3107" t="n">
        <v>2025</v>
      </c>
      <c r="L3107" t="n">
        <v>10</v>
      </c>
      <c r="M3107" t="inlineStr">
        <is>
          <t>Todos</t>
        </is>
      </c>
      <c r="N3107" t="inlineStr">
        <is>
          <t>Loja de Conveniência</t>
        </is>
      </c>
      <c r="O3107" t="n">
        <v>3</v>
      </c>
      <c r="P3107" t="n">
        <v>12</v>
      </c>
      <c r="Q3107" t="n">
        <v>3</v>
      </c>
    </row>
    <row r="3108">
      <c r="J3108" t="inlineStr">
        <is>
          <t>M</t>
        </is>
      </c>
      <c r="K3108" t="n">
        <v>2025</v>
      </c>
      <c r="L3108" t="n">
        <v>10</v>
      </c>
      <c r="M3108" t="inlineStr">
        <is>
          <t>Todos</t>
        </is>
      </c>
      <c r="N3108" t="inlineStr">
        <is>
          <t>Loja de Conveniência</t>
        </is>
      </c>
      <c r="O3108" t="n">
        <v>2</v>
      </c>
      <c r="P3108" t="n">
        <v>6</v>
      </c>
      <c r="Q3108" t="n">
        <v>0</v>
      </c>
    </row>
    <row r="3109">
      <c r="J3109" t="inlineStr">
        <is>
          <t>A</t>
        </is>
      </c>
      <c r="K3109" t="n">
        <v>2025</v>
      </c>
      <c r="L3109" t="n">
        <v>11</v>
      </c>
      <c r="M3109" t="inlineStr">
        <is>
          <t>Todos</t>
        </is>
      </c>
      <c r="N3109" t="inlineStr">
        <is>
          <t>Loja de Conveniência</t>
        </is>
      </c>
      <c r="O3109" t="n">
        <v>3</v>
      </c>
      <c r="P3109" t="n">
        <v>15</v>
      </c>
      <c r="Q3109" t="n">
        <v>3</v>
      </c>
    </row>
    <row r="3110">
      <c r="J3110" t="inlineStr">
        <is>
          <t>M</t>
        </is>
      </c>
      <c r="K3110" t="n">
        <v>2025</v>
      </c>
      <c r="L3110" t="n">
        <v>11</v>
      </c>
      <c r="M3110" t="inlineStr">
        <is>
          <t>Todos</t>
        </is>
      </c>
      <c r="N3110" t="inlineStr">
        <is>
          <t>Loja de Conveniência</t>
        </is>
      </c>
      <c r="O3110" t="n">
        <v>2</v>
      </c>
      <c r="P3110" t="n">
        <v>3</v>
      </c>
      <c r="Q3110" t="n">
        <v>0</v>
      </c>
    </row>
    <row r="3111">
      <c r="J3111" t="inlineStr">
        <is>
          <t>A</t>
        </is>
      </c>
      <c r="K3111" t="n">
        <v>2025</v>
      </c>
      <c r="L3111" t="n">
        <v>12</v>
      </c>
      <c r="M3111" t="inlineStr">
        <is>
          <t>Todos</t>
        </is>
      </c>
      <c r="N3111" t="inlineStr">
        <is>
          <t>Loja de Conveniência</t>
        </is>
      </c>
      <c r="O3111" t="n">
        <v>3</v>
      </c>
      <c r="P3111" t="n">
        <v>15</v>
      </c>
      <c r="Q3111" t="n">
        <v>3</v>
      </c>
    </row>
    <row r="3112">
      <c r="J3112" t="inlineStr">
        <is>
          <t>A</t>
        </is>
      </c>
      <c r="K3112" t="n">
        <v>2025</v>
      </c>
      <c r="L3112" t="n">
        <v>2</v>
      </c>
      <c r="M3112" t="inlineStr">
        <is>
          <t>Todos</t>
        </is>
      </c>
      <c r="N3112" t="inlineStr">
        <is>
          <t>Hospital / Casa de Repouso</t>
        </is>
      </c>
      <c r="O3112" t="n">
        <v>3</v>
      </c>
      <c r="P3112" t="n">
        <v>5</v>
      </c>
      <c r="Q3112" t="n">
        <v>2</v>
      </c>
    </row>
    <row r="3113">
      <c r="J3113" t="inlineStr">
        <is>
          <t>M</t>
        </is>
      </c>
      <c r="K3113" t="n">
        <v>2025</v>
      </c>
      <c r="L3113" t="n">
        <v>2</v>
      </c>
      <c r="M3113" t="inlineStr">
        <is>
          <t>Todos</t>
        </is>
      </c>
      <c r="N3113" t="inlineStr">
        <is>
          <t>Hospital / Casa de Repouso</t>
        </is>
      </c>
      <c r="O3113" t="n">
        <v>3</v>
      </c>
      <c r="P3113" t="n">
        <v>5</v>
      </c>
      <c r="Q3113" t="n">
        <v>0</v>
      </c>
    </row>
    <row r="3114">
      <c r="J3114" t="inlineStr">
        <is>
          <t>A</t>
        </is>
      </c>
      <c r="K3114" t="n">
        <v>2025</v>
      </c>
      <c r="L3114" t="n">
        <v>3</v>
      </c>
      <c r="M3114" t="inlineStr">
        <is>
          <t>Todos</t>
        </is>
      </c>
      <c r="N3114" t="inlineStr">
        <is>
          <t>Hospital / Casa de Repouso</t>
        </is>
      </c>
      <c r="O3114" t="n">
        <v>3</v>
      </c>
      <c r="P3114" t="n">
        <v>5</v>
      </c>
      <c r="Q3114" t="n">
        <v>2</v>
      </c>
    </row>
    <row r="3115">
      <c r="J3115" t="inlineStr">
        <is>
          <t>A</t>
        </is>
      </c>
      <c r="K3115" t="n">
        <v>2025</v>
      </c>
      <c r="L3115" t="n">
        <v>4</v>
      </c>
      <c r="M3115" t="inlineStr">
        <is>
          <t>Todos</t>
        </is>
      </c>
      <c r="N3115" t="inlineStr">
        <is>
          <t>Hospital / Casa de Repouso</t>
        </is>
      </c>
      <c r="O3115" t="n">
        <v>3</v>
      </c>
      <c r="P3115" t="n">
        <v>5</v>
      </c>
      <c r="Q3115" t="n">
        <v>2</v>
      </c>
    </row>
    <row r="3116">
      <c r="J3116" t="inlineStr">
        <is>
          <t>A</t>
        </is>
      </c>
      <c r="K3116" t="n">
        <v>2025</v>
      </c>
      <c r="L3116" t="n">
        <v>5</v>
      </c>
      <c r="M3116" t="inlineStr">
        <is>
          <t>Todos</t>
        </is>
      </c>
      <c r="N3116" t="inlineStr">
        <is>
          <t>Hospital / Casa de Repouso</t>
        </is>
      </c>
      <c r="O3116" t="n">
        <v>3</v>
      </c>
      <c r="P3116" t="n">
        <v>5</v>
      </c>
      <c r="Q3116" t="n">
        <v>2</v>
      </c>
    </row>
    <row r="3117">
      <c r="J3117" t="inlineStr">
        <is>
          <t>A</t>
        </is>
      </c>
      <c r="K3117" t="n">
        <v>2025</v>
      </c>
      <c r="L3117" t="n">
        <v>6</v>
      </c>
      <c r="M3117" t="inlineStr">
        <is>
          <t>Todos</t>
        </is>
      </c>
      <c r="N3117" t="inlineStr">
        <is>
          <t>Hospital / Casa de Repouso</t>
        </is>
      </c>
      <c r="O3117" t="n">
        <v>3</v>
      </c>
      <c r="P3117" t="n">
        <v>5</v>
      </c>
      <c r="Q3117" t="n">
        <v>2</v>
      </c>
    </row>
    <row r="3118">
      <c r="J3118" t="inlineStr">
        <is>
          <t>A</t>
        </is>
      </c>
      <c r="K3118" t="n">
        <v>2025</v>
      </c>
      <c r="L3118" t="n">
        <v>7</v>
      </c>
      <c r="M3118" t="inlineStr">
        <is>
          <t>Todos</t>
        </is>
      </c>
      <c r="N3118" t="inlineStr">
        <is>
          <t>Hospital / Casa de Repouso</t>
        </is>
      </c>
      <c r="O3118" t="n">
        <v>3</v>
      </c>
      <c r="P3118" t="n">
        <v>5</v>
      </c>
      <c r="Q3118" t="n">
        <v>2</v>
      </c>
    </row>
    <row r="3119">
      <c r="J3119" t="inlineStr">
        <is>
          <t>A</t>
        </is>
      </c>
      <c r="K3119" t="n">
        <v>2025</v>
      </c>
      <c r="L3119" t="n">
        <v>8</v>
      </c>
      <c r="M3119" t="inlineStr">
        <is>
          <t>Todos</t>
        </is>
      </c>
      <c r="N3119" t="inlineStr">
        <is>
          <t>Hospital / Casa de Repouso</t>
        </is>
      </c>
      <c r="O3119" t="n">
        <v>3</v>
      </c>
      <c r="P3119" t="n">
        <v>5</v>
      </c>
      <c r="Q3119" t="n">
        <v>2</v>
      </c>
    </row>
    <row r="3120">
      <c r="J3120" t="inlineStr">
        <is>
          <t>A</t>
        </is>
      </c>
      <c r="K3120" t="n">
        <v>2025</v>
      </c>
      <c r="L3120" t="n">
        <v>9</v>
      </c>
      <c r="M3120" t="inlineStr">
        <is>
          <t>Todos</t>
        </is>
      </c>
      <c r="N3120" t="inlineStr">
        <is>
          <t>Hospital / Casa de Repouso</t>
        </is>
      </c>
      <c r="O3120" t="n">
        <v>3</v>
      </c>
      <c r="P3120" t="n">
        <v>5</v>
      </c>
      <c r="Q3120" t="n">
        <v>2</v>
      </c>
    </row>
    <row r="3121">
      <c r="J3121" t="inlineStr">
        <is>
          <t>A</t>
        </is>
      </c>
      <c r="K3121" t="n">
        <v>2025</v>
      </c>
      <c r="L3121" t="n">
        <v>10</v>
      </c>
      <c r="M3121" t="inlineStr">
        <is>
          <t>Todos</t>
        </is>
      </c>
      <c r="N3121" t="inlineStr">
        <is>
          <t>Hospital / Casa de Repouso</t>
        </is>
      </c>
      <c r="O3121" t="n">
        <v>3</v>
      </c>
      <c r="P3121" t="n">
        <v>5</v>
      </c>
      <c r="Q3121" t="n">
        <v>2</v>
      </c>
    </row>
    <row r="3122">
      <c r="J3122" t="inlineStr">
        <is>
          <t>A</t>
        </is>
      </c>
      <c r="K3122" t="n">
        <v>2025</v>
      </c>
      <c r="L3122" t="n">
        <v>11</v>
      </c>
      <c r="M3122" t="inlineStr">
        <is>
          <t>Todos</t>
        </is>
      </c>
      <c r="N3122" t="inlineStr">
        <is>
          <t>Hospital / Casa de Repouso</t>
        </is>
      </c>
      <c r="O3122" t="n">
        <v>3</v>
      </c>
      <c r="P3122" t="n">
        <v>5</v>
      </c>
      <c r="Q3122" t="n">
        <v>2</v>
      </c>
    </row>
    <row r="3123">
      <c r="J3123" t="inlineStr">
        <is>
          <t>A</t>
        </is>
      </c>
      <c r="K3123" t="n">
        <v>2025</v>
      </c>
      <c r="L3123" t="n">
        <v>12</v>
      </c>
      <c r="M3123" t="inlineStr">
        <is>
          <t>Todos</t>
        </is>
      </c>
      <c r="N3123" t="inlineStr">
        <is>
          <t>Hospital / Casa de Repouso</t>
        </is>
      </c>
      <c r="O3123" t="n">
        <v>3</v>
      </c>
      <c r="P3123" t="n">
        <v>5</v>
      </c>
      <c r="Q3123" t="n">
        <v>2</v>
      </c>
    </row>
    <row r="3124">
      <c r="J3124" t="inlineStr">
        <is>
          <t>A</t>
        </is>
      </c>
      <c r="K3124" t="n">
        <v>2025</v>
      </c>
      <c r="L3124" t="n">
        <v>2</v>
      </c>
      <c r="M3124" t="inlineStr">
        <is>
          <t>Todos</t>
        </is>
      </c>
      <c r="N3124" t="inlineStr">
        <is>
          <t>Clube / Associação Desportiva</t>
        </is>
      </c>
      <c r="O3124" t="n">
        <v>1</v>
      </c>
      <c r="P3124" t="n">
        <v>1</v>
      </c>
      <c r="Q3124" t="n">
        <v>1</v>
      </c>
    </row>
    <row r="3125">
      <c r="J3125" t="inlineStr">
        <is>
          <t>M</t>
        </is>
      </c>
      <c r="K3125" t="n">
        <v>2025</v>
      </c>
      <c r="L3125" t="n">
        <v>2</v>
      </c>
      <c r="M3125" t="inlineStr">
        <is>
          <t>Todos</t>
        </is>
      </c>
      <c r="N3125" t="inlineStr">
        <is>
          <t>Clube / Associação Desportiva</t>
        </is>
      </c>
      <c r="O3125" t="n">
        <v>1</v>
      </c>
      <c r="P3125" t="n">
        <v>1</v>
      </c>
      <c r="Q3125" t="n">
        <v>0</v>
      </c>
    </row>
    <row r="3126">
      <c r="J3126" t="inlineStr">
        <is>
          <t>A</t>
        </is>
      </c>
      <c r="K3126" t="n">
        <v>2025</v>
      </c>
      <c r="L3126" t="n">
        <v>3</v>
      </c>
      <c r="M3126" t="inlineStr">
        <is>
          <t>Todos</t>
        </is>
      </c>
      <c r="N3126" t="inlineStr">
        <is>
          <t>Clube / Associação Desportiva</t>
        </is>
      </c>
      <c r="O3126" t="n">
        <v>2</v>
      </c>
      <c r="P3126" t="n">
        <v>2</v>
      </c>
      <c r="Q3126" t="n">
        <v>2</v>
      </c>
    </row>
    <row r="3127">
      <c r="J3127" t="inlineStr">
        <is>
          <t>M</t>
        </is>
      </c>
      <c r="K3127" t="n">
        <v>2025</v>
      </c>
      <c r="L3127" t="n">
        <v>3</v>
      </c>
      <c r="M3127" t="inlineStr">
        <is>
          <t>Todos</t>
        </is>
      </c>
      <c r="N3127" t="inlineStr">
        <is>
          <t>Clube / Associação Desportiva</t>
        </is>
      </c>
      <c r="O3127" t="n">
        <v>1</v>
      </c>
      <c r="P3127" t="n">
        <v>1</v>
      </c>
      <c r="Q3127" t="n">
        <v>0</v>
      </c>
    </row>
    <row r="3128">
      <c r="J3128" t="inlineStr">
        <is>
          <t>A</t>
        </is>
      </c>
      <c r="K3128" t="n">
        <v>2025</v>
      </c>
      <c r="L3128" t="n">
        <v>4</v>
      </c>
      <c r="M3128" t="inlineStr">
        <is>
          <t>Todos</t>
        </is>
      </c>
      <c r="N3128" t="inlineStr">
        <is>
          <t>Clube / Associação Desportiva</t>
        </is>
      </c>
      <c r="O3128" t="n">
        <v>2</v>
      </c>
      <c r="P3128" t="n">
        <v>2</v>
      </c>
      <c r="Q3128" t="n">
        <v>2</v>
      </c>
    </row>
    <row r="3129">
      <c r="J3129" t="inlineStr">
        <is>
          <t>A</t>
        </is>
      </c>
      <c r="K3129" t="n">
        <v>2025</v>
      </c>
      <c r="L3129" t="n">
        <v>5</v>
      </c>
      <c r="M3129" t="inlineStr">
        <is>
          <t>Todos</t>
        </is>
      </c>
      <c r="N3129" t="inlineStr">
        <is>
          <t>Clube / Associação Desportiva</t>
        </is>
      </c>
      <c r="O3129" t="n">
        <v>2</v>
      </c>
      <c r="P3129" t="n">
        <v>2</v>
      </c>
      <c r="Q3129" t="n">
        <v>2</v>
      </c>
    </row>
    <row r="3130">
      <c r="J3130" t="inlineStr">
        <is>
          <t>A</t>
        </is>
      </c>
      <c r="K3130" t="n">
        <v>2025</v>
      </c>
      <c r="L3130" t="n">
        <v>6</v>
      </c>
      <c r="M3130" t="inlineStr">
        <is>
          <t>Todos</t>
        </is>
      </c>
      <c r="N3130" t="inlineStr">
        <is>
          <t>Clube / Associação Desportiva</t>
        </is>
      </c>
      <c r="O3130" t="n">
        <v>2</v>
      </c>
      <c r="P3130" t="n">
        <v>2</v>
      </c>
      <c r="Q3130" t="n">
        <v>2</v>
      </c>
    </row>
    <row r="3131">
      <c r="J3131" t="inlineStr">
        <is>
          <t>A</t>
        </is>
      </c>
      <c r="K3131" t="n">
        <v>2025</v>
      </c>
      <c r="L3131" t="n">
        <v>7</v>
      </c>
      <c r="M3131" t="inlineStr">
        <is>
          <t>Todos</t>
        </is>
      </c>
      <c r="N3131" t="inlineStr">
        <is>
          <t>Clube / Associação Desportiva</t>
        </is>
      </c>
      <c r="O3131" t="n">
        <v>2</v>
      </c>
      <c r="P3131" t="n">
        <v>2</v>
      </c>
      <c r="Q3131" t="n">
        <v>2</v>
      </c>
    </row>
    <row r="3132">
      <c r="J3132" t="inlineStr">
        <is>
          <t>A</t>
        </is>
      </c>
      <c r="K3132" t="n">
        <v>2025</v>
      </c>
      <c r="L3132" t="n">
        <v>8</v>
      </c>
      <c r="M3132" t="inlineStr">
        <is>
          <t>Todos</t>
        </is>
      </c>
      <c r="N3132" t="inlineStr">
        <is>
          <t>Clube / Associação Desportiva</t>
        </is>
      </c>
      <c r="O3132" t="n">
        <v>2</v>
      </c>
      <c r="P3132" t="n">
        <v>2</v>
      </c>
      <c r="Q3132" t="n">
        <v>2</v>
      </c>
    </row>
    <row r="3133">
      <c r="J3133" t="inlineStr">
        <is>
          <t>A</t>
        </is>
      </c>
      <c r="K3133" t="n">
        <v>2025</v>
      </c>
      <c r="L3133" t="n">
        <v>9</v>
      </c>
      <c r="M3133" t="inlineStr">
        <is>
          <t>Todos</t>
        </is>
      </c>
      <c r="N3133" t="inlineStr">
        <is>
          <t>Clube / Associação Desportiva</t>
        </is>
      </c>
      <c r="O3133" t="n">
        <v>2</v>
      </c>
      <c r="P3133" t="n">
        <v>2</v>
      </c>
      <c r="Q3133" t="n">
        <v>2</v>
      </c>
    </row>
    <row r="3134">
      <c r="J3134" t="inlineStr">
        <is>
          <t>A</t>
        </is>
      </c>
      <c r="K3134" t="n">
        <v>2025</v>
      </c>
      <c r="L3134" t="n">
        <v>10</v>
      </c>
      <c r="M3134" t="inlineStr">
        <is>
          <t>Todos</t>
        </is>
      </c>
      <c r="N3134" t="inlineStr">
        <is>
          <t>Clube / Associação Desportiva</t>
        </is>
      </c>
      <c r="O3134" t="n">
        <v>5</v>
      </c>
      <c r="P3134" t="n">
        <v>5</v>
      </c>
      <c r="Q3134" t="n">
        <v>5</v>
      </c>
    </row>
    <row r="3135">
      <c r="J3135" t="inlineStr">
        <is>
          <t>M</t>
        </is>
      </c>
      <c r="K3135" t="n">
        <v>2025</v>
      </c>
      <c r="L3135" t="n">
        <v>10</v>
      </c>
      <c r="M3135" t="inlineStr">
        <is>
          <t>Todos</t>
        </is>
      </c>
      <c r="N3135" t="inlineStr">
        <is>
          <t>Clube / Associação Desportiva</t>
        </is>
      </c>
      <c r="O3135" t="n">
        <v>3</v>
      </c>
      <c r="P3135" t="n">
        <v>3</v>
      </c>
      <c r="Q3135" t="n">
        <v>0</v>
      </c>
    </row>
    <row r="3136">
      <c r="J3136" t="inlineStr">
        <is>
          <t>A</t>
        </is>
      </c>
      <c r="K3136" t="n">
        <v>2025</v>
      </c>
      <c r="L3136" t="n">
        <v>11</v>
      </c>
      <c r="M3136" t="inlineStr">
        <is>
          <t>Todos</t>
        </is>
      </c>
      <c r="N3136" t="inlineStr">
        <is>
          <t>Clube / Associação Desportiva</t>
        </is>
      </c>
      <c r="O3136" t="n">
        <v>5</v>
      </c>
      <c r="P3136" t="n">
        <v>5</v>
      </c>
      <c r="Q3136" t="n">
        <v>5</v>
      </c>
    </row>
    <row r="3137">
      <c r="J3137" t="inlineStr">
        <is>
          <t>A</t>
        </is>
      </c>
      <c r="K3137" t="n">
        <v>2025</v>
      </c>
      <c r="L3137" t="n">
        <v>12</v>
      </c>
      <c r="M3137" t="inlineStr">
        <is>
          <t>Todos</t>
        </is>
      </c>
      <c r="N3137" t="inlineStr">
        <is>
          <t>Clube / Associação Desportiva</t>
        </is>
      </c>
      <c r="O3137" t="n">
        <v>6</v>
      </c>
      <c r="P3137" t="n">
        <v>6</v>
      </c>
      <c r="Q3137" t="n">
        <v>6</v>
      </c>
    </row>
    <row r="3138">
      <c r="J3138" t="inlineStr">
        <is>
          <t>M</t>
        </is>
      </c>
      <c r="K3138" t="n">
        <v>2025</v>
      </c>
      <c r="L3138" t="n">
        <v>12</v>
      </c>
      <c r="M3138" t="inlineStr">
        <is>
          <t>Todos</t>
        </is>
      </c>
      <c r="N3138" t="inlineStr">
        <is>
          <t>Clube / Associação Desportiva</t>
        </is>
      </c>
      <c r="O3138" t="n">
        <v>1</v>
      </c>
      <c r="P3138" t="n">
        <v>1</v>
      </c>
      <c r="Q3138" t="n">
        <v>0</v>
      </c>
    </row>
    <row r="3139">
      <c r="J3139" t="inlineStr">
        <is>
          <t>A</t>
        </is>
      </c>
      <c r="K3139" t="n">
        <v>2025</v>
      </c>
      <c r="L3139" t="n">
        <v>2</v>
      </c>
      <c r="M3139" t="inlineStr">
        <is>
          <t>Todos</t>
        </is>
      </c>
      <c r="N3139" t="inlineStr">
        <is>
          <t>Casa Noturna</t>
        </is>
      </c>
      <c r="O3139" t="n">
        <v>1</v>
      </c>
      <c r="P3139" t="n">
        <v>1</v>
      </c>
      <c r="Q3139" t="n">
        <v>1</v>
      </c>
    </row>
    <row r="3140">
      <c r="J3140" t="inlineStr">
        <is>
          <t>M</t>
        </is>
      </c>
      <c r="K3140" t="n">
        <v>2025</v>
      </c>
      <c r="L3140" t="n">
        <v>2</v>
      </c>
      <c r="M3140" t="inlineStr">
        <is>
          <t>Todos</t>
        </is>
      </c>
      <c r="N3140" t="inlineStr">
        <is>
          <t>Casa Noturna</t>
        </is>
      </c>
      <c r="O3140" t="n">
        <v>1</v>
      </c>
      <c r="P3140" t="n">
        <v>1</v>
      </c>
      <c r="Q3140" t="n">
        <v>0</v>
      </c>
    </row>
    <row r="3141">
      <c r="J3141" t="inlineStr">
        <is>
          <t>A</t>
        </is>
      </c>
      <c r="K3141" t="n">
        <v>2025</v>
      </c>
      <c r="L3141" t="n">
        <v>3</v>
      </c>
      <c r="M3141" t="inlineStr">
        <is>
          <t>Todos</t>
        </is>
      </c>
      <c r="N3141" t="inlineStr">
        <is>
          <t>Casa Noturna</t>
        </is>
      </c>
      <c r="O3141" t="n">
        <v>1</v>
      </c>
      <c r="P3141" t="n">
        <v>1</v>
      </c>
      <c r="Q3141" t="n">
        <v>1</v>
      </c>
    </row>
    <row r="3142">
      <c r="J3142" t="inlineStr">
        <is>
          <t>A</t>
        </is>
      </c>
      <c r="K3142" t="n">
        <v>2025</v>
      </c>
      <c r="L3142" t="n">
        <v>4</v>
      </c>
      <c r="M3142" t="inlineStr">
        <is>
          <t>Todos</t>
        </is>
      </c>
      <c r="N3142" t="inlineStr">
        <is>
          <t>Casa Noturna</t>
        </is>
      </c>
      <c r="O3142" t="n">
        <v>1</v>
      </c>
      <c r="P3142" t="n">
        <v>1</v>
      </c>
      <c r="Q3142" t="n">
        <v>1</v>
      </c>
    </row>
    <row r="3143">
      <c r="J3143" t="inlineStr">
        <is>
          <t>A</t>
        </is>
      </c>
      <c r="K3143" t="n">
        <v>2025</v>
      </c>
      <c r="L3143" t="n">
        <v>5</v>
      </c>
      <c r="M3143" t="inlineStr">
        <is>
          <t>Todos</t>
        </is>
      </c>
      <c r="N3143" t="inlineStr">
        <is>
          <t>Casa Noturna</t>
        </is>
      </c>
      <c r="O3143" t="n">
        <v>1</v>
      </c>
      <c r="P3143" t="n">
        <v>1</v>
      </c>
      <c r="Q3143" t="n">
        <v>1</v>
      </c>
    </row>
    <row r="3144">
      <c r="J3144" t="inlineStr">
        <is>
          <t>A</t>
        </is>
      </c>
      <c r="K3144" t="n">
        <v>2025</v>
      </c>
      <c r="L3144" t="n">
        <v>6</v>
      </c>
      <c r="M3144" t="inlineStr">
        <is>
          <t>Todos</t>
        </is>
      </c>
      <c r="N3144" t="inlineStr">
        <is>
          <t>Casa Noturna</t>
        </is>
      </c>
      <c r="O3144" t="n">
        <v>1</v>
      </c>
      <c r="P3144" t="n">
        <v>1</v>
      </c>
      <c r="Q3144" t="n">
        <v>1</v>
      </c>
    </row>
    <row r="3145">
      <c r="J3145" t="inlineStr">
        <is>
          <t>A</t>
        </is>
      </c>
      <c r="K3145" t="n">
        <v>2025</v>
      </c>
      <c r="L3145" t="n">
        <v>7</v>
      </c>
      <c r="M3145" t="inlineStr">
        <is>
          <t>Todos</t>
        </is>
      </c>
      <c r="N3145" t="inlineStr">
        <is>
          <t>Casa Noturna</t>
        </is>
      </c>
      <c r="O3145" t="n">
        <v>2</v>
      </c>
      <c r="P3145" t="n">
        <v>2</v>
      </c>
      <c r="Q3145" t="n">
        <v>2</v>
      </c>
    </row>
    <row r="3146">
      <c r="J3146" t="inlineStr">
        <is>
          <t>M</t>
        </is>
      </c>
      <c r="K3146" t="n">
        <v>2025</v>
      </c>
      <c r="L3146" t="n">
        <v>7</v>
      </c>
      <c r="M3146" t="inlineStr">
        <is>
          <t>Todos</t>
        </is>
      </c>
      <c r="N3146" t="inlineStr">
        <is>
          <t>Casa Noturna</t>
        </is>
      </c>
      <c r="O3146" t="n">
        <v>1</v>
      </c>
      <c r="P3146" t="n">
        <v>1</v>
      </c>
      <c r="Q3146" t="n">
        <v>0</v>
      </c>
    </row>
    <row r="3147">
      <c r="J3147" t="inlineStr">
        <is>
          <t>A</t>
        </is>
      </c>
      <c r="K3147" t="n">
        <v>2025</v>
      </c>
      <c r="L3147" t="n">
        <v>8</v>
      </c>
      <c r="M3147" t="inlineStr">
        <is>
          <t>Todos</t>
        </is>
      </c>
      <c r="N3147" t="inlineStr">
        <is>
          <t>Casa Noturna</t>
        </is>
      </c>
      <c r="O3147" t="n">
        <v>2</v>
      </c>
      <c r="P3147" t="n">
        <v>2</v>
      </c>
      <c r="Q3147" t="n">
        <v>2</v>
      </c>
    </row>
    <row r="3148">
      <c r="J3148" t="inlineStr">
        <is>
          <t>A</t>
        </is>
      </c>
      <c r="K3148" t="n">
        <v>2025</v>
      </c>
      <c r="L3148" t="n">
        <v>9</v>
      </c>
      <c r="M3148" t="inlineStr">
        <is>
          <t>Todos</t>
        </is>
      </c>
      <c r="N3148" t="inlineStr">
        <is>
          <t>Casa Noturna</t>
        </is>
      </c>
      <c r="O3148" t="n">
        <v>2</v>
      </c>
      <c r="P3148" t="n">
        <v>2</v>
      </c>
      <c r="Q3148" t="n">
        <v>2</v>
      </c>
    </row>
    <row r="3149">
      <c r="J3149" t="inlineStr">
        <is>
          <t>A</t>
        </is>
      </c>
      <c r="K3149" t="n">
        <v>2025</v>
      </c>
      <c r="L3149" t="n">
        <v>10</v>
      </c>
      <c r="M3149" t="inlineStr">
        <is>
          <t>Todos</t>
        </is>
      </c>
      <c r="N3149" t="inlineStr">
        <is>
          <t>Casa Noturna</t>
        </is>
      </c>
      <c r="O3149" t="n">
        <v>2</v>
      </c>
      <c r="P3149" t="n">
        <v>2</v>
      </c>
      <c r="Q3149" t="n">
        <v>2</v>
      </c>
    </row>
    <row r="3150">
      <c r="J3150" t="inlineStr">
        <is>
          <t>A</t>
        </is>
      </c>
      <c r="K3150" t="n">
        <v>2025</v>
      </c>
      <c r="L3150" t="n">
        <v>11</v>
      </c>
      <c r="M3150" t="inlineStr">
        <is>
          <t>Todos</t>
        </is>
      </c>
      <c r="N3150" t="inlineStr">
        <is>
          <t>Casa Noturna</t>
        </is>
      </c>
      <c r="O3150" t="n">
        <v>3</v>
      </c>
      <c r="P3150" t="n">
        <v>3</v>
      </c>
      <c r="Q3150" t="n">
        <v>3</v>
      </c>
    </row>
    <row r="3151">
      <c r="J3151" t="inlineStr">
        <is>
          <t>M</t>
        </is>
      </c>
      <c r="K3151" t="n">
        <v>2025</v>
      </c>
      <c r="L3151" t="n">
        <v>11</v>
      </c>
      <c r="M3151" t="inlineStr">
        <is>
          <t>Todos</t>
        </is>
      </c>
      <c r="N3151" t="inlineStr">
        <is>
          <t>Casa Noturna</t>
        </is>
      </c>
      <c r="O3151" t="n">
        <v>1</v>
      </c>
      <c r="P3151" t="n">
        <v>1</v>
      </c>
      <c r="Q3151" t="n">
        <v>0</v>
      </c>
    </row>
    <row r="3152">
      <c r="J3152" t="inlineStr">
        <is>
          <t>A</t>
        </is>
      </c>
      <c r="K3152" t="n">
        <v>2025</v>
      </c>
      <c r="L3152" t="n">
        <v>12</v>
      </c>
      <c r="M3152" t="inlineStr">
        <is>
          <t>Todos</t>
        </is>
      </c>
      <c r="N3152" t="inlineStr">
        <is>
          <t>Casa Noturna</t>
        </is>
      </c>
      <c r="O3152" t="n">
        <v>3</v>
      </c>
      <c r="P3152" t="n">
        <v>3</v>
      </c>
      <c r="Q3152" t="n">
        <v>3</v>
      </c>
    </row>
    <row r="3153">
      <c r="J3153" t="inlineStr">
        <is>
          <t>A</t>
        </is>
      </c>
      <c r="K3153" t="n">
        <v>2025</v>
      </c>
      <c r="L3153" t="n">
        <v>2</v>
      </c>
      <c r="M3153" t="inlineStr">
        <is>
          <t>Todos</t>
        </is>
      </c>
      <c r="N3153" t="inlineStr">
        <is>
          <t>Colaborador</t>
        </is>
      </c>
      <c r="O3153" t="n">
        <v>3</v>
      </c>
      <c r="P3153" t="n">
        <v>3</v>
      </c>
      <c r="Q3153" t="n">
        <v>2</v>
      </c>
    </row>
    <row r="3154">
      <c r="J3154" t="inlineStr">
        <is>
          <t>M</t>
        </is>
      </c>
      <c r="K3154" t="n">
        <v>2025</v>
      </c>
      <c r="L3154" t="n">
        <v>2</v>
      </c>
      <c r="M3154" t="inlineStr">
        <is>
          <t>Todos</t>
        </is>
      </c>
      <c r="N3154" t="inlineStr">
        <is>
          <t>Colaborador</t>
        </is>
      </c>
      <c r="O3154" t="n">
        <v>3</v>
      </c>
      <c r="P3154" t="n">
        <v>3</v>
      </c>
      <c r="Q3154" t="n">
        <v>0</v>
      </c>
    </row>
    <row r="3155">
      <c r="J3155" t="inlineStr">
        <is>
          <t>A</t>
        </is>
      </c>
      <c r="K3155" t="n">
        <v>2025</v>
      </c>
      <c r="L3155" t="n">
        <v>3</v>
      </c>
      <c r="M3155" t="inlineStr">
        <is>
          <t>Todos</t>
        </is>
      </c>
      <c r="N3155" t="inlineStr">
        <is>
          <t>Colaborador</t>
        </is>
      </c>
      <c r="O3155" t="n">
        <v>3</v>
      </c>
      <c r="P3155" t="n">
        <v>3</v>
      </c>
      <c r="Q3155" t="n">
        <v>2</v>
      </c>
    </row>
    <row r="3156">
      <c r="J3156" t="inlineStr">
        <is>
          <t>A</t>
        </is>
      </c>
      <c r="K3156" t="n">
        <v>2025</v>
      </c>
      <c r="L3156" t="n">
        <v>4</v>
      </c>
      <c r="M3156" t="inlineStr">
        <is>
          <t>Todos</t>
        </is>
      </c>
      <c r="N3156" t="inlineStr">
        <is>
          <t>Colaborador</t>
        </is>
      </c>
      <c r="O3156" t="n">
        <v>4</v>
      </c>
      <c r="P3156" t="n">
        <v>4</v>
      </c>
      <c r="Q3156" t="n">
        <v>2</v>
      </c>
    </row>
    <row r="3157">
      <c r="J3157" t="inlineStr">
        <is>
          <t>M</t>
        </is>
      </c>
      <c r="K3157" t="n">
        <v>2025</v>
      </c>
      <c r="L3157" t="n">
        <v>4</v>
      </c>
      <c r="M3157" t="inlineStr">
        <is>
          <t>Todos</t>
        </is>
      </c>
      <c r="N3157" t="inlineStr">
        <is>
          <t>Colaborador</t>
        </is>
      </c>
      <c r="O3157" t="n">
        <v>1</v>
      </c>
      <c r="P3157" t="n">
        <v>1</v>
      </c>
      <c r="Q3157" t="n">
        <v>0</v>
      </c>
    </row>
    <row r="3158">
      <c r="J3158" t="inlineStr">
        <is>
          <t>A</t>
        </is>
      </c>
      <c r="K3158" t="n">
        <v>2025</v>
      </c>
      <c r="L3158" t="n">
        <v>5</v>
      </c>
      <c r="M3158" t="inlineStr">
        <is>
          <t>Todos</t>
        </is>
      </c>
      <c r="N3158" t="inlineStr">
        <is>
          <t>Colaborador</t>
        </is>
      </c>
      <c r="O3158" t="n">
        <v>5</v>
      </c>
      <c r="P3158" t="n">
        <v>5</v>
      </c>
      <c r="Q3158" t="n">
        <v>2</v>
      </c>
    </row>
    <row r="3159">
      <c r="J3159" t="inlineStr">
        <is>
          <t>M</t>
        </is>
      </c>
      <c r="K3159" t="n">
        <v>2025</v>
      </c>
      <c r="L3159" t="n">
        <v>5</v>
      </c>
      <c r="M3159" t="inlineStr">
        <is>
          <t>Todos</t>
        </is>
      </c>
      <c r="N3159" t="inlineStr">
        <is>
          <t>Colaborador</t>
        </is>
      </c>
      <c r="O3159" t="n">
        <v>1</v>
      </c>
      <c r="P3159" t="n">
        <v>1</v>
      </c>
      <c r="Q3159" t="n">
        <v>0</v>
      </c>
    </row>
    <row r="3160">
      <c r="J3160" t="inlineStr">
        <is>
          <t>A</t>
        </is>
      </c>
      <c r="K3160" t="n">
        <v>2025</v>
      </c>
      <c r="L3160" t="n">
        <v>6</v>
      </c>
      <c r="M3160" t="inlineStr">
        <is>
          <t>Todos</t>
        </is>
      </c>
      <c r="N3160" t="inlineStr">
        <is>
          <t>Colaborador</t>
        </is>
      </c>
      <c r="O3160" t="n">
        <v>5</v>
      </c>
      <c r="P3160" t="n">
        <v>5</v>
      </c>
      <c r="Q3160" t="n">
        <v>2</v>
      </c>
    </row>
    <row r="3161">
      <c r="J3161" t="inlineStr">
        <is>
          <t>A</t>
        </is>
      </c>
      <c r="K3161" t="n">
        <v>2025</v>
      </c>
      <c r="L3161" t="n">
        <v>7</v>
      </c>
      <c r="M3161" t="inlineStr">
        <is>
          <t>Todos</t>
        </is>
      </c>
      <c r="N3161" t="inlineStr">
        <is>
          <t>Colaborador</t>
        </is>
      </c>
      <c r="O3161" t="n">
        <v>5</v>
      </c>
      <c r="P3161" t="n">
        <v>5</v>
      </c>
      <c r="Q3161" t="n">
        <v>2</v>
      </c>
    </row>
    <row r="3162">
      <c r="J3162" t="inlineStr">
        <is>
          <t>A</t>
        </is>
      </c>
      <c r="K3162" t="n">
        <v>2025</v>
      </c>
      <c r="L3162" t="n">
        <v>8</v>
      </c>
      <c r="M3162" t="inlineStr">
        <is>
          <t>Todos</t>
        </is>
      </c>
      <c r="N3162" t="inlineStr">
        <is>
          <t>Colaborador</t>
        </is>
      </c>
      <c r="O3162" t="n">
        <v>5</v>
      </c>
      <c r="P3162" t="n">
        <v>5</v>
      </c>
      <c r="Q3162" t="n">
        <v>2</v>
      </c>
    </row>
    <row r="3163">
      <c r="J3163" t="inlineStr">
        <is>
          <t>A</t>
        </is>
      </c>
      <c r="K3163" t="n">
        <v>2025</v>
      </c>
      <c r="L3163" t="n">
        <v>9</v>
      </c>
      <c r="M3163" t="inlineStr">
        <is>
          <t>Todos</t>
        </is>
      </c>
      <c r="N3163" t="inlineStr">
        <is>
          <t>Colaborador</t>
        </is>
      </c>
      <c r="O3163" t="n">
        <v>5</v>
      </c>
      <c r="P3163" t="n">
        <v>5</v>
      </c>
      <c r="Q3163" t="n">
        <v>2</v>
      </c>
    </row>
    <row r="3164">
      <c r="J3164" t="inlineStr">
        <is>
          <t>A</t>
        </is>
      </c>
      <c r="K3164" t="n">
        <v>2025</v>
      </c>
      <c r="L3164" t="n">
        <v>10</v>
      </c>
      <c r="M3164" t="inlineStr">
        <is>
          <t>Todos</t>
        </is>
      </c>
      <c r="N3164" t="inlineStr">
        <is>
          <t>Colaborador</t>
        </is>
      </c>
      <c r="O3164" t="n">
        <v>5</v>
      </c>
      <c r="P3164" t="n">
        <v>5</v>
      </c>
      <c r="Q3164" t="n">
        <v>2</v>
      </c>
    </row>
    <row r="3165">
      <c r="J3165" t="inlineStr">
        <is>
          <t>A</t>
        </is>
      </c>
      <c r="K3165" t="n">
        <v>2025</v>
      </c>
      <c r="L3165" t="n">
        <v>11</v>
      </c>
      <c r="M3165" t="inlineStr">
        <is>
          <t>Todos</t>
        </is>
      </c>
      <c r="N3165" t="inlineStr">
        <is>
          <t>Colaborador</t>
        </is>
      </c>
      <c r="O3165" t="n">
        <v>5</v>
      </c>
      <c r="P3165" t="n">
        <v>5</v>
      </c>
      <c r="Q3165" t="n">
        <v>2</v>
      </c>
    </row>
    <row r="3166">
      <c r="J3166" t="inlineStr">
        <is>
          <t>A</t>
        </is>
      </c>
      <c r="K3166" t="n">
        <v>2025</v>
      </c>
      <c r="L3166" t="n">
        <v>12</v>
      </c>
      <c r="M3166" t="inlineStr">
        <is>
          <t>Todos</t>
        </is>
      </c>
      <c r="N3166" t="inlineStr">
        <is>
          <t>Colaborador</t>
        </is>
      </c>
      <c r="O3166" t="n">
        <v>5</v>
      </c>
      <c r="P3166" t="n">
        <v>5</v>
      </c>
      <c r="Q3166" t="n">
        <v>2</v>
      </c>
    </row>
    <row r="3167">
      <c r="J3167" t="inlineStr">
        <is>
          <t>A</t>
        </is>
      </c>
      <c r="K3167" t="n">
        <v>2025</v>
      </c>
      <c r="L3167" t="n">
        <v>1</v>
      </c>
      <c r="M3167" t="inlineStr">
        <is>
          <t>Todos</t>
        </is>
      </c>
      <c r="N3167" t="inlineStr">
        <is>
          <t>Instituição Religiosa</t>
        </is>
      </c>
      <c r="O3167" t="n">
        <v>1</v>
      </c>
      <c r="P3167" t="n">
        <v>1</v>
      </c>
      <c r="Q3167" t="n">
        <v>0</v>
      </c>
    </row>
    <row r="3168">
      <c r="J3168" t="inlineStr">
        <is>
          <t>M</t>
        </is>
      </c>
      <c r="K3168" t="n">
        <v>2025</v>
      </c>
      <c r="L3168" t="n">
        <v>1</v>
      </c>
      <c r="M3168" t="inlineStr">
        <is>
          <t>Todos</t>
        </is>
      </c>
      <c r="N3168" t="inlineStr">
        <is>
          <t>Instituição Religiosa</t>
        </is>
      </c>
      <c r="O3168" t="n">
        <v>1</v>
      </c>
      <c r="P3168" t="n">
        <v>1</v>
      </c>
      <c r="Q3168" t="n">
        <v>0</v>
      </c>
    </row>
    <row r="3169">
      <c r="J3169" t="inlineStr">
        <is>
          <t>A</t>
        </is>
      </c>
      <c r="K3169" t="n">
        <v>2025</v>
      </c>
      <c r="L3169" t="n">
        <v>2</v>
      </c>
      <c r="M3169" t="inlineStr">
        <is>
          <t>Todos</t>
        </is>
      </c>
      <c r="N3169" t="inlineStr">
        <is>
          <t>Instituição Religiosa</t>
        </is>
      </c>
      <c r="O3169" t="n">
        <v>1</v>
      </c>
      <c r="P3169" t="n">
        <v>1</v>
      </c>
      <c r="Q3169" t="n">
        <v>0</v>
      </c>
    </row>
    <row r="3170">
      <c r="J3170" t="inlineStr">
        <is>
          <t>A</t>
        </is>
      </c>
      <c r="K3170" t="n">
        <v>2025</v>
      </c>
      <c r="L3170" t="n">
        <v>3</v>
      </c>
      <c r="M3170" t="inlineStr">
        <is>
          <t>Todos</t>
        </is>
      </c>
      <c r="N3170" t="inlineStr">
        <is>
          <t>Instituição Religiosa</t>
        </is>
      </c>
      <c r="O3170" t="n">
        <v>1</v>
      </c>
      <c r="P3170" t="n">
        <v>1</v>
      </c>
      <c r="Q3170" t="n">
        <v>0</v>
      </c>
    </row>
    <row r="3171">
      <c r="J3171" t="inlineStr">
        <is>
          <t>A</t>
        </is>
      </c>
      <c r="K3171" t="n">
        <v>2025</v>
      </c>
      <c r="L3171" t="n">
        <v>4</v>
      </c>
      <c r="M3171" t="inlineStr">
        <is>
          <t>Todos</t>
        </is>
      </c>
      <c r="N3171" t="inlineStr">
        <is>
          <t>Instituição Religiosa</t>
        </is>
      </c>
      <c r="O3171" t="n">
        <v>1</v>
      </c>
      <c r="P3171" t="n">
        <v>1</v>
      </c>
      <c r="Q3171" t="n">
        <v>0</v>
      </c>
    </row>
    <row r="3172">
      <c r="J3172" t="inlineStr">
        <is>
          <t>A</t>
        </is>
      </c>
      <c r="K3172" t="n">
        <v>2025</v>
      </c>
      <c r="L3172" t="n">
        <v>5</v>
      </c>
      <c r="M3172" t="inlineStr">
        <is>
          <t>Todos</t>
        </is>
      </c>
      <c r="N3172" t="inlineStr">
        <is>
          <t>Instituição Religiosa</t>
        </is>
      </c>
      <c r="O3172" t="n">
        <v>1</v>
      </c>
      <c r="P3172" t="n">
        <v>1</v>
      </c>
      <c r="Q3172" t="n">
        <v>0</v>
      </c>
    </row>
    <row r="3173">
      <c r="J3173" t="inlineStr">
        <is>
          <t>A</t>
        </is>
      </c>
      <c r="K3173" t="n">
        <v>2025</v>
      </c>
      <c r="L3173" t="n">
        <v>6</v>
      </c>
      <c r="M3173" t="inlineStr">
        <is>
          <t>Todos</t>
        </is>
      </c>
      <c r="N3173" t="inlineStr">
        <is>
          <t>Instituição Religiosa</t>
        </is>
      </c>
      <c r="O3173" t="n">
        <v>1</v>
      </c>
      <c r="P3173" t="n">
        <v>1</v>
      </c>
      <c r="Q3173" t="n">
        <v>0</v>
      </c>
    </row>
    <row r="3174">
      <c r="J3174" t="inlineStr">
        <is>
          <t>A</t>
        </is>
      </c>
      <c r="K3174" t="n">
        <v>2025</v>
      </c>
      <c r="L3174" t="n">
        <v>7</v>
      </c>
      <c r="M3174" t="inlineStr">
        <is>
          <t>Todos</t>
        </is>
      </c>
      <c r="N3174" t="inlineStr">
        <is>
          <t>Instituição Religiosa</t>
        </is>
      </c>
      <c r="O3174" t="n">
        <v>1</v>
      </c>
      <c r="P3174" t="n">
        <v>1</v>
      </c>
      <c r="Q3174" t="n">
        <v>0</v>
      </c>
    </row>
    <row r="3175">
      <c r="J3175" t="inlineStr">
        <is>
          <t>A</t>
        </is>
      </c>
      <c r="K3175" t="n">
        <v>2025</v>
      </c>
      <c r="L3175" t="n">
        <v>8</v>
      </c>
      <c r="M3175" t="inlineStr">
        <is>
          <t>Todos</t>
        </is>
      </c>
      <c r="N3175" t="inlineStr">
        <is>
          <t>Instituição Religiosa</t>
        </is>
      </c>
      <c r="O3175" t="n">
        <v>1</v>
      </c>
      <c r="P3175" t="n">
        <v>1</v>
      </c>
      <c r="Q3175" t="n">
        <v>0</v>
      </c>
    </row>
    <row r="3176">
      <c r="J3176" t="inlineStr">
        <is>
          <t>A</t>
        </is>
      </c>
      <c r="K3176" t="n">
        <v>2025</v>
      </c>
      <c r="L3176" t="n">
        <v>9</v>
      </c>
      <c r="M3176" t="inlineStr">
        <is>
          <t>Todos</t>
        </is>
      </c>
      <c r="N3176" t="inlineStr">
        <is>
          <t>Instituição Religiosa</t>
        </is>
      </c>
      <c r="O3176" t="n">
        <v>1</v>
      </c>
      <c r="P3176" t="n">
        <v>1</v>
      </c>
      <c r="Q3176" t="n">
        <v>0</v>
      </c>
    </row>
    <row r="3177">
      <c r="J3177" t="inlineStr">
        <is>
          <t>A</t>
        </is>
      </c>
      <c r="K3177" t="n">
        <v>2025</v>
      </c>
      <c r="L3177" t="n">
        <v>10</v>
      </c>
      <c r="M3177" t="inlineStr">
        <is>
          <t>Todos</t>
        </is>
      </c>
      <c r="N3177" t="inlineStr">
        <is>
          <t>Instituição Religiosa</t>
        </is>
      </c>
      <c r="O3177" t="n">
        <v>1</v>
      </c>
      <c r="P3177" t="n">
        <v>1</v>
      </c>
      <c r="Q3177" t="n">
        <v>0</v>
      </c>
    </row>
    <row r="3178">
      <c r="J3178" t="inlineStr">
        <is>
          <t>A</t>
        </is>
      </c>
      <c r="K3178" t="n">
        <v>2025</v>
      </c>
      <c r="L3178" t="n">
        <v>11</v>
      </c>
      <c r="M3178" t="inlineStr">
        <is>
          <t>Todos</t>
        </is>
      </c>
      <c r="N3178" t="inlineStr">
        <is>
          <t>Instituição Religiosa</t>
        </is>
      </c>
      <c r="O3178" t="n">
        <v>1</v>
      </c>
      <c r="P3178" t="n">
        <v>1</v>
      </c>
      <c r="Q3178" t="n">
        <v>0</v>
      </c>
    </row>
    <row r="3179">
      <c r="J3179" t="inlineStr">
        <is>
          <t>A</t>
        </is>
      </c>
      <c r="K3179" t="n">
        <v>2025</v>
      </c>
      <c r="L3179" t="n">
        <v>12</v>
      </c>
      <c r="M3179" t="inlineStr">
        <is>
          <t>Todos</t>
        </is>
      </c>
      <c r="N3179" t="inlineStr">
        <is>
          <t>Instituição Religiosa</t>
        </is>
      </c>
      <c r="O3179" t="n">
        <v>1</v>
      </c>
      <c r="P3179" t="n">
        <v>1</v>
      </c>
      <c r="Q3179" t="n">
        <v>0</v>
      </c>
    </row>
    <row r="3180">
      <c r="J3180" t="inlineStr">
        <is>
          <t>A</t>
        </is>
      </c>
      <c r="K3180" t="n">
        <v>2025</v>
      </c>
      <c r="L3180" t="n">
        <v>1</v>
      </c>
      <c r="M3180" t="inlineStr">
        <is>
          <t>Muçarela Mozzana 2 kg</t>
        </is>
      </c>
      <c r="N3180" t="inlineStr">
        <is>
          <t>Todos</t>
        </is>
      </c>
      <c r="O3180" t="n">
        <v>121</v>
      </c>
      <c r="P3180" t="n">
        <v>307</v>
      </c>
      <c r="Q3180" t="n">
        <v>7</v>
      </c>
    </row>
    <row r="3181">
      <c r="J3181" t="inlineStr">
        <is>
          <t>M</t>
        </is>
      </c>
      <c r="K3181" t="n">
        <v>2025</v>
      </c>
      <c r="L3181" t="n">
        <v>1</v>
      </c>
      <c r="M3181" t="inlineStr">
        <is>
          <t>Muçarela Mozzana 2 kg</t>
        </is>
      </c>
      <c r="N3181" t="inlineStr">
        <is>
          <t>Todos</t>
        </is>
      </c>
      <c r="O3181" t="n">
        <v>121</v>
      </c>
      <c r="P3181" t="n">
        <v>307</v>
      </c>
      <c r="Q3181" t="n">
        <v>0</v>
      </c>
    </row>
    <row r="3182">
      <c r="J3182" t="inlineStr">
        <is>
          <t>A</t>
        </is>
      </c>
      <c r="K3182" t="n">
        <v>2025</v>
      </c>
      <c r="L3182" t="n">
        <v>2</v>
      </c>
      <c r="M3182" t="inlineStr">
        <is>
          <t>Muçarela Mozzana 2 kg</t>
        </is>
      </c>
      <c r="N3182" t="inlineStr">
        <is>
          <t>Todos</t>
        </is>
      </c>
      <c r="O3182" t="n">
        <v>145</v>
      </c>
      <c r="P3182" t="n">
        <v>590</v>
      </c>
      <c r="Q3182" t="n">
        <v>23</v>
      </c>
    </row>
    <row r="3183">
      <c r="J3183" t="inlineStr">
        <is>
          <t>M</t>
        </is>
      </c>
      <c r="K3183" t="n">
        <v>2025</v>
      </c>
      <c r="L3183" t="n">
        <v>2</v>
      </c>
      <c r="M3183" t="inlineStr">
        <is>
          <t>Muçarela Mozzana 2 kg</t>
        </is>
      </c>
      <c r="N3183" t="inlineStr">
        <is>
          <t>Todos</t>
        </is>
      </c>
      <c r="O3183" t="n">
        <v>113</v>
      </c>
      <c r="P3183" t="n">
        <v>283</v>
      </c>
      <c r="Q3183" t="n">
        <v>0</v>
      </c>
    </row>
    <row r="3184">
      <c r="J3184" t="inlineStr">
        <is>
          <t>A</t>
        </is>
      </c>
      <c r="K3184" t="n">
        <v>2025</v>
      </c>
      <c r="L3184" t="n">
        <v>3</v>
      </c>
      <c r="M3184" t="inlineStr">
        <is>
          <t>Muçarela Mozzana 2 kg</t>
        </is>
      </c>
      <c r="N3184" t="inlineStr">
        <is>
          <t>Todos</t>
        </is>
      </c>
      <c r="O3184" t="n">
        <v>168</v>
      </c>
      <c r="P3184" t="n">
        <v>890</v>
      </c>
      <c r="Q3184" t="n">
        <v>31</v>
      </c>
    </row>
    <row r="3185">
      <c r="J3185" t="inlineStr">
        <is>
          <t>M</t>
        </is>
      </c>
      <c r="K3185" t="n">
        <v>2025</v>
      </c>
      <c r="L3185" t="n">
        <v>3</v>
      </c>
      <c r="M3185" t="inlineStr">
        <is>
          <t>Muçarela Mozzana 2 kg</t>
        </is>
      </c>
      <c r="N3185" t="inlineStr">
        <is>
          <t>Todos</t>
        </is>
      </c>
      <c r="O3185" t="n">
        <v>118</v>
      </c>
      <c r="P3185" t="n">
        <v>300</v>
      </c>
      <c r="Q3185" t="n">
        <v>0</v>
      </c>
    </row>
    <row r="3186">
      <c r="J3186" t="inlineStr">
        <is>
          <t>A</t>
        </is>
      </c>
      <c r="K3186" t="n">
        <v>2025</v>
      </c>
      <c r="L3186" t="n">
        <v>4</v>
      </c>
      <c r="M3186" t="inlineStr">
        <is>
          <t>Muçarela Mozzana 2 kg</t>
        </is>
      </c>
      <c r="N3186" t="inlineStr">
        <is>
          <t>Todos</t>
        </is>
      </c>
      <c r="O3186" t="n">
        <v>178</v>
      </c>
      <c r="P3186" t="n">
        <v>1146</v>
      </c>
      <c r="Q3186" t="n">
        <v>35</v>
      </c>
    </row>
    <row r="3187">
      <c r="J3187" t="inlineStr">
        <is>
          <t>M</t>
        </is>
      </c>
      <c r="K3187" t="n">
        <v>2025</v>
      </c>
      <c r="L3187" t="n">
        <v>4</v>
      </c>
      <c r="M3187" t="inlineStr">
        <is>
          <t>Muçarela Mozzana 2 kg</t>
        </is>
      </c>
      <c r="N3187" t="inlineStr">
        <is>
          <t>Todos</t>
        </is>
      </c>
      <c r="O3187" t="n">
        <v>101</v>
      </c>
      <c r="P3187" t="n">
        <v>256</v>
      </c>
      <c r="Q3187" t="n">
        <v>0</v>
      </c>
    </row>
    <row r="3188">
      <c r="J3188" t="inlineStr">
        <is>
          <t>A</t>
        </is>
      </c>
      <c r="K3188" t="n">
        <v>2025</v>
      </c>
      <c r="L3188" t="n">
        <v>5</v>
      </c>
      <c r="M3188" t="inlineStr">
        <is>
          <t>Muçarela Mozzana 2 kg</t>
        </is>
      </c>
      <c r="N3188" t="inlineStr">
        <is>
          <t>Todos</t>
        </is>
      </c>
      <c r="O3188" t="n">
        <v>183</v>
      </c>
      <c r="P3188" t="n">
        <v>1363</v>
      </c>
      <c r="Q3188" t="n">
        <v>38</v>
      </c>
    </row>
    <row r="3189">
      <c r="J3189" t="inlineStr">
        <is>
          <t>M</t>
        </is>
      </c>
      <c r="K3189" t="n">
        <v>2025</v>
      </c>
      <c r="L3189" t="n">
        <v>5</v>
      </c>
      <c r="M3189" t="inlineStr">
        <is>
          <t>Muçarela Mozzana 2 kg</t>
        </is>
      </c>
      <c r="N3189" t="inlineStr">
        <is>
          <t>Todos</t>
        </is>
      </c>
      <c r="O3189" t="n">
        <v>86</v>
      </c>
      <c r="P3189" t="n">
        <v>217</v>
      </c>
      <c r="Q3189" t="n">
        <v>0</v>
      </c>
    </row>
    <row r="3190">
      <c r="J3190" t="inlineStr">
        <is>
          <t>A</t>
        </is>
      </c>
      <c r="K3190" t="n">
        <v>2025</v>
      </c>
      <c r="L3190" t="n">
        <v>6</v>
      </c>
      <c r="M3190" t="inlineStr">
        <is>
          <t>Muçarela Mozzana 2 kg</t>
        </is>
      </c>
      <c r="N3190" t="inlineStr">
        <is>
          <t>Todos</t>
        </is>
      </c>
      <c r="O3190" t="n">
        <v>190</v>
      </c>
      <c r="P3190" t="n">
        <v>1610</v>
      </c>
      <c r="Q3190" t="n">
        <v>42</v>
      </c>
    </row>
    <row r="3191">
      <c r="J3191" t="inlineStr">
        <is>
          <t>M</t>
        </is>
      </c>
      <c r="K3191" t="n">
        <v>2025</v>
      </c>
      <c r="L3191" t="n">
        <v>6</v>
      </c>
      <c r="M3191" t="inlineStr">
        <is>
          <t>Muçarela Mozzana 2 kg</t>
        </is>
      </c>
      <c r="N3191" t="inlineStr">
        <is>
          <t>Todos</t>
        </is>
      </c>
      <c r="O3191" t="n">
        <v>87</v>
      </c>
      <c r="P3191" t="n">
        <v>247</v>
      </c>
      <c r="Q3191" t="n">
        <v>0</v>
      </c>
    </row>
    <row r="3192">
      <c r="J3192" t="inlineStr">
        <is>
          <t>A</t>
        </is>
      </c>
      <c r="K3192" t="n">
        <v>2025</v>
      </c>
      <c r="L3192" t="n">
        <v>7</v>
      </c>
      <c r="M3192" t="inlineStr">
        <is>
          <t>Muçarela Mozzana 2 kg</t>
        </is>
      </c>
      <c r="N3192" t="inlineStr">
        <is>
          <t>Todos</t>
        </is>
      </c>
      <c r="O3192" t="n">
        <v>213</v>
      </c>
      <c r="P3192" t="n">
        <v>1885</v>
      </c>
      <c r="Q3192" t="n">
        <v>63</v>
      </c>
    </row>
    <row r="3193">
      <c r="J3193" t="inlineStr">
        <is>
          <t>M</t>
        </is>
      </c>
      <c r="K3193" t="n">
        <v>2025</v>
      </c>
      <c r="L3193" t="n">
        <v>7</v>
      </c>
      <c r="M3193" t="inlineStr">
        <is>
          <t>Muçarela Mozzana 2 kg</t>
        </is>
      </c>
      <c r="N3193" t="inlineStr">
        <is>
          <t>Todos</t>
        </is>
      </c>
      <c r="O3193" t="n">
        <v>101</v>
      </c>
      <c r="P3193" t="n">
        <v>275</v>
      </c>
      <c r="Q3193" t="n">
        <v>0</v>
      </c>
    </row>
    <row r="3194">
      <c r="J3194" t="inlineStr">
        <is>
          <t>A</t>
        </is>
      </c>
      <c r="K3194" t="n">
        <v>2025</v>
      </c>
      <c r="L3194" t="n">
        <v>8</v>
      </c>
      <c r="M3194" t="inlineStr">
        <is>
          <t>Muçarela Mozzana 2 kg</t>
        </is>
      </c>
      <c r="N3194" t="inlineStr">
        <is>
          <t>Todos</t>
        </is>
      </c>
      <c r="O3194" t="n">
        <v>228</v>
      </c>
      <c r="P3194" t="n">
        <v>2139</v>
      </c>
      <c r="Q3194" t="n">
        <v>75</v>
      </c>
    </row>
    <row r="3195">
      <c r="J3195" t="inlineStr">
        <is>
          <t>M</t>
        </is>
      </c>
      <c r="K3195" t="n">
        <v>2025</v>
      </c>
      <c r="L3195" t="n">
        <v>8</v>
      </c>
      <c r="M3195" t="inlineStr">
        <is>
          <t>Muçarela Mozzana 2 kg</t>
        </is>
      </c>
      <c r="N3195" t="inlineStr">
        <is>
          <t>Todos</t>
        </is>
      </c>
      <c r="O3195" t="n">
        <v>93</v>
      </c>
      <c r="P3195" t="n">
        <v>254</v>
      </c>
      <c r="Q3195" t="n">
        <v>0</v>
      </c>
    </row>
    <row r="3196">
      <c r="J3196" t="inlineStr">
        <is>
          <t>A</t>
        </is>
      </c>
      <c r="K3196" t="n">
        <v>2025</v>
      </c>
      <c r="L3196" t="n">
        <v>9</v>
      </c>
      <c r="M3196" t="inlineStr">
        <is>
          <t>Muçarela Mozzana 2 kg</t>
        </is>
      </c>
      <c r="N3196" t="inlineStr">
        <is>
          <t>Todos</t>
        </is>
      </c>
      <c r="O3196" t="n">
        <v>237</v>
      </c>
      <c r="P3196" t="n">
        <v>2426</v>
      </c>
      <c r="Q3196" t="n">
        <v>81</v>
      </c>
    </row>
    <row r="3197">
      <c r="J3197" t="inlineStr">
        <is>
          <t>M</t>
        </is>
      </c>
      <c r="K3197" t="n">
        <v>2025</v>
      </c>
      <c r="L3197" t="n">
        <v>9</v>
      </c>
      <c r="M3197" t="inlineStr">
        <is>
          <t>Muçarela Mozzana 2 kg</t>
        </is>
      </c>
      <c r="N3197" t="inlineStr">
        <is>
          <t>Todos</t>
        </is>
      </c>
      <c r="O3197" t="n">
        <v>101</v>
      </c>
      <c r="P3197" t="n">
        <v>287</v>
      </c>
      <c r="Q3197" t="n">
        <v>0</v>
      </c>
    </row>
    <row r="3198">
      <c r="J3198" t="inlineStr">
        <is>
          <t>A</t>
        </is>
      </c>
      <c r="K3198" t="n">
        <v>2025</v>
      </c>
      <c r="L3198" t="n">
        <v>10</v>
      </c>
      <c r="M3198" t="inlineStr">
        <is>
          <t>Muçarela Mozzana 2 kg</t>
        </is>
      </c>
      <c r="N3198" t="inlineStr">
        <is>
          <t>Todos</t>
        </is>
      </c>
      <c r="O3198" t="n">
        <v>242</v>
      </c>
      <c r="P3198" t="n">
        <v>2662</v>
      </c>
      <c r="Q3198" t="n">
        <v>85</v>
      </c>
    </row>
    <row r="3199">
      <c r="J3199" t="inlineStr">
        <is>
          <t>M</t>
        </is>
      </c>
      <c r="K3199" t="n">
        <v>2025</v>
      </c>
      <c r="L3199" t="n">
        <v>10</v>
      </c>
      <c r="M3199" t="inlineStr">
        <is>
          <t>Muçarela Mozzana 2 kg</t>
        </is>
      </c>
      <c r="N3199" t="inlineStr">
        <is>
          <t>Todos</t>
        </is>
      </c>
      <c r="O3199" t="n">
        <v>84</v>
      </c>
      <c r="P3199" t="n">
        <v>236</v>
      </c>
      <c r="Q3199" t="n">
        <v>0</v>
      </c>
    </row>
    <row r="3200">
      <c r="J3200" t="inlineStr">
        <is>
          <t>A</t>
        </is>
      </c>
      <c r="K3200" t="n">
        <v>2025</v>
      </c>
      <c r="L3200" t="n">
        <v>11</v>
      </c>
      <c r="M3200" t="inlineStr">
        <is>
          <t>Muçarela Mozzana 2 kg</t>
        </is>
      </c>
      <c r="N3200" t="inlineStr">
        <is>
          <t>Todos</t>
        </is>
      </c>
      <c r="O3200" t="n">
        <v>252</v>
      </c>
      <c r="P3200" t="n">
        <v>2903</v>
      </c>
      <c r="Q3200" t="n">
        <v>93</v>
      </c>
    </row>
    <row r="3201">
      <c r="J3201" t="inlineStr">
        <is>
          <t>M</t>
        </is>
      </c>
      <c r="K3201" t="n">
        <v>2025</v>
      </c>
      <c r="L3201" t="n">
        <v>11</v>
      </c>
      <c r="M3201" t="inlineStr">
        <is>
          <t>Muçarela Mozzana 2 kg</t>
        </is>
      </c>
      <c r="N3201" t="inlineStr">
        <is>
          <t>Todos</t>
        </is>
      </c>
      <c r="O3201" t="n">
        <v>86</v>
      </c>
      <c r="P3201" t="n">
        <v>241</v>
      </c>
      <c r="Q3201" t="n">
        <v>0</v>
      </c>
    </row>
    <row r="3202">
      <c r="J3202" t="inlineStr">
        <is>
          <t>A</t>
        </is>
      </c>
      <c r="K3202" t="n">
        <v>2025</v>
      </c>
      <c r="L3202" t="n">
        <v>12</v>
      </c>
      <c r="M3202" t="inlineStr">
        <is>
          <t>Muçarela Mozzana 2 kg</t>
        </is>
      </c>
      <c r="N3202" t="inlineStr">
        <is>
          <t>Todos</t>
        </is>
      </c>
      <c r="O3202" t="n">
        <v>256</v>
      </c>
      <c r="P3202" t="n">
        <v>3125</v>
      </c>
      <c r="Q3202" t="n">
        <v>96</v>
      </c>
    </row>
    <row r="3203">
      <c r="J3203" t="inlineStr">
        <is>
          <t>M</t>
        </is>
      </c>
      <c r="K3203" t="n">
        <v>2025</v>
      </c>
      <c r="L3203" t="n">
        <v>12</v>
      </c>
      <c r="M3203" t="inlineStr">
        <is>
          <t>Muçarela Mozzana 2 kg</t>
        </is>
      </c>
      <c r="N3203" t="inlineStr">
        <is>
          <t>Todos</t>
        </is>
      </c>
      <c r="O3203" t="n">
        <v>77</v>
      </c>
      <c r="P3203" t="n">
        <v>222</v>
      </c>
      <c r="Q3203" t="n">
        <v>0</v>
      </c>
    </row>
    <row r="3204">
      <c r="J3204" t="inlineStr">
        <is>
          <t>A</t>
        </is>
      </c>
      <c r="K3204" t="n">
        <v>2025</v>
      </c>
      <c r="L3204" t="n">
        <v>1</v>
      </c>
      <c r="M3204" t="inlineStr">
        <is>
          <t>Muçarela Mozzana 2 kg</t>
        </is>
      </c>
      <c r="N3204" t="inlineStr">
        <is>
          <t>Pizzaria</t>
        </is>
      </c>
      <c r="O3204" t="n">
        <v>57</v>
      </c>
      <c r="P3204" t="n">
        <v>157</v>
      </c>
      <c r="Q3204" t="n">
        <v>5</v>
      </c>
    </row>
    <row r="3205">
      <c r="J3205" t="inlineStr">
        <is>
          <t>M</t>
        </is>
      </c>
      <c r="K3205" t="n">
        <v>2025</v>
      </c>
      <c r="L3205" t="n">
        <v>1</v>
      </c>
      <c r="M3205" t="inlineStr">
        <is>
          <t>Muçarela Mozzana 2 kg</t>
        </is>
      </c>
      <c r="N3205" t="inlineStr">
        <is>
          <t>Pizzaria</t>
        </is>
      </c>
      <c r="O3205" t="n">
        <v>57</v>
      </c>
      <c r="P3205" t="n">
        <v>157</v>
      </c>
      <c r="Q3205" t="n">
        <v>0</v>
      </c>
    </row>
    <row r="3206">
      <c r="J3206" t="inlineStr">
        <is>
          <t>A</t>
        </is>
      </c>
      <c r="K3206" t="n">
        <v>2025</v>
      </c>
      <c r="L3206" t="n">
        <v>2</v>
      </c>
      <c r="M3206" t="inlineStr">
        <is>
          <t>Muçarela Mozzana 2 kg</t>
        </is>
      </c>
      <c r="N3206" t="inlineStr">
        <is>
          <t>Pizzaria</t>
        </is>
      </c>
      <c r="O3206" t="n">
        <v>64</v>
      </c>
      <c r="P3206" t="n">
        <v>298</v>
      </c>
      <c r="Q3206" t="n">
        <v>10</v>
      </c>
    </row>
    <row r="3207">
      <c r="J3207" t="inlineStr">
        <is>
          <t>M</t>
        </is>
      </c>
      <c r="K3207" t="n">
        <v>2025</v>
      </c>
      <c r="L3207" t="n">
        <v>2</v>
      </c>
      <c r="M3207" t="inlineStr">
        <is>
          <t>Muçarela Mozzana 2 kg</t>
        </is>
      </c>
      <c r="N3207" t="inlineStr">
        <is>
          <t>Pizzaria</t>
        </is>
      </c>
      <c r="O3207" t="n">
        <v>51</v>
      </c>
      <c r="P3207" t="n">
        <v>141</v>
      </c>
      <c r="Q3207" t="n">
        <v>0</v>
      </c>
    </row>
    <row r="3208">
      <c r="J3208" t="inlineStr">
        <is>
          <t>A</t>
        </is>
      </c>
      <c r="K3208" t="n">
        <v>2025</v>
      </c>
      <c r="L3208" t="n">
        <v>3</v>
      </c>
      <c r="M3208" t="inlineStr">
        <is>
          <t>Muçarela Mozzana 2 kg</t>
        </is>
      </c>
      <c r="N3208" t="inlineStr">
        <is>
          <t>Pizzaria</t>
        </is>
      </c>
      <c r="O3208" t="n">
        <v>70</v>
      </c>
      <c r="P3208" t="n">
        <v>440</v>
      </c>
      <c r="Q3208" t="n">
        <v>13</v>
      </c>
    </row>
    <row r="3209">
      <c r="J3209" t="inlineStr">
        <is>
          <t>M</t>
        </is>
      </c>
      <c r="K3209" t="n">
        <v>2025</v>
      </c>
      <c r="L3209" t="n">
        <v>3</v>
      </c>
      <c r="M3209" t="inlineStr">
        <is>
          <t>Muçarela Mozzana 2 kg</t>
        </is>
      </c>
      <c r="N3209" t="inlineStr">
        <is>
          <t>Pizzaria</t>
        </is>
      </c>
      <c r="O3209" t="n">
        <v>47</v>
      </c>
      <c r="P3209" t="n">
        <v>142</v>
      </c>
      <c r="Q3209" t="n">
        <v>0</v>
      </c>
    </row>
    <row r="3210">
      <c r="J3210" t="inlineStr">
        <is>
          <t>A</t>
        </is>
      </c>
      <c r="K3210" t="n">
        <v>2025</v>
      </c>
      <c r="L3210" t="n">
        <v>4</v>
      </c>
      <c r="M3210" t="inlineStr">
        <is>
          <t>Muçarela Mozzana 2 kg</t>
        </is>
      </c>
      <c r="N3210" t="inlineStr">
        <is>
          <t>Pizzaria</t>
        </is>
      </c>
      <c r="O3210" t="n">
        <v>73</v>
      </c>
      <c r="P3210" t="n">
        <v>567</v>
      </c>
      <c r="Q3210" t="n">
        <v>14</v>
      </c>
    </row>
    <row r="3211">
      <c r="J3211" t="inlineStr">
        <is>
          <t>M</t>
        </is>
      </c>
      <c r="K3211" t="n">
        <v>2025</v>
      </c>
      <c r="L3211" t="n">
        <v>4</v>
      </c>
      <c r="M3211" t="inlineStr">
        <is>
          <t>Muçarela Mozzana 2 kg</t>
        </is>
      </c>
      <c r="N3211" t="inlineStr">
        <is>
          <t>Pizzaria</t>
        </is>
      </c>
      <c r="O3211" t="n">
        <v>41</v>
      </c>
      <c r="P3211" t="n">
        <v>127</v>
      </c>
      <c r="Q3211" t="n">
        <v>0</v>
      </c>
    </row>
    <row r="3212">
      <c r="J3212" t="inlineStr">
        <is>
          <t>A</t>
        </is>
      </c>
      <c r="K3212" t="n">
        <v>2025</v>
      </c>
      <c r="L3212" t="n">
        <v>5</v>
      </c>
      <c r="M3212" t="inlineStr">
        <is>
          <t>Muçarela Mozzana 2 kg</t>
        </is>
      </c>
      <c r="N3212" t="inlineStr">
        <is>
          <t>Pizzaria</t>
        </is>
      </c>
      <c r="O3212" t="n">
        <v>74</v>
      </c>
      <c r="P3212" t="n">
        <v>670</v>
      </c>
      <c r="Q3212" t="n">
        <v>14</v>
      </c>
    </row>
    <row r="3213">
      <c r="J3213" t="inlineStr">
        <is>
          <t>M</t>
        </is>
      </c>
      <c r="K3213" t="n">
        <v>2025</v>
      </c>
      <c r="L3213" t="n">
        <v>5</v>
      </c>
      <c r="M3213" t="inlineStr">
        <is>
          <t>Muçarela Mozzana 2 kg</t>
        </is>
      </c>
      <c r="N3213" t="inlineStr">
        <is>
          <t>Pizzaria</t>
        </is>
      </c>
      <c r="O3213" t="n">
        <v>36</v>
      </c>
      <c r="P3213" t="n">
        <v>103</v>
      </c>
      <c r="Q3213" t="n">
        <v>0</v>
      </c>
    </row>
    <row r="3214">
      <c r="J3214" t="inlineStr">
        <is>
          <t>A</t>
        </is>
      </c>
      <c r="K3214" t="n">
        <v>2025</v>
      </c>
      <c r="L3214" t="n">
        <v>6</v>
      </c>
      <c r="M3214" t="inlineStr">
        <is>
          <t>Muçarela Mozzana 2 kg</t>
        </is>
      </c>
      <c r="N3214" t="inlineStr">
        <is>
          <t>Pizzaria</t>
        </is>
      </c>
      <c r="O3214" t="n">
        <v>79</v>
      </c>
      <c r="P3214" t="n">
        <v>806</v>
      </c>
      <c r="Q3214" t="n">
        <v>17</v>
      </c>
    </row>
    <row r="3215">
      <c r="J3215" t="inlineStr">
        <is>
          <t>M</t>
        </is>
      </c>
      <c r="K3215" t="n">
        <v>2025</v>
      </c>
      <c r="L3215" t="n">
        <v>6</v>
      </c>
      <c r="M3215" t="inlineStr">
        <is>
          <t>Muçarela Mozzana 2 kg</t>
        </is>
      </c>
      <c r="N3215" t="inlineStr">
        <is>
          <t>Pizzaria</t>
        </is>
      </c>
      <c r="O3215" t="n">
        <v>41</v>
      </c>
      <c r="P3215" t="n">
        <v>136</v>
      </c>
      <c r="Q3215" t="n">
        <v>0</v>
      </c>
    </row>
    <row r="3216">
      <c r="J3216" t="inlineStr">
        <is>
          <t>A</t>
        </is>
      </c>
      <c r="K3216" t="n">
        <v>2025</v>
      </c>
      <c r="L3216" t="n">
        <v>7</v>
      </c>
      <c r="M3216" t="inlineStr">
        <is>
          <t>Muçarela Mozzana 2 kg</t>
        </is>
      </c>
      <c r="N3216" t="inlineStr">
        <is>
          <t>Pizzaria</t>
        </is>
      </c>
      <c r="O3216" t="n">
        <v>88</v>
      </c>
      <c r="P3216" t="n">
        <v>958</v>
      </c>
      <c r="Q3216" t="n">
        <v>26</v>
      </c>
    </row>
    <row r="3217">
      <c r="J3217" t="inlineStr">
        <is>
          <t>M</t>
        </is>
      </c>
      <c r="K3217" t="n">
        <v>2025</v>
      </c>
      <c r="L3217" t="n">
        <v>7</v>
      </c>
      <c r="M3217" t="inlineStr">
        <is>
          <t>Muçarela Mozzana 2 kg</t>
        </is>
      </c>
      <c r="N3217" t="inlineStr">
        <is>
          <t>Pizzaria</t>
        </is>
      </c>
      <c r="O3217" t="n">
        <v>45</v>
      </c>
      <c r="P3217" t="n">
        <v>152</v>
      </c>
      <c r="Q3217" t="n">
        <v>0</v>
      </c>
    </row>
    <row r="3218">
      <c r="J3218" t="inlineStr">
        <is>
          <t>A</t>
        </is>
      </c>
      <c r="K3218" t="n">
        <v>2025</v>
      </c>
      <c r="L3218" t="n">
        <v>8</v>
      </c>
      <c r="M3218" t="inlineStr">
        <is>
          <t>Muçarela Mozzana 2 kg</t>
        </is>
      </c>
      <c r="N3218" t="inlineStr">
        <is>
          <t>Pizzaria</t>
        </is>
      </c>
      <c r="O3218" t="n">
        <v>99</v>
      </c>
      <c r="P3218" t="n">
        <v>1106</v>
      </c>
      <c r="Q3218" t="n">
        <v>35</v>
      </c>
    </row>
    <row r="3219">
      <c r="J3219" t="inlineStr">
        <is>
          <t>M</t>
        </is>
      </c>
      <c r="K3219" t="n">
        <v>2025</v>
      </c>
      <c r="L3219" t="n">
        <v>8</v>
      </c>
      <c r="M3219" t="inlineStr">
        <is>
          <t>Muçarela Mozzana 2 kg</t>
        </is>
      </c>
      <c r="N3219" t="inlineStr">
        <is>
          <t>Pizzaria</t>
        </is>
      </c>
      <c r="O3219" t="n">
        <v>47</v>
      </c>
      <c r="P3219" t="n">
        <v>148</v>
      </c>
      <c r="Q3219" t="n">
        <v>0</v>
      </c>
    </row>
    <row r="3220">
      <c r="J3220" t="inlineStr">
        <is>
          <t>A</t>
        </is>
      </c>
      <c r="K3220" t="n">
        <v>2025</v>
      </c>
      <c r="L3220" t="n">
        <v>9</v>
      </c>
      <c r="M3220" t="inlineStr">
        <is>
          <t>Muçarela Mozzana 2 kg</t>
        </is>
      </c>
      <c r="N3220" t="inlineStr">
        <is>
          <t>Pizzaria</t>
        </is>
      </c>
      <c r="O3220" t="n">
        <v>102</v>
      </c>
      <c r="P3220" t="n">
        <v>1255</v>
      </c>
      <c r="Q3220" t="n">
        <v>37</v>
      </c>
    </row>
    <row r="3221">
      <c r="J3221" t="inlineStr">
        <is>
          <t>M</t>
        </is>
      </c>
      <c r="K3221" t="n">
        <v>2025</v>
      </c>
      <c r="L3221" t="n">
        <v>9</v>
      </c>
      <c r="M3221" t="inlineStr">
        <is>
          <t>Muçarela Mozzana 2 kg</t>
        </is>
      </c>
      <c r="N3221" t="inlineStr">
        <is>
          <t>Pizzaria</t>
        </is>
      </c>
      <c r="O3221" t="n">
        <v>45</v>
      </c>
      <c r="P3221" t="n">
        <v>149</v>
      </c>
      <c r="Q3221" t="n">
        <v>0</v>
      </c>
    </row>
    <row r="3222">
      <c r="J3222" t="inlineStr">
        <is>
          <t>A</t>
        </is>
      </c>
      <c r="K3222" t="n">
        <v>2025</v>
      </c>
      <c r="L3222" t="n">
        <v>10</v>
      </c>
      <c r="M3222" t="inlineStr">
        <is>
          <t>Muçarela Mozzana 2 kg</t>
        </is>
      </c>
      <c r="N3222" t="inlineStr">
        <is>
          <t>Pizzaria</t>
        </is>
      </c>
      <c r="O3222" t="n">
        <v>103</v>
      </c>
      <c r="P3222" t="n">
        <v>1378</v>
      </c>
      <c r="Q3222" t="n">
        <v>38</v>
      </c>
    </row>
    <row r="3223">
      <c r="J3223" t="inlineStr">
        <is>
          <t>M</t>
        </is>
      </c>
      <c r="K3223" t="n">
        <v>2025</v>
      </c>
      <c r="L3223" t="n">
        <v>10</v>
      </c>
      <c r="M3223" t="inlineStr">
        <is>
          <t>Muçarela Mozzana 2 kg</t>
        </is>
      </c>
      <c r="N3223" t="inlineStr">
        <is>
          <t>Pizzaria</t>
        </is>
      </c>
      <c r="O3223" t="n">
        <v>39</v>
      </c>
      <c r="P3223" t="n">
        <v>123</v>
      </c>
      <c r="Q3223" t="n">
        <v>0</v>
      </c>
    </row>
    <row r="3224">
      <c r="J3224" t="inlineStr">
        <is>
          <t>A</t>
        </is>
      </c>
      <c r="K3224" t="n">
        <v>2025</v>
      </c>
      <c r="L3224" t="n">
        <v>11</v>
      </c>
      <c r="M3224" t="inlineStr">
        <is>
          <t>Muçarela Mozzana 2 kg</t>
        </is>
      </c>
      <c r="N3224" t="inlineStr">
        <is>
          <t>Pizzaria</t>
        </is>
      </c>
      <c r="O3224" t="n">
        <v>107</v>
      </c>
      <c r="P3224" t="n">
        <v>1503</v>
      </c>
      <c r="Q3224" t="n">
        <v>42</v>
      </c>
    </row>
    <row r="3225">
      <c r="J3225" t="inlineStr">
        <is>
          <t>M</t>
        </is>
      </c>
      <c r="K3225" t="n">
        <v>2025</v>
      </c>
      <c r="L3225" t="n">
        <v>11</v>
      </c>
      <c r="M3225" t="inlineStr">
        <is>
          <t>Muçarela Mozzana 2 kg</t>
        </is>
      </c>
      <c r="N3225" t="inlineStr">
        <is>
          <t>Pizzaria</t>
        </is>
      </c>
      <c r="O3225" t="n">
        <v>41</v>
      </c>
      <c r="P3225" t="n">
        <v>125</v>
      </c>
      <c r="Q3225" t="n">
        <v>0</v>
      </c>
    </row>
    <row r="3226">
      <c r="J3226" t="inlineStr">
        <is>
          <t>A</t>
        </is>
      </c>
      <c r="K3226" t="n">
        <v>2025</v>
      </c>
      <c r="L3226" t="n">
        <v>12</v>
      </c>
      <c r="M3226" t="inlineStr">
        <is>
          <t>Muçarela Mozzana 2 kg</t>
        </is>
      </c>
      <c r="N3226" t="inlineStr">
        <is>
          <t>Pizzaria</t>
        </is>
      </c>
      <c r="O3226" t="n">
        <v>108</v>
      </c>
      <c r="P3226" t="n">
        <v>1625</v>
      </c>
      <c r="Q3226" t="n">
        <v>43</v>
      </c>
    </row>
    <row r="3227">
      <c r="J3227" t="inlineStr">
        <is>
          <t>M</t>
        </is>
      </c>
      <c r="K3227" t="n">
        <v>2025</v>
      </c>
      <c r="L3227" t="n">
        <v>12</v>
      </c>
      <c r="M3227" t="inlineStr">
        <is>
          <t>Muçarela Mozzana 2 kg</t>
        </is>
      </c>
      <c r="N3227" t="inlineStr">
        <is>
          <t>Pizzaria</t>
        </is>
      </c>
      <c r="O3227" t="n">
        <v>37</v>
      </c>
      <c r="P3227" t="n">
        <v>122</v>
      </c>
      <c r="Q3227" t="n">
        <v>0</v>
      </c>
    </row>
    <row r="3228">
      <c r="J3228" t="inlineStr">
        <is>
          <t>A</t>
        </is>
      </c>
      <c r="K3228" t="n">
        <v>2025</v>
      </c>
      <c r="L3228" t="n">
        <v>1</v>
      </c>
      <c r="M3228" t="inlineStr">
        <is>
          <t>Muçarela Mozzana 2 kg</t>
        </is>
      </c>
      <c r="N3228" t="inlineStr">
        <is>
          <t>Restaurante / Cantina</t>
        </is>
      </c>
      <c r="O3228" t="n">
        <v>8</v>
      </c>
      <c r="P3228" t="n">
        <v>27</v>
      </c>
      <c r="Q3228" t="n">
        <v>0</v>
      </c>
    </row>
    <row r="3229">
      <c r="J3229" t="inlineStr">
        <is>
          <t>M</t>
        </is>
      </c>
      <c r="K3229" t="n">
        <v>2025</v>
      </c>
      <c r="L3229" t="n">
        <v>1</v>
      </c>
      <c r="M3229" t="inlineStr">
        <is>
          <t>Muçarela Mozzana 2 kg</t>
        </is>
      </c>
      <c r="N3229" t="inlineStr">
        <is>
          <t>Restaurante / Cantina</t>
        </is>
      </c>
      <c r="O3229" t="n">
        <v>8</v>
      </c>
      <c r="P3229" t="n">
        <v>27</v>
      </c>
      <c r="Q3229" t="n">
        <v>0</v>
      </c>
    </row>
    <row r="3230">
      <c r="J3230" t="inlineStr">
        <is>
          <t>A</t>
        </is>
      </c>
      <c r="K3230" t="n">
        <v>2025</v>
      </c>
      <c r="L3230" t="n">
        <v>2</v>
      </c>
      <c r="M3230" t="inlineStr">
        <is>
          <t>Muçarela Mozzana 2 kg</t>
        </is>
      </c>
      <c r="N3230" t="inlineStr">
        <is>
          <t>Restaurante / Cantina</t>
        </is>
      </c>
      <c r="O3230" t="n">
        <v>11</v>
      </c>
      <c r="P3230" t="n">
        <v>54</v>
      </c>
      <c r="Q3230" t="n">
        <v>1</v>
      </c>
    </row>
    <row r="3231">
      <c r="J3231" t="inlineStr">
        <is>
          <t>M</t>
        </is>
      </c>
      <c r="K3231" t="n">
        <v>2025</v>
      </c>
      <c r="L3231" t="n">
        <v>2</v>
      </c>
      <c r="M3231" t="inlineStr">
        <is>
          <t>Muçarela Mozzana 2 kg</t>
        </is>
      </c>
      <c r="N3231" t="inlineStr">
        <is>
          <t>Restaurante / Cantina</t>
        </is>
      </c>
      <c r="O3231" t="n">
        <v>11</v>
      </c>
      <c r="P3231" t="n">
        <v>27</v>
      </c>
      <c r="Q3231" t="n">
        <v>0</v>
      </c>
    </row>
    <row r="3232">
      <c r="J3232" t="inlineStr">
        <is>
          <t>A</t>
        </is>
      </c>
      <c r="K3232" t="n">
        <v>2025</v>
      </c>
      <c r="L3232" t="n">
        <v>3</v>
      </c>
      <c r="M3232" t="inlineStr">
        <is>
          <t>Muçarela Mozzana 2 kg</t>
        </is>
      </c>
      <c r="N3232" t="inlineStr">
        <is>
          <t>Restaurante / Cantina</t>
        </is>
      </c>
      <c r="O3232" t="n">
        <v>14</v>
      </c>
      <c r="P3232" t="n">
        <v>79</v>
      </c>
      <c r="Q3232" t="n">
        <v>1</v>
      </c>
    </row>
    <row r="3233">
      <c r="J3233" t="inlineStr">
        <is>
          <t>M</t>
        </is>
      </c>
      <c r="K3233" t="n">
        <v>2025</v>
      </c>
      <c r="L3233" t="n">
        <v>3</v>
      </c>
      <c r="M3233" t="inlineStr">
        <is>
          <t>Muçarela Mozzana 2 kg</t>
        </is>
      </c>
      <c r="N3233" t="inlineStr">
        <is>
          <t>Restaurante / Cantina</t>
        </is>
      </c>
      <c r="O3233" t="n">
        <v>13</v>
      </c>
      <c r="P3233" t="n">
        <v>25</v>
      </c>
      <c r="Q3233" t="n">
        <v>0</v>
      </c>
    </row>
    <row r="3234">
      <c r="J3234" t="inlineStr">
        <is>
          <t>A</t>
        </is>
      </c>
      <c r="K3234" t="n">
        <v>2025</v>
      </c>
      <c r="L3234" t="n">
        <v>4</v>
      </c>
      <c r="M3234" t="inlineStr">
        <is>
          <t>Muçarela Mozzana 2 kg</t>
        </is>
      </c>
      <c r="N3234" t="inlineStr">
        <is>
          <t>Restaurante / Cantina</t>
        </is>
      </c>
      <c r="O3234" t="n">
        <v>16</v>
      </c>
      <c r="P3234" t="n">
        <v>101</v>
      </c>
      <c r="Q3234" t="n">
        <v>1</v>
      </c>
    </row>
    <row r="3235">
      <c r="J3235" t="inlineStr">
        <is>
          <t>M</t>
        </is>
      </c>
      <c r="K3235" t="n">
        <v>2025</v>
      </c>
      <c r="L3235" t="n">
        <v>4</v>
      </c>
      <c r="M3235" t="inlineStr">
        <is>
          <t>Muçarela Mozzana 2 kg</t>
        </is>
      </c>
      <c r="N3235" t="inlineStr">
        <is>
          <t>Restaurante / Cantina</t>
        </is>
      </c>
      <c r="O3235" t="n">
        <v>10</v>
      </c>
      <c r="P3235" t="n">
        <v>22</v>
      </c>
      <c r="Q3235" t="n">
        <v>0</v>
      </c>
    </row>
    <row r="3236">
      <c r="J3236" t="inlineStr">
        <is>
          <t>A</t>
        </is>
      </c>
      <c r="K3236" t="n">
        <v>2025</v>
      </c>
      <c r="L3236" t="n">
        <v>5</v>
      </c>
      <c r="M3236" t="inlineStr">
        <is>
          <t>Muçarela Mozzana 2 kg</t>
        </is>
      </c>
      <c r="N3236" t="inlineStr">
        <is>
          <t>Restaurante / Cantina</t>
        </is>
      </c>
      <c r="O3236" t="n">
        <v>16</v>
      </c>
      <c r="P3236" t="n">
        <v>127</v>
      </c>
      <c r="Q3236" t="n">
        <v>1</v>
      </c>
    </row>
    <row r="3237">
      <c r="J3237" t="inlineStr">
        <is>
          <t>M</t>
        </is>
      </c>
      <c r="K3237" t="n">
        <v>2025</v>
      </c>
      <c r="L3237" t="n">
        <v>5</v>
      </c>
      <c r="M3237" t="inlineStr">
        <is>
          <t>Muçarela Mozzana 2 kg</t>
        </is>
      </c>
      <c r="N3237" t="inlineStr">
        <is>
          <t>Restaurante / Cantina</t>
        </is>
      </c>
      <c r="O3237" t="n">
        <v>11</v>
      </c>
      <c r="P3237" t="n">
        <v>26</v>
      </c>
      <c r="Q3237" t="n">
        <v>0</v>
      </c>
    </row>
    <row r="3238">
      <c r="J3238" t="inlineStr">
        <is>
          <t>A</t>
        </is>
      </c>
      <c r="K3238" t="n">
        <v>2025</v>
      </c>
      <c r="L3238" t="n">
        <v>6</v>
      </c>
      <c r="M3238" t="inlineStr">
        <is>
          <t>Muçarela Mozzana 2 kg</t>
        </is>
      </c>
      <c r="N3238" t="inlineStr">
        <is>
          <t>Restaurante / Cantina</t>
        </is>
      </c>
      <c r="O3238" t="n">
        <v>16</v>
      </c>
      <c r="P3238" t="n">
        <v>147</v>
      </c>
      <c r="Q3238" t="n">
        <v>1</v>
      </c>
    </row>
    <row r="3239">
      <c r="J3239" t="inlineStr">
        <is>
          <t>M</t>
        </is>
      </c>
      <c r="K3239" t="n">
        <v>2025</v>
      </c>
      <c r="L3239" t="n">
        <v>6</v>
      </c>
      <c r="M3239" t="inlineStr">
        <is>
          <t>Muçarela Mozzana 2 kg</t>
        </is>
      </c>
      <c r="N3239" t="inlineStr">
        <is>
          <t>Restaurante / Cantina</t>
        </is>
      </c>
      <c r="O3239" t="n">
        <v>8</v>
      </c>
      <c r="P3239" t="n">
        <v>20</v>
      </c>
      <c r="Q3239" t="n">
        <v>0</v>
      </c>
    </row>
    <row r="3240">
      <c r="J3240" t="inlineStr">
        <is>
          <t>A</t>
        </is>
      </c>
      <c r="K3240" t="n">
        <v>2025</v>
      </c>
      <c r="L3240" t="n">
        <v>7</v>
      </c>
      <c r="M3240" t="inlineStr">
        <is>
          <t>Muçarela Mozzana 2 kg</t>
        </is>
      </c>
      <c r="N3240" t="inlineStr">
        <is>
          <t>Restaurante / Cantina</t>
        </is>
      </c>
      <c r="O3240" t="n">
        <v>18</v>
      </c>
      <c r="P3240" t="n">
        <v>172</v>
      </c>
      <c r="Q3240" t="n">
        <v>3</v>
      </c>
    </row>
    <row r="3241">
      <c r="J3241" t="inlineStr">
        <is>
          <t>M</t>
        </is>
      </c>
      <c r="K3241" t="n">
        <v>2025</v>
      </c>
      <c r="L3241" t="n">
        <v>7</v>
      </c>
      <c r="M3241" t="inlineStr">
        <is>
          <t>Muçarela Mozzana 2 kg</t>
        </is>
      </c>
      <c r="N3241" t="inlineStr">
        <is>
          <t>Restaurante / Cantina</t>
        </is>
      </c>
      <c r="O3241" t="n">
        <v>12</v>
      </c>
      <c r="P3241" t="n">
        <v>25</v>
      </c>
      <c r="Q3241" t="n">
        <v>0</v>
      </c>
    </row>
    <row r="3242">
      <c r="J3242" t="inlineStr">
        <is>
          <t>A</t>
        </is>
      </c>
      <c r="K3242" t="n">
        <v>2025</v>
      </c>
      <c r="L3242" t="n">
        <v>8</v>
      </c>
      <c r="M3242" t="inlineStr">
        <is>
          <t>Muçarela Mozzana 2 kg</t>
        </is>
      </c>
      <c r="N3242" t="inlineStr">
        <is>
          <t>Restaurante / Cantina</t>
        </is>
      </c>
      <c r="O3242" t="n">
        <v>19</v>
      </c>
      <c r="P3242" t="n">
        <v>186</v>
      </c>
      <c r="Q3242" t="n">
        <v>4</v>
      </c>
    </row>
    <row r="3243">
      <c r="J3243" t="inlineStr">
        <is>
          <t>M</t>
        </is>
      </c>
      <c r="K3243" t="n">
        <v>2025</v>
      </c>
      <c r="L3243" t="n">
        <v>8</v>
      </c>
      <c r="M3243" t="inlineStr">
        <is>
          <t>Muçarela Mozzana 2 kg</t>
        </is>
      </c>
      <c r="N3243" t="inlineStr">
        <is>
          <t>Restaurante / Cantina</t>
        </is>
      </c>
      <c r="O3243" t="n">
        <v>8</v>
      </c>
      <c r="P3243" t="n">
        <v>14</v>
      </c>
      <c r="Q3243" t="n">
        <v>0</v>
      </c>
    </row>
    <row r="3244">
      <c r="J3244" t="inlineStr">
        <is>
          <t>A</t>
        </is>
      </c>
      <c r="K3244" t="n">
        <v>2025</v>
      </c>
      <c r="L3244" t="n">
        <v>9</v>
      </c>
      <c r="M3244" t="inlineStr">
        <is>
          <t>Muçarela Mozzana 2 kg</t>
        </is>
      </c>
      <c r="N3244" t="inlineStr">
        <is>
          <t>Restaurante / Cantina</t>
        </is>
      </c>
      <c r="O3244" t="n">
        <v>19</v>
      </c>
      <c r="P3244" t="n">
        <v>206</v>
      </c>
      <c r="Q3244" t="n">
        <v>4</v>
      </c>
    </row>
    <row r="3245">
      <c r="J3245" t="inlineStr">
        <is>
          <t>M</t>
        </is>
      </c>
      <c r="K3245" t="n">
        <v>2025</v>
      </c>
      <c r="L3245" t="n">
        <v>9</v>
      </c>
      <c r="M3245" t="inlineStr">
        <is>
          <t>Muçarela Mozzana 2 kg</t>
        </is>
      </c>
      <c r="N3245" t="inlineStr">
        <is>
          <t>Restaurante / Cantina</t>
        </is>
      </c>
      <c r="O3245" t="n">
        <v>10</v>
      </c>
      <c r="P3245" t="n">
        <v>20</v>
      </c>
      <c r="Q3245" t="n">
        <v>0</v>
      </c>
    </row>
    <row r="3246">
      <c r="J3246" t="inlineStr">
        <is>
          <t>A</t>
        </is>
      </c>
      <c r="K3246" t="n">
        <v>2025</v>
      </c>
      <c r="L3246" t="n">
        <v>10</v>
      </c>
      <c r="M3246" t="inlineStr">
        <is>
          <t>Muçarela Mozzana 2 kg</t>
        </is>
      </c>
      <c r="N3246" t="inlineStr">
        <is>
          <t>Restaurante / Cantina</t>
        </is>
      </c>
      <c r="O3246" t="n">
        <v>21</v>
      </c>
      <c r="P3246" t="n">
        <v>225</v>
      </c>
      <c r="Q3246" t="n">
        <v>6</v>
      </c>
    </row>
    <row r="3247">
      <c r="J3247" t="inlineStr">
        <is>
          <t>M</t>
        </is>
      </c>
      <c r="K3247" t="n">
        <v>2025</v>
      </c>
      <c r="L3247" t="n">
        <v>10</v>
      </c>
      <c r="M3247" t="inlineStr">
        <is>
          <t>Muçarela Mozzana 2 kg</t>
        </is>
      </c>
      <c r="N3247" t="inlineStr">
        <is>
          <t>Restaurante / Cantina</t>
        </is>
      </c>
      <c r="O3247" t="n">
        <v>8</v>
      </c>
      <c r="P3247" t="n">
        <v>19</v>
      </c>
      <c r="Q3247" t="n">
        <v>0</v>
      </c>
    </row>
    <row r="3248">
      <c r="J3248" t="inlineStr">
        <is>
          <t>A</t>
        </is>
      </c>
      <c r="K3248" t="n">
        <v>2025</v>
      </c>
      <c r="L3248" t="n">
        <v>11</v>
      </c>
      <c r="M3248" t="inlineStr">
        <is>
          <t>Muçarela Mozzana 2 kg</t>
        </is>
      </c>
      <c r="N3248" t="inlineStr">
        <is>
          <t>Restaurante / Cantina</t>
        </is>
      </c>
      <c r="O3248" t="n">
        <v>22</v>
      </c>
      <c r="P3248" t="n">
        <v>240</v>
      </c>
      <c r="Q3248" t="n">
        <v>6</v>
      </c>
    </row>
    <row r="3249">
      <c r="J3249" t="inlineStr">
        <is>
          <t>M</t>
        </is>
      </c>
      <c r="K3249" t="n">
        <v>2025</v>
      </c>
      <c r="L3249" t="n">
        <v>11</v>
      </c>
      <c r="M3249" t="inlineStr">
        <is>
          <t>Muçarela Mozzana 2 kg</t>
        </is>
      </c>
      <c r="N3249" t="inlineStr">
        <is>
          <t>Restaurante / Cantina</t>
        </is>
      </c>
      <c r="O3249" t="n">
        <v>6</v>
      </c>
      <c r="P3249" t="n">
        <v>15</v>
      </c>
      <c r="Q3249" t="n">
        <v>0</v>
      </c>
    </row>
    <row r="3250">
      <c r="J3250" t="inlineStr">
        <is>
          <t>A</t>
        </is>
      </c>
      <c r="K3250" t="n">
        <v>2025</v>
      </c>
      <c r="L3250" t="n">
        <v>12</v>
      </c>
      <c r="M3250" t="inlineStr">
        <is>
          <t>Muçarela Mozzana 2 kg</t>
        </is>
      </c>
      <c r="N3250" t="inlineStr">
        <is>
          <t>Restaurante / Cantina</t>
        </is>
      </c>
      <c r="O3250" t="n">
        <v>23</v>
      </c>
      <c r="P3250" t="n">
        <v>257</v>
      </c>
      <c r="Q3250" t="n">
        <v>7</v>
      </c>
    </row>
    <row r="3251">
      <c r="J3251" t="inlineStr">
        <is>
          <t>M</t>
        </is>
      </c>
      <c r="K3251" t="n">
        <v>2025</v>
      </c>
      <c r="L3251" t="n">
        <v>12</v>
      </c>
      <c r="M3251" t="inlineStr">
        <is>
          <t>Muçarela Mozzana 2 kg</t>
        </is>
      </c>
      <c r="N3251" t="inlineStr">
        <is>
          <t>Restaurante / Cantina</t>
        </is>
      </c>
      <c r="O3251" t="n">
        <v>6</v>
      </c>
      <c r="P3251" t="n">
        <v>17</v>
      </c>
      <c r="Q3251" t="n">
        <v>0</v>
      </c>
    </row>
    <row r="3252">
      <c r="J3252" t="inlineStr">
        <is>
          <t>A</t>
        </is>
      </c>
      <c r="K3252" t="n">
        <v>2025</v>
      </c>
      <c r="L3252" t="n">
        <v>1</v>
      </c>
      <c r="M3252" t="inlineStr">
        <is>
          <t>Muçarela Mozzana 2 kg</t>
        </is>
      </c>
      <c r="N3252" t="inlineStr">
        <is>
          <t>Cozinha Industrial</t>
        </is>
      </c>
      <c r="O3252" t="n">
        <v>2</v>
      </c>
      <c r="P3252" t="n">
        <v>3</v>
      </c>
      <c r="Q3252" t="n">
        <v>0</v>
      </c>
    </row>
    <row r="3253">
      <c r="J3253" t="inlineStr">
        <is>
          <t>M</t>
        </is>
      </c>
      <c r="K3253" t="n">
        <v>2025</v>
      </c>
      <c r="L3253" t="n">
        <v>1</v>
      </c>
      <c r="M3253" t="inlineStr">
        <is>
          <t>Muçarela Mozzana 2 kg</t>
        </is>
      </c>
      <c r="N3253" t="inlineStr">
        <is>
          <t>Cozinha Industrial</t>
        </is>
      </c>
      <c r="O3253" t="n">
        <v>2</v>
      </c>
      <c r="P3253" t="n">
        <v>3</v>
      </c>
      <c r="Q3253" t="n">
        <v>0</v>
      </c>
    </row>
    <row r="3254">
      <c r="J3254" t="inlineStr">
        <is>
          <t>A</t>
        </is>
      </c>
      <c r="K3254" t="n">
        <v>2025</v>
      </c>
      <c r="L3254" t="n">
        <v>2</v>
      </c>
      <c r="M3254" t="inlineStr">
        <is>
          <t>Muçarela Mozzana 2 kg</t>
        </is>
      </c>
      <c r="N3254" t="inlineStr">
        <is>
          <t>Cozinha Industrial</t>
        </is>
      </c>
      <c r="O3254" t="n">
        <v>3</v>
      </c>
      <c r="P3254" t="n">
        <v>8</v>
      </c>
      <c r="Q3254" t="n">
        <v>0</v>
      </c>
    </row>
    <row r="3255">
      <c r="J3255" t="inlineStr">
        <is>
          <t>M</t>
        </is>
      </c>
      <c r="K3255" t="n">
        <v>2025</v>
      </c>
      <c r="L3255" t="n">
        <v>2</v>
      </c>
      <c r="M3255" t="inlineStr">
        <is>
          <t>Muçarela Mozzana 2 kg</t>
        </is>
      </c>
      <c r="N3255" t="inlineStr">
        <is>
          <t>Cozinha Industrial</t>
        </is>
      </c>
      <c r="O3255" t="n">
        <v>3</v>
      </c>
      <c r="P3255" t="n">
        <v>5</v>
      </c>
      <c r="Q3255" t="n">
        <v>0</v>
      </c>
    </row>
    <row r="3256">
      <c r="J3256" t="inlineStr">
        <is>
          <t>A</t>
        </is>
      </c>
      <c r="K3256" t="n">
        <v>2025</v>
      </c>
      <c r="L3256" t="n">
        <v>3</v>
      </c>
      <c r="M3256" t="inlineStr">
        <is>
          <t>Muçarela Mozzana 2 kg</t>
        </is>
      </c>
      <c r="N3256" t="inlineStr">
        <is>
          <t>Cozinha Industrial</t>
        </is>
      </c>
      <c r="O3256" t="n">
        <v>4</v>
      </c>
      <c r="P3256" t="n">
        <v>14</v>
      </c>
      <c r="Q3256" t="n">
        <v>0</v>
      </c>
    </row>
    <row r="3257">
      <c r="J3257" t="inlineStr">
        <is>
          <t>M</t>
        </is>
      </c>
      <c r="K3257" t="n">
        <v>2025</v>
      </c>
      <c r="L3257" t="n">
        <v>3</v>
      </c>
      <c r="M3257" t="inlineStr">
        <is>
          <t>Muçarela Mozzana 2 kg</t>
        </is>
      </c>
      <c r="N3257" t="inlineStr">
        <is>
          <t>Cozinha Industrial</t>
        </is>
      </c>
      <c r="O3257" t="n">
        <v>3</v>
      </c>
      <c r="P3257" t="n">
        <v>6</v>
      </c>
      <c r="Q3257" t="n">
        <v>0</v>
      </c>
    </row>
    <row r="3258">
      <c r="J3258" t="inlineStr">
        <is>
          <t>A</t>
        </is>
      </c>
      <c r="K3258" t="n">
        <v>2025</v>
      </c>
      <c r="L3258" t="n">
        <v>4</v>
      </c>
      <c r="M3258" t="inlineStr">
        <is>
          <t>Muçarela Mozzana 2 kg</t>
        </is>
      </c>
      <c r="N3258" t="inlineStr">
        <is>
          <t>Cozinha Industrial</t>
        </is>
      </c>
      <c r="O3258" t="n">
        <v>4</v>
      </c>
      <c r="P3258" t="n">
        <v>18</v>
      </c>
      <c r="Q3258" t="n">
        <v>0</v>
      </c>
    </row>
    <row r="3259">
      <c r="J3259" t="inlineStr">
        <is>
          <t>M</t>
        </is>
      </c>
      <c r="K3259" t="n">
        <v>2025</v>
      </c>
      <c r="L3259" t="n">
        <v>4</v>
      </c>
      <c r="M3259" t="inlineStr">
        <is>
          <t>Muçarela Mozzana 2 kg</t>
        </is>
      </c>
      <c r="N3259" t="inlineStr">
        <is>
          <t>Cozinha Industrial</t>
        </is>
      </c>
      <c r="O3259" t="n">
        <v>2</v>
      </c>
      <c r="P3259" t="n">
        <v>4</v>
      </c>
      <c r="Q3259" t="n">
        <v>0</v>
      </c>
    </row>
    <row r="3260">
      <c r="J3260" t="inlineStr">
        <is>
          <t>A</t>
        </is>
      </c>
      <c r="K3260" t="n">
        <v>2025</v>
      </c>
      <c r="L3260" t="n">
        <v>5</v>
      </c>
      <c r="M3260" t="inlineStr">
        <is>
          <t>Muçarela Mozzana 2 kg</t>
        </is>
      </c>
      <c r="N3260" t="inlineStr">
        <is>
          <t>Cozinha Industrial</t>
        </is>
      </c>
      <c r="O3260" t="n">
        <v>4</v>
      </c>
      <c r="P3260" t="n">
        <v>21</v>
      </c>
      <c r="Q3260" t="n">
        <v>0</v>
      </c>
    </row>
    <row r="3261">
      <c r="J3261" t="inlineStr">
        <is>
          <t>M</t>
        </is>
      </c>
      <c r="K3261" t="n">
        <v>2025</v>
      </c>
      <c r="L3261" t="n">
        <v>5</v>
      </c>
      <c r="M3261" t="inlineStr">
        <is>
          <t>Muçarela Mozzana 2 kg</t>
        </is>
      </c>
      <c r="N3261" t="inlineStr">
        <is>
          <t>Cozinha Industrial</t>
        </is>
      </c>
      <c r="O3261" t="n">
        <v>1</v>
      </c>
      <c r="P3261" t="n">
        <v>3</v>
      </c>
      <c r="Q3261" t="n">
        <v>0</v>
      </c>
    </row>
    <row r="3262">
      <c r="J3262" t="inlineStr">
        <is>
          <t>A</t>
        </is>
      </c>
      <c r="K3262" t="n">
        <v>2025</v>
      </c>
      <c r="L3262" t="n">
        <v>6</v>
      </c>
      <c r="M3262" t="inlineStr">
        <is>
          <t>Muçarela Mozzana 2 kg</t>
        </is>
      </c>
      <c r="N3262" t="inlineStr">
        <is>
          <t>Cozinha Industrial</t>
        </is>
      </c>
      <c r="O3262" t="n">
        <v>4</v>
      </c>
      <c r="P3262" t="n">
        <v>28</v>
      </c>
      <c r="Q3262" t="n">
        <v>0</v>
      </c>
    </row>
    <row r="3263">
      <c r="J3263" t="inlineStr">
        <is>
          <t>M</t>
        </is>
      </c>
      <c r="K3263" t="n">
        <v>2025</v>
      </c>
      <c r="L3263" t="n">
        <v>6</v>
      </c>
      <c r="M3263" t="inlineStr">
        <is>
          <t>Muçarela Mozzana 2 kg</t>
        </is>
      </c>
      <c r="N3263" t="inlineStr">
        <is>
          <t>Cozinha Industrial</t>
        </is>
      </c>
      <c r="O3263" t="n">
        <v>2</v>
      </c>
      <c r="P3263" t="n">
        <v>7</v>
      </c>
      <c r="Q3263" t="n">
        <v>0</v>
      </c>
    </row>
    <row r="3264">
      <c r="J3264" t="inlineStr">
        <is>
          <t>A</t>
        </is>
      </c>
      <c r="K3264" t="n">
        <v>2025</v>
      </c>
      <c r="L3264" t="n">
        <v>7</v>
      </c>
      <c r="M3264" t="inlineStr">
        <is>
          <t>Muçarela Mozzana 2 kg</t>
        </is>
      </c>
      <c r="N3264" t="inlineStr">
        <is>
          <t>Cozinha Industrial</t>
        </is>
      </c>
      <c r="O3264" t="n">
        <v>4</v>
      </c>
      <c r="P3264" t="n">
        <v>31</v>
      </c>
      <c r="Q3264" t="n">
        <v>0</v>
      </c>
    </row>
    <row r="3265">
      <c r="J3265" t="inlineStr">
        <is>
          <t>M</t>
        </is>
      </c>
      <c r="K3265" t="n">
        <v>2025</v>
      </c>
      <c r="L3265" t="n">
        <v>7</v>
      </c>
      <c r="M3265" t="inlineStr">
        <is>
          <t>Muçarela Mozzana 2 kg</t>
        </is>
      </c>
      <c r="N3265" t="inlineStr">
        <is>
          <t>Cozinha Industrial</t>
        </is>
      </c>
      <c r="O3265" t="n">
        <v>1</v>
      </c>
      <c r="P3265" t="n">
        <v>3</v>
      </c>
      <c r="Q3265" t="n">
        <v>0</v>
      </c>
    </row>
    <row r="3266">
      <c r="J3266" t="inlineStr">
        <is>
          <t>A</t>
        </is>
      </c>
      <c r="K3266" t="n">
        <v>2025</v>
      </c>
      <c r="L3266" t="n">
        <v>8</v>
      </c>
      <c r="M3266" t="inlineStr">
        <is>
          <t>Muçarela Mozzana 2 kg</t>
        </is>
      </c>
      <c r="N3266" t="inlineStr">
        <is>
          <t>Cozinha Industrial</t>
        </is>
      </c>
      <c r="O3266" t="n">
        <v>4</v>
      </c>
      <c r="P3266" t="n">
        <v>37</v>
      </c>
      <c r="Q3266" t="n">
        <v>0</v>
      </c>
    </row>
    <row r="3267">
      <c r="J3267" t="inlineStr">
        <is>
          <t>M</t>
        </is>
      </c>
      <c r="K3267" t="n">
        <v>2025</v>
      </c>
      <c r="L3267" t="n">
        <v>8</v>
      </c>
      <c r="M3267" t="inlineStr">
        <is>
          <t>Muçarela Mozzana 2 kg</t>
        </is>
      </c>
      <c r="N3267" t="inlineStr">
        <is>
          <t>Cozinha Industrial</t>
        </is>
      </c>
      <c r="O3267" t="n">
        <v>3</v>
      </c>
      <c r="P3267" t="n">
        <v>6</v>
      </c>
      <c r="Q3267" t="n">
        <v>0</v>
      </c>
    </row>
    <row r="3268">
      <c r="J3268" t="inlineStr">
        <is>
          <t>A</t>
        </is>
      </c>
      <c r="K3268" t="n">
        <v>2025</v>
      </c>
      <c r="L3268" t="n">
        <v>9</v>
      </c>
      <c r="M3268" t="inlineStr">
        <is>
          <t>Muçarela Mozzana 2 kg</t>
        </is>
      </c>
      <c r="N3268" t="inlineStr">
        <is>
          <t>Cozinha Industrial</t>
        </is>
      </c>
      <c r="O3268" t="n">
        <v>5</v>
      </c>
      <c r="P3268" t="n">
        <v>46</v>
      </c>
      <c r="Q3268" t="n">
        <v>0</v>
      </c>
    </row>
    <row r="3269">
      <c r="J3269" t="inlineStr">
        <is>
          <t>M</t>
        </is>
      </c>
      <c r="K3269" t="n">
        <v>2025</v>
      </c>
      <c r="L3269" t="n">
        <v>9</v>
      </c>
      <c r="M3269" t="inlineStr">
        <is>
          <t>Muçarela Mozzana 2 kg</t>
        </is>
      </c>
      <c r="N3269" t="inlineStr">
        <is>
          <t>Cozinha Industrial</t>
        </is>
      </c>
      <c r="O3269" t="n">
        <v>4</v>
      </c>
      <c r="P3269" t="n">
        <v>9</v>
      </c>
      <c r="Q3269" t="n">
        <v>0</v>
      </c>
    </row>
    <row r="3270">
      <c r="J3270" t="inlineStr">
        <is>
          <t>A</t>
        </is>
      </c>
      <c r="K3270" t="n">
        <v>2025</v>
      </c>
      <c r="L3270" t="n">
        <v>10</v>
      </c>
      <c r="M3270" t="inlineStr">
        <is>
          <t>Muçarela Mozzana 2 kg</t>
        </is>
      </c>
      <c r="N3270" t="inlineStr">
        <is>
          <t>Cozinha Industrial</t>
        </is>
      </c>
      <c r="O3270" t="n">
        <v>6</v>
      </c>
      <c r="P3270" t="n">
        <v>50</v>
      </c>
      <c r="Q3270" t="n">
        <v>0</v>
      </c>
    </row>
    <row r="3271">
      <c r="J3271" t="inlineStr">
        <is>
          <t>M</t>
        </is>
      </c>
      <c r="K3271" t="n">
        <v>2025</v>
      </c>
      <c r="L3271" t="n">
        <v>10</v>
      </c>
      <c r="M3271" t="inlineStr">
        <is>
          <t>Muçarela Mozzana 2 kg</t>
        </is>
      </c>
      <c r="N3271" t="inlineStr">
        <is>
          <t>Cozinha Industrial</t>
        </is>
      </c>
      <c r="O3271" t="n">
        <v>3</v>
      </c>
      <c r="P3271" t="n">
        <v>4</v>
      </c>
      <c r="Q3271" t="n">
        <v>0</v>
      </c>
    </row>
    <row r="3272">
      <c r="J3272" t="inlineStr">
        <is>
          <t>A</t>
        </is>
      </c>
      <c r="K3272" t="n">
        <v>2025</v>
      </c>
      <c r="L3272" t="n">
        <v>11</v>
      </c>
      <c r="M3272" t="inlineStr">
        <is>
          <t>Muçarela Mozzana 2 kg</t>
        </is>
      </c>
      <c r="N3272" t="inlineStr">
        <is>
          <t>Cozinha Industrial</t>
        </is>
      </c>
      <c r="O3272" t="n">
        <v>7</v>
      </c>
      <c r="P3272" t="n">
        <v>54</v>
      </c>
      <c r="Q3272" t="n">
        <v>1</v>
      </c>
    </row>
    <row r="3273">
      <c r="J3273" t="inlineStr">
        <is>
          <t>M</t>
        </is>
      </c>
      <c r="K3273" t="n">
        <v>2025</v>
      </c>
      <c r="L3273" t="n">
        <v>11</v>
      </c>
      <c r="M3273" t="inlineStr">
        <is>
          <t>Muçarela Mozzana 2 kg</t>
        </is>
      </c>
      <c r="N3273" t="inlineStr">
        <is>
          <t>Cozinha Industrial</t>
        </is>
      </c>
      <c r="O3273" t="n">
        <v>2</v>
      </c>
      <c r="P3273" t="n">
        <v>4</v>
      </c>
      <c r="Q3273" t="n">
        <v>0</v>
      </c>
    </row>
    <row r="3274">
      <c r="J3274" t="inlineStr">
        <is>
          <t>A</t>
        </is>
      </c>
      <c r="K3274" t="n">
        <v>2025</v>
      </c>
      <c r="L3274" t="n">
        <v>12</v>
      </c>
      <c r="M3274" t="inlineStr">
        <is>
          <t>Muçarela Mozzana 2 kg</t>
        </is>
      </c>
      <c r="N3274" t="inlineStr">
        <is>
          <t>Cozinha Industrial</t>
        </is>
      </c>
      <c r="O3274" t="n">
        <v>7</v>
      </c>
      <c r="P3274" t="n">
        <v>61</v>
      </c>
      <c r="Q3274" t="n">
        <v>1</v>
      </c>
    </row>
    <row r="3275">
      <c r="J3275" t="inlineStr">
        <is>
          <t>M</t>
        </is>
      </c>
      <c r="K3275" t="n">
        <v>2025</v>
      </c>
      <c r="L3275" t="n">
        <v>12</v>
      </c>
      <c r="M3275" t="inlineStr">
        <is>
          <t>Muçarela Mozzana 2 kg</t>
        </is>
      </c>
      <c r="N3275" t="inlineStr">
        <is>
          <t>Cozinha Industrial</t>
        </is>
      </c>
      <c r="O3275" t="n">
        <v>3</v>
      </c>
      <c r="P3275" t="n">
        <v>7</v>
      </c>
      <c r="Q3275" t="n">
        <v>0</v>
      </c>
    </row>
    <row r="3276">
      <c r="J3276" t="inlineStr">
        <is>
          <t>A</t>
        </is>
      </c>
      <c r="K3276" t="n">
        <v>2025</v>
      </c>
      <c r="L3276" t="n">
        <v>1</v>
      </c>
      <c r="M3276" t="inlineStr">
        <is>
          <t>Muçarela Mozzana 2 kg</t>
        </is>
      </c>
      <c r="N3276" t="inlineStr">
        <is>
          <t>Fábrica de Massas</t>
        </is>
      </c>
      <c r="O3276" t="n">
        <v>6</v>
      </c>
      <c r="P3276" t="n">
        <v>10</v>
      </c>
      <c r="Q3276" t="n">
        <v>0</v>
      </c>
    </row>
    <row r="3277">
      <c r="J3277" t="inlineStr">
        <is>
          <t>M</t>
        </is>
      </c>
      <c r="K3277" t="n">
        <v>2025</v>
      </c>
      <c r="L3277" t="n">
        <v>1</v>
      </c>
      <c r="M3277" t="inlineStr">
        <is>
          <t>Muçarela Mozzana 2 kg</t>
        </is>
      </c>
      <c r="N3277" t="inlineStr">
        <is>
          <t>Fábrica de Massas</t>
        </is>
      </c>
      <c r="O3277" t="n">
        <v>6</v>
      </c>
      <c r="P3277" t="n">
        <v>10</v>
      </c>
      <c r="Q3277" t="n">
        <v>0</v>
      </c>
    </row>
    <row r="3278">
      <c r="J3278" t="inlineStr">
        <is>
          <t>A</t>
        </is>
      </c>
      <c r="K3278" t="n">
        <v>2025</v>
      </c>
      <c r="L3278" t="n">
        <v>2</v>
      </c>
      <c r="M3278" t="inlineStr">
        <is>
          <t>Muçarela Mozzana 2 kg</t>
        </is>
      </c>
      <c r="N3278" t="inlineStr">
        <is>
          <t>Fábrica de Massas</t>
        </is>
      </c>
      <c r="O3278" t="n">
        <v>7</v>
      </c>
      <c r="P3278" t="n">
        <v>17</v>
      </c>
      <c r="Q3278" t="n">
        <v>1</v>
      </c>
    </row>
    <row r="3279">
      <c r="J3279" t="inlineStr">
        <is>
          <t>M</t>
        </is>
      </c>
      <c r="K3279" t="n">
        <v>2025</v>
      </c>
      <c r="L3279" t="n">
        <v>2</v>
      </c>
      <c r="M3279" t="inlineStr">
        <is>
          <t>Muçarela Mozzana 2 kg</t>
        </is>
      </c>
      <c r="N3279" t="inlineStr">
        <is>
          <t>Fábrica de Massas</t>
        </is>
      </c>
      <c r="O3279" t="n">
        <v>3</v>
      </c>
      <c r="P3279" t="n">
        <v>7</v>
      </c>
      <c r="Q3279" t="n">
        <v>0</v>
      </c>
    </row>
    <row r="3280">
      <c r="J3280" t="inlineStr">
        <is>
          <t>A</t>
        </is>
      </c>
      <c r="K3280" t="n">
        <v>2025</v>
      </c>
      <c r="L3280" t="n">
        <v>3</v>
      </c>
      <c r="M3280" t="inlineStr">
        <is>
          <t>Muçarela Mozzana 2 kg</t>
        </is>
      </c>
      <c r="N3280" t="inlineStr">
        <is>
          <t>Fábrica de Massas</t>
        </is>
      </c>
      <c r="O3280" t="n">
        <v>8</v>
      </c>
      <c r="P3280" t="n">
        <v>25</v>
      </c>
      <c r="Q3280" t="n">
        <v>1</v>
      </c>
    </row>
    <row r="3281">
      <c r="J3281" t="inlineStr">
        <is>
          <t>M</t>
        </is>
      </c>
      <c r="K3281" t="n">
        <v>2025</v>
      </c>
      <c r="L3281" t="n">
        <v>3</v>
      </c>
      <c r="M3281" t="inlineStr">
        <is>
          <t>Muçarela Mozzana 2 kg</t>
        </is>
      </c>
      <c r="N3281" t="inlineStr">
        <is>
          <t>Fábrica de Massas</t>
        </is>
      </c>
      <c r="O3281" t="n">
        <v>5</v>
      </c>
      <c r="P3281" t="n">
        <v>8</v>
      </c>
      <c r="Q3281" t="n">
        <v>0</v>
      </c>
    </row>
    <row r="3282">
      <c r="J3282" t="inlineStr">
        <is>
          <t>A</t>
        </is>
      </c>
      <c r="K3282" t="n">
        <v>2025</v>
      </c>
      <c r="L3282" t="n">
        <v>4</v>
      </c>
      <c r="M3282" t="inlineStr">
        <is>
          <t>Muçarela Mozzana 2 kg</t>
        </is>
      </c>
      <c r="N3282" t="inlineStr">
        <is>
          <t>Fábrica de Massas</t>
        </is>
      </c>
      <c r="O3282" t="n">
        <v>8</v>
      </c>
      <c r="P3282" t="n">
        <v>33</v>
      </c>
      <c r="Q3282" t="n">
        <v>1</v>
      </c>
    </row>
    <row r="3283">
      <c r="J3283" t="inlineStr">
        <is>
          <t>M</t>
        </is>
      </c>
      <c r="K3283" t="n">
        <v>2025</v>
      </c>
      <c r="L3283" t="n">
        <v>4</v>
      </c>
      <c r="M3283" t="inlineStr">
        <is>
          <t>Muçarela Mozzana 2 kg</t>
        </is>
      </c>
      <c r="N3283" t="inlineStr">
        <is>
          <t>Fábrica de Massas</t>
        </is>
      </c>
      <c r="O3283" t="n">
        <v>4</v>
      </c>
      <c r="P3283" t="n">
        <v>8</v>
      </c>
      <c r="Q3283" t="n">
        <v>0</v>
      </c>
    </row>
    <row r="3284">
      <c r="J3284" t="inlineStr">
        <is>
          <t>A</t>
        </is>
      </c>
      <c r="K3284" t="n">
        <v>2025</v>
      </c>
      <c r="L3284" t="n">
        <v>5</v>
      </c>
      <c r="M3284" t="inlineStr">
        <is>
          <t>Muçarela Mozzana 2 kg</t>
        </is>
      </c>
      <c r="N3284" t="inlineStr">
        <is>
          <t>Fábrica de Massas</t>
        </is>
      </c>
      <c r="O3284" t="n">
        <v>8</v>
      </c>
      <c r="P3284" t="n">
        <v>43</v>
      </c>
      <c r="Q3284" t="n">
        <v>1</v>
      </c>
    </row>
    <row r="3285">
      <c r="J3285" t="inlineStr">
        <is>
          <t>M</t>
        </is>
      </c>
      <c r="K3285" t="n">
        <v>2025</v>
      </c>
      <c r="L3285" t="n">
        <v>5</v>
      </c>
      <c r="M3285" t="inlineStr">
        <is>
          <t>Muçarela Mozzana 2 kg</t>
        </is>
      </c>
      <c r="N3285" t="inlineStr">
        <is>
          <t>Fábrica de Massas</t>
        </is>
      </c>
      <c r="O3285" t="n">
        <v>5</v>
      </c>
      <c r="P3285" t="n">
        <v>10</v>
      </c>
      <c r="Q3285" t="n">
        <v>0</v>
      </c>
    </row>
    <row r="3286">
      <c r="J3286" t="inlineStr">
        <is>
          <t>A</t>
        </is>
      </c>
      <c r="K3286" t="n">
        <v>2025</v>
      </c>
      <c r="L3286" t="n">
        <v>6</v>
      </c>
      <c r="M3286" t="inlineStr">
        <is>
          <t>Muçarela Mozzana 2 kg</t>
        </is>
      </c>
      <c r="N3286" t="inlineStr">
        <is>
          <t>Fábrica de Massas</t>
        </is>
      </c>
      <c r="O3286" t="n">
        <v>9</v>
      </c>
      <c r="P3286" t="n">
        <v>46</v>
      </c>
      <c r="Q3286" t="n">
        <v>2</v>
      </c>
    </row>
    <row r="3287">
      <c r="J3287" t="inlineStr">
        <is>
          <t>M</t>
        </is>
      </c>
      <c r="K3287" t="n">
        <v>2025</v>
      </c>
      <c r="L3287" t="n">
        <v>6</v>
      </c>
      <c r="M3287" t="inlineStr">
        <is>
          <t>Muçarela Mozzana 2 kg</t>
        </is>
      </c>
      <c r="N3287" t="inlineStr">
        <is>
          <t>Fábrica de Massas</t>
        </is>
      </c>
      <c r="O3287" t="n">
        <v>3</v>
      </c>
      <c r="P3287" t="n">
        <v>3</v>
      </c>
      <c r="Q3287" t="n">
        <v>0</v>
      </c>
    </row>
    <row r="3288">
      <c r="J3288" t="inlineStr">
        <is>
          <t>A</t>
        </is>
      </c>
      <c r="K3288" t="n">
        <v>2025</v>
      </c>
      <c r="L3288" t="n">
        <v>7</v>
      </c>
      <c r="M3288" t="inlineStr">
        <is>
          <t>Muçarela Mozzana 2 kg</t>
        </is>
      </c>
      <c r="N3288" t="inlineStr">
        <is>
          <t>Fábrica de Massas</t>
        </is>
      </c>
      <c r="O3288" t="n">
        <v>10</v>
      </c>
      <c r="P3288" t="n">
        <v>52</v>
      </c>
      <c r="Q3288" t="n">
        <v>3</v>
      </c>
    </row>
    <row r="3289">
      <c r="J3289" t="inlineStr">
        <is>
          <t>M</t>
        </is>
      </c>
      <c r="K3289" t="n">
        <v>2025</v>
      </c>
      <c r="L3289" t="n">
        <v>7</v>
      </c>
      <c r="M3289" t="inlineStr">
        <is>
          <t>Muçarela Mozzana 2 kg</t>
        </is>
      </c>
      <c r="N3289" t="inlineStr">
        <is>
          <t>Fábrica de Massas</t>
        </is>
      </c>
      <c r="O3289" t="n">
        <v>3</v>
      </c>
      <c r="P3289" t="n">
        <v>6</v>
      </c>
      <c r="Q3289" t="n">
        <v>0</v>
      </c>
    </row>
    <row r="3290">
      <c r="J3290" t="inlineStr">
        <is>
          <t>A</t>
        </is>
      </c>
      <c r="K3290" t="n">
        <v>2025</v>
      </c>
      <c r="L3290" t="n">
        <v>8</v>
      </c>
      <c r="M3290" t="inlineStr">
        <is>
          <t>Muçarela Mozzana 2 kg</t>
        </is>
      </c>
      <c r="N3290" t="inlineStr">
        <is>
          <t>Fábrica de Massas</t>
        </is>
      </c>
      <c r="O3290" t="n">
        <v>10</v>
      </c>
      <c r="P3290" t="n">
        <v>57</v>
      </c>
      <c r="Q3290" t="n">
        <v>3</v>
      </c>
    </row>
    <row r="3291">
      <c r="J3291" t="inlineStr">
        <is>
          <t>M</t>
        </is>
      </c>
      <c r="K3291" t="n">
        <v>2025</v>
      </c>
      <c r="L3291" t="n">
        <v>8</v>
      </c>
      <c r="M3291" t="inlineStr">
        <is>
          <t>Muçarela Mozzana 2 kg</t>
        </is>
      </c>
      <c r="N3291" t="inlineStr">
        <is>
          <t>Fábrica de Massas</t>
        </is>
      </c>
      <c r="O3291" t="n">
        <v>2</v>
      </c>
      <c r="P3291" t="n">
        <v>5</v>
      </c>
      <c r="Q3291" t="n">
        <v>0</v>
      </c>
    </row>
    <row r="3292">
      <c r="J3292" t="inlineStr">
        <is>
          <t>A</t>
        </is>
      </c>
      <c r="K3292" t="n">
        <v>2025</v>
      </c>
      <c r="L3292" t="n">
        <v>9</v>
      </c>
      <c r="M3292" t="inlineStr">
        <is>
          <t>Muçarela Mozzana 2 kg</t>
        </is>
      </c>
      <c r="N3292" t="inlineStr">
        <is>
          <t>Fábrica de Massas</t>
        </is>
      </c>
      <c r="O3292" t="n">
        <v>11</v>
      </c>
      <c r="P3292" t="n">
        <v>69</v>
      </c>
      <c r="Q3292" t="n">
        <v>4</v>
      </c>
    </row>
    <row r="3293">
      <c r="J3293" t="inlineStr">
        <is>
          <t>M</t>
        </is>
      </c>
      <c r="K3293" t="n">
        <v>2025</v>
      </c>
      <c r="L3293" t="n">
        <v>9</v>
      </c>
      <c r="M3293" t="inlineStr">
        <is>
          <t>Muçarela Mozzana 2 kg</t>
        </is>
      </c>
      <c r="N3293" t="inlineStr">
        <is>
          <t>Fábrica de Massas</t>
        </is>
      </c>
      <c r="O3293" t="n">
        <v>5</v>
      </c>
      <c r="P3293" t="n">
        <v>12</v>
      </c>
      <c r="Q3293" t="n">
        <v>0</v>
      </c>
    </row>
    <row r="3294">
      <c r="J3294" t="inlineStr">
        <is>
          <t>A</t>
        </is>
      </c>
      <c r="K3294" t="n">
        <v>2025</v>
      </c>
      <c r="L3294" t="n">
        <v>10</v>
      </c>
      <c r="M3294" t="inlineStr">
        <is>
          <t>Muçarela Mozzana 2 kg</t>
        </is>
      </c>
      <c r="N3294" t="inlineStr">
        <is>
          <t>Fábrica de Massas</t>
        </is>
      </c>
      <c r="O3294" t="n">
        <v>11</v>
      </c>
      <c r="P3294" t="n">
        <v>71</v>
      </c>
      <c r="Q3294" t="n">
        <v>4</v>
      </c>
    </row>
    <row r="3295">
      <c r="J3295" t="inlineStr">
        <is>
          <t>M</t>
        </is>
      </c>
      <c r="K3295" t="n">
        <v>2025</v>
      </c>
      <c r="L3295" t="n">
        <v>10</v>
      </c>
      <c r="M3295" t="inlineStr">
        <is>
          <t>Muçarela Mozzana 2 kg</t>
        </is>
      </c>
      <c r="N3295" t="inlineStr">
        <is>
          <t>Fábrica de Massas</t>
        </is>
      </c>
      <c r="O3295" t="n">
        <v>1</v>
      </c>
      <c r="P3295" t="n">
        <v>2</v>
      </c>
      <c r="Q3295" t="n">
        <v>0</v>
      </c>
    </row>
    <row r="3296">
      <c r="J3296" t="inlineStr">
        <is>
          <t>A</t>
        </is>
      </c>
      <c r="K3296" t="n">
        <v>2025</v>
      </c>
      <c r="L3296" t="n">
        <v>11</v>
      </c>
      <c r="M3296" t="inlineStr">
        <is>
          <t>Muçarela Mozzana 2 kg</t>
        </is>
      </c>
      <c r="N3296" t="inlineStr">
        <is>
          <t>Fábrica de Massas</t>
        </is>
      </c>
      <c r="O3296" t="n">
        <v>12</v>
      </c>
      <c r="P3296" t="n">
        <v>80</v>
      </c>
      <c r="Q3296" t="n">
        <v>5</v>
      </c>
    </row>
    <row r="3297">
      <c r="J3297" t="inlineStr">
        <is>
          <t>M</t>
        </is>
      </c>
      <c r="K3297" t="n">
        <v>2025</v>
      </c>
      <c r="L3297" t="n">
        <v>11</v>
      </c>
      <c r="M3297" t="inlineStr">
        <is>
          <t>Muçarela Mozzana 2 kg</t>
        </is>
      </c>
      <c r="N3297" t="inlineStr">
        <is>
          <t>Fábrica de Massas</t>
        </is>
      </c>
      <c r="O3297" t="n">
        <v>4</v>
      </c>
      <c r="P3297" t="n">
        <v>9</v>
      </c>
      <c r="Q3297" t="n">
        <v>0</v>
      </c>
    </row>
    <row r="3298">
      <c r="J3298" t="inlineStr">
        <is>
          <t>A</t>
        </is>
      </c>
      <c r="K3298" t="n">
        <v>2025</v>
      </c>
      <c r="L3298" t="n">
        <v>12</v>
      </c>
      <c r="M3298" t="inlineStr">
        <is>
          <t>Muçarela Mozzana 2 kg</t>
        </is>
      </c>
      <c r="N3298" t="inlineStr">
        <is>
          <t>Fábrica de Massas</t>
        </is>
      </c>
      <c r="O3298" t="n">
        <v>12</v>
      </c>
      <c r="P3298" t="n">
        <v>86</v>
      </c>
      <c r="Q3298" t="n">
        <v>5</v>
      </c>
    </row>
    <row r="3299">
      <c r="J3299" t="inlineStr">
        <is>
          <t>M</t>
        </is>
      </c>
      <c r="K3299" t="n">
        <v>2025</v>
      </c>
      <c r="L3299" t="n">
        <v>12</v>
      </c>
      <c r="M3299" t="inlineStr">
        <is>
          <t>Muçarela Mozzana 2 kg</t>
        </is>
      </c>
      <c r="N3299" t="inlineStr">
        <is>
          <t>Fábrica de Massas</t>
        </is>
      </c>
      <c r="O3299" t="n">
        <v>4</v>
      </c>
      <c r="P3299" t="n">
        <v>6</v>
      </c>
      <c r="Q3299" t="n">
        <v>0</v>
      </c>
    </row>
    <row r="3300">
      <c r="J3300" t="inlineStr">
        <is>
          <t>A</t>
        </is>
      </c>
      <c r="K3300" t="n">
        <v>2025</v>
      </c>
      <c r="L3300" t="n">
        <v>1</v>
      </c>
      <c r="M3300" t="inlineStr">
        <is>
          <t>Muçarela Mozzana 2 kg</t>
        </is>
      </c>
      <c r="N3300" t="inlineStr">
        <is>
          <t>Outros</t>
        </is>
      </c>
      <c r="O3300" t="n">
        <v>12</v>
      </c>
      <c r="P3300" t="n">
        <v>37</v>
      </c>
      <c r="Q3300" t="n">
        <v>1</v>
      </c>
    </row>
    <row r="3301">
      <c r="J3301" t="inlineStr">
        <is>
          <t>M</t>
        </is>
      </c>
      <c r="K3301" t="n">
        <v>2025</v>
      </c>
      <c r="L3301" t="n">
        <v>1</v>
      </c>
      <c r="M3301" t="inlineStr">
        <is>
          <t>Muçarela Mozzana 2 kg</t>
        </is>
      </c>
      <c r="N3301" t="inlineStr">
        <is>
          <t>Outros</t>
        </is>
      </c>
      <c r="O3301" t="n">
        <v>12</v>
      </c>
      <c r="P3301" t="n">
        <v>37</v>
      </c>
      <c r="Q3301" t="n">
        <v>0</v>
      </c>
    </row>
    <row r="3302">
      <c r="J3302" t="inlineStr">
        <is>
          <t>A</t>
        </is>
      </c>
      <c r="K3302" t="n">
        <v>2025</v>
      </c>
      <c r="L3302" t="n">
        <v>2</v>
      </c>
      <c r="M3302" t="inlineStr">
        <is>
          <t>Muçarela Mozzana 2 kg</t>
        </is>
      </c>
      <c r="N3302" t="inlineStr">
        <is>
          <t>Outros</t>
        </is>
      </c>
      <c r="O3302" t="n">
        <v>15</v>
      </c>
      <c r="P3302" t="n">
        <v>67</v>
      </c>
      <c r="Q3302" t="n">
        <v>4</v>
      </c>
    </row>
    <row r="3303">
      <c r="J3303" t="inlineStr">
        <is>
          <t>M</t>
        </is>
      </c>
      <c r="K3303" t="n">
        <v>2025</v>
      </c>
      <c r="L3303" t="n">
        <v>2</v>
      </c>
      <c r="M3303" t="inlineStr">
        <is>
          <t>Muçarela Mozzana 2 kg</t>
        </is>
      </c>
      <c r="N3303" t="inlineStr">
        <is>
          <t>Outros</t>
        </is>
      </c>
      <c r="O3303" t="n">
        <v>14</v>
      </c>
      <c r="P3303" t="n">
        <v>30</v>
      </c>
      <c r="Q3303" t="n">
        <v>0</v>
      </c>
    </row>
    <row r="3304">
      <c r="J3304" t="inlineStr">
        <is>
          <t>A</t>
        </is>
      </c>
      <c r="K3304" t="n">
        <v>2025</v>
      </c>
      <c r="L3304" t="n">
        <v>3</v>
      </c>
      <c r="M3304" t="inlineStr">
        <is>
          <t>Muçarela Mozzana 2 kg</t>
        </is>
      </c>
      <c r="N3304" t="inlineStr">
        <is>
          <t>Outros</t>
        </is>
      </c>
      <c r="O3304" t="n">
        <v>15</v>
      </c>
      <c r="P3304" t="n">
        <v>99</v>
      </c>
      <c r="Q3304" t="n">
        <v>4</v>
      </c>
    </row>
    <row r="3305">
      <c r="J3305" t="inlineStr">
        <is>
          <t>M</t>
        </is>
      </c>
      <c r="K3305" t="n">
        <v>2025</v>
      </c>
      <c r="L3305" t="n">
        <v>3</v>
      </c>
      <c r="M3305" t="inlineStr">
        <is>
          <t>Muçarela Mozzana 2 kg</t>
        </is>
      </c>
      <c r="N3305" t="inlineStr">
        <is>
          <t>Outros</t>
        </is>
      </c>
      <c r="O3305" t="n">
        <v>10</v>
      </c>
      <c r="P3305" t="n">
        <v>32</v>
      </c>
      <c r="Q3305" t="n">
        <v>0</v>
      </c>
    </row>
    <row r="3306">
      <c r="J3306" t="inlineStr">
        <is>
          <t>A</t>
        </is>
      </c>
      <c r="K3306" t="n">
        <v>2025</v>
      </c>
      <c r="L3306" t="n">
        <v>4</v>
      </c>
      <c r="M3306" t="inlineStr">
        <is>
          <t>Muçarela Mozzana 2 kg</t>
        </is>
      </c>
      <c r="N3306" t="inlineStr">
        <is>
          <t>Outros</t>
        </is>
      </c>
      <c r="O3306" t="n">
        <v>15</v>
      </c>
      <c r="P3306" t="n">
        <v>130</v>
      </c>
      <c r="Q3306" t="n">
        <v>4</v>
      </c>
    </row>
    <row r="3307">
      <c r="J3307" t="inlineStr">
        <is>
          <t>M</t>
        </is>
      </c>
      <c r="K3307" t="n">
        <v>2025</v>
      </c>
      <c r="L3307" t="n">
        <v>4</v>
      </c>
      <c r="M3307" t="inlineStr">
        <is>
          <t>Muçarela Mozzana 2 kg</t>
        </is>
      </c>
      <c r="N3307" t="inlineStr">
        <is>
          <t>Outros</t>
        </is>
      </c>
      <c r="O3307" t="n">
        <v>10</v>
      </c>
      <c r="P3307" t="n">
        <v>31</v>
      </c>
      <c r="Q3307" t="n">
        <v>0</v>
      </c>
    </row>
    <row r="3308">
      <c r="J3308" t="inlineStr">
        <is>
          <t>A</t>
        </is>
      </c>
      <c r="K3308" t="n">
        <v>2025</v>
      </c>
      <c r="L3308" t="n">
        <v>5</v>
      </c>
      <c r="M3308" t="inlineStr">
        <is>
          <t>Muçarela Mozzana 2 kg</t>
        </is>
      </c>
      <c r="N3308" t="inlineStr">
        <is>
          <t>Outros</t>
        </is>
      </c>
      <c r="O3308" t="n">
        <v>18</v>
      </c>
      <c r="P3308" t="n">
        <v>159</v>
      </c>
      <c r="Q3308" t="n">
        <v>6</v>
      </c>
    </row>
    <row r="3309">
      <c r="J3309" t="inlineStr">
        <is>
          <t>M</t>
        </is>
      </c>
      <c r="K3309" t="n">
        <v>2025</v>
      </c>
      <c r="L3309" t="n">
        <v>5</v>
      </c>
      <c r="M3309" t="inlineStr">
        <is>
          <t>Muçarela Mozzana 2 kg</t>
        </is>
      </c>
      <c r="N3309" t="inlineStr">
        <is>
          <t>Outros</t>
        </is>
      </c>
      <c r="O3309" t="n">
        <v>13</v>
      </c>
      <c r="P3309" t="n">
        <v>29</v>
      </c>
      <c r="Q3309" t="n">
        <v>0</v>
      </c>
    </row>
    <row r="3310">
      <c r="J3310" t="inlineStr">
        <is>
          <t>A</t>
        </is>
      </c>
      <c r="K3310" t="n">
        <v>2025</v>
      </c>
      <c r="L3310" t="n">
        <v>6</v>
      </c>
      <c r="M3310" t="inlineStr">
        <is>
          <t>Muçarela Mozzana 2 kg</t>
        </is>
      </c>
      <c r="N3310" t="inlineStr">
        <is>
          <t>Outros</t>
        </is>
      </c>
      <c r="O3310" t="n">
        <v>18</v>
      </c>
      <c r="P3310" t="n">
        <v>193</v>
      </c>
      <c r="Q3310" t="n">
        <v>6</v>
      </c>
    </row>
    <row r="3311">
      <c r="J3311" t="inlineStr">
        <is>
          <t>M</t>
        </is>
      </c>
      <c r="K3311" t="n">
        <v>2025</v>
      </c>
      <c r="L3311" t="n">
        <v>6</v>
      </c>
      <c r="M3311" t="inlineStr">
        <is>
          <t>Muçarela Mozzana 2 kg</t>
        </is>
      </c>
      <c r="N3311" t="inlineStr">
        <is>
          <t>Outros</t>
        </is>
      </c>
      <c r="O3311" t="n">
        <v>11</v>
      </c>
      <c r="P3311" t="n">
        <v>34</v>
      </c>
      <c r="Q3311" t="n">
        <v>0</v>
      </c>
    </row>
    <row r="3312">
      <c r="J3312" t="inlineStr">
        <is>
          <t>A</t>
        </is>
      </c>
      <c r="K3312" t="n">
        <v>2025</v>
      </c>
      <c r="L3312" t="n">
        <v>7</v>
      </c>
      <c r="M3312" t="inlineStr">
        <is>
          <t>Muçarela Mozzana 2 kg</t>
        </is>
      </c>
      <c r="N3312" t="inlineStr">
        <is>
          <t>Outros</t>
        </is>
      </c>
      <c r="O3312" t="n">
        <v>20</v>
      </c>
      <c r="P3312" t="n">
        <v>228</v>
      </c>
      <c r="Q3312" t="n">
        <v>7</v>
      </c>
    </row>
    <row r="3313">
      <c r="J3313" t="inlineStr">
        <is>
          <t>M</t>
        </is>
      </c>
      <c r="K3313" t="n">
        <v>2025</v>
      </c>
      <c r="L3313" t="n">
        <v>7</v>
      </c>
      <c r="M3313" t="inlineStr">
        <is>
          <t>Muçarela Mozzana 2 kg</t>
        </is>
      </c>
      <c r="N3313" t="inlineStr">
        <is>
          <t>Outros</t>
        </is>
      </c>
      <c r="O3313" t="n">
        <v>13</v>
      </c>
      <c r="P3313" t="n">
        <v>35</v>
      </c>
      <c r="Q3313" t="n">
        <v>0</v>
      </c>
    </row>
    <row r="3314">
      <c r="J3314" t="inlineStr">
        <is>
          <t>A</t>
        </is>
      </c>
      <c r="K3314" t="n">
        <v>2025</v>
      </c>
      <c r="L3314" t="n">
        <v>8</v>
      </c>
      <c r="M3314" t="inlineStr">
        <is>
          <t>Muçarela Mozzana 2 kg</t>
        </is>
      </c>
      <c r="N3314" t="inlineStr">
        <is>
          <t>Outros</t>
        </is>
      </c>
      <c r="O3314" t="n">
        <v>20</v>
      </c>
      <c r="P3314" t="n">
        <v>258</v>
      </c>
      <c r="Q3314" t="n">
        <v>7</v>
      </c>
    </row>
    <row r="3315">
      <c r="J3315" t="inlineStr">
        <is>
          <t>M</t>
        </is>
      </c>
      <c r="K3315" t="n">
        <v>2025</v>
      </c>
      <c r="L3315" t="n">
        <v>8</v>
      </c>
      <c r="M3315" t="inlineStr">
        <is>
          <t>Muçarela Mozzana 2 kg</t>
        </is>
      </c>
      <c r="N3315" t="inlineStr">
        <is>
          <t>Outros</t>
        </is>
      </c>
      <c r="O3315" t="n">
        <v>11</v>
      </c>
      <c r="P3315" t="n">
        <v>30</v>
      </c>
      <c r="Q3315" t="n">
        <v>0</v>
      </c>
    </row>
    <row r="3316">
      <c r="J3316" t="inlineStr">
        <is>
          <t>A</t>
        </is>
      </c>
      <c r="K3316" t="n">
        <v>2025</v>
      </c>
      <c r="L3316" t="n">
        <v>9</v>
      </c>
      <c r="M3316" t="inlineStr">
        <is>
          <t>Muçarela Mozzana 2 kg</t>
        </is>
      </c>
      <c r="N3316" t="inlineStr">
        <is>
          <t>Outros</t>
        </is>
      </c>
      <c r="O3316" t="n">
        <v>21</v>
      </c>
      <c r="P3316" t="n">
        <v>291</v>
      </c>
      <c r="Q3316" t="n">
        <v>8</v>
      </c>
    </row>
    <row r="3317">
      <c r="J3317" t="inlineStr">
        <is>
          <t>M</t>
        </is>
      </c>
      <c r="K3317" t="n">
        <v>2025</v>
      </c>
      <c r="L3317" t="n">
        <v>9</v>
      </c>
      <c r="M3317" t="inlineStr">
        <is>
          <t>Muçarela Mozzana 2 kg</t>
        </is>
      </c>
      <c r="N3317" t="inlineStr">
        <is>
          <t>Outros</t>
        </is>
      </c>
      <c r="O3317" t="n">
        <v>11</v>
      </c>
      <c r="P3317" t="n">
        <v>33</v>
      </c>
      <c r="Q3317" t="n">
        <v>0</v>
      </c>
    </row>
    <row r="3318">
      <c r="J3318" t="inlineStr">
        <is>
          <t>A</t>
        </is>
      </c>
      <c r="K3318" t="n">
        <v>2025</v>
      </c>
      <c r="L3318" t="n">
        <v>10</v>
      </c>
      <c r="M3318" t="inlineStr">
        <is>
          <t>Muçarela Mozzana 2 kg</t>
        </is>
      </c>
      <c r="N3318" t="inlineStr">
        <is>
          <t>Outros</t>
        </is>
      </c>
      <c r="O3318" t="n">
        <v>21</v>
      </c>
      <c r="P3318" t="n">
        <v>321</v>
      </c>
      <c r="Q3318" t="n">
        <v>8</v>
      </c>
    </row>
    <row r="3319">
      <c r="J3319" t="inlineStr">
        <is>
          <t>M</t>
        </is>
      </c>
      <c r="K3319" t="n">
        <v>2025</v>
      </c>
      <c r="L3319" t="n">
        <v>10</v>
      </c>
      <c r="M3319" t="inlineStr">
        <is>
          <t>Muçarela Mozzana 2 kg</t>
        </is>
      </c>
      <c r="N3319" t="inlineStr">
        <is>
          <t>Outros</t>
        </is>
      </c>
      <c r="O3319" t="n">
        <v>10</v>
      </c>
      <c r="P3319" t="n">
        <v>30</v>
      </c>
      <c r="Q3319" t="n">
        <v>0</v>
      </c>
    </row>
    <row r="3320">
      <c r="J3320" t="inlineStr">
        <is>
          <t>A</t>
        </is>
      </c>
      <c r="K3320" t="n">
        <v>2025</v>
      </c>
      <c r="L3320" t="n">
        <v>11</v>
      </c>
      <c r="M3320" t="inlineStr">
        <is>
          <t>Muçarela Mozzana 2 kg</t>
        </is>
      </c>
      <c r="N3320" t="inlineStr">
        <is>
          <t>Outros</t>
        </is>
      </c>
      <c r="O3320" t="n">
        <v>21</v>
      </c>
      <c r="P3320" t="n">
        <v>347</v>
      </c>
      <c r="Q3320" t="n">
        <v>8</v>
      </c>
    </row>
    <row r="3321">
      <c r="J3321" t="inlineStr">
        <is>
          <t>M</t>
        </is>
      </c>
      <c r="K3321" t="n">
        <v>2025</v>
      </c>
      <c r="L3321" t="n">
        <v>11</v>
      </c>
      <c r="M3321" t="inlineStr">
        <is>
          <t>Muçarela Mozzana 2 kg</t>
        </is>
      </c>
      <c r="N3321" t="inlineStr">
        <is>
          <t>Outros</t>
        </is>
      </c>
      <c r="O3321" t="n">
        <v>8</v>
      </c>
      <c r="P3321" t="n">
        <v>26</v>
      </c>
      <c r="Q3321" t="n">
        <v>0</v>
      </c>
    </row>
    <row r="3322">
      <c r="J3322" t="inlineStr">
        <is>
          <t>A</t>
        </is>
      </c>
      <c r="K3322" t="n">
        <v>2025</v>
      </c>
      <c r="L3322" t="n">
        <v>12</v>
      </c>
      <c r="M3322" t="inlineStr">
        <is>
          <t>Muçarela Mozzana 2 kg</t>
        </is>
      </c>
      <c r="N3322" t="inlineStr">
        <is>
          <t>Outros</t>
        </is>
      </c>
      <c r="O3322" t="n">
        <v>21</v>
      </c>
      <c r="P3322" t="n">
        <v>368</v>
      </c>
      <c r="Q3322" t="n">
        <v>8</v>
      </c>
    </row>
    <row r="3323">
      <c r="J3323" t="inlineStr">
        <is>
          <t>M</t>
        </is>
      </c>
      <c r="K3323" t="n">
        <v>2025</v>
      </c>
      <c r="L3323" t="n">
        <v>12</v>
      </c>
      <c r="M3323" t="inlineStr">
        <is>
          <t>Muçarela Mozzana 2 kg</t>
        </is>
      </c>
      <c r="N3323" t="inlineStr">
        <is>
          <t>Outros</t>
        </is>
      </c>
      <c r="O3323" t="n">
        <v>7</v>
      </c>
      <c r="P3323" t="n">
        <v>21</v>
      </c>
      <c r="Q3323" t="n">
        <v>0</v>
      </c>
    </row>
    <row r="3324">
      <c r="J3324" t="inlineStr">
        <is>
          <t>A</t>
        </is>
      </c>
      <c r="K3324" t="n">
        <v>2025</v>
      </c>
      <c r="L3324" t="n">
        <v>1</v>
      </c>
      <c r="M3324" t="inlineStr">
        <is>
          <t>Muçarela Mozzana 2 kg</t>
        </is>
      </c>
      <c r="N3324" t="inlineStr">
        <is>
          <t>Pessoa Física</t>
        </is>
      </c>
      <c r="O3324" t="n">
        <v>3</v>
      </c>
      <c r="P3324" t="n">
        <v>5</v>
      </c>
      <c r="Q3324" t="n">
        <v>0</v>
      </c>
    </row>
    <row r="3325">
      <c r="J3325" t="inlineStr">
        <is>
          <t>M</t>
        </is>
      </c>
      <c r="K3325" t="n">
        <v>2025</v>
      </c>
      <c r="L3325" t="n">
        <v>1</v>
      </c>
      <c r="M3325" t="inlineStr">
        <is>
          <t>Muçarela Mozzana 2 kg</t>
        </is>
      </c>
      <c r="N3325" t="inlineStr">
        <is>
          <t>Pessoa Física</t>
        </is>
      </c>
      <c r="O3325" t="n">
        <v>3</v>
      </c>
      <c r="P3325" t="n">
        <v>5</v>
      </c>
      <c r="Q3325" t="n">
        <v>0</v>
      </c>
    </row>
    <row r="3326">
      <c r="J3326" t="inlineStr">
        <is>
          <t>A</t>
        </is>
      </c>
      <c r="K3326" t="n">
        <v>2025</v>
      </c>
      <c r="L3326" t="n">
        <v>2</v>
      </c>
      <c r="M3326" t="inlineStr">
        <is>
          <t>Muçarela Mozzana 2 kg</t>
        </is>
      </c>
      <c r="N3326" t="inlineStr">
        <is>
          <t>Pessoa Física</t>
        </is>
      </c>
      <c r="O3326" t="n">
        <v>8</v>
      </c>
      <c r="P3326" t="n">
        <v>16</v>
      </c>
      <c r="Q3326" t="n">
        <v>4</v>
      </c>
    </row>
    <row r="3327">
      <c r="J3327" t="inlineStr">
        <is>
          <t>M</t>
        </is>
      </c>
      <c r="K3327" t="n">
        <v>2025</v>
      </c>
      <c r="L3327" t="n">
        <v>2</v>
      </c>
      <c r="M3327" t="inlineStr">
        <is>
          <t>Muçarela Mozzana 2 kg</t>
        </is>
      </c>
      <c r="N3327" t="inlineStr">
        <is>
          <t>Pessoa Física</t>
        </is>
      </c>
      <c r="O3327" t="n">
        <v>6</v>
      </c>
      <c r="P3327" t="n">
        <v>11</v>
      </c>
      <c r="Q3327" t="n">
        <v>0</v>
      </c>
    </row>
    <row r="3328">
      <c r="J3328" t="inlineStr">
        <is>
          <t>A</t>
        </is>
      </c>
      <c r="K3328" t="n">
        <v>2025</v>
      </c>
      <c r="L3328" t="n">
        <v>3</v>
      </c>
      <c r="M3328" t="inlineStr">
        <is>
          <t>Muçarela Mozzana 2 kg</t>
        </is>
      </c>
      <c r="N3328" t="inlineStr">
        <is>
          <t>Pessoa Física</t>
        </is>
      </c>
      <c r="O3328" t="n">
        <v>8</v>
      </c>
      <c r="P3328" t="n">
        <v>24</v>
      </c>
      <c r="Q3328" t="n">
        <v>4</v>
      </c>
    </row>
    <row r="3329">
      <c r="J3329" t="inlineStr">
        <is>
          <t>M</t>
        </is>
      </c>
      <c r="K3329" t="n">
        <v>2025</v>
      </c>
      <c r="L3329" t="n">
        <v>3</v>
      </c>
      <c r="M3329" t="inlineStr">
        <is>
          <t>Muçarela Mozzana 2 kg</t>
        </is>
      </c>
      <c r="N3329" t="inlineStr">
        <is>
          <t>Pessoa Física</t>
        </is>
      </c>
      <c r="O3329" t="n">
        <v>3</v>
      </c>
      <c r="P3329" t="n">
        <v>8</v>
      </c>
      <c r="Q3329" t="n">
        <v>0</v>
      </c>
    </row>
    <row r="3330">
      <c r="J3330" t="inlineStr">
        <is>
          <t>A</t>
        </is>
      </c>
      <c r="K3330" t="n">
        <v>2025</v>
      </c>
      <c r="L3330" t="n">
        <v>4</v>
      </c>
      <c r="M3330" t="inlineStr">
        <is>
          <t>Muçarela Mozzana 2 kg</t>
        </is>
      </c>
      <c r="N3330" t="inlineStr">
        <is>
          <t>Pessoa Física</t>
        </is>
      </c>
      <c r="O3330" t="n">
        <v>8</v>
      </c>
      <c r="P3330" t="n">
        <v>29</v>
      </c>
      <c r="Q3330" t="n">
        <v>4</v>
      </c>
    </row>
    <row r="3331">
      <c r="J3331" t="inlineStr">
        <is>
          <t>M</t>
        </is>
      </c>
      <c r="K3331" t="n">
        <v>2025</v>
      </c>
      <c r="L3331" t="n">
        <v>4</v>
      </c>
      <c r="M3331" t="inlineStr">
        <is>
          <t>Muçarela Mozzana 2 kg</t>
        </is>
      </c>
      <c r="N3331" t="inlineStr">
        <is>
          <t>Pessoa Física</t>
        </is>
      </c>
      <c r="O3331" t="n">
        <v>2</v>
      </c>
      <c r="P3331" t="n">
        <v>5</v>
      </c>
      <c r="Q3331" t="n">
        <v>0</v>
      </c>
    </row>
    <row r="3332">
      <c r="J3332" t="inlineStr">
        <is>
          <t>A</t>
        </is>
      </c>
      <c r="K3332" t="n">
        <v>2025</v>
      </c>
      <c r="L3332" t="n">
        <v>5</v>
      </c>
      <c r="M3332" t="inlineStr">
        <is>
          <t>Muçarela Mozzana 2 kg</t>
        </is>
      </c>
      <c r="N3332" t="inlineStr">
        <is>
          <t>Pessoa Física</t>
        </is>
      </c>
      <c r="O3332" t="n">
        <v>8</v>
      </c>
      <c r="P3332" t="n">
        <v>32</v>
      </c>
      <c r="Q3332" t="n">
        <v>4</v>
      </c>
    </row>
    <row r="3333">
      <c r="J3333" t="inlineStr">
        <is>
          <t>M</t>
        </is>
      </c>
      <c r="K3333" t="n">
        <v>2025</v>
      </c>
      <c r="L3333" t="n">
        <v>5</v>
      </c>
      <c r="M3333" t="inlineStr">
        <is>
          <t>Muçarela Mozzana 2 kg</t>
        </is>
      </c>
      <c r="N3333" t="inlineStr">
        <is>
          <t>Pessoa Física</t>
        </is>
      </c>
      <c r="O3333" t="n">
        <v>1</v>
      </c>
      <c r="P3333" t="n">
        <v>3</v>
      </c>
      <c r="Q3333" t="n">
        <v>0</v>
      </c>
    </row>
    <row r="3334">
      <c r="J3334" t="inlineStr">
        <is>
          <t>A</t>
        </is>
      </c>
      <c r="K3334" t="n">
        <v>2025</v>
      </c>
      <c r="L3334" t="n">
        <v>6</v>
      </c>
      <c r="M3334" t="inlineStr">
        <is>
          <t>Muçarela Mozzana 2 kg</t>
        </is>
      </c>
      <c r="N3334" t="inlineStr">
        <is>
          <t>Pessoa Física</t>
        </is>
      </c>
      <c r="O3334" t="n">
        <v>9</v>
      </c>
      <c r="P3334" t="n">
        <v>34</v>
      </c>
      <c r="Q3334" t="n">
        <v>4</v>
      </c>
    </row>
    <row r="3335">
      <c r="J3335" t="inlineStr">
        <is>
          <t>M</t>
        </is>
      </c>
      <c r="K3335" t="n">
        <v>2025</v>
      </c>
      <c r="L3335" t="n">
        <v>6</v>
      </c>
      <c r="M3335" t="inlineStr">
        <is>
          <t>Muçarela Mozzana 2 kg</t>
        </is>
      </c>
      <c r="N3335" t="inlineStr">
        <is>
          <t>Pessoa Física</t>
        </is>
      </c>
      <c r="O3335" t="n">
        <v>2</v>
      </c>
      <c r="P3335" t="n">
        <v>2</v>
      </c>
      <c r="Q3335" t="n">
        <v>0</v>
      </c>
    </row>
    <row r="3336">
      <c r="J3336" t="inlineStr">
        <is>
          <t>A</t>
        </is>
      </c>
      <c r="K3336" t="n">
        <v>2025</v>
      </c>
      <c r="L3336" t="n">
        <v>7</v>
      </c>
      <c r="M3336" t="inlineStr">
        <is>
          <t>Muçarela Mozzana 2 kg</t>
        </is>
      </c>
      <c r="N3336" t="inlineStr">
        <is>
          <t>Pessoa Física</t>
        </is>
      </c>
      <c r="O3336" t="n">
        <v>12</v>
      </c>
      <c r="P3336" t="n">
        <v>40</v>
      </c>
      <c r="Q3336" t="n">
        <v>7</v>
      </c>
    </row>
    <row r="3337">
      <c r="J3337" t="inlineStr">
        <is>
          <t>M</t>
        </is>
      </c>
      <c r="K3337" t="n">
        <v>2025</v>
      </c>
      <c r="L3337" t="n">
        <v>7</v>
      </c>
      <c r="M3337" t="inlineStr">
        <is>
          <t>Muçarela Mozzana 2 kg</t>
        </is>
      </c>
      <c r="N3337" t="inlineStr">
        <is>
          <t>Pessoa Física</t>
        </is>
      </c>
      <c r="O3337" t="n">
        <v>4</v>
      </c>
      <c r="P3337" t="n">
        <v>6</v>
      </c>
      <c r="Q3337" t="n">
        <v>0</v>
      </c>
    </row>
    <row r="3338">
      <c r="J3338" t="inlineStr">
        <is>
          <t>A</t>
        </is>
      </c>
      <c r="K3338" t="n">
        <v>2025</v>
      </c>
      <c r="L3338" t="n">
        <v>8</v>
      </c>
      <c r="M3338" t="inlineStr">
        <is>
          <t>Muçarela Mozzana 2 kg</t>
        </is>
      </c>
      <c r="N3338" t="inlineStr">
        <is>
          <t>Pessoa Física</t>
        </is>
      </c>
      <c r="O3338" t="n">
        <v>12</v>
      </c>
      <c r="P3338" t="n">
        <v>46</v>
      </c>
      <c r="Q3338" t="n">
        <v>7</v>
      </c>
    </row>
    <row r="3339">
      <c r="J3339" t="inlineStr">
        <is>
          <t>M</t>
        </is>
      </c>
      <c r="K3339" t="n">
        <v>2025</v>
      </c>
      <c r="L3339" t="n">
        <v>8</v>
      </c>
      <c r="M3339" t="inlineStr">
        <is>
          <t>Muçarela Mozzana 2 kg</t>
        </is>
      </c>
      <c r="N3339" t="inlineStr">
        <is>
          <t>Pessoa Física</t>
        </is>
      </c>
      <c r="O3339" t="n">
        <v>3</v>
      </c>
      <c r="P3339" t="n">
        <v>6</v>
      </c>
      <c r="Q3339" t="n">
        <v>0</v>
      </c>
    </row>
    <row r="3340">
      <c r="J3340" t="inlineStr">
        <is>
          <t>A</t>
        </is>
      </c>
      <c r="K3340" t="n">
        <v>2025</v>
      </c>
      <c r="L3340" t="n">
        <v>9</v>
      </c>
      <c r="M3340" t="inlineStr">
        <is>
          <t>Muçarela Mozzana 2 kg</t>
        </is>
      </c>
      <c r="N3340" t="inlineStr">
        <is>
          <t>Pessoa Física</t>
        </is>
      </c>
      <c r="O3340" t="n">
        <v>13</v>
      </c>
      <c r="P3340" t="n">
        <v>51</v>
      </c>
      <c r="Q3340" t="n">
        <v>7</v>
      </c>
    </row>
    <row r="3341">
      <c r="J3341" t="inlineStr">
        <is>
          <t>M</t>
        </is>
      </c>
      <c r="K3341" t="n">
        <v>2025</v>
      </c>
      <c r="L3341" t="n">
        <v>9</v>
      </c>
      <c r="M3341" t="inlineStr">
        <is>
          <t>Muçarela Mozzana 2 kg</t>
        </is>
      </c>
      <c r="N3341" t="inlineStr">
        <is>
          <t>Pessoa Física</t>
        </is>
      </c>
      <c r="O3341" t="n">
        <v>3</v>
      </c>
      <c r="P3341" t="n">
        <v>5</v>
      </c>
      <c r="Q3341" t="n">
        <v>0</v>
      </c>
    </row>
    <row r="3342">
      <c r="J3342" t="inlineStr">
        <is>
          <t>A</t>
        </is>
      </c>
      <c r="K3342" t="n">
        <v>2025</v>
      </c>
      <c r="L3342" t="n">
        <v>10</v>
      </c>
      <c r="M3342" t="inlineStr">
        <is>
          <t>Muçarela Mozzana 2 kg</t>
        </is>
      </c>
      <c r="N3342" t="inlineStr">
        <is>
          <t>Pessoa Física</t>
        </is>
      </c>
      <c r="O3342" t="n">
        <v>13</v>
      </c>
      <c r="P3342" t="n">
        <v>51</v>
      </c>
      <c r="Q3342" t="n">
        <v>7</v>
      </c>
    </row>
    <row r="3343">
      <c r="J3343" t="inlineStr">
        <is>
          <t>A</t>
        </is>
      </c>
      <c r="K3343" t="n">
        <v>2025</v>
      </c>
      <c r="L3343" t="n">
        <v>11</v>
      </c>
      <c r="M3343" t="inlineStr">
        <is>
          <t>Muçarela Mozzana 2 kg</t>
        </is>
      </c>
      <c r="N3343" t="inlineStr">
        <is>
          <t>Pessoa Física</t>
        </is>
      </c>
      <c r="O3343" t="n">
        <v>14</v>
      </c>
      <c r="P3343" t="n">
        <v>52</v>
      </c>
      <c r="Q3343" t="n">
        <v>7</v>
      </c>
    </row>
    <row r="3344">
      <c r="J3344" t="inlineStr">
        <is>
          <t>M</t>
        </is>
      </c>
      <c r="K3344" t="n">
        <v>2025</v>
      </c>
      <c r="L3344" t="n">
        <v>11</v>
      </c>
      <c r="M3344" t="inlineStr">
        <is>
          <t>Muçarela Mozzana 2 kg</t>
        </is>
      </c>
      <c r="N3344" t="inlineStr">
        <is>
          <t>Pessoa Física</t>
        </is>
      </c>
      <c r="O3344" t="n">
        <v>1</v>
      </c>
      <c r="P3344" t="n">
        <v>1</v>
      </c>
      <c r="Q3344" t="n">
        <v>0</v>
      </c>
    </row>
    <row r="3345">
      <c r="J3345" t="inlineStr">
        <is>
          <t>A</t>
        </is>
      </c>
      <c r="K3345" t="n">
        <v>2025</v>
      </c>
      <c r="L3345" t="n">
        <v>12</v>
      </c>
      <c r="M3345" t="inlineStr">
        <is>
          <t>Muçarela Mozzana 2 kg</t>
        </is>
      </c>
      <c r="N3345" t="inlineStr">
        <is>
          <t>Pessoa Física</t>
        </is>
      </c>
      <c r="O3345" t="n">
        <v>15</v>
      </c>
      <c r="P3345" t="n">
        <v>54</v>
      </c>
      <c r="Q3345" t="n">
        <v>7</v>
      </c>
    </row>
    <row r="3346">
      <c r="J3346" t="inlineStr">
        <is>
          <t>M</t>
        </is>
      </c>
      <c r="K3346" t="n">
        <v>2025</v>
      </c>
      <c r="L3346" t="n">
        <v>12</v>
      </c>
      <c r="M3346" t="inlineStr">
        <is>
          <t>Muçarela Mozzana 2 kg</t>
        </is>
      </c>
      <c r="N3346" t="inlineStr">
        <is>
          <t>Pessoa Física</t>
        </is>
      </c>
      <c r="O3346" t="n">
        <v>2</v>
      </c>
      <c r="P3346" t="n">
        <v>2</v>
      </c>
      <c r="Q3346" t="n">
        <v>0</v>
      </c>
    </row>
    <row r="3347">
      <c r="J3347" t="inlineStr">
        <is>
          <t>A</t>
        </is>
      </c>
      <c r="K3347" t="n">
        <v>2025</v>
      </c>
      <c r="L3347" t="n">
        <v>1</v>
      </c>
      <c r="M3347" t="inlineStr">
        <is>
          <t>Muçarela Mozzana 2 kg</t>
        </is>
      </c>
      <c r="N3347" t="inlineStr">
        <is>
          <t>Pastelaria</t>
        </is>
      </c>
      <c r="O3347" t="n">
        <v>8</v>
      </c>
      <c r="P3347" t="n">
        <v>12</v>
      </c>
      <c r="Q3347" t="n">
        <v>0</v>
      </c>
    </row>
    <row r="3348">
      <c r="J3348" t="inlineStr">
        <is>
          <t>M</t>
        </is>
      </c>
      <c r="K3348" t="n">
        <v>2025</v>
      </c>
      <c r="L3348" t="n">
        <v>1</v>
      </c>
      <c r="M3348" t="inlineStr">
        <is>
          <t>Muçarela Mozzana 2 kg</t>
        </is>
      </c>
      <c r="N3348" t="inlineStr">
        <is>
          <t>Pastelaria</t>
        </is>
      </c>
      <c r="O3348" t="n">
        <v>8</v>
      </c>
      <c r="P3348" t="n">
        <v>12</v>
      </c>
      <c r="Q3348" t="n">
        <v>0</v>
      </c>
    </row>
    <row r="3349">
      <c r="J3349" t="inlineStr">
        <is>
          <t>A</t>
        </is>
      </c>
      <c r="K3349" t="n">
        <v>2025</v>
      </c>
      <c r="L3349" t="n">
        <v>2</v>
      </c>
      <c r="M3349" t="inlineStr">
        <is>
          <t>Muçarela Mozzana 2 kg</t>
        </is>
      </c>
      <c r="N3349" t="inlineStr">
        <is>
          <t>Pastelaria</t>
        </is>
      </c>
      <c r="O3349" t="n">
        <v>8</v>
      </c>
      <c r="P3349" t="n">
        <v>20</v>
      </c>
      <c r="Q3349" t="n">
        <v>0</v>
      </c>
    </row>
    <row r="3350">
      <c r="J3350" t="inlineStr">
        <is>
          <t>M</t>
        </is>
      </c>
      <c r="K3350" t="n">
        <v>2025</v>
      </c>
      <c r="L3350" t="n">
        <v>2</v>
      </c>
      <c r="M3350" t="inlineStr">
        <is>
          <t>Muçarela Mozzana 2 kg</t>
        </is>
      </c>
      <c r="N3350" t="inlineStr">
        <is>
          <t>Pastelaria</t>
        </is>
      </c>
      <c r="O3350" t="n">
        <v>4</v>
      </c>
      <c r="P3350" t="n">
        <v>8</v>
      </c>
      <c r="Q3350" t="n">
        <v>0</v>
      </c>
    </row>
    <row r="3351">
      <c r="J3351" t="inlineStr">
        <is>
          <t>A</t>
        </is>
      </c>
      <c r="K3351" t="n">
        <v>2025</v>
      </c>
      <c r="L3351" t="n">
        <v>3</v>
      </c>
      <c r="M3351" t="inlineStr">
        <is>
          <t>Muçarela Mozzana 2 kg</t>
        </is>
      </c>
      <c r="N3351" t="inlineStr">
        <is>
          <t>Pastelaria</t>
        </is>
      </c>
      <c r="O3351" t="n">
        <v>10</v>
      </c>
      <c r="P3351" t="n">
        <v>32</v>
      </c>
      <c r="Q3351" t="n">
        <v>1</v>
      </c>
    </row>
    <row r="3352">
      <c r="J3352" t="inlineStr">
        <is>
          <t>M</t>
        </is>
      </c>
      <c r="K3352" t="n">
        <v>2025</v>
      </c>
      <c r="L3352" t="n">
        <v>3</v>
      </c>
      <c r="M3352" t="inlineStr">
        <is>
          <t>Muçarela Mozzana 2 kg</t>
        </is>
      </c>
      <c r="N3352" t="inlineStr">
        <is>
          <t>Pastelaria</t>
        </is>
      </c>
      <c r="O3352" t="n">
        <v>8</v>
      </c>
      <c r="P3352" t="n">
        <v>12</v>
      </c>
      <c r="Q3352" t="n">
        <v>0</v>
      </c>
    </row>
    <row r="3353">
      <c r="J3353" t="inlineStr">
        <is>
          <t>A</t>
        </is>
      </c>
      <c r="K3353" t="n">
        <v>2025</v>
      </c>
      <c r="L3353" t="n">
        <v>4</v>
      </c>
      <c r="M3353" t="inlineStr">
        <is>
          <t>Muçarela Mozzana 2 kg</t>
        </is>
      </c>
      <c r="N3353" t="inlineStr">
        <is>
          <t>Pastelaria</t>
        </is>
      </c>
      <c r="O3353" t="n">
        <v>10</v>
      </c>
      <c r="P3353" t="n">
        <v>43</v>
      </c>
      <c r="Q3353" t="n">
        <v>1</v>
      </c>
    </row>
    <row r="3354">
      <c r="J3354" t="inlineStr">
        <is>
          <t>M</t>
        </is>
      </c>
      <c r="K3354" t="n">
        <v>2025</v>
      </c>
      <c r="L3354" t="n">
        <v>4</v>
      </c>
      <c r="M3354" t="inlineStr">
        <is>
          <t>Muçarela Mozzana 2 kg</t>
        </is>
      </c>
      <c r="N3354" t="inlineStr">
        <is>
          <t>Pastelaria</t>
        </is>
      </c>
      <c r="O3354" t="n">
        <v>5</v>
      </c>
      <c r="P3354" t="n">
        <v>11</v>
      </c>
      <c r="Q3354" t="n">
        <v>0</v>
      </c>
    </row>
    <row r="3355">
      <c r="J3355" t="inlineStr">
        <is>
          <t>A</t>
        </is>
      </c>
      <c r="K3355" t="n">
        <v>2025</v>
      </c>
      <c r="L3355" t="n">
        <v>5</v>
      </c>
      <c r="M3355" t="inlineStr">
        <is>
          <t>Muçarela Mozzana 2 kg</t>
        </is>
      </c>
      <c r="N3355" t="inlineStr">
        <is>
          <t>Pastelaria</t>
        </is>
      </c>
      <c r="O3355" t="n">
        <v>10</v>
      </c>
      <c r="P3355" t="n">
        <v>53</v>
      </c>
      <c r="Q3355" t="n">
        <v>1</v>
      </c>
    </row>
    <row r="3356">
      <c r="J3356" t="inlineStr">
        <is>
          <t>M</t>
        </is>
      </c>
      <c r="K3356" t="n">
        <v>2025</v>
      </c>
      <c r="L3356" t="n">
        <v>5</v>
      </c>
      <c r="M3356" t="inlineStr">
        <is>
          <t>Muçarela Mozzana 2 kg</t>
        </is>
      </c>
      <c r="N3356" t="inlineStr">
        <is>
          <t>Pastelaria</t>
        </is>
      </c>
      <c r="O3356" t="n">
        <v>6</v>
      </c>
      <c r="P3356" t="n">
        <v>10</v>
      </c>
      <c r="Q3356" t="n">
        <v>0</v>
      </c>
    </row>
    <row r="3357">
      <c r="J3357" t="inlineStr">
        <is>
          <t>A</t>
        </is>
      </c>
      <c r="K3357" t="n">
        <v>2025</v>
      </c>
      <c r="L3357" t="n">
        <v>6</v>
      </c>
      <c r="M3357" t="inlineStr">
        <is>
          <t>Muçarela Mozzana 2 kg</t>
        </is>
      </c>
      <c r="N3357" t="inlineStr">
        <is>
          <t>Pastelaria</t>
        </is>
      </c>
      <c r="O3357" t="n">
        <v>10</v>
      </c>
      <c r="P3357" t="n">
        <v>59</v>
      </c>
      <c r="Q3357" t="n">
        <v>1</v>
      </c>
    </row>
    <row r="3358">
      <c r="J3358" t="inlineStr">
        <is>
          <t>M</t>
        </is>
      </c>
      <c r="K3358" t="n">
        <v>2025</v>
      </c>
      <c r="L3358" t="n">
        <v>6</v>
      </c>
      <c r="M3358" t="inlineStr">
        <is>
          <t>Muçarela Mozzana 2 kg</t>
        </is>
      </c>
      <c r="N3358" t="inlineStr">
        <is>
          <t>Pastelaria</t>
        </is>
      </c>
      <c r="O3358" t="n">
        <v>4</v>
      </c>
      <c r="P3358" t="n">
        <v>6</v>
      </c>
      <c r="Q3358" t="n">
        <v>0</v>
      </c>
    </row>
    <row r="3359">
      <c r="J3359" t="inlineStr">
        <is>
          <t>A</t>
        </is>
      </c>
      <c r="K3359" t="n">
        <v>2025</v>
      </c>
      <c r="L3359" t="n">
        <v>7</v>
      </c>
      <c r="M3359" t="inlineStr">
        <is>
          <t>Muçarela Mozzana 2 kg</t>
        </is>
      </c>
      <c r="N3359" t="inlineStr">
        <is>
          <t>Pastelaria</t>
        </is>
      </c>
      <c r="O3359" t="n">
        <v>11</v>
      </c>
      <c r="P3359" t="n">
        <v>67</v>
      </c>
      <c r="Q3359" t="n">
        <v>2</v>
      </c>
    </row>
    <row r="3360">
      <c r="J3360" t="inlineStr">
        <is>
          <t>M</t>
        </is>
      </c>
      <c r="K3360" t="n">
        <v>2025</v>
      </c>
      <c r="L3360" t="n">
        <v>7</v>
      </c>
      <c r="M3360" t="inlineStr">
        <is>
          <t>Muçarela Mozzana 2 kg</t>
        </is>
      </c>
      <c r="N3360" t="inlineStr">
        <is>
          <t>Pastelaria</t>
        </is>
      </c>
      <c r="O3360" t="n">
        <v>3</v>
      </c>
      <c r="P3360" t="n">
        <v>8</v>
      </c>
      <c r="Q3360" t="n">
        <v>0</v>
      </c>
    </row>
    <row r="3361">
      <c r="J3361" t="inlineStr">
        <is>
          <t>A</t>
        </is>
      </c>
      <c r="K3361" t="n">
        <v>2025</v>
      </c>
      <c r="L3361" t="n">
        <v>8</v>
      </c>
      <c r="M3361" t="inlineStr">
        <is>
          <t>Muçarela Mozzana 2 kg</t>
        </is>
      </c>
      <c r="N3361" t="inlineStr">
        <is>
          <t>Pastelaria</t>
        </is>
      </c>
      <c r="O3361" t="n">
        <v>11</v>
      </c>
      <c r="P3361" t="n">
        <v>73</v>
      </c>
      <c r="Q3361" t="n">
        <v>2</v>
      </c>
    </row>
    <row r="3362">
      <c r="J3362" t="inlineStr">
        <is>
          <t>M</t>
        </is>
      </c>
      <c r="K3362" t="n">
        <v>2025</v>
      </c>
      <c r="L3362" t="n">
        <v>8</v>
      </c>
      <c r="M3362" t="inlineStr">
        <is>
          <t>Muçarela Mozzana 2 kg</t>
        </is>
      </c>
      <c r="N3362" t="inlineStr">
        <is>
          <t>Pastelaria</t>
        </is>
      </c>
      <c r="O3362" t="n">
        <v>2</v>
      </c>
      <c r="P3362" t="n">
        <v>6</v>
      </c>
      <c r="Q3362" t="n">
        <v>0</v>
      </c>
    </row>
    <row r="3363">
      <c r="J3363" t="inlineStr">
        <is>
          <t>A</t>
        </is>
      </c>
      <c r="K3363" t="n">
        <v>2025</v>
      </c>
      <c r="L3363" t="n">
        <v>9</v>
      </c>
      <c r="M3363" t="inlineStr">
        <is>
          <t>Muçarela Mozzana 2 kg</t>
        </is>
      </c>
      <c r="N3363" t="inlineStr">
        <is>
          <t>Pastelaria</t>
        </is>
      </c>
      <c r="O3363" t="n">
        <v>11</v>
      </c>
      <c r="P3363" t="n">
        <v>80</v>
      </c>
      <c r="Q3363" t="n">
        <v>2</v>
      </c>
    </row>
    <row r="3364">
      <c r="J3364" t="inlineStr">
        <is>
          <t>M</t>
        </is>
      </c>
      <c r="K3364" t="n">
        <v>2025</v>
      </c>
      <c r="L3364" t="n">
        <v>9</v>
      </c>
      <c r="M3364" t="inlineStr">
        <is>
          <t>Muçarela Mozzana 2 kg</t>
        </is>
      </c>
      <c r="N3364" t="inlineStr">
        <is>
          <t>Pastelaria</t>
        </is>
      </c>
      <c r="O3364" t="n">
        <v>2</v>
      </c>
      <c r="P3364" t="n">
        <v>7</v>
      </c>
      <c r="Q3364" t="n">
        <v>0</v>
      </c>
    </row>
    <row r="3365">
      <c r="J3365" t="inlineStr">
        <is>
          <t>A</t>
        </is>
      </c>
      <c r="K3365" t="n">
        <v>2025</v>
      </c>
      <c r="L3365" t="n">
        <v>10</v>
      </c>
      <c r="M3365" t="inlineStr">
        <is>
          <t>Muçarela Mozzana 2 kg</t>
        </is>
      </c>
      <c r="N3365" t="inlineStr">
        <is>
          <t>Pastelaria</t>
        </is>
      </c>
      <c r="O3365" t="n">
        <v>11</v>
      </c>
      <c r="P3365" t="n">
        <v>87</v>
      </c>
      <c r="Q3365" t="n">
        <v>2</v>
      </c>
    </row>
    <row r="3366">
      <c r="J3366" t="inlineStr">
        <is>
          <t>M</t>
        </is>
      </c>
      <c r="K3366" t="n">
        <v>2025</v>
      </c>
      <c r="L3366" t="n">
        <v>10</v>
      </c>
      <c r="M3366" t="inlineStr">
        <is>
          <t>Muçarela Mozzana 2 kg</t>
        </is>
      </c>
      <c r="N3366" t="inlineStr">
        <is>
          <t>Pastelaria</t>
        </is>
      </c>
      <c r="O3366" t="n">
        <v>2</v>
      </c>
      <c r="P3366" t="n">
        <v>7</v>
      </c>
      <c r="Q3366" t="n">
        <v>0</v>
      </c>
    </row>
    <row r="3367">
      <c r="J3367" t="inlineStr">
        <is>
          <t>A</t>
        </is>
      </c>
      <c r="K3367" t="n">
        <v>2025</v>
      </c>
      <c r="L3367" t="n">
        <v>11</v>
      </c>
      <c r="M3367" t="inlineStr">
        <is>
          <t>Muçarela Mozzana 2 kg</t>
        </is>
      </c>
      <c r="N3367" t="inlineStr">
        <is>
          <t>Pastelaria</t>
        </is>
      </c>
      <c r="O3367" t="n">
        <v>12</v>
      </c>
      <c r="P3367" t="n">
        <v>99</v>
      </c>
      <c r="Q3367" t="n">
        <v>3</v>
      </c>
    </row>
    <row r="3368">
      <c r="J3368" t="inlineStr">
        <is>
          <t>M</t>
        </is>
      </c>
      <c r="K3368" t="n">
        <v>2025</v>
      </c>
      <c r="L3368" t="n">
        <v>11</v>
      </c>
      <c r="M3368" t="inlineStr">
        <is>
          <t>Muçarela Mozzana 2 kg</t>
        </is>
      </c>
      <c r="N3368" t="inlineStr">
        <is>
          <t>Pastelaria</t>
        </is>
      </c>
      <c r="O3368" t="n">
        <v>3</v>
      </c>
      <c r="P3368" t="n">
        <v>12</v>
      </c>
      <c r="Q3368" t="n">
        <v>0</v>
      </c>
    </row>
    <row r="3369">
      <c r="J3369" t="inlineStr">
        <is>
          <t>A</t>
        </is>
      </c>
      <c r="K3369" t="n">
        <v>2025</v>
      </c>
      <c r="L3369" t="n">
        <v>12</v>
      </c>
      <c r="M3369" t="inlineStr">
        <is>
          <t>Muçarela Mozzana 2 kg</t>
        </is>
      </c>
      <c r="N3369" t="inlineStr">
        <is>
          <t>Pastelaria</t>
        </is>
      </c>
      <c r="O3369" t="n">
        <v>12</v>
      </c>
      <c r="P3369" t="n">
        <v>110</v>
      </c>
      <c r="Q3369" t="n">
        <v>3</v>
      </c>
    </row>
    <row r="3370">
      <c r="J3370" t="inlineStr">
        <is>
          <t>M</t>
        </is>
      </c>
      <c r="K3370" t="n">
        <v>2025</v>
      </c>
      <c r="L3370" t="n">
        <v>12</v>
      </c>
      <c r="M3370" t="inlineStr">
        <is>
          <t>Muçarela Mozzana 2 kg</t>
        </is>
      </c>
      <c r="N3370" t="inlineStr">
        <is>
          <t>Pastelaria</t>
        </is>
      </c>
      <c r="O3370" t="n">
        <v>3</v>
      </c>
      <c r="P3370" t="n">
        <v>11</v>
      </c>
      <c r="Q3370" t="n">
        <v>0</v>
      </c>
    </row>
    <row r="3371">
      <c r="J3371" t="inlineStr">
        <is>
          <t>A</t>
        </is>
      </c>
      <c r="K3371" t="n">
        <v>2025</v>
      </c>
      <c r="L3371" t="n">
        <v>1</v>
      </c>
      <c r="M3371" t="inlineStr">
        <is>
          <t>Muçarela Mozzana 2 kg</t>
        </is>
      </c>
      <c r="N3371" t="inlineStr">
        <is>
          <t>Esfiharia</t>
        </is>
      </c>
      <c r="O3371" t="n">
        <v>3</v>
      </c>
      <c r="P3371" t="n">
        <v>8</v>
      </c>
      <c r="Q3371" t="n">
        <v>0</v>
      </c>
    </row>
    <row r="3372">
      <c r="J3372" t="inlineStr">
        <is>
          <t>M</t>
        </is>
      </c>
      <c r="K3372" t="n">
        <v>2025</v>
      </c>
      <c r="L3372" t="n">
        <v>1</v>
      </c>
      <c r="M3372" t="inlineStr">
        <is>
          <t>Muçarela Mozzana 2 kg</t>
        </is>
      </c>
      <c r="N3372" t="inlineStr">
        <is>
          <t>Esfiharia</t>
        </is>
      </c>
      <c r="O3372" t="n">
        <v>3</v>
      </c>
      <c r="P3372" t="n">
        <v>8</v>
      </c>
      <c r="Q3372" t="n">
        <v>0</v>
      </c>
    </row>
    <row r="3373">
      <c r="J3373" t="inlineStr">
        <is>
          <t>A</t>
        </is>
      </c>
      <c r="K3373" t="n">
        <v>2025</v>
      </c>
      <c r="L3373" t="n">
        <v>2</v>
      </c>
      <c r="M3373" t="inlineStr">
        <is>
          <t>Muçarela Mozzana 2 kg</t>
        </is>
      </c>
      <c r="N3373" t="inlineStr">
        <is>
          <t>Esfiharia</t>
        </is>
      </c>
      <c r="O3373" t="n">
        <v>4</v>
      </c>
      <c r="P3373" t="n">
        <v>17</v>
      </c>
      <c r="Q3373" t="n">
        <v>0</v>
      </c>
    </row>
    <row r="3374">
      <c r="J3374" t="inlineStr">
        <is>
          <t>M</t>
        </is>
      </c>
      <c r="K3374" t="n">
        <v>2025</v>
      </c>
      <c r="L3374" t="n">
        <v>2</v>
      </c>
      <c r="M3374" t="inlineStr">
        <is>
          <t>Muçarela Mozzana 2 kg</t>
        </is>
      </c>
      <c r="N3374" t="inlineStr">
        <is>
          <t>Esfiharia</t>
        </is>
      </c>
      <c r="O3374" t="n">
        <v>3</v>
      </c>
      <c r="P3374" t="n">
        <v>9</v>
      </c>
      <c r="Q3374" t="n">
        <v>0</v>
      </c>
    </row>
    <row r="3375">
      <c r="J3375" t="inlineStr">
        <is>
          <t>A</t>
        </is>
      </c>
      <c r="K3375" t="n">
        <v>2025</v>
      </c>
      <c r="L3375" t="n">
        <v>3</v>
      </c>
      <c r="M3375" t="inlineStr">
        <is>
          <t>Muçarela Mozzana 2 kg</t>
        </is>
      </c>
      <c r="N3375" t="inlineStr">
        <is>
          <t>Esfiharia</t>
        </is>
      </c>
      <c r="O3375" t="n">
        <v>4</v>
      </c>
      <c r="P3375" t="n">
        <v>29</v>
      </c>
      <c r="Q3375" t="n">
        <v>0</v>
      </c>
    </row>
    <row r="3376">
      <c r="J3376" t="inlineStr">
        <is>
          <t>M</t>
        </is>
      </c>
      <c r="K3376" t="n">
        <v>2025</v>
      </c>
      <c r="L3376" t="n">
        <v>3</v>
      </c>
      <c r="M3376" t="inlineStr">
        <is>
          <t>Muçarela Mozzana 2 kg</t>
        </is>
      </c>
      <c r="N3376" t="inlineStr">
        <is>
          <t>Esfiharia</t>
        </is>
      </c>
      <c r="O3376" t="n">
        <v>3</v>
      </c>
      <c r="P3376" t="n">
        <v>12</v>
      </c>
      <c r="Q3376" t="n">
        <v>0</v>
      </c>
    </row>
    <row r="3377">
      <c r="J3377" t="inlineStr">
        <is>
          <t>A</t>
        </is>
      </c>
      <c r="K3377" t="n">
        <v>2025</v>
      </c>
      <c r="L3377" t="n">
        <v>4</v>
      </c>
      <c r="M3377" t="inlineStr">
        <is>
          <t>Muçarela Mozzana 2 kg</t>
        </is>
      </c>
      <c r="N3377" t="inlineStr">
        <is>
          <t>Esfiharia</t>
        </is>
      </c>
      <c r="O3377" t="n">
        <v>4</v>
      </c>
      <c r="P3377" t="n">
        <v>36</v>
      </c>
      <c r="Q3377" t="n">
        <v>0</v>
      </c>
    </row>
    <row r="3378">
      <c r="J3378" t="inlineStr">
        <is>
          <t>M</t>
        </is>
      </c>
      <c r="K3378" t="n">
        <v>2025</v>
      </c>
      <c r="L3378" t="n">
        <v>4</v>
      </c>
      <c r="M3378" t="inlineStr">
        <is>
          <t>Muçarela Mozzana 2 kg</t>
        </is>
      </c>
      <c r="N3378" t="inlineStr">
        <is>
          <t>Esfiharia</t>
        </is>
      </c>
      <c r="O3378" t="n">
        <v>2</v>
      </c>
      <c r="P3378" t="n">
        <v>7</v>
      </c>
      <c r="Q3378" t="n">
        <v>0</v>
      </c>
    </row>
    <row r="3379">
      <c r="J3379" t="inlineStr">
        <is>
          <t>A</t>
        </is>
      </c>
      <c r="K3379" t="n">
        <v>2025</v>
      </c>
      <c r="L3379" t="n">
        <v>5</v>
      </c>
      <c r="M3379" t="inlineStr">
        <is>
          <t>Muçarela Mozzana 2 kg</t>
        </is>
      </c>
      <c r="N3379" t="inlineStr">
        <is>
          <t>Esfiharia</t>
        </is>
      </c>
      <c r="O3379" t="n">
        <v>4</v>
      </c>
      <c r="P3379" t="n">
        <v>44</v>
      </c>
      <c r="Q3379" t="n">
        <v>0</v>
      </c>
    </row>
    <row r="3380">
      <c r="J3380" t="inlineStr">
        <is>
          <t>M</t>
        </is>
      </c>
      <c r="K3380" t="n">
        <v>2025</v>
      </c>
      <c r="L3380" t="n">
        <v>5</v>
      </c>
      <c r="M3380" t="inlineStr">
        <is>
          <t>Muçarela Mozzana 2 kg</t>
        </is>
      </c>
      <c r="N3380" t="inlineStr">
        <is>
          <t>Esfiharia</t>
        </is>
      </c>
      <c r="O3380" t="n">
        <v>2</v>
      </c>
      <c r="P3380" t="n">
        <v>8</v>
      </c>
      <c r="Q3380" t="n">
        <v>0</v>
      </c>
    </row>
    <row r="3381">
      <c r="J3381" t="inlineStr">
        <is>
          <t>A</t>
        </is>
      </c>
      <c r="K3381" t="n">
        <v>2025</v>
      </c>
      <c r="L3381" t="n">
        <v>6</v>
      </c>
      <c r="M3381" t="inlineStr">
        <is>
          <t>Muçarela Mozzana 2 kg</t>
        </is>
      </c>
      <c r="N3381" t="inlineStr">
        <is>
          <t>Esfiharia</t>
        </is>
      </c>
      <c r="O3381" t="n">
        <v>4</v>
      </c>
      <c r="P3381" t="n">
        <v>52</v>
      </c>
      <c r="Q3381" t="n">
        <v>0</v>
      </c>
    </row>
    <row r="3382">
      <c r="J3382" t="inlineStr">
        <is>
          <t>M</t>
        </is>
      </c>
      <c r="K3382" t="n">
        <v>2025</v>
      </c>
      <c r="L3382" t="n">
        <v>6</v>
      </c>
      <c r="M3382" t="inlineStr">
        <is>
          <t>Muçarela Mozzana 2 kg</t>
        </is>
      </c>
      <c r="N3382" t="inlineStr">
        <is>
          <t>Esfiharia</t>
        </is>
      </c>
      <c r="O3382" t="n">
        <v>2</v>
      </c>
      <c r="P3382" t="n">
        <v>8</v>
      </c>
      <c r="Q3382" t="n">
        <v>0</v>
      </c>
    </row>
    <row r="3383">
      <c r="J3383" t="inlineStr">
        <is>
          <t>A</t>
        </is>
      </c>
      <c r="K3383" t="n">
        <v>2025</v>
      </c>
      <c r="L3383" t="n">
        <v>7</v>
      </c>
      <c r="M3383" t="inlineStr">
        <is>
          <t>Muçarela Mozzana 2 kg</t>
        </is>
      </c>
      <c r="N3383" t="inlineStr">
        <is>
          <t>Esfiharia</t>
        </is>
      </c>
      <c r="O3383" t="n">
        <v>6</v>
      </c>
      <c r="P3383" t="n">
        <v>59</v>
      </c>
      <c r="Q3383" t="n">
        <v>2</v>
      </c>
    </row>
    <row r="3384">
      <c r="J3384" t="inlineStr">
        <is>
          <t>M</t>
        </is>
      </c>
      <c r="K3384" t="n">
        <v>2025</v>
      </c>
      <c r="L3384" t="n">
        <v>7</v>
      </c>
      <c r="M3384" t="inlineStr">
        <is>
          <t>Muçarela Mozzana 2 kg</t>
        </is>
      </c>
      <c r="N3384" t="inlineStr">
        <is>
          <t>Esfiharia</t>
        </is>
      </c>
      <c r="O3384" t="n">
        <v>3</v>
      </c>
      <c r="P3384" t="n">
        <v>7</v>
      </c>
      <c r="Q3384" t="n">
        <v>0</v>
      </c>
    </row>
    <row r="3385">
      <c r="J3385" t="inlineStr">
        <is>
          <t>A</t>
        </is>
      </c>
      <c r="K3385" t="n">
        <v>2025</v>
      </c>
      <c r="L3385" t="n">
        <v>8</v>
      </c>
      <c r="M3385" t="inlineStr">
        <is>
          <t>Muçarela Mozzana 2 kg</t>
        </is>
      </c>
      <c r="N3385" t="inlineStr">
        <is>
          <t>Esfiharia</t>
        </is>
      </c>
      <c r="O3385" t="n">
        <v>6</v>
      </c>
      <c r="P3385" t="n">
        <v>67</v>
      </c>
      <c r="Q3385" t="n">
        <v>2</v>
      </c>
    </row>
    <row r="3386">
      <c r="J3386" t="inlineStr">
        <is>
          <t>M</t>
        </is>
      </c>
      <c r="K3386" t="n">
        <v>2025</v>
      </c>
      <c r="L3386" t="n">
        <v>8</v>
      </c>
      <c r="M3386" t="inlineStr">
        <is>
          <t>Muçarela Mozzana 2 kg</t>
        </is>
      </c>
      <c r="N3386" t="inlineStr">
        <is>
          <t>Esfiharia</t>
        </is>
      </c>
      <c r="O3386" t="n">
        <v>3</v>
      </c>
      <c r="P3386" t="n">
        <v>8</v>
      </c>
      <c r="Q3386" t="n">
        <v>0</v>
      </c>
    </row>
    <row r="3387">
      <c r="J3387" t="inlineStr">
        <is>
          <t>A</t>
        </is>
      </c>
      <c r="K3387" t="n">
        <v>2025</v>
      </c>
      <c r="L3387" t="n">
        <v>9</v>
      </c>
      <c r="M3387" t="inlineStr">
        <is>
          <t>Muçarela Mozzana 2 kg</t>
        </is>
      </c>
      <c r="N3387" t="inlineStr">
        <is>
          <t>Esfiharia</t>
        </is>
      </c>
      <c r="O3387" t="n">
        <v>6</v>
      </c>
      <c r="P3387" t="n">
        <v>75</v>
      </c>
      <c r="Q3387" t="n">
        <v>2</v>
      </c>
    </row>
    <row r="3388">
      <c r="J3388" t="inlineStr">
        <is>
          <t>M</t>
        </is>
      </c>
      <c r="K3388" t="n">
        <v>2025</v>
      </c>
      <c r="L3388" t="n">
        <v>9</v>
      </c>
      <c r="M3388" t="inlineStr">
        <is>
          <t>Muçarela Mozzana 2 kg</t>
        </is>
      </c>
      <c r="N3388" t="inlineStr">
        <is>
          <t>Esfiharia</t>
        </is>
      </c>
      <c r="O3388" t="n">
        <v>4</v>
      </c>
      <c r="P3388" t="n">
        <v>8</v>
      </c>
      <c r="Q3388" t="n">
        <v>0</v>
      </c>
    </row>
    <row r="3389">
      <c r="J3389" t="inlineStr">
        <is>
          <t>A</t>
        </is>
      </c>
      <c r="K3389" t="n">
        <v>2025</v>
      </c>
      <c r="L3389" t="n">
        <v>10</v>
      </c>
      <c r="M3389" t="inlineStr">
        <is>
          <t>Muçarela Mozzana 2 kg</t>
        </is>
      </c>
      <c r="N3389" t="inlineStr">
        <is>
          <t>Esfiharia</t>
        </is>
      </c>
      <c r="O3389" t="n">
        <v>6</v>
      </c>
      <c r="P3389" t="n">
        <v>88</v>
      </c>
      <c r="Q3389" t="n">
        <v>2</v>
      </c>
    </row>
    <row r="3390">
      <c r="J3390" t="inlineStr">
        <is>
          <t>M</t>
        </is>
      </c>
      <c r="K3390" t="n">
        <v>2025</v>
      </c>
      <c r="L3390" t="n">
        <v>10</v>
      </c>
      <c r="M3390" t="inlineStr">
        <is>
          <t>Muçarela Mozzana 2 kg</t>
        </is>
      </c>
      <c r="N3390" t="inlineStr">
        <is>
          <t>Esfiharia</t>
        </is>
      </c>
      <c r="O3390" t="n">
        <v>5</v>
      </c>
      <c r="P3390" t="n">
        <v>13</v>
      </c>
      <c r="Q3390" t="n">
        <v>0</v>
      </c>
    </row>
    <row r="3391">
      <c r="J3391" t="inlineStr">
        <is>
          <t>A</t>
        </is>
      </c>
      <c r="K3391" t="n">
        <v>2025</v>
      </c>
      <c r="L3391" t="n">
        <v>11</v>
      </c>
      <c r="M3391" t="inlineStr">
        <is>
          <t>Muçarela Mozzana 2 kg</t>
        </is>
      </c>
      <c r="N3391" t="inlineStr">
        <is>
          <t>Esfiharia</t>
        </is>
      </c>
      <c r="O3391" t="n">
        <v>6</v>
      </c>
      <c r="P3391" t="n">
        <v>99</v>
      </c>
      <c r="Q3391" t="n">
        <v>2</v>
      </c>
    </row>
    <row r="3392">
      <c r="J3392" t="inlineStr">
        <is>
          <t>M</t>
        </is>
      </c>
      <c r="K3392" t="n">
        <v>2025</v>
      </c>
      <c r="L3392" t="n">
        <v>11</v>
      </c>
      <c r="M3392" t="inlineStr">
        <is>
          <t>Muçarela Mozzana 2 kg</t>
        </is>
      </c>
      <c r="N3392" t="inlineStr">
        <is>
          <t>Esfiharia</t>
        </is>
      </c>
      <c r="O3392" t="n">
        <v>5</v>
      </c>
      <c r="P3392" t="n">
        <v>11</v>
      </c>
      <c r="Q3392" t="n">
        <v>0</v>
      </c>
    </row>
    <row r="3393">
      <c r="J3393" t="inlineStr">
        <is>
          <t>A</t>
        </is>
      </c>
      <c r="K3393" t="n">
        <v>2025</v>
      </c>
      <c r="L3393" t="n">
        <v>12</v>
      </c>
      <c r="M3393" t="inlineStr">
        <is>
          <t>Muçarela Mozzana 2 kg</t>
        </is>
      </c>
      <c r="N3393" t="inlineStr">
        <is>
          <t>Esfiharia</t>
        </is>
      </c>
      <c r="O3393" t="n">
        <v>6</v>
      </c>
      <c r="P3393" t="n">
        <v>109</v>
      </c>
      <c r="Q3393" t="n">
        <v>2</v>
      </c>
    </row>
    <row r="3394">
      <c r="J3394" t="inlineStr">
        <is>
          <t>M</t>
        </is>
      </c>
      <c r="K3394" t="n">
        <v>2025</v>
      </c>
      <c r="L3394" t="n">
        <v>12</v>
      </c>
      <c r="M3394" t="inlineStr">
        <is>
          <t>Muçarela Mozzana 2 kg</t>
        </is>
      </c>
      <c r="N3394" t="inlineStr">
        <is>
          <t>Esfiharia</t>
        </is>
      </c>
      <c r="O3394" t="n">
        <v>3</v>
      </c>
      <c r="P3394" t="n">
        <v>10</v>
      </c>
      <c r="Q3394" t="n">
        <v>0</v>
      </c>
    </row>
    <row r="3395">
      <c r="J3395" t="inlineStr">
        <is>
          <t>A</t>
        </is>
      </c>
      <c r="K3395" t="n">
        <v>2025</v>
      </c>
      <c r="L3395" t="n">
        <v>1</v>
      </c>
      <c r="M3395" t="inlineStr">
        <is>
          <t>Muçarela Mozzana 2 kg</t>
        </is>
      </c>
      <c r="N3395" t="inlineStr">
        <is>
          <t>Lanchonete / Cafeteria</t>
        </is>
      </c>
      <c r="O3395" t="n">
        <v>4</v>
      </c>
      <c r="P3395" t="n">
        <v>7</v>
      </c>
      <c r="Q3395" t="n">
        <v>0</v>
      </c>
    </row>
    <row r="3396">
      <c r="J3396" t="inlineStr">
        <is>
          <t>M</t>
        </is>
      </c>
      <c r="K3396" t="n">
        <v>2025</v>
      </c>
      <c r="L3396" t="n">
        <v>1</v>
      </c>
      <c r="M3396" t="inlineStr">
        <is>
          <t>Muçarela Mozzana 2 kg</t>
        </is>
      </c>
      <c r="N3396" t="inlineStr">
        <is>
          <t>Lanchonete / Cafeteria</t>
        </is>
      </c>
      <c r="O3396" t="n">
        <v>4</v>
      </c>
      <c r="P3396" t="n">
        <v>7</v>
      </c>
      <c r="Q3396" t="n">
        <v>0</v>
      </c>
    </row>
    <row r="3397">
      <c r="J3397" t="inlineStr">
        <is>
          <t>A</t>
        </is>
      </c>
      <c r="K3397" t="n">
        <v>2025</v>
      </c>
      <c r="L3397" t="n">
        <v>2</v>
      </c>
      <c r="M3397" t="inlineStr">
        <is>
          <t>Muçarela Mozzana 2 kg</t>
        </is>
      </c>
      <c r="N3397" t="inlineStr">
        <is>
          <t>Lanchonete / Cafeteria</t>
        </is>
      </c>
      <c r="O3397" t="n">
        <v>4</v>
      </c>
      <c r="P3397" t="n">
        <v>12</v>
      </c>
      <c r="Q3397" t="n">
        <v>0</v>
      </c>
    </row>
    <row r="3398">
      <c r="J3398" t="inlineStr">
        <is>
          <t>M</t>
        </is>
      </c>
      <c r="K3398" t="n">
        <v>2025</v>
      </c>
      <c r="L3398" t="n">
        <v>2</v>
      </c>
      <c r="M3398" t="inlineStr">
        <is>
          <t>Muçarela Mozzana 2 kg</t>
        </is>
      </c>
      <c r="N3398" t="inlineStr">
        <is>
          <t>Lanchonete / Cafeteria</t>
        </is>
      </c>
      <c r="O3398" t="n">
        <v>3</v>
      </c>
      <c r="P3398" t="n">
        <v>5</v>
      </c>
      <c r="Q3398" t="n">
        <v>0</v>
      </c>
    </row>
    <row r="3399">
      <c r="J3399" t="inlineStr">
        <is>
          <t>A</t>
        </is>
      </c>
      <c r="K3399" t="n">
        <v>2025</v>
      </c>
      <c r="L3399" t="n">
        <v>3</v>
      </c>
      <c r="M3399" t="inlineStr">
        <is>
          <t>Muçarela Mozzana 2 kg</t>
        </is>
      </c>
      <c r="N3399" t="inlineStr">
        <is>
          <t>Lanchonete / Cafeteria</t>
        </is>
      </c>
      <c r="O3399" t="n">
        <v>6</v>
      </c>
      <c r="P3399" t="n">
        <v>19</v>
      </c>
      <c r="Q3399" t="n">
        <v>1</v>
      </c>
    </row>
    <row r="3400">
      <c r="J3400" t="inlineStr">
        <is>
          <t>M</t>
        </is>
      </c>
      <c r="K3400" t="n">
        <v>2025</v>
      </c>
      <c r="L3400" t="n">
        <v>3</v>
      </c>
      <c r="M3400" t="inlineStr">
        <is>
          <t>Muçarela Mozzana 2 kg</t>
        </is>
      </c>
      <c r="N3400" t="inlineStr">
        <is>
          <t>Lanchonete / Cafeteria</t>
        </is>
      </c>
      <c r="O3400" t="n">
        <v>4</v>
      </c>
      <c r="P3400" t="n">
        <v>7</v>
      </c>
      <c r="Q3400" t="n">
        <v>0</v>
      </c>
    </row>
    <row r="3401">
      <c r="J3401" t="inlineStr">
        <is>
          <t>A</t>
        </is>
      </c>
      <c r="K3401" t="n">
        <v>2025</v>
      </c>
      <c r="L3401" t="n">
        <v>4</v>
      </c>
      <c r="M3401" t="inlineStr">
        <is>
          <t>Muçarela Mozzana 2 kg</t>
        </is>
      </c>
      <c r="N3401" t="inlineStr">
        <is>
          <t>Lanchonete / Cafeteria</t>
        </is>
      </c>
      <c r="O3401" t="n">
        <v>8</v>
      </c>
      <c r="P3401" t="n">
        <v>25</v>
      </c>
      <c r="Q3401" t="n">
        <v>3</v>
      </c>
    </row>
    <row r="3402">
      <c r="J3402" t="inlineStr">
        <is>
          <t>M</t>
        </is>
      </c>
      <c r="K3402" t="n">
        <v>2025</v>
      </c>
      <c r="L3402" t="n">
        <v>4</v>
      </c>
      <c r="M3402" t="inlineStr">
        <is>
          <t>Muçarela Mozzana 2 kg</t>
        </is>
      </c>
      <c r="N3402" t="inlineStr">
        <is>
          <t>Lanchonete / Cafeteria</t>
        </is>
      </c>
      <c r="O3402" t="n">
        <v>5</v>
      </c>
      <c r="P3402" t="n">
        <v>6</v>
      </c>
      <c r="Q3402" t="n">
        <v>0</v>
      </c>
    </row>
    <row r="3403">
      <c r="J3403" t="inlineStr">
        <is>
          <t>A</t>
        </is>
      </c>
      <c r="K3403" t="n">
        <v>2025</v>
      </c>
      <c r="L3403" t="n">
        <v>5</v>
      </c>
      <c r="M3403" t="inlineStr">
        <is>
          <t>Muçarela Mozzana 2 kg</t>
        </is>
      </c>
      <c r="N3403" t="inlineStr">
        <is>
          <t>Lanchonete / Cafeteria</t>
        </is>
      </c>
      <c r="O3403" t="n">
        <v>8</v>
      </c>
      <c r="P3403" t="n">
        <v>28</v>
      </c>
      <c r="Q3403" t="n">
        <v>3</v>
      </c>
    </row>
    <row r="3404">
      <c r="J3404" t="inlineStr">
        <is>
          <t>M</t>
        </is>
      </c>
      <c r="K3404" t="n">
        <v>2025</v>
      </c>
      <c r="L3404" t="n">
        <v>5</v>
      </c>
      <c r="M3404" t="inlineStr">
        <is>
          <t>Muçarela Mozzana 2 kg</t>
        </is>
      </c>
      <c r="N3404" t="inlineStr">
        <is>
          <t>Lanchonete / Cafeteria</t>
        </is>
      </c>
      <c r="O3404" t="n">
        <v>2</v>
      </c>
      <c r="P3404" t="n">
        <v>3</v>
      </c>
      <c r="Q3404" t="n">
        <v>0</v>
      </c>
    </row>
    <row r="3405">
      <c r="J3405" t="inlineStr">
        <is>
          <t>A</t>
        </is>
      </c>
      <c r="K3405" t="n">
        <v>2025</v>
      </c>
      <c r="L3405" t="n">
        <v>6</v>
      </c>
      <c r="M3405" t="inlineStr">
        <is>
          <t>Muçarela Mozzana 2 kg</t>
        </is>
      </c>
      <c r="N3405" t="inlineStr">
        <is>
          <t>Lanchonete / Cafeteria</t>
        </is>
      </c>
      <c r="O3405" t="n">
        <v>8</v>
      </c>
      <c r="P3405" t="n">
        <v>34</v>
      </c>
      <c r="Q3405" t="n">
        <v>3</v>
      </c>
    </row>
    <row r="3406">
      <c r="J3406" t="inlineStr">
        <is>
          <t>M</t>
        </is>
      </c>
      <c r="K3406" t="n">
        <v>2025</v>
      </c>
      <c r="L3406" t="n">
        <v>6</v>
      </c>
      <c r="M3406" t="inlineStr">
        <is>
          <t>Muçarela Mozzana 2 kg</t>
        </is>
      </c>
      <c r="N3406" t="inlineStr">
        <is>
          <t>Lanchonete / Cafeteria</t>
        </is>
      </c>
      <c r="O3406" t="n">
        <v>3</v>
      </c>
      <c r="P3406" t="n">
        <v>6</v>
      </c>
      <c r="Q3406" t="n">
        <v>0</v>
      </c>
    </row>
    <row r="3407">
      <c r="J3407" t="inlineStr">
        <is>
          <t>A</t>
        </is>
      </c>
      <c r="K3407" t="n">
        <v>2025</v>
      </c>
      <c r="L3407" t="n">
        <v>7</v>
      </c>
      <c r="M3407" t="inlineStr">
        <is>
          <t>Muçarela Mozzana 2 kg</t>
        </is>
      </c>
      <c r="N3407" t="inlineStr">
        <is>
          <t>Lanchonete / Cafeteria</t>
        </is>
      </c>
      <c r="O3407" t="n">
        <v>9</v>
      </c>
      <c r="P3407" t="n">
        <v>39</v>
      </c>
      <c r="Q3407" t="n">
        <v>3</v>
      </c>
    </row>
    <row r="3408">
      <c r="J3408" t="inlineStr">
        <is>
          <t>M</t>
        </is>
      </c>
      <c r="K3408" t="n">
        <v>2025</v>
      </c>
      <c r="L3408" t="n">
        <v>7</v>
      </c>
      <c r="M3408" t="inlineStr">
        <is>
          <t>Muçarela Mozzana 2 kg</t>
        </is>
      </c>
      <c r="N3408" t="inlineStr">
        <is>
          <t>Lanchonete / Cafeteria</t>
        </is>
      </c>
      <c r="O3408" t="n">
        <v>4</v>
      </c>
      <c r="P3408" t="n">
        <v>5</v>
      </c>
      <c r="Q3408" t="n">
        <v>0</v>
      </c>
    </row>
    <row r="3409">
      <c r="J3409" t="inlineStr">
        <is>
          <t>A</t>
        </is>
      </c>
      <c r="K3409" t="n">
        <v>2025</v>
      </c>
      <c r="L3409" t="n">
        <v>8</v>
      </c>
      <c r="M3409" t="inlineStr">
        <is>
          <t>Muçarela Mozzana 2 kg</t>
        </is>
      </c>
      <c r="N3409" t="inlineStr">
        <is>
          <t>Lanchonete / Cafeteria</t>
        </is>
      </c>
      <c r="O3409" t="n">
        <v>9</v>
      </c>
      <c r="P3409" t="n">
        <v>42</v>
      </c>
      <c r="Q3409" t="n">
        <v>3</v>
      </c>
    </row>
    <row r="3410">
      <c r="J3410" t="inlineStr">
        <is>
          <t>M</t>
        </is>
      </c>
      <c r="K3410" t="n">
        <v>2025</v>
      </c>
      <c r="L3410" t="n">
        <v>8</v>
      </c>
      <c r="M3410" t="inlineStr">
        <is>
          <t>Muçarela Mozzana 2 kg</t>
        </is>
      </c>
      <c r="N3410" t="inlineStr">
        <is>
          <t>Lanchonete / Cafeteria</t>
        </is>
      </c>
      <c r="O3410" t="n">
        <v>1</v>
      </c>
      <c r="P3410" t="n">
        <v>3</v>
      </c>
      <c r="Q3410" t="n">
        <v>0</v>
      </c>
    </row>
    <row r="3411">
      <c r="J3411" t="inlineStr">
        <is>
          <t>A</t>
        </is>
      </c>
      <c r="K3411" t="n">
        <v>2025</v>
      </c>
      <c r="L3411" t="n">
        <v>9</v>
      </c>
      <c r="M3411" t="inlineStr">
        <is>
          <t>Muçarela Mozzana 2 kg</t>
        </is>
      </c>
      <c r="N3411" t="inlineStr">
        <is>
          <t>Lanchonete / Cafeteria</t>
        </is>
      </c>
      <c r="O3411" t="n">
        <v>10</v>
      </c>
      <c r="P3411" t="n">
        <v>46</v>
      </c>
      <c r="Q3411" t="n">
        <v>4</v>
      </c>
    </row>
    <row r="3412">
      <c r="J3412" t="inlineStr">
        <is>
          <t>M</t>
        </is>
      </c>
      <c r="K3412" t="n">
        <v>2025</v>
      </c>
      <c r="L3412" t="n">
        <v>9</v>
      </c>
      <c r="M3412" t="inlineStr">
        <is>
          <t>Muçarela Mozzana 2 kg</t>
        </is>
      </c>
      <c r="N3412" t="inlineStr">
        <is>
          <t>Lanchonete / Cafeteria</t>
        </is>
      </c>
      <c r="O3412" t="n">
        <v>3</v>
      </c>
      <c r="P3412" t="n">
        <v>4</v>
      </c>
      <c r="Q3412" t="n">
        <v>0</v>
      </c>
    </row>
    <row r="3413">
      <c r="J3413" t="inlineStr">
        <is>
          <t>A</t>
        </is>
      </c>
      <c r="K3413" t="n">
        <v>2025</v>
      </c>
      <c r="L3413" t="n">
        <v>10</v>
      </c>
      <c r="M3413" t="inlineStr">
        <is>
          <t>Muçarela Mozzana 2 kg</t>
        </is>
      </c>
      <c r="N3413" t="inlineStr">
        <is>
          <t>Lanchonete / Cafeteria</t>
        </is>
      </c>
      <c r="O3413" t="n">
        <v>10</v>
      </c>
      <c r="P3413" t="n">
        <v>49</v>
      </c>
      <c r="Q3413" t="n">
        <v>4</v>
      </c>
    </row>
    <row r="3414">
      <c r="J3414" t="inlineStr">
        <is>
          <t>M</t>
        </is>
      </c>
      <c r="K3414" t="n">
        <v>2025</v>
      </c>
      <c r="L3414" t="n">
        <v>10</v>
      </c>
      <c r="M3414" t="inlineStr">
        <is>
          <t>Muçarela Mozzana 2 kg</t>
        </is>
      </c>
      <c r="N3414" t="inlineStr">
        <is>
          <t>Lanchonete / Cafeteria</t>
        </is>
      </c>
      <c r="O3414" t="n">
        <v>2</v>
      </c>
      <c r="P3414" t="n">
        <v>3</v>
      </c>
      <c r="Q3414" t="n">
        <v>0</v>
      </c>
    </row>
    <row r="3415">
      <c r="J3415" t="inlineStr">
        <is>
          <t>A</t>
        </is>
      </c>
      <c r="K3415" t="n">
        <v>2025</v>
      </c>
      <c r="L3415" t="n">
        <v>11</v>
      </c>
      <c r="M3415" t="inlineStr">
        <is>
          <t>Muçarela Mozzana 2 kg</t>
        </is>
      </c>
      <c r="N3415" t="inlineStr">
        <is>
          <t>Lanchonete / Cafeteria</t>
        </is>
      </c>
      <c r="O3415" t="n">
        <v>10</v>
      </c>
      <c r="P3415" t="n">
        <v>51</v>
      </c>
      <c r="Q3415" t="n">
        <v>4</v>
      </c>
    </row>
    <row r="3416">
      <c r="J3416" t="inlineStr">
        <is>
          <t>M</t>
        </is>
      </c>
      <c r="K3416" t="n">
        <v>2025</v>
      </c>
      <c r="L3416" t="n">
        <v>11</v>
      </c>
      <c r="M3416" t="inlineStr">
        <is>
          <t>Muçarela Mozzana 2 kg</t>
        </is>
      </c>
      <c r="N3416" t="inlineStr">
        <is>
          <t>Lanchonete / Cafeteria</t>
        </is>
      </c>
      <c r="O3416" t="n">
        <v>1</v>
      </c>
      <c r="P3416" t="n">
        <v>2</v>
      </c>
      <c r="Q3416" t="n">
        <v>0</v>
      </c>
    </row>
    <row r="3417">
      <c r="J3417" t="inlineStr">
        <is>
          <t>A</t>
        </is>
      </c>
      <c r="K3417" t="n">
        <v>2025</v>
      </c>
      <c r="L3417" t="n">
        <v>12</v>
      </c>
      <c r="M3417" t="inlineStr">
        <is>
          <t>Muçarela Mozzana 2 kg</t>
        </is>
      </c>
      <c r="N3417" t="inlineStr">
        <is>
          <t>Lanchonete / Cafeteria</t>
        </is>
      </c>
      <c r="O3417" t="n">
        <v>11</v>
      </c>
      <c r="P3417" t="n">
        <v>55</v>
      </c>
      <c r="Q3417" t="n">
        <v>5</v>
      </c>
    </row>
    <row r="3418">
      <c r="J3418" t="inlineStr">
        <is>
          <t>M</t>
        </is>
      </c>
      <c r="K3418" t="n">
        <v>2025</v>
      </c>
      <c r="L3418" t="n">
        <v>12</v>
      </c>
      <c r="M3418" t="inlineStr">
        <is>
          <t>Muçarela Mozzana 2 kg</t>
        </is>
      </c>
      <c r="N3418" t="inlineStr">
        <is>
          <t>Lanchonete / Cafeteria</t>
        </is>
      </c>
      <c r="O3418" t="n">
        <v>2</v>
      </c>
      <c r="P3418" t="n">
        <v>4</v>
      </c>
      <c r="Q3418" t="n">
        <v>0</v>
      </c>
    </row>
    <row r="3419">
      <c r="J3419" t="inlineStr">
        <is>
          <t>A</t>
        </is>
      </c>
      <c r="K3419" t="n">
        <v>2025</v>
      </c>
      <c r="L3419" t="n">
        <v>1</v>
      </c>
      <c r="M3419" t="inlineStr">
        <is>
          <t>Muçarela Mozzana 2 kg</t>
        </is>
      </c>
      <c r="N3419" t="inlineStr">
        <is>
          <t>Padaria</t>
        </is>
      </c>
      <c r="O3419" t="n">
        <v>6</v>
      </c>
      <c r="P3419" t="n">
        <v>9</v>
      </c>
      <c r="Q3419" t="n">
        <v>1</v>
      </c>
    </row>
    <row r="3420">
      <c r="J3420" t="inlineStr">
        <is>
          <t>M</t>
        </is>
      </c>
      <c r="K3420" t="n">
        <v>2025</v>
      </c>
      <c r="L3420" t="n">
        <v>1</v>
      </c>
      <c r="M3420" t="inlineStr">
        <is>
          <t>Muçarela Mozzana 2 kg</t>
        </is>
      </c>
      <c r="N3420" t="inlineStr">
        <is>
          <t>Padaria</t>
        </is>
      </c>
      <c r="O3420" t="n">
        <v>6</v>
      </c>
      <c r="P3420" t="n">
        <v>9</v>
      </c>
      <c r="Q3420" t="n">
        <v>0</v>
      </c>
    </row>
    <row r="3421">
      <c r="J3421" t="inlineStr">
        <is>
          <t>A</t>
        </is>
      </c>
      <c r="K3421" t="n">
        <v>2025</v>
      </c>
      <c r="L3421" t="n">
        <v>2</v>
      </c>
      <c r="M3421" t="inlineStr">
        <is>
          <t>Muçarela Mozzana 2 kg</t>
        </is>
      </c>
      <c r="N3421" t="inlineStr">
        <is>
          <t>Padaria</t>
        </is>
      </c>
      <c r="O3421" t="n">
        <v>7</v>
      </c>
      <c r="P3421" t="n">
        <v>20</v>
      </c>
      <c r="Q3421" t="n">
        <v>1</v>
      </c>
    </row>
    <row r="3422">
      <c r="J3422" t="inlineStr">
        <is>
          <t>M</t>
        </is>
      </c>
      <c r="K3422" t="n">
        <v>2025</v>
      </c>
      <c r="L3422" t="n">
        <v>2</v>
      </c>
      <c r="M3422" t="inlineStr">
        <is>
          <t>Muçarela Mozzana 2 kg</t>
        </is>
      </c>
      <c r="N3422" t="inlineStr">
        <is>
          <t>Padaria</t>
        </is>
      </c>
      <c r="O3422" t="n">
        <v>5</v>
      </c>
      <c r="P3422" t="n">
        <v>11</v>
      </c>
      <c r="Q3422" t="n">
        <v>0</v>
      </c>
    </row>
    <row r="3423">
      <c r="J3423" t="inlineStr">
        <is>
          <t>A</t>
        </is>
      </c>
      <c r="K3423" t="n">
        <v>2025</v>
      </c>
      <c r="L3423" t="n">
        <v>3</v>
      </c>
      <c r="M3423" t="inlineStr">
        <is>
          <t>Muçarela Mozzana 2 kg</t>
        </is>
      </c>
      <c r="N3423" t="inlineStr">
        <is>
          <t>Padaria</t>
        </is>
      </c>
      <c r="O3423" t="n">
        <v>8</v>
      </c>
      <c r="P3423" t="n">
        <v>32</v>
      </c>
      <c r="Q3423" t="n">
        <v>1</v>
      </c>
    </row>
    <row r="3424">
      <c r="J3424" t="inlineStr">
        <is>
          <t>M</t>
        </is>
      </c>
      <c r="K3424" t="n">
        <v>2025</v>
      </c>
      <c r="L3424" t="n">
        <v>3</v>
      </c>
      <c r="M3424" t="inlineStr">
        <is>
          <t>Muçarela Mozzana 2 kg</t>
        </is>
      </c>
      <c r="N3424" t="inlineStr">
        <is>
          <t>Padaria</t>
        </is>
      </c>
      <c r="O3424" t="n">
        <v>7</v>
      </c>
      <c r="P3424" t="n">
        <v>12</v>
      </c>
      <c r="Q3424" t="n">
        <v>0</v>
      </c>
    </row>
    <row r="3425">
      <c r="J3425" t="inlineStr">
        <is>
          <t>A</t>
        </is>
      </c>
      <c r="K3425" t="n">
        <v>2025</v>
      </c>
      <c r="L3425" t="n">
        <v>4</v>
      </c>
      <c r="M3425" t="inlineStr">
        <is>
          <t>Muçarela Mozzana 2 kg</t>
        </is>
      </c>
      <c r="N3425" t="inlineStr">
        <is>
          <t>Padaria</t>
        </is>
      </c>
      <c r="O3425" t="n">
        <v>9</v>
      </c>
      <c r="P3425" t="n">
        <v>46</v>
      </c>
      <c r="Q3425" t="n">
        <v>1</v>
      </c>
    </row>
    <row r="3426">
      <c r="J3426" t="inlineStr">
        <is>
          <t>M</t>
        </is>
      </c>
      <c r="K3426" t="n">
        <v>2025</v>
      </c>
      <c r="L3426" t="n">
        <v>4</v>
      </c>
      <c r="M3426" t="inlineStr">
        <is>
          <t>Muçarela Mozzana 2 kg</t>
        </is>
      </c>
      <c r="N3426" t="inlineStr">
        <is>
          <t>Padaria</t>
        </is>
      </c>
      <c r="O3426" t="n">
        <v>7</v>
      </c>
      <c r="P3426" t="n">
        <v>14</v>
      </c>
      <c r="Q3426" t="n">
        <v>0</v>
      </c>
    </row>
    <row r="3427">
      <c r="J3427" t="inlineStr">
        <is>
          <t>A</t>
        </is>
      </c>
      <c r="K3427" t="n">
        <v>2025</v>
      </c>
      <c r="L3427" t="n">
        <v>5</v>
      </c>
      <c r="M3427" t="inlineStr">
        <is>
          <t>Muçarela Mozzana 2 kg</t>
        </is>
      </c>
      <c r="N3427" t="inlineStr">
        <is>
          <t>Padaria</t>
        </is>
      </c>
      <c r="O3427" t="n">
        <v>10</v>
      </c>
      <c r="P3427" t="n">
        <v>51</v>
      </c>
      <c r="Q3427" t="n">
        <v>2</v>
      </c>
    </row>
    <row r="3428">
      <c r="J3428" t="inlineStr">
        <is>
          <t>M</t>
        </is>
      </c>
      <c r="K3428" t="n">
        <v>2025</v>
      </c>
      <c r="L3428" t="n">
        <v>5</v>
      </c>
      <c r="M3428" t="inlineStr">
        <is>
          <t>Muçarela Mozzana 2 kg</t>
        </is>
      </c>
      <c r="N3428" t="inlineStr">
        <is>
          <t>Padaria</t>
        </is>
      </c>
      <c r="O3428" t="n">
        <v>3</v>
      </c>
      <c r="P3428" t="n">
        <v>5</v>
      </c>
      <c r="Q3428" t="n">
        <v>0</v>
      </c>
    </row>
    <row r="3429">
      <c r="J3429" t="inlineStr">
        <is>
          <t>A</t>
        </is>
      </c>
      <c r="K3429" t="n">
        <v>2025</v>
      </c>
      <c r="L3429" t="n">
        <v>6</v>
      </c>
      <c r="M3429" t="inlineStr">
        <is>
          <t>Muçarela Mozzana 2 kg</t>
        </is>
      </c>
      <c r="N3429" t="inlineStr">
        <is>
          <t>Padaria</t>
        </is>
      </c>
      <c r="O3429" t="n">
        <v>10</v>
      </c>
      <c r="P3429" t="n">
        <v>56</v>
      </c>
      <c r="Q3429" t="n">
        <v>2</v>
      </c>
    </row>
    <row r="3430">
      <c r="J3430" t="inlineStr">
        <is>
          <t>M</t>
        </is>
      </c>
      <c r="K3430" t="n">
        <v>2025</v>
      </c>
      <c r="L3430" t="n">
        <v>6</v>
      </c>
      <c r="M3430" t="inlineStr">
        <is>
          <t>Muçarela Mozzana 2 kg</t>
        </is>
      </c>
      <c r="N3430" t="inlineStr">
        <is>
          <t>Padaria</t>
        </is>
      </c>
      <c r="O3430" t="n">
        <v>3</v>
      </c>
      <c r="P3430" t="n">
        <v>5</v>
      </c>
      <c r="Q3430" t="n">
        <v>0</v>
      </c>
    </row>
    <row r="3431">
      <c r="J3431" t="inlineStr">
        <is>
          <t>A</t>
        </is>
      </c>
      <c r="K3431" t="n">
        <v>2025</v>
      </c>
      <c r="L3431" t="n">
        <v>7</v>
      </c>
      <c r="M3431" t="inlineStr">
        <is>
          <t>Muçarela Mozzana 2 kg</t>
        </is>
      </c>
      <c r="N3431" t="inlineStr">
        <is>
          <t>Padaria</t>
        </is>
      </c>
      <c r="O3431" t="n">
        <v>10</v>
      </c>
      <c r="P3431" t="n">
        <v>60</v>
      </c>
      <c r="Q3431" t="n">
        <v>2</v>
      </c>
    </row>
    <row r="3432">
      <c r="J3432" t="inlineStr">
        <is>
          <t>M</t>
        </is>
      </c>
      <c r="K3432" t="n">
        <v>2025</v>
      </c>
      <c r="L3432" t="n">
        <v>7</v>
      </c>
      <c r="M3432" t="inlineStr">
        <is>
          <t>Muçarela Mozzana 2 kg</t>
        </is>
      </c>
      <c r="N3432" t="inlineStr">
        <is>
          <t>Padaria</t>
        </is>
      </c>
      <c r="O3432" t="n">
        <v>3</v>
      </c>
      <c r="P3432" t="n">
        <v>4</v>
      </c>
      <c r="Q3432" t="n">
        <v>0</v>
      </c>
    </row>
    <row r="3433">
      <c r="J3433" t="inlineStr">
        <is>
          <t>A</t>
        </is>
      </c>
      <c r="K3433" t="n">
        <v>2025</v>
      </c>
      <c r="L3433" t="n">
        <v>8</v>
      </c>
      <c r="M3433" t="inlineStr">
        <is>
          <t>Muçarela Mozzana 2 kg</t>
        </is>
      </c>
      <c r="N3433" t="inlineStr">
        <is>
          <t>Padaria</t>
        </is>
      </c>
      <c r="O3433" t="n">
        <v>10</v>
      </c>
      <c r="P3433" t="n">
        <v>66</v>
      </c>
      <c r="Q3433" t="n">
        <v>2</v>
      </c>
    </row>
    <row r="3434">
      <c r="J3434" t="inlineStr">
        <is>
          <t>M</t>
        </is>
      </c>
      <c r="K3434" t="n">
        <v>2025</v>
      </c>
      <c r="L3434" t="n">
        <v>8</v>
      </c>
      <c r="M3434" t="inlineStr">
        <is>
          <t>Muçarela Mozzana 2 kg</t>
        </is>
      </c>
      <c r="N3434" t="inlineStr">
        <is>
          <t>Padaria</t>
        </is>
      </c>
      <c r="O3434" t="n">
        <v>3</v>
      </c>
      <c r="P3434" t="n">
        <v>6</v>
      </c>
      <c r="Q3434" t="n">
        <v>0</v>
      </c>
    </row>
    <row r="3435">
      <c r="J3435" t="inlineStr">
        <is>
          <t>A</t>
        </is>
      </c>
      <c r="K3435" t="n">
        <v>2025</v>
      </c>
      <c r="L3435" t="n">
        <v>9</v>
      </c>
      <c r="M3435" t="inlineStr">
        <is>
          <t>Muçarela Mozzana 2 kg</t>
        </is>
      </c>
      <c r="N3435" t="inlineStr">
        <is>
          <t>Padaria</t>
        </is>
      </c>
      <c r="O3435" t="n">
        <v>11</v>
      </c>
      <c r="P3435" t="n">
        <v>74</v>
      </c>
      <c r="Q3435" t="n">
        <v>3</v>
      </c>
    </row>
    <row r="3436">
      <c r="J3436" t="inlineStr">
        <is>
          <t>M</t>
        </is>
      </c>
      <c r="K3436" t="n">
        <v>2025</v>
      </c>
      <c r="L3436" t="n">
        <v>9</v>
      </c>
      <c r="M3436" t="inlineStr">
        <is>
          <t>Muçarela Mozzana 2 kg</t>
        </is>
      </c>
      <c r="N3436" t="inlineStr">
        <is>
          <t>Padaria</t>
        </is>
      </c>
      <c r="O3436" t="n">
        <v>4</v>
      </c>
      <c r="P3436" t="n">
        <v>8</v>
      </c>
      <c r="Q3436" t="n">
        <v>0</v>
      </c>
    </row>
    <row r="3437">
      <c r="J3437" t="inlineStr">
        <is>
          <t>A</t>
        </is>
      </c>
      <c r="K3437" t="n">
        <v>2025</v>
      </c>
      <c r="L3437" t="n">
        <v>10</v>
      </c>
      <c r="M3437" t="inlineStr">
        <is>
          <t>Muçarela Mozzana 2 kg</t>
        </is>
      </c>
      <c r="N3437" t="inlineStr">
        <is>
          <t>Padaria</t>
        </is>
      </c>
      <c r="O3437" t="n">
        <v>12</v>
      </c>
      <c r="P3437" t="n">
        <v>80</v>
      </c>
      <c r="Q3437" t="n">
        <v>4</v>
      </c>
    </row>
    <row r="3438">
      <c r="J3438" t="inlineStr">
        <is>
          <t>M</t>
        </is>
      </c>
      <c r="K3438" t="n">
        <v>2025</v>
      </c>
      <c r="L3438" t="n">
        <v>10</v>
      </c>
      <c r="M3438" t="inlineStr">
        <is>
          <t>Muçarela Mozzana 2 kg</t>
        </is>
      </c>
      <c r="N3438" t="inlineStr">
        <is>
          <t>Padaria</t>
        </is>
      </c>
      <c r="O3438" t="n">
        <v>5</v>
      </c>
      <c r="P3438" t="n">
        <v>6</v>
      </c>
      <c r="Q3438" t="n">
        <v>0</v>
      </c>
    </row>
    <row r="3439">
      <c r="J3439" t="inlineStr">
        <is>
          <t>A</t>
        </is>
      </c>
      <c r="K3439" t="n">
        <v>2025</v>
      </c>
      <c r="L3439" t="n">
        <v>11</v>
      </c>
      <c r="M3439" t="inlineStr">
        <is>
          <t>Muçarela Mozzana 2 kg</t>
        </is>
      </c>
      <c r="N3439" t="inlineStr">
        <is>
          <t>Padaria</t>
        </is>
      </c>
      <c r="O3439" t="n">
        <v>13</v>
      </c>
      <c r="P3439" t="n">
        <v>88</v>
      </c>
      <c r="Q3439" t="n">
        <v>5</v>
      </c>
    </row>
    <row r="3440">
      <c r="J3440" t="inlineStr">
        <is>
          <t>M</t>
        </is>
      </c>
      <c r="K3440" t="n">
        <v>2025</v>
      </c>
      <c r="L3440" t="n">
        <v>11</v>
      </c>
      <c r="M3440" t="inlineStr">
        <is>
          <t>Muçarela Mozzana 2 kg</t>
        </is>
      </c>
      <c r="N3440" t="inlineStr">
        <is>
          <t>Padaria</t>
        </is>
      </c>
      <c r="O3440" t="n">
        <v>5</v>
      </c>
      <c r="P3440" t="n">
        <v>8</v>
      </c>
      <c r="Q3440" t="n">
        <v>0</v>
      </c>
    </row>
    <row r="3441">
      <c r="J3441" t="inlineStr">
        <is>
          <t>A</t>
        </is>
      </c>
      <c r="K3441" t="n">
        <v>2025</v>
      </c>
      <c r="L3441" t="n">
        <v>12</v>
      </c>
      <c r="M3441" t="inlineStr">
        <is>
          <t>Muçarela Mozzana 2 kg</t>
        </is>
      </c>
      <c r="N3441" t="inlineStr">
        <is>
          <t>Padaria</t>
        </is>
      </c>
      <c r="O3441" t="n">
        <v>13</v>
      </c>
      <c r="P3441" t="n">
        <v>93</v>
      </c>
      <c r="Q3441" t="n">
        <v>5</v>
      </c>
    </row>
    <row r="3442">
      <c r="J3442" t="inlineStr">
        <is>
          <t>M</t>
        </is>
      </c>
      <c r="K3442" t="n">
        <v>2025</v>
      </c>
      <c r="L3442" t="n">
        <v>12</v>
      </c>
      <c r="M3442" t="inlineStr">
        <is>
          <t>Muçarela Mozzana 2 kg</t>
        </is>
      </c>
      <c r="N3442" t="inlineStr">
        <is>
          <t>Padaria</t>
        </is>
      </c>
      <c r="O3442" t="n">
        <v>3</v>
      </c>
      <c r="P3442" t="n">
        <v>5</v>
      </c>
      <c r="Q3442" t="n">
        <v>0</v>
      </c>
    </row>
    <row r="3443">
      <c r="J3443" t="inlineStr">
        <is>
          <t>A</t>
        </is>
      </c>
      <c r="K3443" t="n">
        <v>2025</v>
      </c>
      <c r="L3443" t="n">
        <v>1</v>
      </c>
      <c r="M3443" t="inlineStr">
        <is>
          <t>Muçarela Mozzana 2 kg</t>
        </is>
      </c>
      <c r="N3443" t="inlineStr">
        <is>
          <t>Supermercado</t>
        </is>
      </c>
      <c r="O3443" t="n">
        <v>3</v>
      </c>
      <c r="P3443" t="n">
        <v>10</v>
      </c>
      <c r="Q3443" t="n">
        <v>0</v>
      </c>
    </row>
    <row r="3444">
      <c r="J3444" t="inlineStr">
        <is>
          <t>M</t>
        </is>
      </c>
      <c r="K3444" t="n">
        <v>2025</v>
      </c>
      <c r="L3444" t="n">
        <v>1</v>
      </c>
      <c r="M3444" t="inlineStr">
        <is>
          <t>Muçarela Mozzana 2 kg</t>
        </is>
      </c>
      <c r="N3444" t="inlineStr">
        <is>
          <t>Supermercado</t>
        </is>
      </c>
      <c r="O3444" t="n">
        <v>3</v>
      </c>
      <c r="P3444" t="n">
        <v>10</v>
      </c>
      <c r="Q3444" t="n">
        <v>0</v>
      </c>
    </row>
    <row r="3445">
      <c r="J3445" t="inlineStr">
        <is>
          <t>A</t>
        </is>
      </c>
      <c r="K3445" t="n">
        <v>2025</v>
      </c>
      <c r="L3445" t="n">
        <v>2</v>
      </c>
      <c r="M3445" t="inlineStr">
        <is>
          <t>Muçarela Mozzana 2 kg</t>
        </is>
      </c>
      <c r="N3445" t="inlineStr">
        <is>
          <t>Supermercado</t>
        </is>
      </c>
      <c r="O3445" t="n">
        <v>3</v>
      </c>
      <c r="P3445" t="n">
        <v>22</v>
      </c>
      <c r="Q3445" t="n">
        <v>0</v>
      </c>
    </row>
    <row r="3446">
      <c r="J3446" t="inlineStr">
        <is>
          <t>M</t>
        </is>
      </c>
      <c r="K3446" t="n">
        <v>2025</v>
      </c>
      <c r="L3446" t="n">
        <v>2</v>
      </c>
      <c r="M3446" t="inlineStr">
        <is>
          <t>Muçarela Mozzana 2 kg</t>
        </is>
      </c>
      <c r="N3446" t="inlineStr">
        <is>
          <t>Supermercado</t>
        </is>
      </c>
      <c r="O3446" t="n">
        <v>2</v>
      </c>
      <c r="P3446" t="n">
        <v>12</v>
      </c>
      <c r="Q3446" t="n">
        <v>0</v>
      </c>
    </row>
    <row r="3447">
      <c r="J3447" t="inlineStr">
        <is>
          <t>A</t>
        </is>
      </c>
      <c r="K3447" t="n">
        <v>2025</v>
      </c>
      <c r="L3447" t="n">
        <v>3</v>
      </c>
      <c r="M3447" t="inlineStr">
        <is>
          <t>Muçarela Mozzana 2 kg</t>
        </is>
      </c>
      <c r="N3447" t="inlineStr">
        <is>
          <t>Supermercado</t>
        </is>
      </c>
      <c r="O3447" t="n">
        <v>4</v>
      </c>
      <c r="P3447" t="n">
        <v>36</v>
      </c>
      <c r="Q3447" t="n">
        <v>1</v>
      </c>
    </row>
    <row r="3448">
      <c r="J3448" t="inlineStr">
        <is>
          <t>M</t>
        </is>
      </c>
      <c r="K3448" t="n">
        <v>2025</v>
      </c>
      <c r="L3448" t="n">
        <v>3</v>
      </c>
      <c r="M3448" t="inlineStr">
        <is>
          <t>Muçarela Mozzana 2 kg</t>
        </is>
      </c>
      <c r="N3448" t="inlineStr">
        <is>
          <t>Supermercado</t>
        </is>
      </c>
      <c r="O3448" t="n">
        <v>4</v>
      </c>
      <c r="P3448" t="n">
        <v>14</v>
      </c>
      <c r="Q3448" t="n">
        <v>0</v>
      </c>
    </row>
    <row r="3449">
      <c r="J3449" t="inlineStr">
        <is>
          <t>A</t>
        </is>
      </c>
      <c r="K3449" t="n">
        <v>2025</v>
      </c>
      <c r="L3449" t="n">
        <v>4</v>
      </c>
      <c r="M3449" t="inlineStr">
        <is>
          <t>Muçarela Mozzana 2 kg</t>
        </is>
      </c>
      <c r="N3449" t="inlineStr">
        <is>
          <t>Supermercado</t>
        </is>
      </c>
      <c r="O3449" t="n">
        <v>5</v>
      </c>
      <c r="P3449" t="n">
        <v>43</v>
      </c>
      <c r="Q3449" t="n">
        <v>2</v>
      </c>
    </row>
    <row r="3450">
      <c r="J3450" t="inlineStr">
        <is>
          <t>M</t>
        </is>
      </c>
      <c r="K3450" t="n">
        <v>2025</v>
      </c>
      <c r="L3450" t="n">
        <v>4</v>
      </c>
      <c r="M3450" t="inlineStr">
        <is>
          <t>Muçarela Mozzana 2 kg</t>
        </is>
      </c>
      <c r="N3450" t="inlineStr">
        <is>
          <t>Supermercado</t>
        </is>
      </c>
      <c r="O3450" t="n">
        <v>3</v>
      </c>
      <c r="P3450" t="n">
        <v>7</v>
      </c>
      <c r="Q3450" t="n">
        <v>0</v>
      </c>
    </row>
    <row r="3451">
      <c r="J3451" t="inlineStr">
        <is>
          <t>A</t>
        </is>
      </c>
      <c r="K3451" t="n">
        <v>2025</v>
      </c>
      <c r="L3451" t="n">
        <v>5</v>
      </c>
      <c r="M3451" t="inlineStr">
        <is>
          <t>Muçarela Mozzana 2 kg</t>
        </is>
      </c>
      <c r="N3451" t="inlineStr">
        <is>
          <t>Supermercado</t>
        </is>
      </c>
      <c r="O3451" t="n">
        <v>5</v>
      </c>
      <c r="P3451" t="n">
        <v>48</v>
      </c>
      <c r="Q3451" t="n">
        <v>2</v>
      </c>
    </row>
    <row r="3452">
      <c r="J3452" t="inlineStr">
        <is>
          <t>M</t>
        </is>
      </c>
      <c r="K3452" t="n">
        <v>2025</v>
      </c>
      <c r="L3452" t="n">
        <v>5</v>
      </c>
      <c r="M3452" t="inlineStr">
        <is>
          <t>Muçarela Mozzana 2 kg</t>
        </is>
      </c>
      <c r="N3452" t="inlineStr">
        <is>
          <t>Supermercado</t>
        </is>
      </c>
      <c r="O3452" t="n">
        <v>2</v>
      </c>
      <c r="P3452" t="n">
        <v>5</v>
      </c>
      <c r="Q3452" t="n">
        <v>0</v>
      </c>
    </row>
    <row r="3453">
      <c r="J3453" t="inlineStr">
        <is>
          <t>A</t>
        </is>
      </c>
      <c r="K3453" t="n">
        <v>2025</v>
      </c>
      <c r="L3453" t="n">
        <v>6</v>
      </c>
      <c r="M3453" t="inlineStr">
        <is>
          <t>Muçarela Mozzana 2 kg</t>
        </is>
      </c>
      <c r="N3453" t="inlineStr">
        <is>
          <t>Supermercado</t>
        </is>
      </c>
      <c r="O3453" t="n">
        <v>5</v>
      </c>
      <c r="P3453" t="n">
        <v>57</v>
      </c>
      <c r="Q3453" t="n">
        <v>2</v>
      </c>
    </row>
    <row r="3454">
      <c r="J3454" t="inlineStr">
        <is>
          <t>M</t>
        </is>
      </c>
      <c r="K3454" t="n">
        <v>2025</v>
      </c>
      <c r="L3454" t="n">
        <v>6</v>
      </c>
      <c r="M3454" t="inlineStr">
        <is>
          <t>Muçarela Mozzana 2 kg</t>
        </is>
      </c>
      <c r="N3454" t="inlineStr">
        <is>
          <t>Supermercado</t>
        </is>
      </c>
      <c r="O3454" t="n">
        <v>3</v>
      </c>
      <c r="P3454" t="n">
        <v>9</v>
      </c>
      <c r="Q3454" t="n">
        <v>0</v>
      </c>
    </row>
    <row r="3455">
      <c r="J3455" t="inlineStr">
        <is>
          <t>A</t>
        </is>
      </c>
      <c r="K3455" t="n">
        <v>2025</v>
      </c>
      <c r="L3455" t="n">
        <v>7</v>
      </c>
      <c r="M3455" t="inlineStr">
        <is>
          <t>Muçarela Mozzana 2 kg</t>
        </is>
      </c>
      <c r="N3455" t="inlineStr">
        <is>
          <t>Supermercado</t>
        </is>
      </c>
      <c r="O3455" t="n">
        <v>5</v>
      </c>
      <c r="P3455" t="n">
        <v>67</v>
      </c>
      <c r="Q3455" t="n">
        <v>2</v>
      </c>
    </row>
    <row r="3456">
      <c r="J3456" t="inlineStr">
        <is>
          <t>M</t>
        </is>
      </c>
      <c r="K3456" t="n">
        <v>2025</v>
      </c>
      <c r="L3456" t="n">
        <v>7</v>
      </c>
      <c r="M3456" t="inlineStr">
        <is>
          <t>Muçarela Mozzana 2 kg</t>
        </is>
      </c>
      <c r="N3456" t="inlineStr">
        <is>
          <t>Supermercado</t>
        </is>
      </c>
      <c r="O3456" t="n">
        <v>3</v>
      </c>
      <c r="P3456" t="n">
        <v>10</v>
      </c>
      <c r="Q3456" t="n">
        <v>0</v>
      </c>
    </row>
    <row r="3457">
      <c r="J3457" t="inlineStr">
        <is>
          <t>A</t>
        </is>
      </c>
      <c r="K3457" t="n">
        <v>2025</v>
      </c>
      <c r="L3457" t="n">
        <v>8</v>
      </c>
      <c r="M3457" t="inlineStr">
        <is>
          <t>Muçarela Mozzana 2 kg</t>
        </is>
      </c>
      <c r="N3457" t="inlineStr">
        <is>
          <t>Supermercado</t>
        </is>
      </c>
      <c r="O3457" t="n">
        <v>5</v>
      </c>
      <c r="P3457" t="n">
        <v>74</v>
      </c>
      <c r="Q3457" t="n">
        <v>2</v>
      </c>
    </row>
    <row r="3458">
      <c r="J3458" t="inlineStr">
        <is>
          <t>M</t>
        </is>
      </c>
      <c r="K3458" t="n">
        <v>2025</v>
      </c>
      <c r="L3458" t="n">
        <v>8</v>
      </c>
      <c r="M3458" t="inlineStr">
        <is>
          <t>Muçarela Mozzana 2 kg</t>
        </is>
      </c>
      <c r="N3458" t="inlineStr">
        <is>
          <t>Supermercado</t>
        </is>
      </c>
      <c r="O3458" t="n">
        <v>2</v>
      </c>
      <c r="P3458" t="n">
        <v>7</v>
      </c>
      <c r="Q3458" t="n">
        <v>0</v>
      </c>
    </row>
    <row r="3459">
      <c r="J3459" t="inlineStr">
        <is>
          <t>A</t>
        </is>
      </c>
      <c r="K3459" t="n">
        <v>2025</v>
      </c>
      <c r="L3459" t="n">
        <v>9</v>
      </c>
      <c r="M3459" t="inlineStr">
        <is>
          <t>Muçarela Mozzana 2 kg</t>
        </is>
      </c>
      <c r="N3459" t="inlineStr">
        <is>
          <t>Supermercado</t>
        </is>
      </c>
      <c r="O3459" t="n">
        <v>5</v>
      </c>
      <c r="P3459" t="n">
        <v>84</v>
      </c>
      <c r="Q3459" t="n">
        <v>2</v>
      </c>
    </row>
    <row r="3460">
      <c r="J3460" t="inlineStr">
        <is>
          <t>M</t>
        </is>
      </c>
      <c r="K3460" t="n">
        <v>2025</v>
      </c>
      <c r="L3460" t="n">
        <v>9</v>
      </c>
      <c r="M3460" t="inlineStr">
        <is>
          <t>Muçarela Mozzana 2 kg</t>
        </is>
      </c>
      <c r="N3460" t="inlineStr">
        <is>
          <t>Supermercado</t>
        </is>
      </c>
      <c r="O3460" t="n">
        <v>2</v>
      </c>
      <c r="P3460" t="n">
        <v>10</v>
      </c>
      <c r="Q3460" t="n">
        <v>0</v>
      </c>
    </row>
    <row r="3461">
      <c r="J3461" t="inlineStr">
        <is>
          <t>A</t>
        </is>
      </c>
      <c r="K3461" t="n">
        <v>2025</v>
      </c>
      <c r="L3461" t="n">
        <v>10</v>
      </c>
      <c r="M3461" t="inlineStr">
        <is>
          <t>Muçarela Mozzana 2 kg</t>
        </is>
      </c>
      <c r="N3461" t="inlineStr">
        <is>
          <t>Supermercado</t>
        </is>
      </c>
      <c r="O3461" t="n">
        <v>5</v>
      </c>
      <c r="P3461" t="n">
        <v>95</v>
      </c>
      <c r="Q3461" t="n">
        <v>2</v>
      </c>
    </row>
    <row r="3462">
      <c r="J3462" t="inlineStr">
        <is>
          <t>M</t>
        </is>
      </c>
      <c r="K3462" t="n">
        <v>2025</v>
      </c>
      <c r="L3462" t="n">
        <v>10</v>
      </c>
      <c r="M3462" t="inlineStr">
        <is>
          <t>Muçarela Mozzana 2 kg</t>
        </is>
      </c>
      <c r="N3462" t="inlineStr">
        <is>
          <t>Supermercado</t>
        </is>
      </c>
      <c r="O3462" t="n">
        <v>3</v>
      </c>
      <c r="P3462" t="n">
        <v>11</v>
      </c>
      <c r="Q3462" t="n">
        <v>0</v>
      </c>
    </row>
    <row r="3463">
      <c r="J3463" t="inlineStr">
        <is>
          <t>A</t>
        </is>
      </c>
      <c r="K3463" t="n">
        <v>2025</v>
      </c>
      <c r="L3463" t="n">
        <v>11</v>
      </c>
      <c r="M3463" t="inlineStr">
        <is>
          <t>Muçarela Mozzana 2 kg</t>
        </is>
      </c>
      <c r="N3463" t="inlineStr">
        <is>
          <t>Supermercado</t>
        </is>
      </c>
      <c r="O3463" t="n">
        <v>5</v>
      </c>
      <c r="P3463" t="n">
        <v>104</v>
      </c>
      <c r="Q3463" t="n">
        <v>2</v>
      </c>
    </row>
    <row r="3464">
      <c r="J3464" t="inlineStr">
        <is>
          <t>M</t>
        </is>
      </c>
      <c r="K3464" t="n">
        <v>2025</v>
      </c>
      <c r="L3464" t="n">
        <v>11</v>
      </c>
      <c r="M3464" t="inlineStr">
        <is>
          <t>Muçarela Mozzana 2 kg</t>
        </is>
      </c>
      <c r="N3464" t="inlineStr">
        <is>
          <t>Supermercado</t>
        </is>
      </c>
      <c r="O3464" t="n">
        <v>2</v>
      </c>
      <c r="P3464" t="n">
        <v>9</v>
      </c>
      <c r="Q3464" t="n">
        <v>0</v>
      </c>
    </row>
    <row r="3465">
      <c r="J3465" t="inlineStr">
        <is>
          <t>A</t>
        </is>
      </c>
      <c r="K3465" t="n">
        <v>2025</v>
      </c>
      <c r="L3465" t="n">
        <v>12</v>
      </c>
      <c r="M3465" t="inlineStr">
        <is>
          <t>Muçarela Mozzana 2 kg</t>
        </is>
      </c>
      <c r="N3465" t="inlineStr">
        <is>
          <t>Supermercado</t>
        </is>
      </c>
      <c r="O3465" t="n">
        <v>5</v>
      </c>
      <c r="P3465" t="n">
        <v>112</v>
      </c>
      <c r="Q3465" t="n">
        <v>2</v>
      </c>
    </row>
    <row r="3466">
      <c r="J3466" t="inlineStr">
        <is>
          <t>M</t>
        </is>
      </c>
      <c r="K3466" t="n">
        <v>2025</v>
      </c>
      <c r="L3466" t="n">
        <v>12</v>
      </c>
      <c r="M3466" t="inlineStr">
        <is>
          <t>Muçarela Mozzana 2 kg</t>
        </is>
      </c>
      <c r="N3466" t="inlineStr">
        <is>
          <t>Supermercado</t>
        </is>
      </c>
      <c r="O3466" t="n">
        <v>2</v>
      </c>
      <c r="P3466" t="n">
        <v>8</v>
      </c>
      <c r="Q3466" t="n">
        <v>0</v>
      </c>
    </row>
    <row r="3467">
      <c r="J3467" t="inlineStr">
        <is>
          <t>A</t>
        </is>
      </c>
      <c r="K3467" t="n">
        <v>2025</v>
      </c>
      <c r="L3467" t="n">
        <v>3</v>
      </c>
      <c r="M3467" t="inlineStr">
        <is>
          <t>Muçarela Mozzana 2 kg</t>
        </is>
      </c>
      <c r="N3467" t="inlineStr">
        <is>
          <t>Rotisserie</t>
        </is>
      </c>
      <c r="O3467" t="n">
        <v>1</v>
      </c>
      <c r="P3467" t="n">
        <v>1</v>
      </c>
      <c r="Q3467" t="n">
        <v>0</v>
      </c>
    </row>
    <row r="3468">
      <c r="J3468" t="inlineStr">
        <is>
          <t>M</t>
        </is>
      </c>
      <c r="K3468" t="n">
        <v>2025</v>
      </c>
      <c r="L3468" t="n">
        <v>3</v>
      </c>
      <c r="M3468" t="inlineStr">
        <is>
          <t>Muçarela Mozzana 2 kg</t>
        </is>
      </c>
      <c r="N3468" t="inlineStr">
        <is>
          <t>Rotisserie</t>
        </is>
      </c>
      <c r="O3468" t="n">
        <v>1</v>
      </c>
      <c r="P3468" t="n">
        <v>1</v>
      </c>
      <c r="Q3468" t="n">
        <v>0</v>
      </c>
    </row>
    <row r="3469">
      <c r="J3469" t="inlineStr">
        <is>
          <t>A</t>
        </is>
      </c>
      <c r="K3469" t="n">
        <v>2025</v>
      </c>
      <c r="L3469" t="n">
        <v>4</v>
      </c>
      <c r="M3469" t="inlineStr">
        <is>
          <t>Muçarela Mozzana 2 kg</t>
        </is>
      </c>
      <c r="N3469" t="inlineStr">
        <is>
          <t>Rotisserie</t>
        </is>
      </c>
      <c r="O3469" t="n">
        <v>1</v>
      </c>
      <c r="P3469" t="n">
        <v>2</v>
      </c>
      <c r="Q3469" t="n">
        <v>0</v>
      </c>
    </row>
    <row r="3470">
      <c r="J3470" t="inlineStr">
        <is>
          <t>M</t>
        </is>
      </c>
      <c r="K3470" t="n">
        <v>2025</v>
      </c>
      <c r="L3470" t="n">
        <v>4</v>
      </c>
      <c r="M3470" t="inlineStr">
        <is>
          <t>Muçarela Mozzana 2 kg</t>
        </is>
      </c>
      <c r="N3470" t="inlineStr">
        <is>
          <t>Rotisserie</t>
        </is>
      </c>
      <c r="O3470" t="n">
        <v>1</v>
      </c>
      <c r="P3470" t="n">
        <v>1</v>
      </c>
      <c r="Q3470" t="n">
        <v>0</v>
      </c>
    </row>
    <row r="3471">
      <c r="J3471" t="inlineStr">
        <is>
          <t>A</t>
        </is>
      </c>
      <c r="K3471" t="n">
        <v>2025</v>
      </c>
      <c r="L3471" t="n">
        <v>5</v>
      </c>
      <c r="M3471" t="inlineStr">
        <is>
          <t>Muçarela Mozzana 2 kg</t>
        </is>
      </c>
      <c r="N3471" t="inlineStr">
        <is>
          <t>Rotisserie</t>
        </is>
      </c>
      <c r="O3471" t="n">
        <v>1</v>
      </c>
      <c r="P3471" t="n">
        <v>7</v>
      </c>
      <c r="Q3471" t="n">
        <v>0</v>
      </c>
    </row>
    <row r="3472">
      <c r="J3472" t="inlineStr">
        <is>
          <t>M</t>
        </is>
      </c>
      <c r="K3472" t="n">
        <v>2025</v>
      </c>
      <c r="L3472" t="n">
        <v>5</v>
      </c>
      <c r="M3472" t="inlineStr">
        <is>
          <t>Muçarela Mozzana 2 kg</t>
        </is>
      </c>
      <c r="N3472" t="inlineStr">
        <is>
          <t>Rotisserie</t>
        </is>
      </c>
      <c r="O3472" t="n">
        <v>1</v>
      </c>
      <c r="P3472" t="n">
        <v>5</v>
      </c>
      <c r="Q3472" t="n">
        <v>0</v>
      </c>
    </row>
    <row r="3473">
      <c r="J3473" t="inlineStr">
        <is>
          <t>A</t>
        </is>
      </c>
      <c r="K3473" t="n">
        <v>2025</v>
      </c>
      <c r="L3473" t="n">
        <v>6</v>
      </c>
      <c r="M3473" t="inlineStr">
        <is>
          <t>Muçarela Mozzana 2 kg</t>
        </is>
      </c>
      <c r="N3473" t="inlineStr">
        <is>
          <t>Rotisserie</t>
        </is>
      </c>
      <c r="O3473" t="n">
        <v>1</v>
      </c>
      <c r="P3473" t="n">
        <v>8</v>
      </c>
      <c r="Q3473" t="n">
        <v>0</v>
      </c>
    </row>
    <row r="3474">
      <c r="J3474" t="inlineStr">
        <is>
          <t>M</t>
        </is>
      </c>
      <c r="K3474" t="n">
        <v>2025</v>
      </c>
      <c r="L3474" t="n">
        <v>6</v>
      </c>
      <c r="M3474" t="inlineStr">
        <is>
          <t>Muçarela Mozzana 2 kg</t>
        </is>
      </c>
      <c r="N3474" t="inlineStr">
        <is>
          <t>Rotisserie</t>
        </is>
      </c>
      <c r="O3474" t="n">
        <v>1</v>
      </c>
      <c r="P3474" t="n">
        <v>1</v>
      </c>
      <c r="Q3474" t="n">
        <v>0</v>
      </c>
    </row>
    <row r="3475">
      <c r="J3475" t="inlineStr">
        <is>
          <t>A</t>
        </is>
      </c>
      <c r="K3475" t="n">
        <v>2025</v>
      </c>
      <c r="L3475" t="n">
        <v>7</v>
      </c>
      <c r="M3475" t="inlineStr">
        <is>
          <t>Muçarela Mozzana 2 kg</t>
        </is>
      </c>
      <c r="N3475" t="inlineStr">
        <is>
          <t>Rotisserie</t>
        </is>
      </c>
      <c r="O3475" t="n">
        <v>1</v>
      </c>
      <c r="P3475" t="n">
        <v>11</v>
      </c>
      <c r="Q3475" t="n">
        <v>0</v>
      </c>
    </row>
    <row r="3476">
      <c r="J3476" t="inlineStr">
        <is>
          <t>M</t>
        </is>
      </c>
      <c r="K3476" t="n">
        <v>2025</v>
      </c>
      <c r="L3476" t="n">
        <v>7</v>
      </c>
      <c r="M3476" t="inlineStr">
        <is>
          <t>Muçarela Mozzana 2 kg</t>
        </is>
      </c>
      <c r="N3476" t="inlineStr">
        <is>
          <t>Rotisserie</t>
        </is>
      </c>
      <c r="O3476" t="n">
        <v>1</v>
      </c>
      <c r="P3476" t="n">
        <v>3</v>
      </c>
      <c r="Q3476" t="n">
        <v>0</v>
      </c>
    </row>
    <row r="3477">
      <c r="J3477" t="inlineStr">
        <is>
          <t>A</t>
        </is>
      </c>
      <c r="K3477" t="n">
        <v>2025</v>
      </c>
      <c r="L3477" t="n">
        <v>8</v>
      </c>
      <c r="M3477" t="inlineStr">
        <is>
          <t>Muçarela Mozzana 2 kg</t>
        </is>
      </c>
      <c r="N3477" t="inlineStr">
        <is>
          <t>Rotisserie</t>
        </is>
      </c>
      <c r="O3477" t="n">
        <v>1</v>
      </c>
      <c r="P3477" t="n">
        <v>15</v>
      </c>
      <c r="Q3477" t="n">
        <v>0</v>
      </c>
    </row>
    <row r="3478">
      <c r="J3478" t="inlineStr">
        <is>
          <t>M</t>
        </is>
      </c>
      <c r="K3478" t="n">
        <v>2025</v>
      </c>
      <c r="L3478" t="n">
        <v>8</v>
      </c>
      <c r="M3478" t="inlineStr">
        <is>
          <t>Muçarela Mozzana 2 kg</t>
        </is>
      </c>
      <c r="N3478" t="inlineStr">
        <is>
          <t>Rotisserie</t>
        </is>
      </c>
      <c r="O3478" t="n">
        <v>1</v>
      </c>
      <c r="P3478" t="n">
        <v>4</v>
      </c>
      <c r="Q3478" t="n">
        <v>0</v>
      </c>
    </row>
    <row r="3479">
      <c r="J3479" t="inlineStr">
        <is>
          <t>A</t>
        </is>
      </c>
      <c r="K3479" t="n">
        <v>2025</v>
      </c>
      <c r="L3479" t="n">
        <v>9</v>
      </c>
      <c r="M3479" t="inlineStr">
        <is>
          <t>Muçarela Mozzana 2 kg</t>
        </is>
      </c>
      <c r="N3479" t="inlineStr">
        <is>
          <t>Rotisserie</t>
        </is>
      </c>
      <c r="O3479" t="n">
        <v>1</v>
      </c>
      <c r="P3479" t="n">
        <v>19</v>
      </c>
      <c r="Q3479" t="n">
        <v>0</v>
      </c>
    </row>
    <row r="3480">
      <c r="J3480" t="inlineStr">
        <is>
          <t>M</t>
        </is>
      </c>
      <c r="K3480" t="n">
        <v>2025</v>
      </c>
      <c r="L3480" t="n">
        <v>9</v>
      </c>
      <c r="M3480" t="inlineStr">
        <is>
          <t>Muçarela Mozzana 2 kg</t>
        </is>
      </c>
      <c r="N3480" t="inlineStr">
        <is>
          <t>Rotisserie</t>
        </is>
      </c>
      <c r="O3480" t="n">
        <v>1</v>
      </c>
      <c r="P3480" t="n">
        <v>4</v>
      </c>
      <c r="Q3480" t="n">
        <v>0</v>
      </c>
    </row>
    <row r="3481">
      <c r="J3481" t="inlineStr">
        <is>
          <t>A</t>
        </is>
      </c>
      <c r="K3481" t="n">
        <v>2025</v>
      </c>
      <c r="L3481" t="n">
        <v>10</v>
      </c>
      <c r="M3481" t="inlineStr">
        <is>
          <t>Muçarela Mozzana 2 kg</t>
        </is>
      </c>
      <c r="N3481" t="inlineStr">
        <is>
          <t>Rotisserie</t>
        </is>
      </c>
      <c r="O3481" t="n">
        <v>1</v>
      </c>
      <c r="P3481" t="n">
        <v>23</v>
      </c>
      <c r="Q3481" t="n">
        <v>0</v>
      </c>
    </row>
    <row r="3482">
      <c r="J3482" t="inlineStr">
        <is>
          <t>M</t>
        </is>
      </c>
      <c r="K3482" t="n">
        <v>2025</v>
      </c>
      <c r="L3482" t="n">
        <v>10</v>
      </c>
      <c r="M3482" t="inlineStr">
        <is>
          <t>Muçarela Mozzana 2 kg</t>
        </is>
      </c>
      <c r="N3482" t="inlineStr">
        <is>
          <t>Rotisserie</t>
        </is>
      </c>
      <c r="O3482" t="n">
        <v>1</v>
      </c>
      <c r="P3482" t="n">
        <v>4</v>
      </c>
      <c r="Q3482" t="n">
        <v>0</v>
      </c>
    </row>
    <row r="3483">
      <c r="J3483" t="inlineStr">
        <is>
          <t>A</t>
        </is>
      </c>
      <c r="K3483" t="n">
        <v>2025</v>
      </c>
      <c r="L3483" t="n">
        <v>11</v>
      </c>
      <c r="M3483" t="inlineStr">
        <is>
          <t>Muçarela Mozzana 2 kg</t>
        </is>
      </c>
      <c r="N3483" t="inlineStr">
        <is>
          <t>Rotisserie</t>
        </is>
      </c>
      <c r="O3483" t="n">
        <v>1</v>
      </c>
      <c r="P3483" t="n">
        <v>27</v>
      </c>
      <c r="Q3483" t="n">
        <v>0</v>
      </c>
    </row>
    <row r="3484">
      <c r="J3484" t="inlineStr">
        <is>
          <t>M</t>
        </is>
      </c>
      <c r="K3484" t="n">
        <v>2025</v>
      </c>
      <c r="L3484" t="n">
        <v>11</v>
      </c>
      <c r="M3484" t="inlineStr">
        <is>
          <t>Muçarela Mozzana 2 kg</t>
        </is>
      </c>
      <c r="N3484" t="inlineStr">
        <is>
          <t>Rotisserie</t>
        </is>
      </c>
      <c r="O3484" t="n">
        <v>1</v>
      </c>
      <c r="P3484" t="n">
        <v>4</v>
      </c>
      <c r="Q3484" t="n">
        <v>0</v>
      </c>
    </row>
    <row r="3485">
      <c r="J3485" t="inlineStr">
        <is>
          <t>A</t>
        </is>
      </c>
      <c r="K3485" t="n">
        <v>2025</v>
      </c>
      <c r="L3485" t="n">
        <v>12</v>
      </c>
      <c r="M3485" t="inlineStr">
        <is>
          <t>Muçarela Mozzana 2 kg</t>
        </is>
      </c>
      <c r="N3485" t="inlineStr">
        <is>
          <t>Rotisserie</t>
        </is>
      </c>
      <c r="O3485" t="n">
        <v>1</v>
      </c>
      <c r="P3485" t="n">
        <v>29</v>
      </c>
      <c r="Q3485" t="n">
        <v>0</v>
      </c>
    </row>
    <row r="3486">
      <c r="J3486" t="inlineStr">
        <is>
          <t>M</t>
        </is>
      </c>
      <c r="K3486" t="n">
        <v>2025</v>
      </c>
      <c r="L3486" t="n">
        <v>12</v>
      </c>
      <c r="M3486" t="inlineStr">
        <is>
          <t>Muçarela Mozzana 2 kg</t>
        </is>
      </c>
      <c r="N3486" t="inlineStr">
        <is>
          <t>Rotisserie</t>
        </is>
      </c>
      <c r="O3486" t="n">
        <v>1</v>
      </c>
      <c r="P3486" t="n">
        <v>2</v>
      </c>
      <c r="Q3486" t="n">
        <v>0</v>
      </c>
    </row>
    <row r="3487">
      <c r="J3487" t="inlineStr">
        <is>
          <t>A</t>
        </is>
      </c>
      <c r="K3487" t="n">
        <v>2025</v>
      </c>
      <c r="L3487" t="n">
        <v>1</v>
      </c>
      <c r="M3487" t="inlineStr">
        <is>
          <t>Muçarela Mozzana 2 kg</t>
        </is>
      </c>
      <c r="N3487" t="inlineStr">
        <is>
          <t>Mercearia / Sacolão</t>
        </is>
      </c>
      <c r="O3487" t="n">
        <v>1</v>
      </c>
      <c r="P3487" t="n">
        <v>2</v>
      </c>
      <c r="Q3487" t="n">
        <v>0</v>
      </c>
    </row>
    <row r="3488">
      <c r="J3488" t="inlineStr">
        <is>
          <t>M</t>
        </is>
      </c>
      <c r="K3488" t="n">
        <v>2025</v>
      </c>
      <c r="L3488" t="n">
        <v>1</v>
      </c>
      <c r="M3488" t="inlineStr">
        <is>
          <t>Muçarela Mozzana 2 kg</t>
        </is>
      </c>
      <c r="N3488" t="inlineStr">
        <is>
          <t>Mercearia / Sacolão</t>
        </is>
      </c>
      <c r="O3488" t="n">
        <v>1</v>
      </c>
      <c r="P3488" t="n">
        <v>2</v>
      </c>
      <c r="Q3488" t="n">
        <v>0</v>
      </c>
    </row>
    <row r="3489">
      <c r="J3489" t="inlineStr">
        <is>
          <t>A</t>
        </is>
      </c>
      <c r="K3489" t="n">
        <v>2025</v>
      </c>
      <c r="L3489" t="n">
        <v>2</v>
      </c>
      <c r="M3489" t="inlineStr">
        <is>
          <t>Muçarela Mozzana 2 kg</t>
        </is>
      </c>
      <c r="N3489" t="inlineStr">
        <is>
          <t>Mercearia / Sacolão</t>
        </is>
      </c>
      <c r="O3489" t="n">
        <v>1</v>
      </c>
      <c r="P3489" t="n">
        <v>4</v>
      </c>
      <c r="Q3489" t="n">
        <v>0</v>
      </c>
    </row>
    <row r="3490">
      <c r="J3490" t="inlineStr">
        <is>
          <t>M</t>
        </is>
      </c>
      <c r="K3490" t="n">
        <v>2025</v>
      </c>
      <c r="L3490" t="n">
        <v>2</v>
      </c>
      <c r="M3490" t="inlineStr">
        <is>
          <t>Muçarela Mozzana 2 kg</t>
        </is>
      </c>
      <c r="N3490" t="inlineStr">
        <is>
          <t>Mercearia / Sacolão</t>
        </is>
      </c>
      <c r="O3490" t="n">
        <v>1</v>
      </c>
      <c r="P3490" t="n">
        <v>2</v>
      </c>
      <c r="Q3490" t="n">
        <v>0</v>
      </c>
    </row>
    <row r="3491">
      <c r="J3491" t="inlineStr">
        <is>
          <t>A</t>
        </is>
      </c>
      <c r="K3491" t="n">
        <v>2025</v>
      </c>
      <c r="L3491" t="n">
        <v>3</v>
      </c>
      <c r="M3491" t="inlineStr">
        <is>
          <t>Muçarela Mozzana 2 kg</t>
        </is>
      </c>
      <c r="N3491" t="inlineStr">
        <is>
          <t>Mercearia / Sacolão</t>
        </is>
      </c>
      <c r="O3491" t="n">
        <v>1</v>
      </c>
      <c r="P3491" t="n">
        <v>6</v>
      </c>
      <c r="Q3491" t="n">
        <v>0</v>
      </c>
    </row>
    <row r="3492">
      <c r="J3492" t="inlineStr">
        <is>
          <t>M</t>
        </is>
      </c>
      <c r="K3492" t="n">
        <v>2025</v>
      </c>
      <c r="L3492" t="n">
        <v>3</v>
      </c>
      <c r="M3492" t="inlineStr">
        <is>
          <t>Muçarela Mozzana 2 kg</t>
        </is>
      </c>
      <c r="N3492" t="inlineStr">
        <is>
          <t>Mercearia / Sacolão</t>
        </is>
      </c>
      <c r="O3492" t="n">
        <v>1</v>
      </c>
      <c r="P3492" t="n">
        <v>2</v>
      </c>
      <c r="Q3492" t="n">
        <v>0</v>
      </c>
    </row>
    <row r="3493">
      <c r="J3493" t="inlineStr">
        <is>
          <t>A</t>
        </is>
      </c>
      <c r="K3493" t="n">
        <v>2025</v>
      </c>
      <c r="L3493" t="n">
        <v>4</v>
      </c>
      <c r="M3493" t="inlineStr">
        <is>
          <t>Muçarela Mozzana 2 kg</t>
        </is>
      </c>
      <c r="N3493" t="inlineStr">
        <is>
          <t>Mercearia / Sacolão</t>
        </is>
      </c>
      <c r="O3493" t="n">
        <v>2</v>
      </c>
      <c r="P3493" t="n">
        <v>9</v>
      </c>
      <c r="Q3493" t="n">
        <v>0</v>
      </c>
    </row>
    <row r="3494">
      <c r="J3494" t="inlineStr">
        <is>
          <t>M</t>
        </is>
      </c>
      <c r="K3494" t="n">
        <v>2025</v>
      </c>
      <c r="L3494" t="n">
        <v>4</v>
      </c>
      <c r="M3494" t="inlineStr">
        <is>
          <t>Muçarela Mozzana 2 kg</t>
        </is>
      </c>
      <c r="N3494" t="inlineStr">
        <is>
          <t>Mercearia / Sacolão</t>
        </is>
      </c>
      <c r="O3494" t="n">
        <v>2</v>
      </c>
      <c r="P3494" t="n">
        <v>3</v>
      </c>
      <c r="Q3494" t="n">
        <v>0</v>
      </c>
    </row>
    <row r="3495">
      <c r="J3495" t="inlineStr">
        <is>
          <t>A</t>
        </is>
      </c>
      <c r="K3495" t="n">
        <v>2025</v>
      </c>
      <c r="L3495" t="n">
        <v>5</v>
      </c>
      <c r="M3495" t="inlineStr">
        <is>
          <t>Muçarela Mozzana 2 kg</t>
        </is>
      </c>
      <c r="N3495" t="inlineStr">
        <is>
          <t>Mercearia / Sacolão</t>
        </is>
      </c>
      <c r="O3495" t="n">
        <v>2</v>
      </c>
      <c r="P3495" t="n">
        <v>11</v>
      </c>
      <c r="Q3495" t="n">
        <v>0</v>
      </c>
    </row>
    <row r="3496">
      <c r="J3496" t="inlineStr">
        <is>
          <t>M</t>
        </is>
      </c>
      <c r="K3496" t="n">
        <v>2025</v>
      </c>
      <c r="L3496" t="n">
        <v>5</v>
      </c>
      <c r="M3496" t="inlineStr">
        <is>
          <t>Muçarela Mozzana 2 kg</t>
        </is>
      </c>
      <c r="N3496" t="inlineStr">
        <is>
          <t>Mercearia / Sacolão</t>
        </is>
      </c>
      <c r="O3496" t="n">
        <v>1</v>
      </c>
      <c r="P3496" t="n">
        <v>2</v>
      </c>
      <c r="Q3496" t="n">
        <v>0</v>
      </c>
    </row>
    <row r="3497">
      <c r="J3497" t="inlineStr">
        <is>
          <t>A</t>
        </is>
      </c>
      <c r="K3497" t="n">
        <v>2025</v>
      </c>
      <c r="L3497" t="n">
        <v>6</v>
      </c>
      <c r="M3497" t="inlineStr">
        <is>
          <t>Muçarela Mozzana 2 kg</t>
        </is>
      </c>
      <c r="N3497" t="inlineStr">
        <is>
          <t>Mercearia / Sacolão</t>
        </is>
      </c>
      <c r="O3497" t="n">
        <v>2</v>
      </c>
      <c r="P3497" t="n">
        <v>14</v>
      </c>
      <c r="Q3497" t="n">
        <v>0</v>
      </c>
    </row>
    <row r="3498">
      <c r="J3498" t="inlineStr">
        <is>
          <t>M</t>
        </is>
      </c>
      <c r="K3498" t="n">
        <v>2025</v>
      </c>
      <c r="L3498" t="n">
        <v>6</v>
      </c>
      <c r="M3498" t="inlineStr">
        <is>
          <t>Muçarela Mozzana 2 kg</t>
        </is>
      </c>
      <c r="N3498" t="inlineStr">
        <is>
          <t>Mercearia / Sacolão</t>
        </is>
      </c>
      <c r="O3498" t="n">
        <v>2</v>
      </c>
      <c r="P3498" t="n">
        <v>3</v>
      </c>
      <c r="Q3498" t="n">
        <v>0</v>
      </c>
    </row>
    <row r="3499">
      <c r="J3499" t="inlineStr">
        <is>
          <t>A</t>
        </is>
      </c>
      <c r="K3499" t="n">
        <v>2025</v>
      </c>
      <c r="L3499" t="n">
        <v>7</v>
      </c>
      <c r="M3499" t="inlineStr">
        <is>
          <t>Muçarela Mozzana 2 kg</t>
        </is>
      </c>
      <c r="N3499" t="inlineStr">
        <is>
          <t>Mercearia / Sacolão</t>
        </is>
      </c>
      <c r="O3499" t="n">
        <v>2</v>
      </c>
      <c r="P3499" t="n">
        <v>17</v>
      </c>
      <c r="Q3499" t="n">
        <v>0</v>
      </c>
    </row>
    <row r="3500">
      <c r="J3500" t="inlineStr">
        <is>
          <t>M</t>
        </is>
      </c>
      <c r="K3500" t="n">
        <v>2025</v>
      </c>
      <c r="L3500" t="n">
        <v>7</v>
      </c>
      <c r="M3500" t="inlineStr">
        <is>
          <t>Muçarela Mozzana 2 kg</t>
        </is>
      </c>
      <c r="N3500" t="inlineStr">
        <is>
          <t>Mercearia / Sacolão</t>
        </is>
      </c>
      <c r="O3500" t="n">
        <v>2</v>
      </c>
      <c r="P3500" t="n">
        <v>3</v>
      </c>
      <c r="Q3500" t="n">
        <v>0</v>
      </c>
    </row>
    <row r="3501">
      <c r="J3501" t="inlineStr">
        <is>
          <t>A</t>
        </is>
      </c>
      <c r="K3501" t="n">
        <v>2025</v>
      </c>
      <c r="L3501" t="n">
        <v>8</v>
      </c>
      <c r="M3501" t="inlineStr">
        <is>
          <t>Muçarela Mozzana 2 kg</t>
        </is>
      </c>
      <c r="N3501" t="inlineStr">
        <is>
          <t>Mercearia / Sacolão</t>
        </is>
      </c>
      <c r="O3501" t="n">
        <v>3</v>
      </c>
      <c r="P3501" t="n">
        <v>18</v>
      </c>
      <c r="Q3501" t="n">
        <v>0</v>
      </c>
    </row>
    <row r="3502">
      <c r="J3502" t="inlineStr">
        <is>
          <t>M</t>
        </is>
      </c>
      <c r="K3502" t="n">
        <v>2025</v>
      </c>
      <c r="L3502" t="n">
        <v>8</v>
      </c>
      <c r="M3502" t="inlineStr">
        <is>
          <t>Muçarela Mozzana 2 kg</t>
        </is>
      </c>
      <c r="N3502" t="inlineStr">
        <is>
          <t>Mercearia / Sacolão</t>
        </is>
      </c>
      <c r="O3502" t="n">
        <v>1</v>
      </c>
      <c r="P3502" t="n">
        <v>1</v>
      </c>
      <c r="Q3502" t="n">
        <v>0</v>
      </c>
    </row>
    <row r="3503">
      <c r="J3503" t="inlineStr">
        <is>
          <t>A</t>
        </is>
      </c>
      <c r="K3503" t="n">
        <v>2025</v>
      </c>
      <c r="L3503" t="n">
        <v>9</v>
      </c>
      <c r="M3503" t="inlineStr">
        <is>
          <t>Muçarela Mozzana 2 kg</t>
        </is>
      </c>
      <c r="N3503" t="inlineStr">
        <is>
          <t>Mercearia / Sacolão</t>
        </is>
      </c>
      <c r="O3503" t="n">
        <v>3</v>
      </c>
      <c r="P3503" t="n">
        <v>18</v>
      </c>
      <c r="Q3503" t="n">
        <v>0</v>
      </c>
    </row>
    <row r="3504">
      <c r="J3504" t="inlineStr">
        <is>
          <t>A</t>
        </is>
      </c>
      <c r="K3504" t="n">
        <v>2025</v>
      </c>
      <c r="L3504" t="n">
        <v>10</v>
      </c>
      <c r="M3504" t="inlineStr">
        <is>
          <t>Muçarela Mozzana 2 kg</t>
        </is>
      </c>
      <c r="N3504" t="inlineStr">
        <is>
          <t>Mercearia / Sacolão</t>
        </is>
      </c>
      <c r="O3504" t="n">
        <v>3</v>
      </c>
      <c r="P3504" t="n">
        <v>18</v>
      </c>
      <c r="Q3504" t="n">
        <v>0</v>
      </c>
    </row>
    <row r="3505">
      <c r="J3505" t="inlineStr">
        <is>
          <t>A</t>
        </is>
      </c>
      <c r="K3505" t="n">
        <v>2025</v>
      </c>
      <c r="L3505" t="n">
        <v>11</v>
      </c>
      <c r="M3505" t="inlineStr">
        <is>
          <t>Muçarela Mozzana 2 kg</t>
        </is>
      </c>
      <c r="N3505" t="inlineStr">
        <is>
          <t>Mercearia / Sacolão</t>
        </is>
      </c>
      <c r="O3505" t="n">
        <v>3</v>
      </c>
      <c r="P3505" t="n">
        <v>20</v>
      </c>
      <c r="Q3505" t="n">
        <v>0</v>
      </c>
    </row>
    <row r="3506">
      <c r="J3506" t="inlineStr">
        <is>
          <t>M</t>
        </is>
      </c>
      <c r="K3506" t="n">
        <v>2025</v>
      </c>
      <c r="L3506" t="n">
        <v>11</v>
      </c>
      <c r="M3506" t="inlineStr">
        <is>
          <t>Muçarela Mozzana 2 kg</t>
        </is>
      </c>
      <c r="N3506" t="inlineStr">
        <is>
          <t>Mercearia / Sacolão</t>
        </is>
      </c>
      <c r="O3506" t="n">
        <v>1</v>
      </c>
      <c r="P3506" t="n">
        <v>2</v>
      </c>
      <c r="Q3506" t="n">
        <v>0</v>
      </c>
    </row>
    <row r="3507">
      <c r="J3507" t="inlineStr">
        <is>
          <t>A</t>
        </is>
      </c>
      <c r="K3507" t="n">
        <v>2025</v>
      </c>
      <c r="L3507" t="n">
        <v>12</v>
      </c>
      <c r="M3507" t="inlineStr">
        <is>
          <t>Muçarela Mozzana 2 kg</t>
        </is>
      </c>
      <c r="N3507" t="inlineStr">
        <is>
          <t>Mercearia / Sacolão</t>
        </is>
      </c>
      <c r="O3507" t="n">
        <v>3</v>
      </c>
      <c r="P3507" t="n">
        <v>21</v>
      </c>
      <c r="Q3507" t="n">
        <v>0</v>
      </c>
    </row>
    <row r="3508">
      <c r="J3508" t="inlineStr">
        <is>
          <t>M</t>
        </is>
      </c>
      <c r="K3508" t="n">
        <v>2025</v>
      </c>
      <c r="L3508" t="n">
        <v>12</v>
      </c>
      <c r="M3508" t="inlineStr">
        <is>
          <t>Muçarela Mozzana 2 kg</t>
        </is>
      </c>
      <c r="N3508" t="inlineStr">
        <is>
          <t>Mercearia / Sacolão</t>
        </is>
      </c>
      <c r="O3508" t="n">
        <v>1</v>
      </c>
      <c r="P3508" t="n">
        <v>1</v>
      </c>
      <c r="Q3508" t="n">
        <v>0</v>
      </c>
    </row>
    <row r="3509">
      <c r="J3509" t="inlineStr">
        <is>
          <t>A</t>
        </is>
      </c>
      <c r="K3509" t="n">
        <v>2025</v>
      </c>
      <c r="L3509" t="n">
        <v>1</v>
      </c>
      <c r="M3509" t="inlineStr">
        <is>
          <t>Muçarela Mozzana 2 kg</t>
        </is>
      </c>
      <c r="N3509" t="inlineStr">
        <is>
          <t>Buffet</t>
        </is>
      </c>
      <c r="O3509" t="n">
        <v>3</v>
      </c>
      <c r="P3509" t="n">
        <v>6</v>
      </c>
      <c r="Q3509" t="n">
        <v>0</v>
      </c>
    </row>
    <row r="3510">
      <c r="J3510" t="inlineStr">
        <is>
          <t>M</t>
        </is>
      </c>
      <c r="K3510" t="n">
        <v>2025</v>
      </c>
      <c r="L3510" t="n">
        <v>1</v>
      </c>
      <c r="M3510" t="inlineStr">
        <is>
          <t>Muçarela Mozzana 2 kg</t>
        </is>
      </c>
      <c r="N3510" t="inlineStr">
        <is>
          <t>Buffet</t>
        </is>
      </c>
      <c r="O3510" t="n">
        <v>3</v>
      </c>
      <c r="P3510" t="n">
        <v>6</v>
      </c>
      <c r="Q3510" t="n">
        <v>0</v>
      </c>
    </row>
    <row r="3511">
      <c r="J3511" t="inlineStr">
        <is>
          <t>A</t>
        </is>
      </c>
      <c r="K3511" t="n">
        <v>2025</v>
      </c>
      <c r="L3511" t="n">
        <v>2</v>
      </c>
      <c r="M3511" t="inlineStr">
        <is>
          <t>Muçarela Mozzana 2 kg</t>
        </is>
      </c>
      <c r="N3511" t="inlineStr">
        <is>
          <t>Buffet</t>
        </is>
      </c>
      <c r="O3511" t="n">
        <v>3</v>
      </c>
      <c r="P3511" t="n">
        <v>10</v>
      </c>
      <c r="Q3511" t="n">
        <v>0</v>
      </c>
    </row>
    <row r="3512">
      <c r="J3512" t="inlineStr">
        <is>
          <t>M</t>
        </is>
      </c>
      <c r="K3512" t="n">
        <v>2025</v>
      </c>
      <c r="L3512" t="n">
        <v>2</v>
      </c>
      <c r="M3512" t="inlineStr">
        <is>
          <t>Muçarela Mozzana 2 kg</t>
        </is>
      </c>
      <c r="N3512" t="inlineStr">
        <is>
          <t>Buffet</t>
        </is>
      </c>
      <c r="O3512" t="n">
        <v>2</v>
      </c>
      <c r="P3512" t="n">
        <v>4</v>
      </c>
      <c r="Q3512" t="n">
        <v>0</v>
      </c>
    </row>
    <row r="3513">
      <c r="J3513" t="inlineStr">
        <is>
          <t>A</t>
        </is>
      </c>
      <c r="K3513" t="n">
        <v>2025</v>
      </c>
      <c r="L3513" t="n">
        <v>3</v>
      </c>
      <c r="M3513" t="inlineStr">
        <is>
          <t>Muçarela Mozzana 2 kg</t>
        </is>
      </c>
      <c r="N3513" t="inlineStr">
        <is>
          <t>Buffet</t>
        </is>
      </c>
      <c r="O3513" t="n">
        <v>3</v>
      </c>
      <c r="P3513" t="n">
        <v>17</v>
      </c>
      <c r="Q3513" t="n">
        <v>0</v>
      </c>
    </row>
    <row r="3514">
      <c r="J3514" t="inlineStr">
        <is>
          <t>M</t>
        </is>
      </c>
      <c r="K3514" t="n">
        <v>2025</v>
      </c>
      <c r="L3514" t="n">
        <v>3</v>
      </c>
      <c r="M3514" t="inlineStr">
        <is>
          <t>Muçarela Mozzana 2 kg</t>
        </is>
      </c>
      <c r="N3514" t="inlineStr">
        <is>
          <t>Buffet</t>
        </is>
      </c>
      <c r="O3514" t="n">
        <v>2</v>
      </c>
      <c r="P3514" t="n">
        <v>7</v>
      </c>
      <c r="Q3514" t="n">
        <v>0</v>
      </c>
    </row>
    <row r="3515">
      <c r="J3515" t="inlineStr">
        <is>
          <t>A</t>
        </is>
      </c>
      <c r="K3515" t="n">
        <v>2025</v>
      </c>
      <c r="L3515" t="n">
        <v>4</v>
      </c>
      <c r="M3515" t="inlineStr">
        <is>
          <t>Muçarela Mozzana 2 kg</t>
        </is>
      </c>
      <c r="N3515" t="inlineStr">
        <is>
          <t>Buffet</t>
        </is>
      </c>
      <c r="O3515" t="n">
        <v>3</v>
      </c>
      <c r="P3515" t="n">
        <v>21</v>
      </c>
      <c r="Q3515" t="n">
        <v>0</v>
      </c>
    </row>
    <row r="3516">
      <c r="J3516" t="inlineStr">
        <is>
          <t>M</t>
        </is>
      </c>
      <c r="K3516" t="n">
        <v>2025</v>
      </c>
      <c r="L3516" t="n">
        <v>4</v>
      </c>
      <c r="M3516" t="inlineStr">
        <is>
          <t>Muçarela Mozzana 2 kg</t>
        </is>
      </c>
      <c r="N3516" t="inlineStr">
        <is>
          <t>Buffet</t>
        </is>
      </c>
      <c r="O3516" t="n">
        <v>2</v>
      </c>
      <c r="P3516" t="n">
        <v>4</v>
      </c>
      <c r="Q3516" t="n">
        <v>0</v>
      </c>
    </row>
    <row r="3517">
      <c r="J3517" t="inlineStr">
        <is>
          <t>A</t>
        </is>
      </c>
      <c r="K3517" t="n">
        <v>2025</v>
      </c>
      <c r="L3517" t="n">
        <v>5</v>
      </c>
      <c r="M3517" t="inlineStr">
        <is>
          <t>Muçarela Mozzana 2 kg</t>
        </is>
      </c>
      <c r="N3517" t="inlineStr">
        <is>
          <t>Buffet</t>
        </is>
      </c>
      <c r="O3517" t="n">
        <v>3</v>
      </c>
      <c r="P3517" t="n">
        <v>26</v>
      </c>
      <c r="Q3517" t="n">
        <v>0</v>
      </c>
    </row>
    <row r="3518">
      <c r="J3518" t="inlineStr">
        <is>
          <t>M</t>
        </is>
      </c>
      <c r="K3518" t="n">
        <v>2025</v>
      </c>
      <c r="L3518" t="n">
        <v>5</v>
      </c>
      <c r="M3518" t="inlineStr">
        <is>
          <t>Muçarela Mozzana 2 kg</t>
        </is>
      </c>
      <c r="N3518" t="inlineStr">
        <is>
          <t>Buffet</t>
        </is>
      </c>
      <c r="O3518" t="n">
        <v>2</v>
      </c>
      <c r="P3518" t="n">
        <v>5</v>
      </c>
      <c r="Q3518" t="n">
        <v>0</v>
      </c>
    </row>
    <row r="3519">
      <c r="J3519" t="inlineStr">
        <is>
          <t>A</t>
        </is>
      </c>
      <c r="K3519" t="n">
        <v>2025</v>
      </c>
      <c r="L3519" t="n">
        <v>6</v>
      </c>
      <c r="M3519" t="inlineStr">
        <is>
          <t>Muçarela Mozzana 2 kg</t>
        </is>
      </c>
      <c r="N3519" t="inlineStr">
        <is>
          <t>Buffet</t>
        </is>
      </c>
      <c r="O3519" t="n">
        <v>3</v>
      </c>
      <c r="P3519" t="n">
        <v>33</v>
      </c>
      <c r="Q3519" t="n">
        <v>0</v>
      </c>
    </row>
    <row r="3520">
      <c r="J3520" t="inlineStr">
        <is>
          <t>M</t>
        </is>
      </c>
      <c r="K3520" t="n">
        <v>2025</v>
      </c>
      <c r="L3520" t="n">
        <v>6</v>
      </c>
      <c r="M3520" t="inlineStr">
        <is>
          <t>Muçarela Mozzana 2 kg</t>
        </is>
      </c>
      <c r="N3520" t="inlineStr">
        <is>
          <t>Buffet</t>
        </is>
      </c>
      <c r="O3520" t="n">
        <v>2</v>
      </c>
      <c r="P3520" t="n">
        <v>7</v>
      </c>
      <c r="Q3520" t="n">
        <v>0</v>
      </c>
    </row>
    <row r="3521">
      <c r="J3521" t="inlineStr">
        <is>
          <t>A</t>
        </is>
      </c>
      <c r="K3521" t="n">
        <v>2025</v>
      </c>
      <c r="L3521" t="n">
        <v>7</v>
      </c>
      <c r="M3521" t="inlineStr">
        <is>
          <t>Muçarela Mozzana 2 kg</t>
        </is>
      </c>
      <c r="N3521" t="inlineStr">
        <is>
          <t>Buffet</t>
        </is>
      </c>
      <c r="O3521" t="n">
        <v>3</v>
      </c>
      <c r="P3521" t="n">
        <v>37</v>
      </c>
      <c r="Q3521" t="n">
        <v>0</v>
      </c>
    </row>
    <row r="3522">
      <c r="J3522" t="inlineStr">
        <is>
          <t>M</t>
        </is>
      </c>
      <c r="K3522" t="n">
        <v>2025</v>
      </c>
      <c r="L3522" t="n">
        <v>7</v>
      </c>
      <c r="M3522" t="inlineStr">
        <is>
          <t>Muçarela Mozzana 2 kg</t>
        </is>
      </c>
      <c r="N3522" t="inlineStr">
        <is>
          <t>Buffet</t>
        </is>
      </c>
      <c r="O3522" t="n">
        <v>2</v>
      </c>
      <c r="P3522" t="n">
        <v>4</v>
      </c>
      <c r="Q3522" t="n">
        <v>0</v>
      </c>
    </row>
    <row r="3523">
      <c r="J3523" t="inlineStr">
        <is>
          <t>A</t>
        </is>
      </c>
      <c r="K3523" t="n">
        <v>2025</v>
      </c>
      <c r="L3523" t="n">
        <v>8</v>
      </c>
      <c r="M3523" t="inlineStr">
        <is>
          <t>Muçarela Mozzana 2 kg</t>
        </is>
      </c>
      <c r="N3523" t="inlineStr">
        <is>
          <t>Buffet</t>
        </is>
      </c>
      <c r="O3523" t="n">
        <v>3</v>
      </c>
      <c r="P3523" t="n">
        <v>41</v>
      </c>
      <c r="Q3523" t="n">
        <v>0</v>
      </c>
    </row>
    <row r="3524">
      <c r="J3524" t="inlineStr">
        <is>
          <t>M</t>
        </is>
      </c>
      <c r="K3524" t="n">
        <v>2025</v>
      </c>
      <c r="L3524" t="n">
        <v>8</v>
      </c>
      <c r="M3524" t="inlineStr">
        <is>
          <t>Muçarela Mozzana 2 kg</t>
        </is>
      </c>
      <c r="N3524" t="inlineStr">
        <is>
          <t>Buffet</t>
        </is>
      </c>
      <c r="O3524" t="n">
        <v>2</v>
      </c>
      <c r="P3524" t="n">
        <v>4</v>
      </c>
      <c r="Q3524" t="n">
        <v>0</v>
      </c>
    </row>
    <row r="3525">
      <c r="J3525" t="inlineStr">
        <is>
          <t>A</t>
        </is>
      </c>
      <c r="K3525" t="n">
        <v>2025</v>
      </c>
      <c r="L3525" t="n">
        <v>9</v>
      </c>
      <c r="M3525" t="inlineStr">
        <is>
          <t>Muçarela Mozzana 2 kg</t>
        </is>
      </c>
      <c r="N3525" t="inlineStr">
        <is>
          <t>Buffet</t>
        </is>
      </c>
      <c r="O3525" t="n">
        <v>3</v>
      </c>
      <c r="P3525" t="n">
        <v>49</v>
      </c>
      <c r="Q3525" t="n">
        <v>0</v>
      </c>
    </row>
    <row r="3526">
      <c r="J3526" t="inlineStr">
        <is>
          <t>M</t>
        </is>
      </c>
      <c r="K3526" t="n">
        <v>2025</v>
      </c>
      <c r="L3526" t="n">
        <v>9</v>
      </c>
      <c r="M3526" t="inlineStr">
        <is>
          <t>Muçarela Mozzana 2 kg</t>
        </is>
      </c>
      <c r="N3526" t="inlineStr">
        <is>
          <t>Buffet</t>
        </is>
      </c>
      <c r="O3526" t="n">
        <v>2</v>
      </c>
      <c r="P3526" t="n">
        <v>8</v>
      </c>
      <c r="Q3526" t="n">
        <v>0</v>
      </c>
    </row>
    <row r="3527">
      <c r="J3527" t="inlineStr">
        <is>
          <t>A</t>
        </is>
      </c>
      <c r="K3527" t="n">
        <v>2025</v>
      </c>
      <c r="L3527" t="n">
        <v>10</v>
      </c>
      <c r="M3527" t="inlineStr">
        <is>
          <t>Muçarela Mozzana 2 kg</t>
        </is>
      </c>
      <c r="N3527" t="inlineStr">
        <is>
          <t>Buffet</t>
        </is>
      </c>
      <c r="O3527" t="n">
        <v>3</v>
      </c>
      <c r="P3527" t="n">
        <v>54</v>
      </c>
      <c r="Q3527" t="n">
        <v>0</v>
      </c>
    </row>
    <row r="3528">
      <c r="J3528" t="inlineStr">
        <is>
          <t>M</t>
        </is>
      </c>
      <c r="K3528" t="n">
        <v>2025</v>
      </c>
      <c r="L3528" t="n">
        <v>10</v>
      </c>
      <c r="M3528" t="inlineStr">
        <is>
          <t>Muçarela Mozzana 2 kg</t>
        </is>
      </c>
      <c r="N3528" t="inlineStr">
        <is>
          <t>Buffet</t>
        </is>
      </c>
      <c r="O3528" t="n">
        <v>2</v>
      </c>
      <c r="P3528" t="n">
        <v>5</v>
      </c>
      <c r="Q3528" t="n">
        <v>0</v>
      </c>
    </row>
    <row r="3529">
      <c r="J3529" t="inlineStr">
        <is>
          <t>A</t>
        </is>
      </c>
      <c r="K3529" t="n">
        <v>2025</v>
      </c>
      <c r="L3529" t="n">
        <v>11</v>
      </c>
      <c r="M3529" t="inlineStr">
        <is>
          <t>Muçarela Mozzana 2 kg</t>
        </is>
      </c>
      <c r="N3529" t="inlineStr">
        <is>
          <t>Buffet</t>
        </is>
      </c>
      <c r="O3529" t="n">
        <v>3</v>
      </c>
      <c r="P3529" t="n">
        <v>59</v>
      </c>
      <c r="Q3529" t="n">
        <v>0</v>
      </c>
    </row>
    <row r="3530">
      <c r="J3530" t="inlineStr">
        <is>
          <t>M</t>
        </is>
      </c>
      <c r="K3530" t="n">
        <v>2025</v>
      </c>
      <c r="L3530" t="n">
        <v>11</v>
      </c>
      <c r="M3530" t="inlineStr">
        <is>
          <t>Muçarela Mozzana 2 kg</t>
        </is>
      </c>
      <c r="N3530" t="inlineStr">
        <is>
          <t>Buffet</t>
        </is>
      </c>
      <c r="O3530" t="n">
        <v>2</v>
      </c>
      <c r="P3530" t="n">
        <v>5</v>
      </c>
      <c r="Q3530" t="n">
        <v>0</v>
      </c>
    </row>
    <row r="3531">
      <c r="J3531" t="inlineStr">
        <is>
          <t>A</t>
        </is>
      </c>
      <c r="K3531" t="n">
        <v>2025</v>
      </c>
      <c r="L3531" t="n">
        <v>12</v>
      </c>
      <c r="M3531" t="inlineStr">
        <is>
          <t>Muçarela Mozzana 2 kg</t>
        </is>
      </c>
      <c r="N3531" t="inlineStr">
        <is>
          <t>Buffet</t>
        </is>
      </c>
      <c r="O3531" t="n">
        <v>3</v>
      </c>
      <c r="P3531" t="n">
        <v>64</v>
      </c>
      <c r="Q3531" t="n">
        <v>0</v>
      </c>
    </row>
    <row r="3532">
      <c r="J3532" t="inlineStr">
        <is>
          <t>M</t>
        </is>
      </c>
      <c r="K3532" t="n">
        <v>2025</v>
      </c>
      <c r="L3532" t="n">
        <v>12</v>
      </c>
      <c r="M3532" t="inlineStr">
        <is>
          <t>Muçarela Mozzana 2 kg</t>
        </is>
      </c>
      <c r="N3532" t="inlineStr">
        <is>
          <t>Buffet</t>
        </is>
      </c>
      <c r="O3532" t="n">
        <v>2</v>
      </c>
      <c r="P3532" t="n">
        <v>5</v>
      </c>
      <c r="Q3532" t="n">
        <v>0</v>
      </c>
    </row>
    <row r="3533">
      <c r="J3533" t="inlineStr">
        <is>
          <t>A</t>
        </is>
      </c>
      <c r="K3533" t="n">
        <v>2025</v>
      </c>
      <c r="L3533" t="n">
        <v>1</v>
      </c>
      <c r="M3533" t="inlineStr">
        <is>
          <t>Muçarela Mozzana 2 kg</t>
        </is>
      </c>
      <c r="N3533" t="inlineStr">
        <is>
          <t>Hamburgueria</t>
        </is>
      </c>
      <c r="O3533" t="n">
        <v>2</v>
      </c>
      <c r="P3533" t="n">
        <v>4</v>
      </c>
      <c r="Q3533" t="n">
        <v>0</v>
      </c>
    </row>
    <row r="3534">
      <c r="J3534" t="inlineStr">
        <is>
          <t>M</t>
        </is>
      </c>
      <c r="K3534" t="n">
        <v>2025</v>
      </c>
      <c r="L3534" t="n">
        <v>1</v>
      </c>
      <c r="M3534" t="inlineStr">
        <is>
          <t>Muçarela Mozzana 2 kg</t>
        </is>
      </c>
      <c r="N3534" t="inlineStr">
        <is>
          <t>Hamburgueria</t>
        </is>
      </c>
      <c r="O3534" t="n">
        <v>2</v>
      </c>
      <c r="P3534" t="n">
        <v>4</v>
      </c>
      <c r="Q3534" t="n">
        <v>0</v>
      </c>
    </row>
    <row r="3535">
      <c r="J3535" t="inlineStr">
        <is>
          <t>A</t>
        </is>
      </c>
      <c r="K3535" t="n">
        <v>2025</v>
      </c>
      <c r="L3535" t="n">
        <v>2</v>
      </c>
      <c r="M3535" t="inlineStr">
        <is>
          <t>Muçarela Mozzana 2 kg</t>
        </is>
      </c>
      <c r="N3535" t="inlineStr">
        <is>
          <t>Hamburgueria</t>
        </is>
      </c>
      <c r="O3535" t="n">
        <v>3</v>
      </c>
      <c r="P3535" t="n">
        <v>7</v>
      </c>
      <c r="Q3535" t="n">
        <v>1</v>
      </c>
    </row>
    <row r="3536">
      <c r="J3536" t="inlineStr">
        <is>
          <t>M</t>
        </is>
      </c>
      <c r="K3536" t="n">
        <v>2025</v>
      </c>
      <c r="L3536" t="n">
        <v>2</v>
      </c>
      <c r="M3536" t="inlineStr">
        <is>
          <t>Muçarela Mozzana 2 kg</t>
        </is>
      </c>
      <c r="N3536" t="inlineStr">
        <is>
          <t>Hamburgueria</t>
        </is>
      </c>
      <c r="O3536" t="n">
        <v>2</v>
      </c>
      <c r="P3536" t="n">
        <v>3</v>
      </c>
      <c r="Q3536" t="n">
        <v>0</v>
      </c>
    </row>
    <row r="3537">
      <c r="J3537" t="inlineStr">
        <is>
          <t>A</t>
        </is>
      </c>
      <c r="K3537" t="n">
        <v>2025</v>
      </c>
      <c r="L3537" t="n">
        <v>3</v>
      </c>
      <c r="M3537" t="inlineStr">
        <is>
          <t>Muçarela Mozzana 2 kg</t>
        </is>
      </c>
      <c r="N3537" t="inlineStr">
        <is>
          <t>Hamburgueria</t>
        </is>
      </c>
      <c r="O3537" t="n">
        <v>3</v>
      </c>
      <c r="P3537" t="n">
        <v>7</v>
      </c>
      <c r="Q3537" t="n">
        <v>1</v>
      </c>
    </row>
    <row r="3538">
      <c r="J3538" t="inlineStr">
        <is>
          <t>A</t>
        </is>
      </c>
      <c r="K3538" t="n">
        <v>2025</v>
      </c>
      <c r="L3538" t="n">
        <v>4</v>
      </c>
      <c r="M3538" t="inlineStr">
        <is>
          <t>Muçarela Mozzana 2 kg</t>
        </is>
      </c>
      <c r="N3538" t="inlineStr">
        <is>
          <t>Hamburgueria</t>
        </is>
      </c>
      <c r="O3538" t="n">
        <v>3</v>
      </c>
      <c r="P3538" t="n">
        <v>8</v>
      </c>
      <c r="Q3538" t="n">
        <v>1</v>
      </c>
    </row>
    <row r="3539">
      <c r="J3539" t="inlineStr">
        <is>
          <t>M</t>
        </is>
      </c>
      <c r="K3539" t="n">
        <v>2025</v>
      </c>
      <c r="L3539" t="n">
        <v>4</v>
      </c>
      <c r="M3539" t="inlineStr">
        <is>
          <t>Muçarela Mozzana 2 kg</t>
        </is>
      </c>
      <c r="N3539" t="inlineStr">
        <is>
          <t>Hamburgueria</t>
        </is>
      </c>
      <c r="O3539" t="n">
        <v>1</v>
      </c>
      <c r="P3539" t="n">
        <v>1</v>
      </c>
      <c r="Q3539" t="n">
        <v>0</v>
      </c>
    </row>
    <row r="3540">
      <c r="J3540" t="inlineStr">
        <is>
          <t>A</t>
        </is>
      </c>
      <c r="K3540" t="n">
        <v>2025</v>
      </c>
      <c r="L3540" t="n">
        <v>5</v>
      </c>
      <c r="M3540" t="inlineStr">
        <is>
          <t>Muçarela Mozzana 2 kg</t>
        </is>
      </c>
      <c r="N3540" t="inlineStr">
        <is>
          <t>Hamburgueria</t>
        </is>
      </c>
      <c r="O3540" t="n">
        <v>3</v>
      </c>
      <c r="P3540" t="n">
        <v>8</v>
      </c>
      <c r="Q3540" t="n">
        <v>1</v>
      </c>
    </row>
    <row r="3541">
      <c r="J3541" t="inlineStr">
        <is>
          <t>A</t>
        </is>
      </c>
      <c r="K3541" t="n">
        <v>2025</v>
      </c>
      <c r="L3541" t="n">
        <v>6</v>
      </c>
      <c r="M3541" t="inlineStr">
        <is>
          <t>Muçarela Mozzana 2 kg</t>
        </is>
      </c>
      <c r="N3541" t="inlineStr">
        <is>
          <t>Hamburgueria</t>
        </is>
      </c>
      <c r="O3541" t="n">
        <v>3</v>
      </c>
      <c r="P3541" t="n">
        <v>8</v>
      </c>
      <c r="Q3541" t="n">
        <v>1</v>
      </c>
    </row>
    <row r="3542">
      <c r="J3542" t="inlineStr">
        <is>
          <t>A</t>
        </is>
      </c>
      <c r="K3542" t="n">
        <v>2025</v>
      </c>
      <c r="L3542" t="n">
        <v>7</v>
      </c>
      <c r="M3542" t="inlineStr">
        <is>
          <t>Muçarela Mozzana 2 kg</t>
        </is>
      </c>
      <c r="N3542" t="inlineStr">
        <is>
          <t>Hamburgueria</t>
        </is>
      </c>
      <c r="O3542" t="n">
        <v>4</v>
      </c>
      <c r="P3542" t="n">
        <v>9</v>
      </c>
      <c r="Q3542" t="n">
        <v>2</v>
      </c>
    </row>
    <row r="3543">
      <c r="J3543" t="inlineStr">
        <is>
          <t>M</t>
        </is>
      </c>
      <c r="K3543" t="n">
        <v>2025</v>
      </c>
      <c r="L3543" t="n">
        <v>7</v>
      </c>
      <c r="M3543" t="inlineStr">
        <is>
          <t>Muçarela Mozzana 2 kg</t>
        </is>
      </c>
      <c r="N3543" t="inlineStr">
        <is>
          <t>Hamburgueria</t>
        </is>
      </c>
      <c r="O3543" t="n">
        <v>1</v>
      </c>
      <c r="P3543" t="n">
        <v>1</v>
      </c>
      <c r="Q3543" t="n">
        <v>0</v>
      </c>
    </row>
    <row r="3544">
      <c r="J3544" t="inlineStr">
        <is>
          <t>A</t>
        </is>
      </c>
      <c r="K3544" t="n">
        <v>2025</v>
      </c>
      <c r="L3544" t="n">
        <v>8</v>
      </c>
      <c r="M3544" t="inlineStr">
        <is>
          <t>Muçarela Mozzana 2 kg</t>
        </is>
      </c>
      <c r="N3544" t="inlineStr">
        <is>
          <t>Hamburgueria</t>
        </is>
      </c>
      <c r="O3544" t="n">
        <v>5</v>
      </c>
      <c r="P3544" t="n">
        <v>10</v>
      </c>
      <c r="Q3544" t="n">
        <v>3</v>
      </c>
    </row>
    <row r="3545">
      <c r="J3545" t="inlineStr">
        <is>
          <t>M</t>
        </is>
      </c>
      <c r="K3545" t="n">
        <v>2025</v>
      </c>
      <c r="L3545" t="n">
        <v>8</v>
      </c>
      <c r="M3545" t="inlineStr">
        <is>
          <t>Muçarela Mozzana 2 kg</t>
        </is>
      </c>
      <c r="N3545" t="inlineStr">
        <is>
          <t>Hamburgueria</t>
        </is>
      </c>
      <c r="O3545" t="n">
        <v>1</v>
      </c>
      <c r="P3545" t="n">
        <v>1</v>
      </c>
      <c r="Q3545" t="n">
        <v>0</v>
      </c>
    </row>
    <row r="3546">
      <c r="J3546" t="inlineStr">
        <is>
          <t>A</t>
        </is>
      </c>
      <c r="K3546" t="n">
        <v>2025</v>
      </c>
      <c r="L3546" t="n">
        <v>9</v>
      </c>
      <c r="M3546" t="inlineStr">
        <is>
          <t>Muçarela Mozzana 2 kg</t>
        </is>
      </c>
      <c r="N3546" t="inlineStr">
        <is>
          <t>Hamburgueria</t>
        </is>
      </c>
      <c r="O3546" t="n">
        <v>5</v>
      </c>
      <c r="P3546" t="n">
        <v>10</v>
      </c>
      <c r="Q3546" t="n">
        <v>3</v>
      </c>
    </row>
    <row r="3547">
      <c r="J3547" t="inlineStr">
        <is>
          <t>A</t>
        </is>
      </c>
      <c r="K3547" t="n">
        <v>2025</v>
      </c>
      <c r="L3547" t="n">
        <v>10</v>
      </c>
      <c r="M3547" t="inlineStr">
        <is>
          <t>Muçarela Mozzana 2 kg</t>
        </is>
      </c>
      <c r="N3547" t="inlineStr">
        <is>
          <t>Hamburgueria</t>
        </is>
      </c>
      <c r="O3547" t="n">
        <v>5</v>
      </c>
      <c r="P3547" t="n">
        <v>10</v>
      </c>
      <c r="Q3547" t="n">
        <v>3</v>
      </c>
    </row>
    <row r="3548">
      <c r="J3548" t="inlineStr">
        <is>
          <t>A</t>
        </is>
      </c>
      <c r="K3548" t="n">
        <v>2025</v>
      </c>
      <c r="L3548" t="n">
        <v>11</v>
      </c>
      <c r="M3548" t="inlineStr">
        <is>
          <t>Muçarela Mozzana 2 kg</t>
        </is>
      </c>
      <c r="N3548" t="inlineStr">
        <is>
          <t>Hamburgueria</t>
        </is>
      </c>
      <c r="O3548" t="n">
        <v>5</v>
      </c>
      <c r="P3548" t="n">
        <v>10</v>
      </c>
      <c r="Q3548" t="n">
        <v>3</v>
      </c>
    </row>
    <row r="3549">
      <c r="J3549" t="inlineStr">
        <is>
          <t>A</t>
        </is>
      </c>
      <c r="K3549" t="n">
        <v>2025</v>
      </c>
      <c r="L3549" t="n">
        <v>12</v>
      </c>
      <c r="M3549" t="inlineStr">
        <is>
          <t>Muçarela Mozzana 2 kg</t>
        </is>
      </c>
      <c r="N3549" t="inlineStr">
        <is>
          <t>Hamburgueria</t>
        </is>
      </c>
      <c r="O3549" t="n">
        <v>5</v>
      </c>
      <c r="P3549" t="n">
        <v>10</v>
      </c>
      <c r="Q3549" t="n">
        <v>3</v>
      </c>
    </row>
    <row r="3550">
      <c r="J3550" t="inlineStr">
        <is>
          <t>A</t>
        </is>
      </c>
      <c r="K3550" t="n">
        <v>2025</v>
      </c>
      <c r="L3550" t="n">
        <v>1</v>
      </c>
      <c r="M3550" t="inlineStr">
        <is>
          <t>Muçarela Mozzana 2 kg</t>
        </is>
      </c>
      <c r="N3550" t="inlineStr">
        <is>
          <t>Laticínios / Distribuidor</t>
        </is>
      </c>
      <c r="O3550" t="n">
        <v>1</v>
      </c>
      <c r="P3550" t="n">
        <v>1</v>
      </c>
      <c r="Q3550" t="n">
        <v>0</v>
      </c>
    </row>
    <row r="3551">
      <c r="J3551" t="inlineStr">
        <is>
          <t>M</t>
        </is>
      </c>
      <c r="K3551" t="n">
        <v>2025</v>
      </c>
      <c r="L3551" t="n">
        <v>1</v>
      </c>
      <c r="M3551" t="inlineStr">
        <is>
          <t>Muçarela Mozzana 2 kg</t>
        </is>
      </c>
      <c r="N3551" t="inlineStr">
        <is>
          <t>Laticínios / Distribuidor</t>
        </is>
      </c>
      <c r="O3551" t="n">
        <v>1</v>
      </c>
      <c r="P3551" t="n">
        <v>1</v>
      </c>
      <c r="Q3551" t="n">
        <v>0</v>
      </c>
    </row>
    <row r="3552">
      <c r="J3552" t="inlineStr">
        <is>
          <t>A</t>
        </is>
      </c>
      <c r="K3552" t="n">
        <v>2025</v>
      </c>
      <c r="L3552" t="n">
        <v>2</v>
      </c>
      <c r="M3552" t="inlineStr">
        <is>
          <t>Muçarela Mozzana 2 kg</t>
        </is>
      </c>
      <c r="N3552" t="inlineStr">
        <is>
          <t>Laticínios / Distribuidor</t>
        </is>
      </c>
      <c r="O3552" t="n">
        <v>1</v>
      </c>
      <c r="P3552" t="n">
        <v>1</v>
      </c>
      <c r="Q3552" t="n">
        <v>0</v>
      </c>
    </row>
    <row r="3553">
      <c r="J3553" t="inlineStr">
        <is>
          <t>A</t>
        </is>
      </c>
      <c r="K3553" t="n">
        <v>2025</v>
      </c>
      <c r="L3553" t="n">
        <v>3</v>
      </c>
      <c r="M3553" t="inlineStr">
        <is>
          <t>Muçarela Mozzana 2 kg</t>
        </is>
      </c>
      <c r="N3553" t="inlineStr">
        <is>
          <t>Laticínios / Distribuidor</t>
        </is>
      </c>
      <c r="O3553" t="n">
        <v>1</v>
      </c>
      <c r="P3553" t="n">
        <v>1</v>
      </c>
      <c r="Q3553" t="n">
        <v>0</v>
      </c>
    </row>
    <row r="3554">
      <c r="J3554" t="inlineStr">
        <is>
          <t>A</t>
        </is>
      </c>
      <c r="K3554" t="n">
        <v>2025</v>
      </c>
      <c r="L3554" t="n">
        <v>4</v>
      </c>
      <c r="M3554" t="inlineStr">
        <is>
          <t>Muçarela Mozzana 2 kg</t>
        </is>
      </c>
      <c r="N3554" t="inlineStr">
        <is>
          <t>Laticínios / Distribuidor</t>
        </is>
      </c>
      <c r="O3554" t="n">
        <v>1</v>
      </c>
      <c r="P3554" t="n">
        <v>1</v>
      </c>
      <c r="Q3554" t="n">
        <v>0</v>
      </c>
    </row>
    <row r="3555">
      <c r="J3555" t="inlineStr">
        <is>
          <t>A</t>
        </is>
      </c>
      <c r="K3555" t="n">
        <v>2025</v>
      </c>
      <c r="L3555" t="n">
        <v>5</v>
      </c>
      <c r="M3555" t="inlineStr">
        <is>
          <t>Muçarela Mozzana 2 kg</t>
        </is>
      </c>
      <c r="N3555" t="inlineStr">
        <is>
          <t>Laticínios / Distribuidor</t>
        </is>
      </c>
      <c r="O3555" t="n">
        <v>1</v>
      </c>
      <c r="P3555" t="n">
        <v>1</v>
      </c>
      <c r="Q3555" t="n">
        <v>0</v>
      </c>
    </row>
    <row r="3556">
      <c r="J3556" t="inlineStr">
        <is>
          <t>A</t>
        </is>
      </c>
      <c r="K3556" t="n">
        <v>2025</v>
      </c>
      <c r="L3556" t="n">
        <v>6</v>
      </c>
      <c r="M3556" t="inlineStr">
        <is>
          <t>Muçarela Mozzana 2 kg</t>
        </is>
      </c>
      <c r="N3556" t="inlineStr">
        <is>
          <t>Laticínios / Distribuidor</t>
        </is>
      </c>
      <c r="O3556" t="n">
        <v>1</v>
      </c>
      <c r="P3556" t="n">
        <v>1</v>
      </c>
      <c r="Q3556" t="n">
        <v>0</v>
      </c>
    </row>
    <row r="3557">
      <c r="J3557" t="inlineStr">
        <is>
          <t>A</t>
        </is>
      </c>
      <c r="K3557" t="n">
        <v>2025</v>
      </c>
      <c r="L3557" t="n">
        <v>7</v>
      </c>
      <c r="M3557" t="inlineStr">
        <is>
          <t>Muçarela Mozzana 2 kg</t>
        </is>
      </c>
      <c r="N3557" t="inlineStr">
        <is>
          <t>Laticínios / Distribuidor</t>
        </is>
      </c>
      <c r="O3557" t="n">
        <v>1</v>
      </c>
      <c r="P3557" t="n">
        <v>1</v>
      </c>
      <c r="Q3557" t="n">
        <v>0</v>
      </c>
    </row>
    <row r="3558">
      <c r="J3558" t="inlineStr">
        <is>
          <t>A</t>
        </is>
      </c>
      <c r="K3558" t="n">
        <v>2025</v>
      </c>
      <c r="L3558" t="n">
        <v>8</v>
      </c>
      <c r="M3558" t="inlineStr">
        <is>
          <t>Muçarela Mozzana 2 kg</t>
        </is>
      </c>
      <c r="N3558" t="inlineStr">
        <is>
          <t>Laticínios / Distribuidor</t>
        </is>
      </c>
      <c r="O3558" t="n">
        <v>1</v>
      </c>
      <c r="P3558" t="n">
        <v>1</v>
      </c>
      <c r="Q3558" t="n">
        <v>0</v>
      </c>
    </row>
    <row r="3559">
      <c r="J3559" t="inlineStr">
        <is>
          <t>A</t>
        </is>
      </c>
      <c r="K3559" t="n">
        <v>2025</v>
      </c>
      <c r="L3559" t="n">
        <v>9</v>
      </c>
      <c r="M3559" t="inlineStr">
        <is>
          <t>Muçarela Mozzana 2 kg</t>
        </is>
      </c>
      <c r="N3559" t="inlineStr">
        <is>
          <t>Laticínios / Distribuidor</t>
        </is>
      </c>
      <c r="O3559" t="n">
        <v>1</v>
      </c>
      <c r="P3559" t="n">
        <v>1</v>
      </c>
      <c r="Q3559" t="n">
        <v>0</v>
      </c>
    </row>
    <row r="3560">
      <c r="J3560" t="inlineStr">
        <is>
          <t>A</t>
        </is>
      </c>
      <c r="K3560" t="n">
        <v>2025</v>
      </c>
      <c r="L3560" t="n">
        <v>10</v>
      </c>
      <c r="M3560" t="inlineStr">
        <is>
          <t>Muçarela Mozzana 2 kg</t>
        </is>
      </c>
      <c r="N3560" t="inlineStr">
        <is>
          <t>Laticínios / Distribuidor</t>
        </is>
      </c>
      <c r="O3560" t="n">
        <v>1</v>
      </c>
      <c r="P3560" t="n">
        <v>2</v>
      </c>
      <c r="Q3560" t="n">
        <v>0</v>
      </c>
    </row>
    <row r="3561">
      <c r="J3561" t="inlineStr">
        <is>
          <t>M</t>
        </is>
      </c>
      <c r="K3561" t="n">
        <v>2025</v>
      </c>
      <c r="L3561" t="n">
        <v>10</v>
      </c>
      <c r="M3561" t="inlineStr">
        <is>
          <t>Muçarela Mozzana 2 kg</t>
        </is>
      </c>
      <c r="N3561" t="inlineStr">
        <is>
          <t>Laticínios / Distribuidor</t>
        </is>
      </c>
      <c r="O3561" t="n">
        <v>1</v>
      </c>
      <c r="P3561" t="n">
        <v>1</v>
      </c>
      <c r="Q3561" t="n">
        <v>0</v>
      </c>
    </row>
    <row r="3562">
      <c r="J3562" t="inlineStr">
        <is>
          <t>A</t>
        </is>
      </c>
      <c r="K3562" t="n">
        <v>2025</v>
      </c>
      <c r="L3562" t="n">
        <v>11</v>
      </c>
      <c r="M3562" t="inlineStr">
        <is>
          <t>Muçarela Mozzana 2 kg</t>
        </is>
      </c>
      <c r="N3562" t="inlineStr">
        <is>
          <t>Laticínios / Distribuidor</t>
        </is>
      </c>
      <c r="O3562" t="n">
        <v>1</v>
      </c>
      <c r="P3562" t="n">
        <v>2</v>
      </c>
      <c r="Q3562" t="n">
        <v>0</v>
      </c>
    </row>
    <row r="3563">
      <c r="J3563" t="inlineStr">
        <is>
          <t>A</t>
        </is>
      </c>
      <c r="K3563" t="n">
        <v>2025</v>
      </c>
      <c r="L3563" t="n">
        <v>12</v>
      </c>
      <c r="M3563" t="inlineStr">
        <is>
          <t>Muçarela Mozzana 2 kg</t>
        </is>
      </c>
      <c r="N3563" t="inlineStr">
        <is>
          <t>Laticínios / Distribuidor</t>
        </is>
      </c>
      <c r="O3563" t="n">
        <v>1</v>
      </c>
      <c r="P3563" t="n">
        <v>2</v>
      </c>
      <c r="Q3563" t="n">
        <v>0</v>
      </c>
    </row>
    <row r="3564">
      <c r="J3564" t="inlineStr">
        <is>
          <t>A</t>
        </is>
      </c>
      <c r="K3564" t="n">
        <v>2025</v>
      </c>
      <c r="L3564" t="n">
        <v>1</v>
      </c>
      <c r="M3564" t="inlineStr">
        <is>
          <t>Muçarela Mozzana 2 kg</t>
        </is>
      </c>
      <c r="N3564" t="inlineStr">
        <is>
          <t>Cozinha Oriental</t>
        </is>
      </c>
      <c r="O3564" t="n">
        <v>1</v>
      </c>
      <c r="P3564" t="n">
        <v>8</v>
      </c>
      <c r="Q3564" t="n">
        <v>0</v>
      </c>
    </row>
    <row r="3565">
      <c r="J3565" t="inlineStr">
        <is>
          <t>M</t>
        </is>
      </c>
      <c r="K3565" t="n">
        <v>2025</v>
      </c>
      <c r="L3565" t="n">
        <v>1</v>
      </c>
      <c r="M3565" t="inlineStr">
        <is>
          <t>Muçarela Mozzana 2 kg</t>
        </is>
      </c>
      <c r="N3565" t="inlineStr">
        <is>
          <t>Cozinha Oriental</t>
        </is>
      </c>
      <c r="O3565" t="n">
        <v>1</v>
      </c>
      <c r="P3565" t="n">
        <v>8</v>
      </c>
      <c r="Q3565" t="n">
        <v>0</v>
      </c>
    </row>
    <row r="3566">
      <c r="J3566" t="inlineStr">
        <is>
          <t>A</t>
        </is>
      </c>
      <c r="K3566" t="n">
        <v>2025</v>
      </c>
      <c r="L3566" t="n">
        <v>2</v>
      </c>
      <c r="M3566" t="inlineStr">
        <is>
          <t>Muçarela Mozzana 2 kg</t>
        </is>
      </c>
      <c r="N3566" t="inlineStr">
        <is>
          <t>Cozinha Oriental</t>
        </is>
      </c>
      <c r="O3566" t="n">
        <v>1</v>
      </c>
      <c r="P3566" t="n">
        <v>14</v>
      </c>
      <c r="Q3566" t="n">
        <v>0</v>
      </c>
    </row>
    <row r="3567">
      <c r="J3567" t="inlineStr">
        <is>
          <t>M</t>
        </is>
      </c>
      <c r="K3567" t="n">
        <v>2025</v>
      </c>
      <c r="L3567" t="n">
        <v>2</v>
      </c>
      <c r="M3567" t="inlineStr">
        <is>
          <t>Muçarela Mozzana 2 kg</t>
        </is>
      </c>
      <c r="N3567" t="inlineStr">
        <is>
          <t>Cozinha Oriental</t>
        </is>
      </c>
      <c r="O3567" t="n">
        <v>1</v>
      </c>
      <c r="P3567" t="n">
        <v>6</v>
      </c>
      <c r="Q3567" t="n">
        <v>0</v>
      </c>
    </row>
    <row r="3568">
      <c r="J3568" t="inlineStr">
        <is>
          <t>A</t>
        </is>
      </c>
      <c r="K3568" t="n">
        <v>2025</v>
      </c>
      <c r="L3568" t="n">
        <v>3</v>
      </c>
      <c r="M3568" t="inlineStr">
        <is>
          <t>Muçarela Mozzana 2 kg</t>
        </is>
      </c>
      <c r="N3568" t="inlineStr">
        <is>
          <t>Cozinha Oriental</t>
        </is>
      </c>
      <c r="O3568" t="n">
        <v>1</v>
      </c>
      <c r="P3568" t="n">
        <v>20</v>
      </c>
      <c r="Q3568" t="n">
        <v>0</v>
      </c>
    </row>
    <row r="3569">
      <c r="J3569" t="inlineStr">
        <is>
          <t>M</t>
        </is>
      </c>
      <c r="K3569" t="n">
        <v>2025</v>
      </c>
      <c r="L3569" t="n">
        <v>3</v>
      </c>
      <c r="M3569" t="inlineStr">
        <is>
          <t>Muçarela Mozzana 2 kg</t>
        </is>
      </c>
      <c r="N3569" t="inlineStr">
        <is>
          <t>Cozinha Oriental</t>
        </is>
      </c>
      <c r="O3569" t="n">
        <v>1</v>
      </c>
      <c r="P3569" t="n">
        <v>6</v>
      </c>
      <c r="Q3569" t="n">
        <v>0</v>
      </c>
    </row>
    <row r="3570">
      <c r="J3570" t="inlineStr">
        <is>
          <t>A</t>
        </is>
      </c>
      <c r="K3570" t="n">
        <v>2025</v>
      </c>
      <c r="L3570" t="n">
        <v>4</v>
      </c>
      <c r="M3570" t="inlineStr">
        <is>
          <t>Muçarela Mozzana 2 kg</t>
        </is>
      </c>
      <c r="N3570" t="inlineStr">
        <is>
          <t>Cozinha Oriental</t>
        </is>
      </c>
      <c r="O3570" t="n">
        <v>1</v>
      </c>
      <c r="P3570" t="n">
        <v>21</v>
      </c>
      <c r="Q3570" t="n">
        <v>0</v>
      </c>
    </row>
    <row r="3571">
      <c r="J3571" t="inlineStr">
        <is>
          <t>M</t>
        </is>
      </c>
      <c r="K3571" t="n">
        <v>2025</v>
      </c>
      <c r="L3571" t="n">
        <v>4</v>
      </c>
      <c r="M3571" t="inlineStr">
        <is>
          <t>Muçarela Mozzana 2 kg</t>
        </is>
      </c>
      <c r="N3571" t="inlineStr">
        <is>
          <t>Cozinha Oriental</t>
        </is>
      </c>
      <c r="O3571" t="n">
        <v>1</v>
      </c>
      <c r="P3571" t="n">
        <v>1</v>
      </c>
      <c r="Q3571" t="n">
        <v>0</v>
      </c>
    </row>
    <row r="3572">
      <c r="J3572" t="inlineStr">
        <is>
          <t>A</t>
        </is>
      </c>
      <c r="K3572" t="n">
        <v>2025</v>
      </c>
      <c r="L3572" t="n">
        <v>5</v>
      </c>
      <c r="M3572" t="inlineStr">
        <is>
          <t>Muçarela Mozzana 2 kg</t>
        </is>
      </c>
      <c r="N3572" t="inlineStr">
        <is>
          <t>Cozinha Oriental</t>
        </is>
      </c>
      <c r="O3572" t="n">
        <v>1</v>
      </c>
      <c r="P3572" t="n">
        <v>21</v>
      </c>
      <c r="Q3572" t="n">
        <v>0</v>
      </c>
    </row>
    <row r="3573">
      <c r="J3573" t="inlineStr">
        <is>
          <t>A</t>
        </is>
      </c>
      <c r="K3573" t="n">
        <v>2025</v>
      </c>
      <c r="L3573" t="n">
        <v>6</v>
      </c>
      <c r="M3573" t="inlineStr">
        <is>
          <t>Muçarela Mozzana 2 kg</t>
        </is>
      </c>
      <c r="N3573" t="inlineStr">
        <is>
          <t>Cozinha Oriental</t>
        </is>
      </c>
      <c r="O3573" t="n">
        <v>1</v>
      </c>
      <c r="P3573" t="n">
        <v>21</v>
      </c>
      <c r="Q3573" t="n">
        <v>0</v>
      </c>
    </row>
    <row r="3574">
      <c r="J3574" t="inlineStr">
        <is>
          <t>A</t>
        </is>
      </c>
      <c r="K3574" t="n">
        <v>2025</v>
      </c>
      <c r="L3574" t="n">
        <v>7</v>
      </c>
      <c r="M3574" t="inlineStr">
        <is>
          <t>Muçarela Mozzana 2 kg</t>
        </is>
      </c>
      <c r="N3574" t="inlineStr">
        <is>
          <t>Cozinha Oriental</t>
        </is>
      </c>
      <c r="O3574" t="n">
        <v>1</v>
      </c>
      <c r="P3574" t="n">
        <v>21</v>
      </c>
      <c r="Q3574" t="n">
        <v>0</v>
      </c>
    </row>
    <row r="3575">
      <c r="J3575" t="inlineStr">
        <is>
          <t>A</t>
        </is>
      </c>
      <c r="K3575" t="n">
        <v>2025</v>
      </c>
      <c r="L3575" t="n">
        <v>8</v>
      </c>
      <c r="M3575" t="inlineStr">
        <is>
          <t>Muçarela Mozzana 2 kg</t>
        </is>
      </c>
      <c r="N3575" t="inlineStr">
        <is>
          <t>Cozinha Oriental</t>
        </is>
      </c>
      <c r="O3575" t="n">
        <v>1</v>
      </c>
      <c r="P3575" t="n">
        <v>21</v>
      </c>
      <c r="Q3575" t="n">
        <v>0</v>
      </c>
    </row>
    <row r="3576">
      <c r="J3576" t="inlineStr">
        <is>
          <t>A</t>
        </is>
      </c>
      <c r="K3576" t="n">
        <v>2025</v>
      </c>
      <c r="L3576" t="n">
        <v>9</v>
      </c>
      <c r="M3576" t="inlineStr">
        <is>
          <t>Muçarela Mozzana 2 kg</t>
        </is>
      </c>
      <c r="N3576" t="inlineStr">
        <is>
          <t>Cozinha Oriental</t>
        </is>
      </c>
      <c r="O3576" t="n">
        <v>1</v>
      </c>
      <c r="P3576" t="n">
        <v>21</v>
      </c>
      <c r="Q3576" t="n">
        <v>0</v>
      </c>
    </row>
    <row r="3577">
      <c r="J3577" t="inlineStr">
        <is>
          <t>A</t>
        </is>
      </c>
      <c r="K3577" t="n">
        <v>2025</v>
      </c>
      <c r="L3577" t="n">
        <v>10</v>
      </c>
      <c r="M3577" t="inlineStr">
        <is>
          <t>Muçarela Mozzana 2 kg</t>
        </is>
      </c>
      <c r="N3577" t="inlineStr">
        <is>
          <t>Cozinha Oriental</t>
        </is>
      </c>
      <c r="O3577" t="n">
        <v>1</v>
      </c>
      <c r="P3577" t="n">
        <v>21</v>
      </c>
      <c r="Q3577" t="n">
        <v>0</v>
      </c>
    </row>
    <row r="3578">
      <c r="J3578" t="inlineStr">
        <is>
          <t>A</t>
        </is>
      </c>
      <c r="K3578" t="n">
        <v>2025</v>
      </c>
      <c r="L3578" t="n">
        <v>11</v>
      </c>
      <c r="M3578" t="inlineStr">
        <is>
          <t>Muçarela Mozzana 2 kg</t>
        </is>
      </c>
      <c r="N3578" t="inlineStr">
        <is>
          <t>Cozinha Oriental</t>
        </is>
      </c>
      <c r="O3578" t="n">
        <v>1</v>
      </c>
      <c r="P3578" t="n">
        <v>21</v>
      </c>
      <c r="Q3578" t="n">
        <v>0</v>
      </c>
    </row>
    <row r="3579">
      <c r="J3579" t="inlineStr">
        <is>
          <t>A</t>
        </is>
      </c>
      <c r="K3579" t="n">
        <v>2025</v>
      </c>
      <c r="L3579" t="n">
        <v>12</v>
      </c>
      <c r="M3579" t="inlineStr">
        <is>
          <t>Muçarela Mozzana 2 kg</t>
        </is>
      </c>
      <c r="N3579" t="inlineStr">
        <is>
          <t>Cozinha Oriental</t>
        </is>
      </c>
      <c r="O3579" t="n">
        <v>1</v>
      </c>
      <c r="P3579" t="n">
        <v>21</v>
      </c>
      <c r="Q3579" t="n">
        <v>0</v>
      </c>
    </row>
    <row r="3580">
      <c r="J3580" t="inlineStr">
        <is>
          <t>A</t>
        </is>
      </c>
      <c r="K3580" t="n">
        <v>2025</v>
      </c>
      <c r="L3580" t="n">
        <v>3</v>
      </c>
      <c r="M3580" t="inlineStr">
        <is>
          <t>Muçarela Mozzana 2 kg</t>
        </is>
      </c>
      <c r="N3580" t="inlineStr">
        <is>
          <t>Adega</t>
        </is>
      </c>
      <c r="O3580" t="n">
        <v>1</v>
      </c>
      <c r="P3580" t="n">
        <v>1</v>
      </c>
      <c r="Q3580" t="n">
        <v>0</v>
      </c>
    </row>
    <row r="3581">
      <c r="J3581" t="inlineStr">
        <is>
          <t>M</t>
        </is>
      </c>
      <c r="K3581" t="n">
        <v>2025</v>
      </c>
      <c r="L3581" t="n">
        <v>3</v>
      </c>
      <c r="M3581" t="inlineStr">
        <is>
          <t>Muçarela Mozzana 2 kg</t>
        </is>
      </c>
      <c r="N3581" t="inlineStr">
        <is>
          <t>Adega</t>
        </is>
      </c>
      <c r="O3581" t="n">
        <v>1</v>
      </c>
      <c r="P3581" t="n">
        <v>1</v>
      </c>
      <c r="Q3581" t="n">
        <v>0</v>
      </c>
    </row>
    <row r="3582">
      <c r="J3582" t="inlineStr">
        <is>
          <t>A</t>
        </is>
      </c>
      <c r="K3582" t="n">
        <v>2025</v>
      </c>
      <c r="L3582" t="n">
        <v>4</v>
      </c>
      <c r="M3582" t="inlineStr">
        <is>
          <t>Muçarela Mozzana 2 kg</t>
        </is>
      </c>
      <c r="N3582" t="inlineStr">
        <is>
          <t>Adega</t>
        </is>
      </c>
      <c r="O3582" t="n">
        <v>1</v>
      </c>
      <c r="P3582" t="n">
        <v>1</v>
      </c>
      <c r="Q3582" t="n">
        <v>0</v>
      </c>
    </row>
    <row r="3583">
      <c r="J3583" t="inlineStr">
        <is>
          <t>A</t>
        </is>
      </c>
      <c r="K3583" t="n">
        <v>2025</v>
      </c>
      <c r="L3583" t="n">
        <v>5</v>
      </c>
      <c r="M3583" t="inlineStr">
        <is>
          <t>Muçarela Mozzana 2 kg</t>
        </is>
      </c>
      <c r="N3583" t="inlineStr">
        <is>
          <t>Adega</t>
        </is>
      </c>
      <c r="O3583" t="n">
        <v>1</v>
      </c>
      <c r="P3583" t="n">
        <v>1</v>
      </c>
      <c r="Q3583" t="n">
        <v>0</v>
      </c>
    </row>
    <row r="3584">
      <c r="J3584" t="inlineStr">
        <is>
          <t>A</t>
        </is>
      </c>
      <c r="K3584" t="n">
        <v>2025</v>
      </c>
      <c r="L3584" t="n">
        <v>6</v>
      </c>
      <c r="M3584" t="inlineStr">
        <is>
          <t>Muçarela Mozzana 2 kg</t>
        </is>
      </c>
      <c r="N3584" t="inlineStr">
        <is>
          <t>Adega</t>
        </is>
      </c>
      <c r="O3584" t="n">
        <v>1</v>
      </c>
      <c r="P3584" t="n">
        <v>1</v>
      </c>
      <c r="Q3584" t="n">
        <v>0</v>
      </c>
    </row>
    <row r="3585">
      <c r="J3585" t="inlineStr">
        <is>
          <t>A</t>
        </is>
      </c>
      <c r="K3585" t="n">
        <v>2025</v>
      </c>
      <c r="L3585" t="n">
        <v>7</v>
      </c>
      <c r="M3585" t="inlineStr">
        <is>
          <t>Muçarela Mozzana 2 kg</t>
        </is>
      </c>
      <c r="N3585" t="inlineStr">
        <is>
          <t>Adega</t>
        </is>
      </c>
      <c r="O3585" t="n">
        <v>1</v>
      </c>
      <c r="P3585" t="n">
        <v>1</v>
      </c>
      <c r="Q3585" t="n">
        <v>0</v>
      </c>
    </row>
    <row r="3586">
      <c r="J3586" t="inlineStr">
        <is>
          <t>A</t>
        </is>
      </c>
      <c r="K3586" t="n">
        <v>2025</v>
      </c>
      <c r="L3586" t="n">
        <v>8</v>
      </c>
      <c r="M3586" t="inlineStr">
        <is>
          <t>Muçarela Mozzana 2 kg</t>
        </is>
      </c>
      <c r="N3586" t="inlineStr">
        <is>
          <t>Adega</t>
        </is>
      </c>
      <c r="O3586" t="n">
        <v>1</v>
      </c>
      <c r="P3586" t="n">
        <v>1</v>
      </c>
      <c r="Q3586" t="n">
        <v>0</v>
      </c>
    </row>
    <row r="3587">
      <c r="J3587" t="inlineStr">
        <is>
          <t>A</t>
        </is>
      </c>
      <c r="K3587" t="n">
        <v>2025</v>
      </c>
      <c r="L3587" t="n">
        <v>9</v>
      </c>
      <c r="M3587" t="inlineStr">
        <is>
          <t>Muçarela Mozzana 2 kg</t>
        </is>
      </c>
      <c r="N3587" t="inlineStr">
        <is>
          <t>Adega</t>
        </is>
      </c>
      <c r="O3587" t="n">
        <v>1</v>
      </c>
      <c r="P3587" t="n">
        <v>1</v>
      </c>
      <c r="Q3587" t="n">
        <v>0</v>
      </c>
    </row>
    <row r="3588">
      <c r="J3588" t="inlineStr">
        <is>
          <t>A</t>
        </is>
      </c>
      <c r="K3588" t="n">
        <v>2025</v>
      </c>
      <c r="L3588" t="n">
        <v>10</v>
      </c>
      <c r="M3588" t="inlineStr">
        <is>
          <t>Muçarela Mozzana 2 kg</t>
        </is>
      </c>
      <c r="N3588" t="inlineStr">
        <is>
          <t>Adega</t>
        </is>
      </c>
      <c r="O3588" t="n">
        <v>1</v>
      </c>
      <c r="P3588" t="n">
        <v>1</v>
      </c>
      <c r="Q3588" t="n">
        <v>0</v>
      </c>
    </row>
    <row r="3589">
      <c r="J3589" t="inlineStr">
        <is>
          <t>A</t>
        </is>
      </c>
      <c r="K3589" t="n">
        <v>2025</v>
      </c>
      <c r="L3589" t="n">
        <v>11</v>
      </c>
      <c r="M3589" t="inlineStr">
        <is>
          <t>Muçarela Mozzana 2 kg</t>
        </is>
      </c>
      <c r="N3589" t="inlineStr">
        <is>
          <t>Adega</t>
        </is>
      </c>
      <c r="O3589" t="n">
        <v>1</v>
      </c>
      <c r="P3589" t="n">
        <v>1</v>
      </c>
      <c r="Q3589" t="n">
        <v>0</v>
      </c>
    </row>
    <row r="3590">
      <c r="J3590" t="inlineStr">
        <is>
          <t>A</t>
        </is>
      </c>
      <c r="K3590" t="n">
        <v>2025</v>
      </c>
      <c r="L3590" t="n">
        <v>12</v>
      </c>
      <c r="M3590" t="inlineStr">
        <is>
          <t>Muçarela Mozzana 2 kg</t>
        </is>
      </c>
      <c r="N3590" t="inlineStr">
        <is>
          <t>Adega</t>
        </is>
      </c>
      <c r="O3590" t="n">
        <v>1</v>
      </c>
      <c r="P3590" t="n">
        <v>1</v>
      </c>
      <c r="Q3590" t="n">
        <v>0</v>
      </c>
    </row>
    <row r="3591">
      <c r="J3591" t="inlineStr">
        <is>
          <t>A</t>
        </is>
      </c>
      <c r="K3591" t="n">
        <v>2025</v>
      </c>
      <c r="L3591" t="n">
        <v>3</v>
      </c>
      <c r="M3591" t="inlineStr">
        <is>
          <t>Muçarela Mozzana 2 kg</t>
        </is>
      </c>
      <c r="N3591" t="inlineStr">
        <is>
          <t>Bar / Chopperia</t>
        </is>
      </c>
      <c r="O3591" t="n">
        <v>1</v>
      </c>
      <c r="P3591" t="n">
        <v>1</v>
      </c>
      <c r="Q3591" t="n">
        <v>0</v>
      </c>
    </row>
    <row r="3592">
      <c r="J3592" t="inlineStr">
        <is>
          <t>M</t>
        </is>
      </c>
      <c r="K3592" t="n">
        <v>2025</v>
      </c>
      <c r="L3592" t="n">
        <v>3</v>
      </c>
      <c r="M3592" t="inlineStr">
        <is>
          <t>Muçarela Mozzana 2 kg</t>
        </is>
      </c>
      <c r="N3592" t="inlineStr">
        <is>
          <t>Bar / Chopperia</t>
        </is>
      </c>
      <c r="O3592" t="n">
        <v>1</v>
      </c>
      <c r="P3592" t="n">
        <v>1</v>
      </c>
      <c r="Q3592" t="n">
        <v>0</v>
      </c>
    </row>
    <row r="3593">
      <c r="J3593" t="inlineStr">
        <is>
          <t>A</t>
        </is>
      </c>
      <c r="K3593" t="n">
        <v>2025</v>
      </c>
      <c r="L3593" t="n">
        <v>4</v>
      </c>
      <c r="M3593" t="inlineStr">
        <is>
          <t>Muçarela Mozzana 2 kg</t>
        </is>
      </c>
      <c r="N3593" t="inlineStr">
        <is>
          <t>Bar / Chopperia</t>
        </is>
      </c>
      <c r="O3593" t="n">
        <v>1</v>
      </c>
      <c r="P3593" t="n">
        <v>1</v>
      </c>
      <c r="Q3593" t="n">
        <v>0</v>
      </c>
    </row>
    <row r="3594">
      <c r="J3594" t="inlineStr">
        <is>
          <t>A</t>
        </is>
      </c>
      <c r="K3594" t="n">
        <v>2025</v>
      </c>
      <c r="L3594" t="n">
        <v>5</v>
      </c>
      <c r="M3594" t="inlineStr">
        <is>
          <t>Muçarela Mozzana 2 kg</t>
        </is>
      </c>
      <c r="N3594" t="inlineStr">
        <is>
          <t>Bar / Chopperia</t>
        </is>
      </c>
      <c r="O3594" t="n">
        <v>1</v>
      </c>
      <c r="P3594" t="n">
        <v>1</v>
      </c>
      <c r="Q3594" t="n">
        <v>0</v>
      </c>
    </row>
    <row r="3595">
      <c r="J3595" t="inlineStr">
        <is>
          <t>A</t>
        </is>
      </c>
      <c r="K3595" t="n">
        <v>2025</v>
      </c>
      <c r="L3595" t="n">
        <v>6</v>
      </c>
      <c r="M3595" t="inlineStr">
        <is>
          <t>Muçarela Mozzana 2 kg</t>
        </is>
      </c>
      <c r="N3595" t="inlineStr">
        <is>
          <t>Bar / Chopperia</t>
        </is>
      </c>
      <c r="O3595" t="n">
        <v>1</v>
      </c>
      <c r="P3595" t="n">
        <v>1</v>
      </c>
      <c r="Q3595" t="n">
        <v>0</v>
      </c>
    </row>
    <row r="3596">
      <c r="J3596" t="inlineStr">
        <is>
          <t>A</t>
        </is>
      </c>
      <c r="K3596" t="n">
        <v>2025</v>
      </c>
      <c r="L3596" t="n">
        <v>7</v>
      </c>
      <c r="M3596" t="inlineStr">
        <is>
          <t>Muçarela Mozzana 2 kg</t>
        </is>
      </c>
      <c r="N3596" t="inlineStr">
        <is>
          <t>Bar / Chopperia</t>
        </is>
      </c>
      <c r="O3596" t="n">
        <v>1</v>
      </c>
      <c r="P3596" t="n">
        <v>1</v>
      </c>
      <c r="Q3596" t="n">
        <v>0</v>
      </c>
    </row>
    <row r="3597">
      <c r="J3597" t="inlineStr">
        <is>
          <t>A</t>
        </is>
      </c>
      <c r="K3597" t="n">
        <v>2025</v>
      </c>
      <c r="L3597" t="n">
        <v>8</v>
      </c>
      <c r="M3597" t="inlineStr">
        <is>
          <t>Muçarela Mozzana 2 kg</t>
        </is>
      </c>
      <c r="N3597" t="inlineStr">
        <is>
          <t>Bar / Chopperia</t>
        </is>
      </c>
      <c r="O3597" t="n">
        <v>1</v>
      </c>
      <c r="P3597" t="n">
        <v>2</v>
      </c>
      <c r="Q3597" t="n">
        <v>0</v>
      </c>
    </row>
    <row r="3598">
      <c r="J3598" t="inlineStr">
        <is>
          <t>M</t>
        </is>
      </c>
      <c r="K3598" t="n">
        <v>2025</v>
      </c>
      <c r="L3598" t="n">
        <v>8</v>
      </c>
      <c r="M3598" t="inlineStr">
        <is>
          <t>Muçarela Mozzana 2 kg</t>
        </is>
      </c>
      <c r="N3598" t="inlineStr">
        <is>
          <t>Bar / Chopperia</t>
        </is>
      </c>
      <c r="O3598" t="n">
        <v>1</v>
      </c>
      <c r="P3598" t="n">
        <v>1</v>
      </c>
      <c r="Q3598" t="n">
        <v>0</v>
      </c>
    </row>
    <row r="3599">
      <c r="J3599" t="inlineStr">
        <is>
          <t>A</t>
        </is>
      </c>
      <c r="K3599" t="n">
        <v>2025</v>
      </c>
      <c r="L3599" t="n">
        <v>9</v>
      </c>
      <c r="M3599" t="inlineStr">
        <is>
          <t>Muçarela Mozzana 2 kg</t>
        </is>
      </c>
      <c r="N3599" t="inlineStr">
        <is>
          <t>Bar / Chopperia</t>
        </is>
      </c>
      <c r="O3599" t="n">
        <v>1</v>
      </c>
      <c r="P3599" t="n">
        <v>3</v>
      </c>
      <c r="Q3599" t="n">
        <v>0</v>
      </c>
    </row>
    <row r="3600">
      <c r="J3600" t="inlineStr">
        <is>
          <t>M</t>
        </is>
      </c>
      <c r="K3600" t="n">
        <v>2025</v>
      </c>
      <c r="L3600" t="n">
        <v>9</v>
      </c>
      <c r="M3600" t="inlineStr">
        <is>
          <t>Muçarela Mozzana 2 kg</t>
        </is>
      </c>
      <c r="N3600" t="inlineStr">
        <is>
          <t>Bar / Chopperia</t>
        </is>
      </c>
      <c r="O3600" t="n">
        <v>1</v>
      </c>
      <c r="P3600" t="n">
        <v>1</v>
      </c>
      <c r="Q3600" t="n">
        <v>0</v>
      </c>
    </row>
    <row r="3601">
      <c r="J3601" t="inlineStr">
        <is>
          <t>A</t>
        </is>
      </c>
      <c r="K3601" t="n">
        <v>2025</v>
      </c>
      <c r="L3601" t="n">
        <v>10</v>
      </c>
      <c r="M3601" t="inlineStr">
        <is>
          <t>Muçarela Mozzana 2 kg</t>
        </is>
      </c>
      <c r="N3601" t="inlineStr">
        <is>
          <t>Bar / Chopperia</t>
        </is>
      </c>
      <c r="O3601" t="n">
        <v>1</v>
      </c>
      <c r="P3601" t="n">
        <v>3</v>
      </c>
      <c r="Q3601" t="n">
        <v>0</v>
      </c>
    </row>
    <row r="3602">
      <c r="J3602" t="inlineStr">
        <is>
          <t>A</t>
        </is>
      </c>
      <c r="K3602" t="n">
        <v>2025</v>
      </c>
      <c r="L3602" t="n">
        <v>11</v>
      </c>
      <c r="M3602" t="inlineStr">
        <is>
          <t>Muçarela Mozzana 2 kg</t>
        </is>
      </c>
      <c r="N3602" t="inlineStr">
        <is>
          <t>Bar / Chopperia</t>
        </is>
      </c>
      <c r="O3602" t="n">
        <v>1</v>
      </c>
      <c r="P3602" t="n">
        <v>3</v>
      </c>
      <c r="Q3602" t="n">
        <v>0</v>
      </c>
    </row>
    <row r="3603">
      <c r="J3603" t="inlineStr">
        <is>
          <t>A</t>
        </is>
      </c>
      <c r="K3603" t="n">
        <v>2025</v>
      </c>
      <c r="L3603" t="n">
        <v>12</v>
      </c>
      <c r="M3603" t="inlineStr">
        <is>
          <t>Muçarela Mozzana 2 kg</t>
        </is>
      </c>
      <c r="N3603" t="inlineStr">
        <is>
          <t>Bar / Chopperia</t>
        </is>
      </c>
      <c r="O3603" t="n">
        <v>1</v>
      </c>
      <c r="P3603" t="n">
        <v>3</v>
      </c>
      <c r="Q3603" t="n">
        <v>0</v>
      </c>
    </row>
    <row r="3604">
      <c r="J3604" t="inlineStr">
        <is>
          <t>A</t>
        </is>
      </c>
      <c r="K3604" t="n">
        <v>2025</v>
      </c>
      <c r="L3604" t="n">
        <v>1</v>
      </c>
      <c r="M3604" t="inlineStr">
        <is>
          <t>Muçarela Mozzana 2 kg</t>
        </is>
      </c>
      <c r="N3604" t="inlineStr">
        <is>
          <t>Confeitaria</t>
        </is>
      </c>
      <c r="O3604" t="n">
        <v>1</v>
      </c>
      <c r="P3604" t="n">
        <v>1</v>
      </c>
      <c r="Q3604" t="n">
        <v>0</v>
      </c>
    </row>
    <row r="3605">
      <c r="J3605" t="inlineStr">
        <is>
          <t>M</t>
        </is>
      </c>
      <c r="K3605" t="n">
        <v>2025</v>
      </c>
      <c r="L3605" t="n">
        <v>1</v>
      </c>
      <c r="M3605" t="inlineStr">
        <is>
          <t>Muçarela Mozzana 2 kg</t>
        </is>
      </c>
      <c r="N3605" t="inlineStr">
        <is>
          <t>Confeitaria</t>
        </is>
      </c>
      <c r="O3605" t="n">
        <v>1</v>
      </c>
      <c r="P3605" t="n">
        <v>1</v>
      </c>
      <c r="Q3605" t="n">
        <v>0</v>
      </c>
    </row>
    <row r="3606">
      <c r="J3606" t="inlineStr">
        <is>
          <t>A</t>
        </is>
      </c>
      <c r="K3606" t="n">
        <v>2025</v>
      </c>
      <c r="L3606" t="n">
        <v>2</v>
      </c>
      <c r="M3606" t="inlineStr">
        <is>
          <t>Muçarela Mozzana 2 kg</t>
        </is>
      </c>
      <c r="N3606" t="inlineStr">
        <is>
          <t>Confeitaria</t>
        </is>
      </c>
      <c r="O3606" t="n">
        <v>2</v>
      </c>
      <c r="P3606" t="n">
        <v>3</v>
      </c>
      <c r="Q3606" t="n">
        <v>1</v>
      </c>
    </row>
    <row r="3607">
      <c r="J3607" t="inlineStr">
        <is>
          <t>M</t>
        </is>
      </c>
      <c r="K3607" t="n">
        <v>2025</v>
      </c>
      <c r="L3607" t="n">
        <v>2</v>
      </c>
      <c r="M3607" t="inlineStr">
        <is>
          <t>Muçarela Mozzana 2 kg</t>
        </is>
      </c>
      <c r="N3607" t="inlineStr">
        <is>
          <t>Confeitaria</t>
        </is>
      </c>
      <c r="O3607" t="n">
        <v>2</v>
      </c>
      <c r="P3607" t="n">
        <v>2</v>
      </c>
      <c r="Q3607" t="n">
        <v>0</v>
      </c>
    </row>
    <row r="3608">
      <c r="J3608" t="inlineStr">
        <is>
          <t>A</t>
        </is>
      </c>
      <c r="K3608" t="n">
        <v>2025</v>
      </c>
      <c r="L3608" t="n">
        <v>3</v>
      </c>
      <c r="M3608" t="inlineStr">
        <is>
          <t>Muçarela Mozzana 2 kg</t>
        </is>
      </c>
      <c r="N3608" t="inlineStr">
        <is>
          <t>Confeitaria</t>
        </is>
      </c>
      <c r="O3608" t="n">
        <v>2</v>
      </c>
      <c r="P3608" t="n">
        <v>4</v>
      </c>
      <c r="Q3608" t="n">
        <v>1</v>
      </c>
    </row>
    <row r="3609">
      <c r="J3609" t="inlineStr">
        <is>
          <t>M</t>
        </is>
      </c>
      <c r="K3609" t="n">
        <v>2025</v>
      </c>
      <c r="L3609" t="n">
        <v>3</v>
      </c>
      <c r="M3609" t="inlineStr">
        <is>
          <t>Muçarela Mozzana 2 kg</t>
        </is>
      </c>
      <c r="N3609" t="inlineStr">
        <is>
          <t>Confeitaria</t>
        </is>
      </c>
      <c r="O3609" t="n">
        <v>1</v>
      </c>
      <c r="P3609" t="n">
        <v>1</v>
      </c>
      <c r="Q3609" t="n">
        <v>0</v>
      </c>
    </row>
    <row r="3610">
      <c r="J3610" t="inlineStr">
        <is>
          <t>A</t>
        </is>
      </c>
      <c r="K3610" t="n">
        <v>2025</v>
      </c>
      <c r="L3610" t="n">
        <v>4</v>
      </c>
      <c r="M3610" t="inlineStr">
        <is>
          <t>Muçarela Mozzana 2 kg</t>
        </is>
      </c>
      <c r="N3610" t="inlineStr">
        <is>
          <t>Confeitaria</t>
        </is>
      </c>
      <c r="O3610" t="n">
        <v>2</v>
      </c>
      <c r="P3610" t="n">
        <v>5</v>
      </c>
      <c r="Q3610" t="n">
        <v>1</v>
      </c>
    </row>
    <row r="3611">
      <c r="J3611" t="inlineStr">
        <is>
          <t>M</t>
        </is>
      </c>
      <c r="K3611" t="n">
        <v>2025</v>
      </c>
      <c r="L3611" t="n">
        <v>4</v>
      </c>
      <c r="M3611" t="inlineStr">
        <is>
          <t>Muçarela Mozzana 2 kg</t>
        </is>
      </c>
      <c r="N3611" t="inlineStr">
        <is>
          <t>Confeitaria</t>
        </is>
      </c>
      <c r="O3611" t="n">
        <v>1</v>
      </c>
      <c r="P3611" t="n">
        <v>1</v>
      </c>
      <c r="Q3611" t="n">
        <v>0</v>
      </c>
    </row>
    <row r="3612">
      <c r="J3612" t="inlineStr">
        <is>
          <t>A</t>
        </is>
      </c>
      <c r="K3612" t="n">
        <v>2025</v>
      </c>
      <c r="L3612" t="n">
        <v>5</v>
      </c>
      <c r="M3612" t="inlineStr">
        <is>
          <t>Muçarela Mozzana 2 kg</t>
        </is>
      </c>
      <c r="N3612" t="inlineStr">
        <is>
          <t>Confeitaria</t>
        </is>
      </c>
      <c r="O3612" t="n">
        <v>2</v>
      </c>
      <c r="P3612" t="n">
        <v>5</v>
      </c>
      <c r="Q3612" t="n">
        <v>1</v>
      </c>
    </row>
    <row r="3613">
      <c r="J3613" t="inlineStr">
        <is>
          <t>A</t>
        </is>
      </c>
      <c r="K3613" t="n">
        <v>2025</v>
      </c>
      <c r="L3613" t="n">
        <v>6</v>
      </c>
      <c r="M3613" t="inlineStr">
        <is>
          <t>Muçarela Mozzana 2 kg</t>
        </is>
      </c>
      <c r="N3613" t="inlineStr">
        <is>
          <t>Confeitaria</t>
        </is>
      </c>
      <c r="O3613" t="n">
        <v>2</v>
      </c>
      <c r="P3613" t="n">
        <v>5</v>
      </c>
      <c r="Q3613" t="n">
        <v>1</v>
      </c>
    </row>
    <row r="3614">
      <c r="J3614" t="inlineStr">
        <is>
          <t>A</t>
        </is>
      </c>
      <c r="K3614" t="n">
        <v>2025</v>
      </c>
      <c r="L3614" t="n">
        <v>7</v>
      </c>
      <c r="M3614" t="inlineStr">
        <is>
          <t>Muçarela Mozzana 2 kg</t>
        </is>
      </c>
      <c r="N3614" t="inlineStr">
        <is>
          <t>Confeitaria</t>
        </is>
      </c>
      <c r="O3614" t="n">
        <v>2</v>
      </c>
      <c r="P3614" t="n">
        <v>5</v>
      </c>
      <c r="Q3614" t="n">
        <v>1</v>
      </c>
    </row>
    <row r="3615">
      <c r="J3615" t="inlineStr">
        <is>
          <t>A</t>
        </is>
      </c>
      <c r="K3615" t="n">
        <v>2025</v>
      </c>
      <c r="L3615" t="n">
        <v>8</v>
      </c>
      <c r="M3615" t="inlineStr">
        <is>
          <t>Muçarela Mozzana 2 kg</t>
        </is>
      </c>
      <c r="N3615" t="inlineStr">
        <is>
          <t>Confeitaria</t>
        </is>
      </c>
      <c r="O3615" t="n">
        <v>2</v>
      </c>
      <c r="P3615" t="n">
        <v>5</v>
      </c>
      <c r="Q3615" t="n">
        <v>1</v>
      </c>
    </row>
    <row r="3616">
      <c r="J3616" t="inlineStr">
        <is>
          <t>A</t>
        </is>
      </c>
      <c r="K3616" t="n">
        <v>2025</v>
      </c>
      <c r="L3616" t="n">
        <v>9</v>
      </c>
      <c r="M3616" t="inlineStr">
        <is>
          <t>Muçarela Mozzana 2 kg</t>
        </is>
      </c>
      <c r="N3616" t="inlineStr">
        <is>
          <t>Confeitaria</t>
        </is>
      </c>
      <c r="O3616" t="n">
        <v>2</v>
      </c>
      <c r="P3616" t="n">
        <v>6</v>
      </c>
      <c r="Q3616" t="n">
        <v>1</v>
      </c>
    </row>
    <row r="3617">
      <c r="J3617" t="inlineStr">
        <is>
          <t>M</t>
        </is>
      </c>
      <c r="K3617" t="n">
        <v>2025</v>
      </c>
      <c r="L3617" t="n">
        <v>9</v>
      </c>
      <c r="M3617" t="inlineStr">
        <is>
          <t>Muçarela Mozzana 2 kg</t>
        </is>
      </c>
      <c r="N3617" t="inlineStr">
        <is>
          <t>Confeitaria</t>
        </is>
      </c>
      <c r="O3617" t="n">
        <v>1</v>
      </c>
      <c r="P3617" t="n">
        <v>1</v>
      </c>
      <c r="Q3617" t="n">
        <v>0</v>
      </c>
    </row>
    <row r="3618">
      <c r="J3618" t="inlineStr">
        <is>
          <t>A</t>
        </is>
      </c>
      <c r="K3618" t="n">
        <v>2025</v>
      </c>
      <c r="L3618" t="n">
        <v>10</v>
      </c>
      <c r="M3618" t="inlineStr">
        <is>
          <t>Muçarela Mozzana 2 kg</t>
        </is>
      </c>
      <c r="N3618" t="inlineStr">
        <is>
          <t>Confeitaria</t>
        </is>
      </c>
      <c r="O3618" t="n">
        <v>2</v>
      </c>
      <c r="P3618" t="n">
        <v>6</v>
      </c>
      <c r="Q3618" t="n">
        <v>1</v>
      </c>
    </row>
    <row r="3619">
      <c r="J3619" t="inlineStr">
        <is>
          <t>A</t>
        </is>
      </c>
      <c r="K3619" t="n">
        <v>2025</v>
      </c>
      <c r="L3619" t="n">
        <v>11</v>
      </c>
      <c r="M3619" t="inlineStr">
        <is>
          <t>Muçarela Mozzana 2 kg</t>
        </is>
      </c>
      <c r="N3619" t="inlineStr">
        <is>
          <t>Confeitaria</t>
        </is>
      </c>
      <c r="O3619" t="n">
        <v>2</v>
      </c>
      <c r="P3619" t="n">
        <v>7</v>
      </c>
      <c r="Q3619" t="n">
        <v>1</v>
      </c>
    </row>
    <row r="3620">
      <c r="J3620" t="inlineStr">
        <is>
          <t>M</t>
        </is>
      </c>
      <c r="K3620" t="n">
        <v>2025</v>
      </c>
      <c r="L3620" t="n">
        <v>11</v>
      </c>
      <c r="M3620" t="inlineStr">
        <is>
          <t>Muçarela Mozzana 2 kg</t>
        </is>
      </c>
      <c r="N3620" t="inlineStr">
        <is>
          <t>Confeitaria</t>
        </is>
      </c>
      <c r="O3620" t="n">
        <v>1</v>
      </c>
      <c r="P3620" t="n">
        <v>1</v>
      </c>
      <c r="Q3620" t="n">
        <v>0</v>
      </c>
    </row>
    <row r="3621">
      <c r="J3621" t="inlineStr">
        <is>
          <t>A</t>
        </is>
      </c>
      <c r="K3621" t="n">
        <v>2025</v>
      </c>
      <c r="L3621" t="n">
        <v>12</v>
      </c>
      <c r="M3621" t="inlineStr">
        <is>
          <t>Muçarela Mozzana 2 kg</t>
        </is>
      </c>
      <c r="N3621" t="inlineStr">
        <is>
          <t>Confeitaria</t>
        </is>
      </c>
      <c r="O3621" t="n">
        <v>2</v>
      </c>
      <c r="P3621" t="n">
        <v>8</v>
      </c>
      <c r="Q3621" t="n">
        <v>1</v>
      </c>
    </row>
    <row r="3622">
      <c r="J3622" t="inlineStr">
        <is>
          <t>M</t>
        </is>
      </c>
      <c r="K3622" t="n">
        <v>2025</v>
      </c>
      <c r="L3622" t="n">
        <v>12</v>
      </c>
      <c r="M3622" t="inlineStr">
        <is>
          <t>Muçarela Mozzana 2 kg</t>
        </is>
      </c>
      <c r="N3622" t="inlineStr">
        <is>
          <t>Confeitaria</t>
        </is>
      </c>
      <c r="O3622" t="n">
        <v>1</v>
      </c>
      <c r="P3622" t="n">
        <v>1</v>
      </c>
      <c r="Q3622" t="n">
        <v>0</v>
      </c>
    </row>
    <row r="3623">
      <c r="J3623" t="inlineStr">
        <is>
          <t>A</t>
        </is>
      </c>
      <c r="K3623" t="n">
        <v>2025</v>
      </c>
      <c r="L3623" t="n">
        <v>3</v>
      </c>
      <c r="M3623" t="inlineStr">
        <is>
          <t>Muçarela Mozzana 2 kg</t>
        </is>
      </c>
      <c r="N3623" t="inlineStr">
        <is>
          <t>Churrascaria</t>
        </is>
      </c>
      <c r="O3623" t="n">
        <v>2</v>
      </c>
      <c r="P3623" t="n">
        <v>2</v>
      </c>
      <c r="Q3623" t="n">
        <v>2</v>
      </c>
    </row>
    <row r="3624">
      <c r="J3624" t="inlineStr">
        <is>
          <t>M</t>
        </is>
      </c>
      <c r="K3624" t="n">
        <v>2025</v>
      </c>
      <c r="L3624" t="n">
        <v>3</v>
      </c>
      <c r="M3624" t="inlineStr">
        <is>
          <t>Muçarela Mozzana 2 kg</t>
        </is>
      </c>
      <c r="N3624" t="inlineStr">
        <is>
          <t>Churrascaria</t>
        </is>
      </c>
      <c r="O3624" t="n">
        <v>2</v>
      </c>
      <c r="P3624" t="n">
        <v>2</v>
      </c>
      <c r="Q3624" t="n">
        <v>0</v>
      </c>
    </row>
    <row r="3625">
      <c r="J3625" t="inlineStr">
        <is>
          <t>A</t>
        </is>
      </c>
      <c r="K3625" t="n">
        <v>2025</v>
      </c>
      <c r="L3625" t="n">
        <v>4</v>
      </c>
      <c r="M3625" t="inlineStr">
        <is>
          <t>Muçarela Mozzana 2 kg</t>
        </is>
      </c>
      <c r="N3625" t="inlineStr">
        <is>
          <t>Churrascaria</t>
        </is>
      </c>
      <c r="O3625" t="n">
        <v>2</v>
      </c>
      <c r="P3625" t="n">
        <v>4</v>
      </c>
      <c r="Q3625" t="n">
        <v>2</v>
      </c>
    </row>
    <row r="3626">
      <c r="J3626" t="inlineStr">
        <is>
          <t>M</t>
        </is>
      </c>
      <c r="K3626" t="n">
        <v>2025</v>
      </c>
      <c r="L3626" t="n">
        <v>4</v>
      </c>
      <c r="M3626" t="inlineStr">
        <is>
          <t>Muçarela Mozzana 2 kg</t>
        </is>
      </c>
      <c r="N3626" t="inlineStr">
        <is>
          <t>Churrascaria</t>
        </is>
      </c>
      <c r="O3626" t="n">
        <v>1</v>
      </c>
      <c r="P3626" t="n">
        <v>2</v>
      </c>
      <c r="Q3626" t="n">
        <v>0</v>
      </c>
    </row>
    <row r="3627">
      <c r="J3627" t="inlineStr">
        <is>
          <t>A</t>
        </is>
      </c>
      <c r="K3627" t="n">
        <v>2025</v>
      </c>
      <c r="L3627" t="n">
        <v>5</v>
      </c>
      <c r="M3627" t="inlineStr">
        <is>
          <t>Muçarela Mozzana 2 kg</t>
        </is>
      </c>
      <c r="N3627" t="inlineStr">
        <is>
          <t>Churrascaria</t>
        </is>
      </c>
      <c r="O3627" t="n">
        <v>2</v>
      </c>
      <c r="P3627" t="n">
        <v>4</v>
      </c>
      <c r="Q3627" t="n">
        <v>2</v>
      </c>
    </row>
    <row r="3628">
      <c r="J3628" t="inlineStr">
        <is>
          <t>A</t>
        </is>
      </c>
      <c r="K3628" t="n">
        <v>2025</v>
      </c>
      <c r="L3628" t="n">
        <v>6</v>
      </c>
      <c r="M3628" t="inlineStr">
        <is>
          <t>Muçarela Mozzana 2 kg</t>
        </is>
      </c>
      <c r="N3628" t="inlineStr">
        <is>
          <t>Churrascaria</t>
        </is>
      </c>
      <c r="O3628" t="n">
        <v>2</v>
      </c>
      <c r="P3628" t="n">
        <v>4</v>
      </c>
      <c r="Q3628" t="n">
        <v>2</v>
      </c>
    </row>
    <row r="3629">
      <c r="J3629" t="inlineStr">
        <is>
          <t>A</t>
        </is>
      </c>
      <c r="K3629" t="n">
        <v>2025</v>
      </c>
      <c r="L3629" t="n">
        <v>7</v>
      </c>
      <c r="M3629" t="inlineStr">
        <is>
          <t>Muçarela Mozzana 2 kg</t>
        </is>
      </c>
      <c r="N3629" t="inlineStr">
        <is>
          <t>Churrascaria</t>
        </is>
      </c>
      <c r="O3629" t="n">
        <v>2</v>
      </c>
      <c r="P3629" t="n">
        <v>4</v>
      </c>
      <c r="Q3629" t="n">
        <v>2</v>
      </c>
    </row>
    <row r="3630">
      <c r="J3630" t="inlineStr">
        <is>
          <t>A</t>
        </is>
      </c>
      <c r="K3630" t="n">
        <v>2025</v>
      </c>
      <c r="L3630" t="n">
        <v>8</v>
      </c>
      <c r="M3630" t="inlineStr">
        <is>
          <t>Muçarela Mozzana 2 kg</t>
        </is>
      </c>
      <c r="N3630" t="inlineStr">
        <is>
          <t>Churrascaria</t>
        </is>
      </c>
      <c r="O3630" t="n">
        <v>2</v>
      </c>
      <c r="P3630" t="n">
        <v>4</v>
      </c>
      <c r="Q3630" t="n">
        <v>2</v>
      </c>
    </row>
    <row r="3631">
      <c r="J3631" t="inlineStr">
        <is>
          <t>A</t>
        </is>
      </c>
      <c r="K3631" t="n">
        <v>2025</v>
      </c>
      <c r="L3631" t="n">
        <v>9</v>
      </c>
      <c r="M3631" t="inlineStr">
        <is>
          <t>Muçarela Mozzana 2 kg</t>
        </is>
      </c>
      <c r="N3631" t="inlineStr">
        <is>
          <t>Churrascaria</t>
        </is>
      </c>
      <c r="O3631" t="n">
        <v>2</v>
      </c>
      <c r="P3631" t="n">
        <v>5</v>
      </c>
      <c r="Q3631" t="n">
        <v>2</v>
      </c>
    </row>
    <row r="3632">
      <c r="J3632" t="inlineStr">
        <is>
          <t>M</t>
        </is>
      </c>
      <c r="K3632" t="n">
        <v>2025</v>
      </c>
      <c r="L3632" t="n">
        <v>9</v>
      </c>
      <c r="M3632" t="inlineStr">
        <is>
          <t>Muçarela Mozzana 2 kg</t>
        </is>
      </c>
      <c r="N3632" t="inlineStr">
        <is>
          <t>Churrascaria</t>
        </is>
      </c>
      <c r="O3632" t="n">
        <v>1</v>
      </c>
      <c r="P3632" t="n">
        <v>1</v>
      </c>
      <c r="Q3632" t="n">
        <v>0</v>
      </c>
    </row>
    <row r="3633">
      <c r="J3633" t="inlineStr">
        <is>
          <t>A</t>
        </is>
      </c>
      <c r="K3633" t="n">
        <v>2025</v>
      </c>
      <c r="L3633" t="n">
        <v>10</v>
      </c>
      <c r="M3633" t="inlineStr">
        <is>
          <t>Muçarela Mozzana 2 kg</t>
        </is>
      </c>
      <c r="N3633" t="inlineStr">
        <is>
          <t>Churrascaria</t>
        </is>
      </c>
      <c r="O3633" t="n">
        <v>2</v>
      </c>
      <c r="P3633" t="n">
        <v>9</v>
      </c>
      <c r="Q3633" t="n">
        <v>2</v>
      </c>
    </row>
    <row r="3634">
      <c r="J3634" t="inlineStr">
        <is>
          <t>M</t>
        </is>
      </c>
      <c r="K3634" t="n">
        <v>2025</v>
      </c>
      <c r="L3634" t="n">
        <v>10</v>
      </c>
      <c r="M3634" t="inlineStr">
        <is>
          <t>Muçarela Mozzana 2 kg</t>
        </is>
      </c>
      <c r="N3634" t="inlineStr">
        <is>
          <t>Churrascaria</t>
        </is>
      </c>
      <c r="O3634" t="n">
        <v>1</v>
      </c>
      <c r="P3634" t="n">
        <v>4</v>
      </c>
      <c r="Q3634" t="n">
        <v>0</v>
      </c>
    </row>
    <row r="3635">
      <c r="J3635" t="inlineStr">
        <is>
          <t>A</t>
        </is>
      </c>
      <c r="K3635" t="n">
        <v>2025</v>
      </c>
      <c r="L3635" t="n">
        <v>11</v>
      </c>
      <c r="M3635" t="inlineStr">
        <is>
          <t>Muçarela Mozzana 2 kg</t>
        </is>
      </c>
      <c r="N3635" t="inlineStr">
        <is>
          <t>Churrascaria</t>
        </is>
      </c>
      <c r="O3635" t="n">
        <v>2</v>
      </c>
      <c r="P3635" t="n">
        <v>13</v>
      </c>
      <c r="Q3635" t="n">
        <v>2</v>
      </c>
    </row>
    <row r="3636">
      <c r="J3636" t="inlineStr">
        <is>
          <t>M</t>
        </is>
      </c>
      <c r="K3636" t="n">
        <v>2025</v>
      </c>
      <c r="L3636" t="n">
        <v>11</v>
      </c>
      <c r="M3636" t="inlineStr">
        <is>
          <t>Muçarela Mozzana 2 kg</t>
        </is>
      </c>
      <c r="N3636" t="inlineStr">
        <is>
          <t>Churrascaria</t>
        </is>
      </c>
      <c r="O3636" t="n">
        <v>1</v>
      </c>
      <c r="P3636" t="n">
        <v>4</v>
      </c>
      <c r="Q3636" t="n">
        <v>0</v>
      </c>
    </row>
    <row r="3637">
      <c r="J3637" t="inlineStr">
        <is>
          <t>A</t>
        </is>
      </c>
      <c r="K3637" t="n">
        <v>2025</v>
      </c>
      <c r="L3637" t="n">
        <v>12</v>
      </c>
      <c r="M3637" t="inlineStr">
        <is>
          <t>Muçarela Mozzana 2 kg</t>
        </is>
      </c>
      <c r="N3637" t="inlineStr">
        <is>
          <t>Churrascaria</t>
        </is>
      </c>
      <c r="O3637" t="n">
        <v>2</v>
      </c>
      <c r="P3637" t="n">
        <v>13</v>
      </c>
      <c r="Q3637" t="n">
        <v>2</v>
      </c>
    </row>
    <row r="3638">
      <c r="J3638" t="inlineStr">
        <is>
          <t>A</t>
        </is>
      </c>
      <c r="K3638" t="n">
        <v>2025</v>
      </c>
      <c r="L3638" t="n">
        <v>3</v>
      </c>
      <c r="M3638" t="inlineStr">
        <is>
          <t>Muçarela Mozzana 2 kg</t>
        </is>
      </c>
      <c r="N3638" t="inlineStr">
        <is>
          <t>Não Selecionado</t>
        </is>
      </c>
      <c r="O3638" t="n">
        <v>1</v>
      </c>
      <c r="P3638" t="n">
        <v>1</v>
      </c>
      <c r="Q3638" t="n">
        <v>0</v>
      </c>
    </row>
    <row r="3639">
      <c r="J3639" t="inlineStr">
        <is>
          <t>M</t>
        </is>
      </c>
      <c r="K3639" t="n">
        <v>2025</v>
      </c>
      <c r="L3639" t="n">
        <v>3</v>
      </c>
      <c r="M3639" t="inlineStr">
        <is>
          <t>Muçarela Mozzana 2 kg</t>
        </is>
      </c>
      <c r="N3639" t="inlineStr">
        <is>
          <t>Não Selecionado</t>
        </is>
      </c>
      <c r="O3639" t="n">
        <v>1</v>
      </c>
      <c r="P3639" t="n">
        <v>1</v>
      </c>
      <c r="Q3639" t="n">
        <v>0</v>
      </c>
    </row>
    <row r="3640">
      <c r="J3640" t="inlineStr">
        <is>
          <t>A</t>
        </is>
      </c>
      <c r="K3640" t="n">
        <v>2025</v>
      </c>
      <c r="L3640" t="n">
        <v>4</v>
      </c>
      <c r="M3640" t="inlineStr">
        <is>
          <t>Muçarela Mozzana 2 kg</t>
        </is>
      </c>
      <c r="N3640" t="inlineStr">
        <is>
          <t>Não Selecionado</t>
        </is>
      </c>
      <c r="O3640" t="n">
        <v>1</v>
      </c>
      <c r="P3640" t="n">
        <v>2</v>
      </c>
      <c r="Q3640" t="n">
        <v>0</v>
      </c>
    </row>
    <row r="3641">
      <c r="J3641" t="inlineStr">
        <is>
          <t>M</t>
        </is>
      </c>
      <c r="K3641" t="n">
        <v>2025</v>
      </c>
      <c r="L3641" t="n">
        <v>4</v>
      </c>
      <c r="M3641" t="inlineStr">
        <is>
          <t>Muçarela Mozzana 2 kg</t>
        </is>
      </c>
      <c r="N3641" t="inlineStr">
        <is>
          <t>Não Selecionado</t>
        </is>
      </c>
      <c r="O3641" t="n">
        <v>1</v>
      </c>
      <c r="P3641" t="n">
        <v>1</v>
      </c>
      <c r="Q3641" t="n">
        <v>0</v>
      </c>
    </row>
    <row r="3642">
      <c r="J3642" t="inlineStr">
        <is>
          <t>A</t>
        </is>
      </c>
      <c r="K3642" t="n">
        <v>2025</v>
      </c>
      <c r="L3642" t="n">
        <v>5</v>
      </c>
      <c r="M3642" t="inlineStr">
        <is>
          <t>Muçarela Mozzana 2 kg</t>
        </is>
      </c>
      <c r="N3642" t="inlineStr">
        <is>
          <t>Não Selecionado</t>
        </is>
      </c>
      <c r="O3642" t="n">
        <v>1</v>
      </c>
      <c r="P3642" t="n">
        <v>2</v>
      </c>
      <c r="Q3642" t="n">
        <v>0</v>
      </c>
    </row>
    <row r="3643">
      <c r="J3643" t="inlineStr">
        <is>
          <t>A</t>
        </is>
      </c>
      <c r="K3643" t="n">
        <v>2025</v>
      </c>
      <c r="L3643" t="n">
        <v>6</v>
      </c>
      <c r="M3643" t="inlineStr">
        <is>
          <t>Muçarela Mozzana 2 kg</t>
        </is>
      </c>
      <c r="N3643" t="inlineStr">
        <is>
          <t>Não Selecionado</t>
        </is>
      </c>
      <c r="O3643" t="n">
        <v>1</v>
      </c>
      <c r="P3643" t="n">
        <v>2</v>
      </c>
      <c r="Q3643" t="n">
        <v>0</v>
      </c>
    </row>
    <row r="3644">
      <c r="J3644" t="inlineStr">
        <is>
          <t>A</t>
        </is>
      </c>
      <c r="K3644" t="n">
        <v>2025</v>
      </c>
      <c r="L3644" t="n">
        <v>7</v>
      </c>
      <c r="M3644" t="inlineStr">
        <is>
          <t>Muçarela Mozzana 2 kg</t>
        </is>
      </c>
      <c r="N3644" t="inlineStr">
        <is>
          <t>Não Selecionado</t>
        </is>
      </c>
      <c r="O3644" t="n">
        <v>2</v>
      </c>
      <c r="P3644" t="n">
        <v>5</v>
      </c>
      <c r="Q3644" t="n">
        <v>1</v>
      </c>
    </row>
    <row r="3645">
      <c r="J3645" t="inlineStr">
        <is>
          <t>M</t>
        </is>
      </c>
      <c r="K3645" t="n">
        <v>2025</v>
      </c>
      <c r="L3645" t="n">
        <v>7</v>
      </c>
      <c r="M3645" t="inlineStr">
        <is>
          <t>Muçarela Mozzana 2 kg</t>
        </is>
      </c>
      <c r="N3645" t="inlineStr">
        <is>
          <t>Não Selecionado</t>
        </is>
      </c>
      <c r="O3645" t="n">
        <v>1</v>
      </c>
      <c r="P3645" t="n">
        <v>3</v>
      </c>
      <c r="Q3645" t="n">
        <v>0</v>
      </c>
    </row>
    <row r="3646">
      <c r="J3646" t="inlineStr">
        <is>
          <t>A</t>
        </is>
      </c>
      <c r="K3646" t="n">
        <v>2025</v>
      </c>
      <c r="L3646" t="n">
        <v>8</v>
      </c>
      <c r="M3646" t="inlineStr">
        <is>
          <t>Muçarela Mozzana 2 kg</t>
        </is>
      </c>
      <c r="N3646" t="inlineStr">
        <is>
          <t>Não Selecionado</t>
        </is>
      </c>
      <c r="O3646" t="n">
        <v>2</v>
      </c>
      <c r="P3646" t="n">
        <v>8</v>
      </c>
      <c r="Q3646" t="n">
        <v>1</v>
      </c>
    </row>
    <row r="3647">
      <c r="J3647" t="inlineStr">
        <is>
          <t>M</t>
        </is>
      </c>
      <c r="K3647" t="n">
        <v>2025</v>
      </c>
      <c r="L3647" t="n">
        <v>8</v>
      </c>
      <c r="M3647" t="inlineStr">
        <is>
          <t>Muçarela Mozzana 2 kg</t>
        </is>
      </c>
      <c r="N3647" t="inlineStr">
        <is>
          <t>Não Selecionado</t>
        </is>
      </c>
      <c r="O3647" t="n">
        <v>1</v>
      </c>
      <c r="P3647" t="n">
        <v>3</v>
      </c>
      <c r="Q3647" t="n">
        <v>0</v>
      </c>
    </row>
    <row r="3648">
      <c r="J3648" t="inlineStr">
        <is>
          <t>A</t>
        </is>
      </c>
      <c r="K3648" t="n">
        <v>2025</v>
      </c>
      <c r="L3648" t="n">
        <v>9</v>
      </c>
      <c r="M3648" t="inlineStr">
        <is>
          <t>Muçarela Mozzana 2 kg</t>
        </is>
      </c>
      <c r="N3648" t="inlineStr">
        <is>
          <t>Não Selecionado</t>
        </is>
      </c>
      <c r="O3648" t="n">
        <v>2</v>
      </c>
      <c r="P3648" t="n">
        <v>13</v>
      </c>
      <c r="Q3648" t="n">
        <v>1</v>
      </c>
    </row>
    <row r="3649">
      <c r="J3649" t="inlineStr">
        <is>
          <t>M</t>
        </is>
      </c>
      <c r="K3649" t="n">
        <v>2025</v>
      </c>
      <c r="L3649" t="n">
        <v>9</v>
      </c>
      <c r="M3649" t="inlineStr">
        <is>
          <t>Muçarela Mozzana 2 kg</t>
        </is>
      </c>
      <c r="N3649" t="inlineStr">
        <is>
          <t>Não Selecionado</t>
        </is>
      </c>
      <c r="O3649" t="n">
        <v>1</v>
      </c>
      <c r="P3649" t="n">
        <v>5</v>
      </c>
      <c r="Q3649" t="n">
        <v>0</v>
      </c>
    </row>
    <row r="3650">
      <c r="J3650" t="inlineStr">
        <is>
          <t>A</t>
        </is>
      </c>
      <c r="K3650" t="n">
        <v>2025</v>
      </c>
      <c r="L3650" t="n">
        <v>10</v>
      </c>
      <c r="M3650" t="inlineStr">
        <is>
          <t>Muçarela Mozzana 2 kg</t>
        </is>
      </c>
      <c r="N3650" t="inlineStr">
        <is>
          <t>Não Selecionado</t>
        </is>
      </c>
      <c r="O3650" t="n">
        <v>2</v>
      </c>
      <c r="P3650" t="n">
        <v>13</v>
      </c>
      <c r="Q3650" t="n">
        <v>1</v>
      </c>
    </row>
    <row r="3651">
      <c r="J3651" t="inlineStr">
        <is>
          <t>A</t>
        </is>
      </c>
      <c r="K3651" t="n">
        <v>2025</v>
      </c>
      <c r="L3651" t="n">
        <v>11</v>
      </c>
      <c r="M3651" t="inlineStr">
        <is>
          <t>Muçarela Mozzana 2 kg</t>
        </is>
      </c>
      <c r="N3651" t="inlineStr">
        <is>
          <t>Não Selecionado</t>
        </is>
      </c>
      <c r="O3651" t="n">
        <v>2</v>
      </c>
      <c r="P3651" t="n">
        <v>14</v>
      </c>
      <c r="Q3651" t="n">
        <v>1</v>
      </c>
    </row>
    <row r="3652">
      <c r="J3652" t="inlineStr">
        <is>
          <t>M</t>
        </is>
      </c>
      <c r="K3652" t="n">
        <v>2025</v>
      </c>
      <c r="L3652" t="n">
        <v>11</v>
      </c>
      <c r="M3652" t="inlineStr">
        <is>
          <t>Muçarela Mozzana 2 kg</t>
        </is>
      </c>
      <c r="N3652" t="inlineStr">
        <is>
          <t>Não Selecionado</t>
        </is>
      </c>
      <c r="O3652" t="n">
        <v>1</v>
      </c>
      <c r="P3652" t="n">
        <v>1</v>
      </c>
      <c r="Q3652" t="n">
        <v>0</v>
      </c>
    </row>
    <row r="3653">
      <c r="J3653" t="inlineStr">
        <is>
          <t>A</t>
        </is>
      </c>
      <c r="K3653" t="n">
        <v>2025</v>
      </c>
      <c r="L3653" t="n">
        <v>12</v>
      </c>
      <c r="M3653" t="inlineStr">
        <is>
          <t>Muçarela Mozzana 2 kg</t>
        </is>
      </c>
      <c r="N3653" t="inlineStr">
        <is>
          <t>Não Selecionado</t>
        </is>
      </c>
      <c r="O3653" t="n">
        <v>2</v>
      </c>
      <c r="P3653" t="n">
        <v>14</v>
      </c>
      <c r="Q3653" t="n">
        <v>1</v>
      </c>
    </row>
    <row r="3654">
      <c r="J3654" t="inlineStr">
        <is>
          <t>A</t>
        </is>
      </c>
      <c r="K3654" t="n">
        <v>2025</v>
      </c>
      <c r="L3654" t="n">
        <v>8</v>
      </c>
      <c r="M3654" t="inlineStr">
        <is>
          <t>Muçarela Mozzana 2 kg</t>
        </is>
      </c>
      <c r="N3654" t="inlineStr">
        <is>
          <t>Loja de Conveniência</t>
        </is>
      </c>
      <c r="O3654" t="n">
        <v>1</v>
      </c>
      <c r="P3654" t="n">
        <v>1</v>
      </c>
      <c r="Q3654" t="n">
        <v>1</v>
      </c>
    </row>
    <row r="3655">
      <c r="J3655" t="inlineStr">
        <is>
          <t>M</t>
        </is>
      </c>
      <c r="K3655" t="n">
        <v>2025</v>
      </c>
      <c r="L3655" t="n">
        <v>8</v>
      </c>
      <c r="M3655" t="inlineStr">
        <is>
          <t>Muçarela Mozzana 2 kg</t>
        </is>
      </c>
      <c r="N3655" t="inlineStr">
        <is>
          <t>Loja de Conveniência</t>
        </is>
      </c>
      <c r="O3655" t="n">
        <v>1</v>
      </c>
      <c r="P3655" t="n">
        <v>1</v>
      </c>
      <c r="Q3655" t="n">
        <v>0</v>
      </c>
    </row>
    <row r="3656">
      <c r="J3656" t="inlineStr">
        <is>
          <t>A</t>
        </is>
      </c>
      <c r="K3656" t="n">
        <v>2025</v>
      </c>
      <c r="L3656" t="n">
        <v>9</v>
      </c>
      <c r="M3656" t="inlineStr">
        <is>
          <t>Muçarela Mozzana 2 kg</t>
        </is>
      </c>
      <c r="N3656" t="inlineStr">
        <is>
          <t>Loja de Conveniência</t>
        </is>
      </c>
      <c r="O3656" t="n">
        <v>1</v>
      </c>
      <c r="P3656" t="n">
        <v>3</v>
      </c>
      <c r="Q3656" t="n">
        <v>1</v>
      </c>
    </row>
    <row r="3657">
      <c r="J3657" t="inlineStr">
        <is>
          <t>M</t>
        </is>
      </c>
      <c r="K3657" t="n">
        <v>2025</v>
      </c>
      <c r="L3657" t="n">
        <v>9</v>
      </c>
      <c r="M3657" t="inlineStr">
        <is>
          <t>Muçarela Mozzana 2 kg</t>
        </is>
      </c>
      <c r="N3657" t="inlineStr">
        <is>
          <t>Loja de Conveniência</t>
        </is>
      </c>
      <c r="O3657" t="n">
        <v>1</v>
      </c>
      <c r="P3657" t="n">
        <v>2</v>
      </c>
      <c r="Q3657" t="n">
        <v>0</v>
      </c>
    </row>
    <row r="3658">
      <c r="J3658" t="inlineStr">
        <is>
          <t>A</t>
        </is>
      </c>
      <c r="K3658" t="n">
        <v>2025</v>
      </c>
      <c r="L3658" t="n">
        <v>10</v>
      </c>
      <c r="M3658" t="inlineStr">
        <is>
          <t>Muçarela Mozzana 2 kg</t>
        </is>
      </c>
      <c r="N3658" t="inlineStr">
        <is>
          <t>Loja de Conveniência</t>
        </is>
      </c>
      <c r="O3658" t="n">
        <v>1</v>
      </c>
      <c r="P3658" t="n">
        <v>7</v>
      </c>
      <c r="Q3658" t="n">
        <v>1</v>
      </c>
    </row>
    <row r="3659">
      <c r="J3659" t="inlineStr">
        <is>
          <t>M</t>
        </is>
      </c>
      <c r="K3659" t="n">
        <v>2025</v>
      </c>
      <c r="L3659" t="n">
        <v>10</v>
      </c>
      <c r="M3659" t="inlineStr">
        <is>
          <t>Muçarela Mozzana 2 kg</t>
        </is>
      </c>
      <c r="N3659" t="inlineStr">
        <is>
          <t>Loja de Conveniência</t>
        </is>
      </c>
      <c r="O3659" t="n">
        <v>1</v>
      </c>
      <c r="P3659" t="n">
        <v>4</v>
      </c>
      <c r="Q3659" t="n">
        <v>0</v>
      </c>
    </row>
    <row r="3660">
      <c r="J3660" t="inlineStr">
        <is>
          <t>A</t>
        </is>
      </c>
      <c r="K3660" t="n">
        <v>2025</v>
      </c>
      <c r="L3660" t="n">
        <v>11</v>
      </c>
      <c r="M3660" t="inlineStr">
        <is>
          <t>Muçarela Mozzana 2 kg</t>
        </is>
      </c>
      <c r="N3660" t="inlineStr">
        <is>
          <t>Loja de Conveniência</t>
        </is>
      </c>
      <c r="O3660" t="n">
        <v>1</v>
      </c>
      <c r="P3660" t="n">
        <v>9</v>
      </c>
      <c r="Q3660" t="n">
        <v>1</v>
      </c>
    </row>
    <row r="3661">
      <c r="J3661" t="inlineStr">
        <is>
          <t>M</t>
        </is>
      </c>
      <c r="K3661" t="n">
        <v>2025</v>
      </c>
      <c r="L3661" t="n">
        <v>11</v>
      </c>
      <c r="M3661" t="inlineStr">
        <is>
          <t>Muçarela Mozzana 2 kg</t>
        </is>
      </c>
      <c r="N3661" t="inlineStr">
        <is>
          <t>Loja de Conveniência</t>
        </is>
      </c>
      <c r="O3661" t="n">
        <v>1</v>
      </c>
      <c r="P3661" t="n">
        <v>2</v>
      </c>
      <c r="Q3661" t="n">
        <v>0</v>
      </c>
    </row>
    <row r="3662">
      <c r="J3662" t="inlineStr">
        <is>
          <t>A</t>
        </is>
      </c>
      <c r="K3662" t="n">
        <v>2025</v>
      </c>
      <c r="L3662" t="n">
        <v>12</v>
      </c>
      <c r="M3662" t="inlineStr">
        <is>
          <t>Muçarela Mozzana 2 kg</t>
        </is>
      </c>
      <c r="N3662" t="inlineStr">
        <is>
          <t>Loja de Conveniência</t>
        </is>
      </c>
      <c r="O3662" t="n">
        <v>1</v>
      </c>
      <c r="P3662" t="n">
        <v>9</v>
      </c>
      <c r="Q3662" t="n">
        <v>1</v>
      </c>
    </row>
    <row r="3663">
      <c r="J3663" t="inlineStr">
        <is>
          <t>A</t>
        </is>
      </c>
      <c r="K3663" t="n">
        <v>2025</v>
      </c>
      <c r="L3663" t="n">
        <v>1</v>
      </c>
      <c r="M3663" t="inlineStr">
        <is>
          <t>Muçarela Mozzalet 2 kg</t>
        </is>
      </c>
      <c r="N3663" t="inlineStr">
        <is>
          <t>Todos</t>
        </is>
      </c>
      <c r="O3663" t="n">
        <v>22</v>
      </c>
      <c r="P3663" t="n">
        <v>48</v>
      </c>
      <c r="Q3663" t="n">
        <v>2</v>
      </c>
    </row>
    <row r="3664">
      <c r="J3664" t="inlineStr">
        <is>
          <t>M</t>
        </is>
      </c>
      <c r="K3664" t="n">
        <v>2025</v>
      </c>
      <c r="L3664" t="n">
        <v>1</v>
      </c>
      <c r="M3664" t="inlineStr">
        <is>
          <t>Muçarela Mozzalet 2 kg</t>
        </is>
      </c>
      <c r="N3664" t="inlineStr">
        <is>
          <t>Todos</t>
        </is>
      </c>
      <c r="O3664" t="n">
        <v>22</v>
      </c>
      <c r="P3664" t="n">
        <v>48</v>
      </c>
      <c r="Q3664" t="n">
        <v>0</v>
      </c>
    </row>
    <row r="3665">
      <c r="J3665" t="inlineStr">
        <is>
          <t>A</t>
        </is>
      </c>
      <c r="K3665" t="n">
        <v>2025</v>
      </c>
      <c r="L3665" t="n">
        <v>2</v>
      </c>
      <c r="M3665" t="inlineStr">
        <is>
          <t>Muçarela Mozzalet 2 kg</t>
        </is>
      </c>
      <c r="N3665" t="inlineStr">
        <is>
          <t>Todos</t>
        </is>
      </c>
      <c r="O3665" t="n">
        <v>36</v>
      </c>
      <c r="P3665" t="n">
        <v>102</v>
      </c>
      <c r="Q3665" t="n">
        <v>7</v>
      </c>
    </row>
    <row r="3666">
      <c r="J3666" t="inlineStr">
        <is>
          <t>M</t>
        </is>
      </c>
      <c r="K3666" t="n">
        <v>2025</v>
      </c>
      <c r="L3666" t="n">
        <v>2</v>
      </c>
      <c r="M3666" t="inlineStr">
        <is>
          <t>Muçarela Mozzalet 2 kg</t>
        </is>
      </c>
      <c r="N3666" t="inlineStr">
        <is>
          <t>Todos</t>
        </is>
      </c>
      <c r="O3666" t="n">
        <v>29</v>
      </c>
      <c r="P3666" t="n">
        <v>54</v>
      </c>
      <c r="Q3666" t="n">
        <v>0</v>
      </c>
    </row>
    <row r="3667">
      <c r="J3667" t="inlineStr">
        <is>
          <t>A</t>
        </is>
      </c>
      <c r="K3667" t="n">
        <v>2025</v>
      </c>
      <c r="L3667" t="n">
        <v>3</v>
      </c>
      <c r="M3667" t="inlineStr">
        <is>
          <t>Muçarela Mozzalet 2 kg</t>
        </is>
      </c>
      <c r="N3667" t="inlineStr">
        <is>
          <t>Todos</t>
        </is>
      </c>
      <c r="O3667" t="n">
        <v>48</v>
      </c>
      <c r="P3667" t="n">
        <v>147</v>
      </c>
      <c r="Q3667" t="n">
        <v>10</v>
      </c>
    </row>
    <row r="3668">
      <c r="J3668" t="inlineStr">
        <is>
          <t>M</t>
        </is>
      </c>
      <c r="K3668" t="n">
        <v>2025</v>
      </c>
      <c r="L3668" t="n">
        <v>3</v>
      </c>
      <c r="M3668" t="inlineStr">
        <is>
          <t>Muçarela Mozzalet 2 kg</t>
        </is>
      </c>
      <c r="N3668" t="inlineStr">
        <is>
          <t>Todos</t>
        </is>
      </c>
      <c r="O3668" t="n">
        <v>31</v>
      </c>
      <c r="P3668" t="n">
        <v>45</v>
      </c>
      <c r="Q3668" t="n">
        <v>0</v>
      </c>
    </row>
    <row r="3669">
      <c r="J3669" t="inlineStr">
        <is>
          <t>A</t>
        </is>
      </c>
      <c r="K3669" t="n">
        <v>2025</v>
      </c>
      <c r="L3669" t="n">
        <v>4</v>
      </c>
      <c r="M3669" t="inlineStr">
        <is>
          <t>Muçarela Mozzalet 2 kg</t>
        </is>
      </c>
      <c r="N3669" t="inlineStr">
        <is>
          <t>Todos</t>
        </is>
      </c>
      <c r="O3669" t="n">
        <v>57</v>
      </c>
      <c r="P3669" t="n">
        <v>221</v>
      </c>
      <c r="Q3669" t="n">
        <v>16</v>
      </c>
    </row>
    <row r="3670">
      <c r="J3670" t="inlineStr">
        <is>
          <t>M</t>
        </is>
      </c>
      <c r="K3670" t="n">
        <v>2025</v>
      </c>
      <c r="L3670" t="n">
        <v>4</v>
      </c>
      <c r="M3670" t="inlineStr">
        <is>
          <t>Muçarela Mozzalet 2 kg</t>
        </is>
      </c>
      <c r="N3670" t="inlineStr">
        <is>
          <t>Todos</t>
        </is>
      </c>
      <c r="O3670" t="n">
        <v>37</v>
      </c>
      <c r="P3670" t="n">
        <v>74</v>
      </c>
      <c r="Q3670" t="n">
        <v>0</v>
      </c>
    </row>
    <row r="3671">
      <c r="J3671" t="inlineStr">
        <is>
          <t>A</t>
        </is>
      </c>
      <c r="K3671" t="n">
        <v>2025</v>
      </c>
      <c r="L3671" t="n">
        <v>5</v>
      </c>
      <c r="M3671" t="inlineStr">
        <is>
          <t>Muçarela Mozzalet 2 kg</t>
        </is>
      </c>
      <c r="N3671" t="inlineStr">
        <is>
          <t>Todos</t>
        </is>
      </c>
      <c r="O3671" t="n">
        <v>85</v>
      </c>
      <c r="P3671" t="n">
        <v>325</v>
      </c>
      <c r="Q3671" t="n">
        <v>25</v>
      </c>
    </row>
    <row r="3672">
      <c r="J3672" t="inlineStr">
        <is>
          <t>M</t>
        </is>
      </c>
      <c r="K3672" t="n">
        <v>2025</v>
      </c>
      <c r="L3672" t="n">
        <v>5</v>
      </c>
      <c r="M3672" t="inlineStr">
        <is>
          <t>Muçarela Mozzalet 2 kg</t>
        </is>
      </c>
      <c r="N3672" t="inlineStr">
        <is>
          <t>Todos</t>
        </is>
      </c>
      <c r="O3672" t="n">
        <v>62</v>
      </c>
      <c r="P3672" t="n">
        <v>104</v>
      </c>
      <c r="Q3672" t="n">
        <v>0</v>
      </c>
    </row>
    <row r="3673">
      <c r="J3673" t="inlineStr">
        <is>
          <t>A</t>
        </is>
      </c>
      <c r="K3673" t="n">
        <v>2025</v>
      </c>
      <c r="L3673" t="n">
        <v>6</v>
      </c>
      <c r="M3673" t="inlineStr">
        <is>
          <t>Muçarela Mozzalet 2 kg</t>
        </is>
      </c>
      <c r="N3673" t="inlineStr">
        <is>
          <t>Todos</t>
        </is>
      </c>
      <c r="O3673" t="n">
        <v>101</v>
      </c>
      <c r="P3673" t="n">
        <v>441</v>
      </c>
      <c r="Q3673" t="n">
        <v>30</v>
      </c>
    </row>
    <row r="3674">
      <c r="J3674" t="inlineStr">
        <is>
          <t>M</t>
        </is>
      </c>
      <c r="K3674" t="n">
        <v>2025</v>
      </c>
      <c r="L3674" t="n">
        <v>6</v>
      </c>
      <c r="M3674" t="inlineStr">
        <is>
          <t>Muçarela Mozzalet 2 kg</t>
        </is>
      </c>
      <c r="N3674" t="inlineStr">
        <is>
          <t>Todos</t>
        </is>
      </c>
      <c r="O3674" t="n">
        <v>53</v>
      </c>
      <c r="P3674" t="n">
        <v>116</v>
      </c>
      <c r="Q3674" t="n">
        <v>0</v>
      </c>
    </row>
    <row r="3675">
      <c r="J3675" t="inlineStr">
        <is>
          <t>A</t>
        </is>
      </c>
      <c r="K3675" t="n">
        <v>2025</v>
      </c>
      <c r="L3675" t="n">
        <v>7</v>
      </c>
      <c r="M3675" t="inlineStr">
        <is>
          <t>Muçarela Mozzalet 2 kg</t>
        </is>
      </c>
      <c r="N3675" t="inlineStr">
        <is>
          <t>Todos</t>
        </is>
      </c>
      <c r="O3675" t="n">
        <v>108</v>
      </c>
      <c r="P3675" t="n">
        <v>544</v>
      </c>
      <c r="Q3675" t="n">
        <v>35</v>
      </c>
    </row>
    <row r="3676">
      <c r="J3676" t="inlineStr">
        <is>
          <t>M</t>
        </is>
      </c>
      <c r="K3676" t="n">
        <v>2025</v>
      </c>
      <c r="L3676" t="n">
        <v>7</v>
      </c>
      <c r="M3676" t="inlineStr">
        <is>
          <t>Muçarela Mozzalet 2 kg</t>
        </is>
      </c>
      <c r="N3676" t="inlineStr">
        <is>
          <t>Todos</t>
        </is>
      </c>
      <c r="O3676" t="n">
        <v>43</v>
      </c>
      <c r="P3676" t="n">
        <v>103</v>
      </c>
      <c r="Q3676" t="n">
        <v>0</v>
      </c>
    </row>
    <row r="3677">
      <c r="J3677" t="inlineStr">
        <is>
          <t>A</t>
        </is>
      </c>
      <c r="K3677" t="n">
        <v>2025</v>
      </c>
      <c r="L3677" t="n">
        <v>8</v>
      </c>
      <c r="M3677" t="inlineStr">
        <is>
          <t>Muçarela Mozzalet 2 kg</t>
        </is>
      </c>
      <c r="N3677" t="inlineStr">
        <is>
          <t>Todos</t>
        </is>
      </c>
      <c r="O3677" t="n">
        <v>114</v>
      </c>
      <c r="P3677" t="n">
        <v>635</v>
      </c>
      <c r="Q3677" t="n">
        <v>38</v>
      </c>
    </row>
    <row r="3678">
      <c r="J3678" t="inlineStr">
        <is>
          <t>M</t>
        </is>
      </c>
      <c r="K3678" t="n">
        <v>2025</v>
      </c>
      <c r="L3678" t="n">
        <v>8</v>
      </c>
      <c r="M3678" t="inlineStr">
        <is>
          <t>Muçarela Mozzalet 2 kg</t>
        </is>
      </c>
      <c r="N3678" t="inlineStr">
        <is>
          <t>Todos</t>
        </is>
      </c>
      <c r="O3678" t="n">
        <v>42</v>
      </c>
      <c r="P3678" t="n">
        <v>91</v>
      </c>
      <c r="Q3678" t="n">
        <v>0</v>
      </c>
    </row>
    <row r="3679">
      <c r="J3679" t="inlineStr">
        <is>
          <t>A</t>
        </is>
      </c>
      <c r="K3679" t="n">
        <v>2025</v>
      </c>
      <c r="L3679" t="n">
        <v>9</v>
      </c>
      <c r="M3679" t="inlineStr">
        <is>
          <t>Muçarela Mozzalet 2 kg</t>
        </is>
      </c>
      <c r="N3679" t="inlineStr">
        <is>
          <t>Todos</t>
        </is>
      </c>
      <c r="O3679" t="n">
        <v>116</v>
      </c>
      <c r="P3679" t="n">
        <v>705</v>
      </c>
      <c r="Q3679" t="n">
        <v>40</v>
      </c>
    </row>
    <row r="3680">
      <c r="J3680" t="inlineStr">
        <is>
          <t>M</t>
        </is>
      </c>
      <c r="K3680" t="n">
        <v>2025</v>
      </c>
      <c r="L3680" t="n">
        <v>9</v>
      </c>
      <c r="M3680" t="inlineStr">
        <is>
          <t>Muçarela Mozzalet 2 kg</t>
        </is>
      </c>
      <c r="N3680" t="inlineStr">
        <is>
          <t>Todos</t>
        </is>
      </c>
      <c r="O3680" t="n">
        <v>28</v>
      </c>
      <c r="P3680" t="n">
        <v>70</v>
      </c>
      <c r="Q3680" t="n">
        <v>0</v>
      </c>
    </row>
    <row r="3681">
      <c r="J3681" t="inlineStr">
        <is>
          <t>A</t>
        </is>
      </c>
      <c r="K3681" t="n">
        <v>2025</v>
      </c>
      <c r="L3681" t="n">
        <v>10</v>
      </c>
      <c r="M3681" t="inlineStr">
        <is>
          <t>Muçarela Mozzalet 2 kg</t>
        </is>
      </c>
      <c r="N3681" t="inlineStr">
        <is>
          <t>Todos</t>
        </is>
      </c>
      <c r="O3681" t="n">
        <v>124</v>
      </c>
      <c r="P3681" t="n">
        <v>782</v>
      </c>
      <c r="Q3681" t="n">
        <v>42</v>
      </c>
    </row>
    <row r="3682">
      <c r="J3682" t="inlineStr">
        <is>
          <t>M</t>
        </is>
      </c>
      <c r="K3682" t="n">
        <v>2025</v>
      </c>
      <c r="L3682" t="n">
        <v>10</v>
      </c>
      <c r="M3682" t="inlineStr">
        <is>
          <t>Muçarela Mozzalet 2 kg</t>
        </is>
      </c>
      <c r="N3682" t="inlineStr">
        <is>
          <t>Todos</t>
        </is>
      </c>
      <c r="O3682" t="n">
        <v>36</v>
      </c>
      <c r="P3682" t="n">
        <v>77</v>
      </c>
      <c r="Q3682" t="n">
        <v>0</v>
      </c>
    </row>
    <row r="3683">
      <c r="J3683" t="inlineStr">
        <is>
          <t>A</t>
        </is>
      </c>
      <c r="K3683" t="n">
        <v>2025</v>
      </c>
      <c r="L3683" t="n">
        <v>11</v>
      </c>
      <c r="M3683" t="inlineStr">
        <is>
          <t>Muçarela Mozzalet 2 kg</t>
        </is>
      </c>
      <c r="N3683" t="inlineStr">
        <is>
          <t>Todos</t>
        </is>
      </c>
      <c r="O3683" t="n">
        <v>124</v>
      </c>
      <c r="P3683" t="n">
        <v>818</v>
      </c>
      <c r="Q3683" t="n">
        <v>42</v>
      </c>
    </row>
    <row r="3684">
      <c r="J3684" t="inlineStr">
        <is>
          <t>M</t>
        </is>
      </c>
      <c r="K3684" t="n">
        <v>2025</v>
      </c>
      <c r="L3684" t="n">
        <v>11</v>
      </c>
      <c r="M3684" t="inlineStr">
        <is>
          <t>Muçarela Mozzalet 2 kg</t>
        </is>
      </c>
      <c r="N3684" t="inlineStr">
        <is>
          <t>Todos</t>
        </is>
      </c>
      <c r="O3684" t="n">
        <v>13</v>
      </c>
      <c r="P3684" t="n">
        <v>36</v>
      </c>
      <c r="Q3684" t="n">
        <v>0</v>
      </c>
    </row>
    <row r="3685">
      <c r="J3685" t="inlineStr">
        <is>
          <t>A</t>
        </is>
      </c>
      <c r="K3685" t="n">
        <v>2025</v>
      </c>
      <c r="L3685" t="n">
        <v>12</v>
      </c>
      <c r="M3685" t="inlineStr">
        <is>
          <t>Muçarela Mozzalet 2 kg</t>
        </is>
      </c>
      <c r="N3685" t="inlineStr">
        <is>
          <t>Todos</t>
        </is>
      </c>
      <c r="O3685" t="n">
        <v>125</v>
      </c>
      <c r="P3685" t="n">
        <v>836</v>
      </c>
      <c r="Q3685" t="n">
        <v>43</v>
      </c>
    </row>
    <row r="3686">
      <c r="J3686" t="inlineStr">
        <is>
          <t>M</t>
        </is>
      </c>
      <c r="K3686" t="n">
        <v>2025</v>
      </c>
      <c r="L3686" t="n">
        <v>12</v>
      </c>
      <c r="M3686" t="inlineStr">
        <is>
          <t>Muçarela Mozzalet 2 kg</t>
        </is>
      </c>
      <c r="N3686" t="inlineStr">
        <is>
          <t>Todos</t>
        </is>
      </c>
      <c r="O3686" t="n">
        <v>7</v>
      </c>
      <c r="P3686" t="n">
        <v>18</v>
      </c>
      <c r="Q3686" t="n">
        <v>0</v>
      </c>
    </row>
    <row r="3687">
      <c r="J3687" t="inlineStr">
        <is>
          <t>A</t>
        </is>
      </c>
      <c r="K3687" t="n">
        <v>2025</v>
      </c>
      <c r="L3687" t="n">
        <v>1</v>
      </c>
      <c r="M3687" t="inlineStr">
        <is>
          <t>Muçarela Mozzalet 2 kg</t>
        </is>
      </c>
      <c r="N3687" t="inlineStr">
        <is>
          <t>Pizzaria</t>
        </is>
      </c>
      <c r="O3687" t="n">
        <v>8</v>
      </c>
      <c r="P3687" t="n">
        <v>12</v>
      </c>
      <c r="Q3687" t="n">
        <v>1</v>
      </c>
    </row>
    <row r="3688">
      <c r="J3688" t="inlineStr">
        <is>
          <t>M</t>
        </is>
      </c>
      <c r="K3688" t="n">
        <v>2025</v>
      </c>
      <c r="L3688" t="n">
        <v>1</v>
      </c>
      <c r="M3688" t="inlineStr">
        <is>
          <t>Muçarela Mozzalet 2 kg</t>
        </is>
      </c>
      <c r="N3688" t="inlineStr">
        <is>
          <t>Pizzaria</t>
        </is>
      </c>
      <c r="O3688" t="n">
        <v>8</v>
      </c>
      <c r="P3688" t="n">
        <v>12</v>
      </c>
      <c r="Q3688" t="n">
        <v>0</v>
      </c>
    </row>
    <row r="3689">
      <c r="J3689" t="inlineStr">
        <is>
          <t>A</t>
        </is>
      </c>
      <c r="K3689" t="n">
        <v>2025</v>
      </c>
      <c r="L3689" t="n">
        <v>2</v>
      </c>
      <c r="M3689" t="inlineStr">
        <is>
          <t>Muçarela Mozzalet 2 kg</t>
        </is>
      </c>
      <c r="N3689" t="inlineStr">
        <is>
          <t>Pizzaria</t>
        </is>
      </c>
      <c r="O3689" t="n">
        <v>14</v>
      </c>
      <c r="P3689" t="n">
        <v>27</v>
      </c>
      <c r="Q3689" t="n">
        <v>3</v>
      </c>
    </row>
    <row r="3690">
      <c r="J3690" t="inlineStr">
        <is>
          <t>M</t>
        </is>
      </c>
      <c r="K3690" t="n">
        <v>2025</v>
      </c>
      <c r="L3690" t="n">
        <v>2</v>
      </c>
      <c r="M3690" t="inlineStr">
        <is>
          <t>Muçarela Mozzalet 2 kg</t>
        </is>
      </c>
      <c r="N3690" t="inlineStr">
        <is>
          <t>Pizzaria</t>
        </is>
      </c>
      <c r="O3690" t="n">
        <v>11</v>
      </c>
      <c r="P3690" t="n">
        <v>15</v>
      </c>
      <c r="Q3690" t="n">
        <v>0</v>
      </c>
    </row>
    <row r="3691">
      <c r="J3691" t="inlineStr">
        <is>
          <t>A</t>
        </is>
      </c>
      <c r="K3691" t="n">
        <v>2025</v>
      </c>
      <c r="L3691" t="n">
        <v>3</v>
      </c>
      <c r="M3691" t="inlineStr">
        <is>
          <t>Muçarela Mozzalet 2 kg</t>
        </is>
      </c>
      <c r="N3691" t="inlineStr">
        <is>
          <t>Pizzaria</t>
        </is>
      </c>
      <c r="O3691" t="n">
        <v>17</v>
      </c>
      <c r="P3691" t="n">
        <v>41</v>
      </c>
      <c r="Q3691" t="n">
        <v>4</v>
      </c>
    </row>
    <row r="3692">
      <c r="J3692" t="inlineStr">
        <is>
          <t>M</t>
        </is>
      </c>
      <c r="K3692" t="n">
        <v>2025</v>
      </c>
      <c r="L3692" t="n">
        <v>3</v>
      </c>
      <c r="M3692" t="inlineStr">
        <is>
          <t>Muçarela Mozzalet 2 kg</t>
        </is>
      </c>
      <c r="N3692" t="inlineStr">
        <is>
          <t>Pizzaria</t>
        </is>
      </c>
      <c r="O3692" t="n">
        <v>9</v>
      </c>
      <c r="P3692" t="n">
        <v>14</v>
      </c>
      <c r="Q3692" t="n">
        <v>0</v>
      </c>
    </row>
    <row r="3693">
      <c r="J3693" t="inlineStr">
        <is>
          <t>A</t>
        </is>
      </c>
      <c r="K3693" t="n">
        <v>2025</v>
      </c>
      <c r="L3693" t="n">
        <v>4</v>
      </c>
      <c r="M3693" t="inlineStr">
        <is>
          <t>Muçarela Mozzalet 2 kg</t>
        </is>
      </c>
      <c r="N3693" t="inlineStr">
        <is>
          <t>Pizzaria</t>
        </is>
      </c>
      <c r="O3693" t="n">
        <v>21</v>
      </c>
      <c r="P3693" t="n">
        <v>70</v>
      </c>
      <c r="Q3693" t="n">
        <v>7</v>
      </c>
    </row>
    <row r="3694">
      <c r="J3694" t="inlineStr">
        <is>
          <t>M</t>
        </is>
      </c>
      <c r="K3694" t="n">
        <v>2025</v>
      </c>
      <c r="L3694" t="n">
        <v>4</v>
      </c>
      <c r="M3694" t="inlineStr">
        <is>
          <t>Muçarela Mozzalet 2 kg</t>
        </is>
      </c>
      <c r="N3694" t="inlineStr">
        <is>
          <t>Pizzaria</t>
        </is>
      </c>
      <c r="O3694" t="n">
        <v>13</v>
      </c>
      <c r="P3694" t="n">
        <v>29</v>
      </c>
      <c r="Q3694" t="n">
        <v>0</v>
      </c>
    </row>
    <row r="3695">
      <c r="J3695" t="inlineStr">
        <is>
          <t>A</t>
        </is>
      </c>
      <c r="K3695" t="n">
        <v>2025</v>
      </c>
      <c r="L3695" t="n">
        <v>5</v>
      </c>
      <c r="M3695" t="inlineStr">
        <is>
          <t>Muçarela Mozzalet 2 kg</t>
        </is>
      </c>
      <c r="N3695" t="inlineStr">
        <is>
          <t>Pizzaria</t>
        </is>
      </c>
      <c r="O3695" t="n">
        <v>33</v>
      </c>
      <c r="P3695" t="n">
        <v>118</v>
      </c>
      <c r="Q3695" t="n">
        <v>12</v>
      </c>
    </row>
    <row r="3696">
      <c r="J3696" t="inlineStr">
        <is>
          <t>M</t>
        </is>
      </c>
      <c r="K3696" t="n">
        <v>2025</v>
      </c>
      <c r="L3696" t="n">
        <v>5</v>
      </c>
      <c r="M3696" t="inlineStr">
        <is>
          <t>Muçarela Mozzalet 2 kg</t>
        </is>
      </c>
      <c r="N3696" t="inlineStr">
        <is>
          <t>Pizzaria</t>
        </is>
      </c>
      <c r="O3696" t="n">
        <v>25</v>
      </c>
      <c r="P3696" t="n">
        <v>48</v>
      </c>
      <c r="Q3696" t="n">
        <v>0</v>
      </c>
    </row>
    <row r="3697">
      <c r="J3697" t="inlineStr">
        <is>
          <t>A</t>
        </is>
      </c>
      <c r="K3697" t="n">
        <v>2025</v>
      </c>
      <c r="L3697" t="n">
        <v>6</v>
      </c>
      <c r="M3697" t="inlineStr">
        <is>
          <t>Muçarela Mozzalet 2 kg</t>
        </is>
      </c>
      <c r="N3697" t="inlineStr">
        <is>
          <t>Pizzaria</t>
        </is>
      </c>
      <c r="O3697" t="n">
        <v>37</v>
      </c>
      <c r="P3697" t="n">
        <v>161</v>
      </c>
      <c r="Q3697" t="n">
        <v>12</v>
      </c>
    </row>
    <row r="3698">
      <c r="J3698" t="inlineStr">
        <is>
          <t>M</t>
        </is>
      </c>
      <c r="K3698" t="n">
        <v>2025</v>
      </c>
      <c r="L3698" t="n">
        <v>6</v>
      </c>
      <c r="M3698" t="inlineStr">
        <is>
          <t>Muçarela Mozzalet 2 kg</t>
        </is>
      </c>
      <c r="N3698" t="inlineStr">
        <is>
          <t>Pizzaria</t>
        </is>
      </c>
      <c r="O3698" t="n">
        <v>16</v>
      </c>
      <c r="P3698" t="n">
        <v>43</v>
      </c>
      <c r="Q3698" t="n">
        <v>0</v>
      </c>
    </row>
    <row r="3699">
      <c r="J3699" t="inlineStr">
        <is>
          <t>A</t>
        </is>
      </c>
      <c r="K3699" t="n">
        <v>2025</v>
      </c>
      <c r="L3699" t="n">
        <v>7</v>
      </c>
      <c r="M3699" t="inlineStr">
        <is>
          <t>Muçarela Mozzalet 2 kg</t>
        </is>
      </c>
      <c r="N3699" t="inlineStr">
        <is>
          <t>Pizzaria</t>
        </is>
      </c>
      <c r="O3699" t="n">
        <v>39</v>
      </c>
      <c r="P3699" t="n">
        <v>191</v>
      </c>
      <c r="Q3699" t="n">
        <v>14</v>
      </c>
    </row>
    <row r="3700">
      <c r="J3700" t="inlineStr">
        <is>
          <t>M</t>
        </is>
      </c>
      <c r="K3700" t="n">
        <v>2025</v>
      </c>
      <c r="L3700" t="n">
        <v>7</v>
      </c>
      <c r="M3700" t="inlineStr">
        <is>
          <t>Muçarela Mozzalet 2 kg</t>
        </is>
      </c>
      <c r="N3700" t="inlineStr">
        <is>
          <t>Pizzaria</t>
        </is>
      </c>
      <c r="O3700" t="n">
        <v>12</v>
      </c>
      <c r="P3700" t="n">
        <v>30</v>
      </c>
      <c r="Q3700" t="n">
        <v>0</v>
      </c>
    </row>
    <row r="3701">
      <c r="J3701" t="inlineStr">
        <is>
          <t>A</t>
        </is>
      </c>
      <c r="K3701" t="n">
        <v>2025</v>
      </c>
      <c r="L3701" t="n">
        <v>8</v>
      </c>
      <c r="M3701" t="inlineStr">
        <is>
          <t>Muçarela Mozzalet 2 kg</t>
        </is>
      </c>
      <c r="N3701" t="inlineStr">
        <is>
          <t>Pizzaria</t>
        </is>
      </c>
      <c r="O3701" t="n">
        <v>42</v>
      </c>
      <c r="P3701" t="n">
        <v>225</v>
      </c>
      <c r="Q3701" t="n">
        <v>16</v>
      </c>
    </row>
    <row r="3702">
      <c r="J3702" t="inlineStr">
        <is>
          <t>M</t>
        </is>
      </c>
      <c r="K3702" t="n">
        <v>2025</v>
      </c>
      <c r="L3702" t="n">
        <v>8</v>
      </c>
      <c r="M3702" t="inlineStr">
        <is>
          <t>Muçarela Mozzalet 2 kg</t>
        </is>
      </c>
      <c r="N3702" t="inlineStr">
        <is>
          <t>Pizzaria</t>
        </is>
      </c>
      <c r="O3702" t="n">
        <v>14</v>
      </c>
      <c r="P3702" t="n">
        <v>34</v>
      </c>
      <c r="Q3702" t="n">
        <v>0</v>
      </c>
    </row>
    <row r="3703">
      <c r="J3703" t="inlineStr">
        <is>
          <t>A</t>
        </is>
      </c>
      <c r="K3703" t="n">
        <v>2025</v>
      </c>
      <c r="L3703" t="n">
        <v>9</v>
      </c>
      <c r="M3703" t="inlineStr">
        <is>
          <t>Muçarela Mozzalet 2 kg</t>
        </is>
      </c>
      <c r="N3703" t="inlineStr">
        <is>
          <t>Pizzaria</t>
        </is>
      </c>
      <c r="O3703" t="n">
        <v>42</v>
      </c>
      <c r="P3703" t="n">
        <v>249</v>
      </c>
      <c r="Q3703" t="n">
        <v>16</v>
      </c>
    </row>
    <row r="3704">
      <c r="J3704" t="inlineStr">
        <is>
          <t>M</t>
        </is>
      </c>
      <c r="K3704" t="n">
        <v>2025</v>
      </c>
      <c r="L3704" t="n">
        <v>9</v>
      </c>
      <c r="M3704" t="inlineStr">
        <is>
          <t>Muçarela Mozzalet 2 kg</t>
        </is>
      </c>
      <c r="N3704" t="inlineStr">
        <is>
          <t>Pizzaria</t>
        </is>
      </c>
      <c r="O3704" t="n">
        <v>8</v>
      </c>
      <c r="P3704" t="n">
        <v>24</v>
      </c>
      <c r="Q3704" t="n">
        <v>0</v>
      </c>
    </row>
    <row r="3705">
      <c r="J3705" t="inlineStr">
        <is>
          <t>A</t>
        </is>
      </c>
      <c r="K3705" t="n">
        <v>2025</v>
      </c>
      <c r="L3705" t="n">
        <v>10</v>
      </c>
      <c r="M3705" t="inlineStr">
        <is>
          <t>Muçarela Mozzalet 2 kg</t>
        </is>
      </c>
      <c r="N3705" t="inlineStr">
        <is>
          <t>Pizzaria</t>
        </is>
      </c>
      <c r="O3705" t="n">
        <v>46</v>
      </c>
      <c r="P3705" t="n">
        <v>278</v>
      </c>
      <c r="Q3705" t="n">
        <v>17</v>
      </c>
    </row>
    <row r="3706">
      <c r="J3706" t="inlineStr">
        <is>
          <t>M</t>
        </is>
      </c>
      <c r="K3706" t="n">
        <v>2025</v>
      </c>
      <c r="L3706" t="n">
        <v>10</v>
      </c>
      <c r="M3706" t="inlineStr">
        <is>
          <t>Muçarela Mozzalet 2 kg</t>
        </is>
      </c>
      <c r="N3706" t="inlineStr">
        <is>
          <t>Pizzaria</t>
        </is>
      </c>
      <c r="O3706" t="n">
        <v>13</v>
      </c>
      <c r="P3706" t="n">
        <v>29</v>
      </c>
      <c r="Q3706" t="n">
        <v>0</v>
      </c>
    </row>
    <row r="3707">
      <c r="J3707" t="inlineStr">
        <is>
          <t>A</t>
        </is>
      </c>
      <c r="K3707" t="n">
        <v>2025</v>
      </c>
      <c r="L3707" t="n">
        <v>11</v>
      </c>
      <c r="M3707" t="inlineStr">
        <is>
          <t>Muçarela Mozzalet 2 kg</t>
        </is>
      </c>
      <c r="N3707" t="inlineStr">
        <is>
          <t>Pizzaria</t>
        </is>
      </c>
      <c r="O3707" t="n">
        <v>46</v>
      </c>
      <c r="P3707" t="n">
        <v>286</v>
      </c>
      <c r="Q3707" t="n">
        <v>17</v>
      </c>
    </row>
    <row r="3708">
      <c r="J3708" t="inlineStr">
        <is>
          <t>M</t>
        </is>
      </c>
      <c r="K3708" t="n">
        <v>2025</v>
      </c>
      <c r="L3708" t="n">
        <v>11</v>
      </c>
      <c r="M3708" t="inlineStr">
        <is>
          <t>Muçarela Mozzalet 2 kg</t>
        </is>
      </c>
      <c r="N3708" t="inlineStr">
        <is>
          <t>Pizzaria</t>
        </is>
      </c>
      <c r="O3708" t="n">
        <v>4</v>
      </c>
      <c r="P3708" t="n">
        <v>8</v>
      </c>
      <c r="Q3708" t="n">
        <v>0</v>
      </c>
    </row>
    <row r="3709">
      <c r="J3709" t="inlineStr">
        <is>
          <t>A</t>
        </is>
      </c>
      <c r="K3709" t="n">
        <v>2025</v>
      </c>
      <c r="L3709" t="n">
        <v>12</v>
      </c>
      <c r="M3709" t="inlineStr">
        <is>
          <t>Muçarela Mozzalet 2 kg</t>
        </is>
      </c>
      <c r="N3709" t="inlineStr">
        <is>
          <t>Pizzaria</t>
        </is>
      </c>
      <c r="O3709" t="n">
        <v>47</v>
      </c>
      <c r="P3709" t="n">
        <v>288</v>
      </c>
      <c r="Q3709" t="n">
        <v>18</v>
      </c>
    </row>
    <row r="3710">
      <c r="J3710" t="inlineStr">
        <is>
          <t>M</t>
        </is>
      </c>
      <c r="K3710" t="n">
        <v>2025</v>
      </c>
      <c r="L3710" t="n">
        <v>12</v>
      </c>
      <c r="M3710" t="inlineStr">
        <is>
          <t>Muçarela Mozzalet 2 kg</t>
        </is>
      </c>
      <c r="N3710" t="inlineStr">
        <is>
          <t>Pizzaria</t>
        </is>
      </c>
      <c r="O3710" t="n">
        <v>2</v>
      </c>
      <c r="P3710" t="n">
        <v>2</v>
      </c>
      <c r="Q3710" t="n">
        <v>0</v>
      </c>
    </row>
    <row r="3711">
      <c r="J3711" t="inlineStr">
        <is>
          <t>A</t>
        </is>
      </c>
      <c r="K3711" t="n">
        <v>2025</v>
      </c>
      <c r="L3711" t="n">
        <v>1</v>
      </c>
      <c r="M3711" t="inlineStr">
        <is>
          <t>Muçarela Mozzalet 2 kg</t>
        </is>
      </c>
      <c r="N3711" t="inlineStr">
        <is>
          <t>Restaurante / Cantina</t>
        </is>
      </c>
      <c r="O3711" t="n">
        <v>2</v>
      </c>
      <c r="P3711" t="n">
        <v>7</v>
      </c>
      <c r="Q3711" t="n">
        <v>0</v>
      </c>
    </row>
    <row r="3712">
      <c r="J3712" t="inlineStr">
        <is>
          <t>M</t>
        </is>
      </c>
      <c r="K3712" t="n">
        <v>2025</v>
      </c>
      <c r="L3712" t="n">
        <v>1</v>
      </c>
      <c r="M3712" t="inlineStr">
        <is>
          <t>Muçarela Mozzalet 2 kg</t>
        </is>
      </c>
      <c r="N3712" t="inlineStr">
        <is>
          <t>Restaurante / Cantina</t>
        </is>
      </c>
      <c r="O3712" t="n">
        <v>2</v>
      </c>
      <c r="P3712" t="n">
        <v>7</v>
      </c>
      <c r="Q3712" t="n">
        <v>0</v>
      </c>
    </row>
    <row r="3713">
      <c r="J3713" t="inlineStr">
        <is>
          <t>A</t>
        </is>
      </c>
      <c r="K3713" t="n">
        <v>2025</v>
      </c>
      <c r="L3713" t="n">
        <v>2</v>
      </c>
      <c r="M3713" t="inlineStr">
        <is>
          <t>Muçarela Mozzalet 2 kg</t>
        </is>
      </c>
      <c r="N3713" t="inlineStr">
        <is>
          <t>Restaurante / Cantina</t>
        </is>
      </c>
      <c r="O3713" t="n">
        <v>4</v>
      </c>
      <c r="P3713" t="n">
        <v>16</v>
      </c>
      <c r="Q3713" t="n">
        <v>0</v>
      </c>
    </row>
    <row r="3714">
      <c r="J3714" t="inlineStr">
        <is>
          <t>M</t>
        </is>
      </c>
      <c r="K3714" t="n">
        <v>2025</v>
      </c>
      <c r="L3714" t="n">
        <v>2</v>
      </c>
      <c r="M3714" t="inlineStr">
        <is>
          <t>Muçarela Mozzalet 2 kg</t>
        </is>
      </c>
      <c r="N3714" t="inlineStr">
        <is>
          <t>Restaurante / Cantina</t>
        </is>
      </c>
      <c r="O3714" t="n">
        <v>4</v>
      </c>
      <c r="P3714" t="n">
        <v>9</v>
      </c>
      <c r="Q3714" t="n">
        <v>0</v>
      </c>
    </row>
    <row r="3715">
      <c r="J3715" t="inlineStr">
        <is>
          <t>A</t>
        </is>
      </c>
      <c r="K3715" t="n">
        <v>2025</v>
      </c>
      <c r="L3715" t="n">
        <v>3</v>
      </c>
      <c r="M3715" t="inlineStr">
        <is>
          <t>Muçarela Mozzalet 2 kg</t>
        </is>
      </c>
      <c r="N3715" t="inlineStr">
        <is>
          <t>Restaurante / Cantina</t>
        </is>
      </c>
      <c r="O3715" t="n">
        <v>4</v>
      </c>
      <c r="P3715" t="n">
        <v>20</v>
      </c>
      <c r="Q3715" t="n">
        <v>0</v>
      </c>
    </row>
    <row r="3716">
      <c r="J3716" t="inlineStr">
        <is>
          <t>M</t>
        </is>
      </c>
      <c r="K3716" t="n">
        <v>2025</v>
      </c>
      <c r="L3716" t="n">
        <v>3</v>
      </c>
      <c r="M3716" t="inlineStr">
        <is>
          <t>Muçarela Mozzalet 2 kg</t>
        </is>
      </c>
      <c r="N3716" t="inlineStr">
        <is>
          <t>Restaurante / Cantina</t>
        </is>
      </c>
      <c r="O3716" t="n">
        <v>3</v>
      </c>
      <c r="P3716" t="n">
        <v>4</v>
      </c>
      <c r="Q3716" t="n">
        <v>0</v>
      </c>
    </row>
    <row r="3717">
      <c r="J3717" t="inlineStr">
        <is>
          <t>A</t>
        </is>
      </c>
      <c r="K3717" t="n">
        <v>2025</v>
      </c>
      <c r="L3717" t="n">
        <v>4</v>
      </c>
      <c r="M3717" t="inlineStr">
        <is>
          <t>Muçarela Mozzalet 2 kg</t>
        </is>
      </c>
      <c r="N3717" t="inlineStr">
        <is>
          <t>Restaurante / Cantina</t>
        </is>
      </c>
      <c r="O3717" t="n">
        <v>4</v>
      </c>
      <c r="P3717" t="n">
        <v>28</v>
      </c>
      <c r="Q3717" t="n">
        <v>0</v>
      </c>
    </row>
    <row r="3718">
      <c r="J3718" t="inlineStr">
        <is>
          <t>M</t>
        </is>
      </c>
      <c r="K3718" t="n">
        <v>2025</v>
      </c>
      <c r="L3718" t="n">
        <v>4</v>
      </c>
      <c r="M3718" t="inlineStr">
        <is>
          <t>Muçarela Mozzalet 2 kg</t>
        </is>
      </c>
      <c r="N3718" t="inlineStr">
        <is>
          <t>Restaurante / Cantina</t>
        </is>
      </c>
      <c r="O3718" t="n">
        <v>2</v>
      </c>
      <c r="P3718" t="n">
        <v>8</v>
      </c>
      <c r="Q3718" t="n">
        <v>0</v>
      </c>
    </row>
    <row r="3719">
      <c r="J3719" t="inlineStr">
        <is>
          <t>A</t>
        </is>
      </c>
      <c r="K3719" t="n">
        <v>2025</v>
      </c>
      <c r="L3719" t="n">
        <v>5</v>
      </c>
      <c r="M3719" t="inlineStr">
        <is>
          <t>Muçarela Mozzalet 2 kg</t>
        </is>
      </c>
      <c r="N3719" t="inlineStr">
        <is>
          <t>Restaurante / Cantina</t>
        </is>
      </c>
      <c r="O3719" t="n">
        <v>9</v>
      </c>
      <c r="P3719" t="n">
        <v>42</v>
      </c>
      <c r="Q3719" t="n">
        <v>2</v>
      </c>
    </row>
    <row r="3720">
      <c r="J3720" t="inlineStr">
        <is>
          <t>M</t>
        </is>
      </c>
      <c r="K3720" t="n">
        <v>2025</v>
      </c>
      <c r="L3720" t="n">
        <v>5</v>
      </c>
      <c r="M3720" t="inlineStr">
        <is>
          <t>Muçarela Mozzalet 2 kg</t>
        </is>
      </c>
      <c r="N3720" t="inlineStr">
        <is>
          <t>Restaurante / Cantina</t>
        </is>
      </c>
      <c r="O3720" t="n">
        <v>8</v>
      </c>
      <c r="P3720" t="n">
        <v>14</v>
      </c>
      <c r="Q3720" t="n">
        <v>0</v>
      </c>
    </row>
    <row r="3721">
      <c r="J3721" t="inlineStr">
        <is>
          <t>A</t>
        </is>
      </c>
      <c r="K3721" t="n">
        <v>2025</v>
      </c>
      <c r="L3721" t="n">
        <v>6</v>
      </c>
      <c r="M3721" t="inlineStr">
        <is>
          <t>Muçarela Mozzalet 2 kg</t>
        </is>
      </c>
      <c r="N3721" t="inlineStr">
        <is>
          <t>Restaurante / Cantina</t>
        </is>
      </c>
      <c r="O3721" t="n">
        <v>11</v>
      </c>
      <c r="P3721" t="n">
        <v>54</v>
      </c>
      <c r="Q3721" t="n">
        <v>2</v>
      </c>
    </row>
    <row r="3722">
      <c r="J3722" t="inlineStr">
        <is>
          <t>M</t>
        </is>
      </c>
      <c r="K3722" t="n">
        <v>2025</v>
      </c>
      <c r="L3722" t="n">
        <v>6</v>
      </c>
      <c r="M3722" t="inlineStr">
        <is>
          <t>Muçarela Mozzalet 2 kg</t>
        </is>
      </c>
      <c r="N3722" t="inlineStr">
        <is>
          <t>Restaurante / Cantina</t>
        </is>
      </c>
      <c r="O3722" t="n">
        <v>5</v>
      </c>
      <c r="P3722" t="n">
        <v>12</v>
      </c>
      <c r="Q3722" t="n">
        <v>0</v>
      </c>
    </row>
    <row r="3723">
      <c r="J3723" t="inlineStr">
        <is>
          <t>A</t>
        </is>
      </c>
      <c r="K3723" t="n">
        <v>2025</v>
      </c>
      <c r="L3723" t="n">
        <v>7</v>
      </c>
      <c r="M3723" t="inlineStr">
        <is>
          <t>Muçarela Mozzalet 2 kg</t>
        </is>
      </c>
      <c r="N3723" t="inlineStr">
        <is>
          <t>Restaurante / Cantina</t>
        </is>
      </c>
      <c r="O3723" t="n">
        <v>11</v>
      </c>
      <c r="P3723" t="n">
        <v>67</v>
      </c>
      <c r="Q3723" t="n">
        <v>2</v>
      </c>
    </row>
    <row r="3724">
      <c r="J3724" t="inlineStr">
        <is>
          <t>M</t>
        </is>
      </c>
      <c r="K3724" t="n">
        <v>2025</v>
      </c>
      <c r="L3724" t="n">
        <v>7</v>
      </c>
      <c r="M3724" t="inlineStr">
        <is>
          <t>Muçarela Mozzalet 2 kg</t>
        </is>
      </c>
      <c r="N3724" t="inlineStr">
        <is>
          <t>Restaurante / Cantina</t>
        </is>
      </c>
      <c r="O3724" t="n">
        <v>5</v>
      </c>
      <c r="P3724" t="n">
        <v>13</v>
      </c>
      <c r="Q3724" t="n">
        <v>0</v>
      </c>
    </row>
    <row r="3725">
      <c r="J3725" t="inlineStr">
        <is>
          <t>A</t>
        </is>
      </c>
      <c r="K3725" t="n">
        <v>2025</v>
      </c>
      <c r="L3725" t="n">
        <v>8</v>
      </c>
      <c r="M3725" t="inlineStr">
        <is>
          <t>Muçarela Mozzalet 2 kg</t>
        </is>
      </c>
      <c r="N3725" t="inlineStr">
        <is>
          <t>Restaurante / Cantina</t>
        </is>
      </c>
      <c r="O3725" t="n">
        <v>12</v>
      </c>
      <c r="P3725" t="n">
        <v>76</v>
      </c>
      <c r="Q3725" t="n">
        <v>2</v>
      </c>
    </row>
    <row r="3726">
      <c r="J3726" t="inlineStr">
        <is>
          <t>M</t>
        </is>
      </c>
      <c r="K3726" t="n">
        <v>2025</v>
      </c>
      <c r="L3726" t="n">
        <v>8</v>
      </c>
      <c r="M3726" t="inlineStr">
        <is>
          <t>Muçarela Mozzalet 2 kg</t>
        </is>
      </c>
      <c r="N3726" t="inlineStr">
        <is>
          <t>Restaurante / Cantina</t>
        </is>
      </c>
      <c r="O3726" t="n">
        <v>5</v>
      </c>
      <c r="P3726" t="n">
        <v>9</v>
      </c>
      <c r="Q3726" t="n">
        <v>0</v>
      </c>
    </row>
    <row r="3727">
      <c r="J3727" t="inlineStr">
        <is>
          <t>A</t>
        </is>
      </c>
      <c r="K3727" t="n">
        <v>2025</v>
      </c>
      <c r="L3727" t="n">
        <v>9</v>
      </c>
      <c r="M3727" t="inlineStr">
        <is>
          <t>Muçarela Mozzalet 2 kg</t>
        </is>
      </c>
      <c r="N3727" t="inlineStr">
        <is>
          <t>Restaurante / Cantina</t>
        </is>
      </c>
      <c r="O3727" t="n">
        <v>12</v>
      </c>
      <c r="P3727" t="n">
        <v>82</v>
      </c>
      <c r="Q3727" t="n">
        <v>2</v>
      </c>
    </row>
    <row r="3728">
      <c r="J3728" t="inlineStr">
        <is>
          <t>M</t>
        </is>
      </c>
      <c r="K3728" t="n">
        <v>2025</v>
      </c>
      <c r="L3728" t="n">
        <v>9</v>
      </c>
      <c r="M3728" t="inlineStr">
        <is>
          <t>Muçarela Mozzalet 2 kg</t>
        </is>
      </c>
      <c r="N3728" t="inlineStr">
        <is>
          <t>Restaurante / Cantina</t>
        </is>
      </c>
      <c r="O3728" t="n">
        <v>3</v>
      </c>
      <c r="P3728" t="n">
        <v>6</v>
      </c>
      <c r="Q3728" t="n">
        <v>0</v>
      </c>
    </row>
    <row r="3729">
      <c r="J3729" t="inlineStr">
        <is>
          <t>A</t>
        </is>
      </c>
      <c r="K3729" t="n">
        <v>2025</v>
      </c>
      <c r="L3729" t="n">
        <v>10</v>
      </c>
      <c r="M3729" t="inlineStr">
        <is>
          <t>Muçarela Mozzalet 2 kg</t>
        </is>
      </c>
      <c r="N3729" t="inlineStr">
        <is>
          <t>Restaurante / Cantina</t>
        </is>
      </c>
      <c r="O3729" t="n">
        <v>13</v>
      </c>
      <c r="P3729" t="n">
        <v>91</v>
      </c>
      <c r="Q3729" t="n">
        <v>3</v>
      </c>
    </row>
    <row r="3730">
      <c r="J3730" t="inlineStr">
        <is>
          <t>M</t>
        </is>
      </c>
      <c r="K3730" t="n">
        <v>2025</v>
      </c>
      <c r="L3730" t="n">
        <v>10</v>
      </c>
      <c r="M3730" t="inlineStr">
        <is>
          <t>Muçarela Mozzalet 2 kg</t>
        </is>
      </c>
      <c r="N3730" t="inlineStr">
        <is>
          <t>Restaurante / Cantina</t>
        </is>
      </c>
      <c r="O3730" t="n">
        <v>4</v>
      </c>
      <c r="P3730" t="n">
        <v>9</v>
      </c>
      <c r="Q3730" t="n">
        <v>0</v>
      </c>
    </row>
    <row r="3731">
      <c r="J3731" t="inlineStr">
        <is>
          <t>A</t>
        </is>
      </c>
      <c r="K3731" t="n">
        <v>2025</v>
      </c>
      <c r="L3731" t="n">
        <v>11</v>
      </c>
      <c r="M3731" t="inlineStr">
        <is>
          <t>Muçarela Mozzalet 2 kg</t>
        </is>
      </c>
      <c r="N3731" t="inlineStr">
        <is>
          <t>Restaurante / Cantina</t>
        </is>
      </c>
      <c r="O3731" t="n">
        <v>13</v>
      </c>
      <c r="P3731" t="n">
        <v>98</v>
      </c>
      <c r="Q3731" t="n">
        <v>3</v>
      </c>
    </row>
    <row r="3732">
      <c r="J3732" t="inlineStr">
        <is>
          <t>M</t>
        </is>
      </c>
      <c r="K3732" t="n">
        <v>2025</v>
      </c>
      <c r="L3732" t="n">
        <v>11</v>
      </c>
      <c r="M3732" t="inlineStr">
        <is>
          <t>Muçarela Mozzalet 2 kg</t>
        </is>
      </c>
      <c r="N3732" t="inlineStr">
        <is>
          <t>Restaurante / Cantina</t>
        </is>
      </c>
      <c r="O3732" t="n">
        <v>1</v>
      </c>
      <c r="P3732" t="n">
        <v>7</v>
      </c>
      <c r="Q3732" t="n">
        <v>0</v>
      </c>
    </row>
    <row r="3733">
      <c r="J3733" t="inlineStr">
        <is>
          <t>A</t>
        </is>
      </c>
      <c r="K3733" t="n">
        <v>2025</v>
      </c>
      <c r="L3733" t="n">
        <v>12</v>
      </c>
      <c r="M3733" t="inlineStr">
        <is>
          <t>Muçarela Mozzalet 2 kg</t>
        </is>
      </c>
      <c r="N3733" t="inlineStr">
        <is>
          <t>Restaurante / Cantina</t>
        </is>
      </c>
      <c r="O3733" t="n">
        <v>13</v>
      </c>
      <c r="P3733" t="n">
        <v>101</v>
      </c>
      <c r="Q3733" t="n">
        <v>3</v>
      </c>
    </row>
    <row r="3734">
      <c r="J3734" t="inlineStr">
        <is>
          <t>M</t>
        </is>
      </c>
      <c r="K3734" t="n">
        <v>2025</v>
      </c>
      <c r="L3734" t="n">
        <v>12</v>
      </c>
      <c r="M3734" t="inlineStr">
        <is>
          <t>Muçarela Mozzalet 2 kg</t>
        </is>
      </c>
      <c r="N3734" t="inlineStr">
        <is>
          <t>Restaurante / Cantina</t>
        </is>
      </c>
      <c r="O3734" t="n">
        <v>1</v>
      </c>
      <c r="P3734" t="n">
        <v>3</v>
      </c>
      <c r="Q3734" t="n">
        <v>0</v>
      </c>
    </row>
    <row r="3735">
      <c r="J3735" t="inlineStr">
        <is>
          <t>A</t>
        </is>
      </c>
      <c r="K3735" t="n">
        <v>2025</v>
      </c>
      <c r="L3735" t="n">
        <v>1</v>
      </c>
      <c r="M3735" t="inlineStr">
        <is>
          <t>Muçarela Mozzalet 2 kg</t>
        </is>
      </c>
      <c r="N3735" t="inlineStr">
        <is>
          <t>Cozinha Industrial</t>
        </is>
      </c>
      <c r="O3735" t="n">
        <v>1</v>
      </c>
      <c r="P3735" t="n">
        <v>8</v>
      </c>
      <c r="Q3735" t="n">
        <v>0</v>
      </c>
    </row>
    <row r="3736">
      <c r="J3736" t="inlineStr">
        <is>
          <t>M</t>
        </is>
      </c>
      <c r="K3736" t="n">
        <v>2025</v>
      </c>
      <c r="L3736" t="n">
        <v>1</v>
      </c>
      <c r="M3736" t="inlineStr">
        <is>
          <t>Muçarela Mozzalet 2 kg</t>
        </is>
      </c>
      <c r="N3736" t="inlineStr">
        <is>
          <t>Cozinha Industrial</t>
        </is>
      </c>
      <c r="O3736" t="n">
        <v>1</v>
      </c>
      <c r="P3736" t="n">
        <v>8</v>
      </c>
      <c r="Q3736" t="n">
        <v>0</v>
      </c>
    </row>
    <row r="3737">
      <c r="J3737" t="inlineStr">
        <is>
          <t>A</t>
        </is>
      </c>
      <c r="K3737" t="n">
        <v>2025</v>
      </c>
      <c r="L3737" t="n">
        <v>2</v>
      </c>
      <c r="M3737" t="inlineStr">
        <is>
          <t>Muçarela Mozzalet 2 kg</t>
        </is>
      </c>
      <c r="N3737" t="inlineStr">
        <is>
          <t>Cozinha Industrial</t>
        </is>
      </c>
      <c r="O3737" t="n">
        <v>1</v>
      </c>
      <c r="P3737" t="n">
        <v>19</v>
      </c>
      <c r="Q3737" t="n">
        <v>0</v>
      </c>
    </row>
    <row r="3738">
      <c r="J3738" t="inlineStr">
        <is>
          <t>M</t>
        </is>
      </c>
      <c r="K3738" t="n">
        <v>2025</v>
      </c>
      <c r="L3738" t="n">
        <v>2</v>
      </c>
      <c r="M3738" t="inlineStr">
        <is>
          <t>Muçarela Mozzalet 2 kg</t>
        </is>
      </c>
      <c r="N3738" t="inlineStr">
        <is>
          <t>Cozinha Industrial</t>
        </is>
      </c>
      <c r="O3738" t="n">
        <v>1</v>
      </c>
      <c r="P3738" t="n">
        <v>11</v>
      </c>
      <c r="Q3738" t="n">
        <v>0</v>
      </c>
    </row>
    <row r="3739">
      <c r="J3739" t="inlineStr">
        <is>
          <t>A</t>
        </is>
      </c>
      <c r="K3739" t="n">
        <v>2025</v>
      </c>
      <c r="L3739" t="n">
        <v>3</v>
      </c>
      <c r="M3739" t="inlineStr">
        <is>
          <t>Muçarela Mozzalet 2 kg</t>
        </is>
      </c>
      <c r="N3739" t="inlineStr">
        <is>
          <t>Cozinha Industrial</t>
        </is>
      </c>
      <c r="O3739" t="n">
        <v>2</v>
      </c>
      <c r="P3739" t="n">
        <v>25</v>
      </c>
      <c r="Q3739" t="n">
        <v>0</v>
      </c>
    </row>
    <row r="3740">
      <c r="J3740" t="inlineStr">
        <is>
          <t>M</t>
        </is>
      </c>
      <c r="K3740" t="n">
        <v>2025</v>
      </c>
      <c r="L3740" t="n">
        <v>3</v>
      </c>
      <c r="M3740" t="inlineStr">
        <is>
          <t>Muçarela Mozzalet 2 kg</t>
        </is>
      </c>
      <c r="N3740" t="inlineStr">
        <is>
          <t>Cozinha Industrial</t>
        </is>
      </c>
      <c r="O3740" t="n">
        <v>2</v>
      </c>
      <c r="P3740" t="n">
        <v>6</v>
      </c>
      <c r="Q3740" t="n">
        <v>0</v>
      </c>
    </row>
    <row r="3741">
      <c r="J3741" t="inlineStr">
        <is>
          <t>A</t>
        </is>
      </c>
      <c r="K3741" t="n">
        <v>2025</v>
      </c>
      <c r="L3741" t="n">
        <v>4</v>
      </c>
      <c r="M3741" t="inlineStr">
        <is>
          <t>Muçarela Mozzalet 2 kg</t>
        </is>
      </c>
      <c r="N3741" t="inlineStr">
        <is>
          <t>Cozinha Industrial</t>
        </is>
      </c>
      <c r="O3741" t="n">
        <v>3</v>
      </c>
      <c r="P3741" t="n">
        <v>35</v>
      </c>
      <c r="Q3741" t="n">
        <v>0</v>
      </c>
    </row>
    <row r="3742">
      <c r="J3742" t="inlineStr">
        <is>
          <t>M</t>
        </is>
      </c>
      <c r="K3742" t="n">
        <v>2025</v>
      </c>
      <c r="L3742" t="n">
        <v>4</v>
      </c>
      <c r="M3742" t="inlineStr">
        <is>
          <t>Muçarela Mozzalet 2 kg</t>
        </is>
      </c>
      <c r="N3742" t="inlineStr">
        <is>
          <t>Cozinha Industrial</t>
        </is>
      </c>
      <c r="O3742" t="n">
        <v>3</v>
      </c>
      <c r="P3742" t="n">
        <v>10</v>
      </c>
      <c r="Q3742" t="n">
        <v>0</v>
      </c>
    </row>
    <row r="3743">
      <c r="J3743" t="inlineStr">
        <is>
          <t>A</t>
        </is>
      </c>
      <c r="K3743" t="n">
        <v>2025</v>
      </c>
      <c r="L3743" t="n">
        <v>5</v>
      </c>
      <c r="M3743" t="inlineStr">
        <is>
          <t>Muçarela Mozzalet 2 kg</t>
        </is>
      </c>
      <c r="N3743" t="inlineStr">
        <is>
          <t>Cozinha Industrial</t>
        </is>
      </c>
      <c r="O3743" t="n">
        <v>4</v>
      </c>
      <c r="P3743" t="n">
        <v>45</v>
      </c>
      <c r="Q3743" t="n">
        <v>0</v>
      </c>
    </row>
    <row r="3744">
      <c r="J3744" t="inlineStr">
        <is>
          <t>M</t>
        </is>
      </c>
      <c r="K3744" t="n">
        <v>2025</v>
      </c>
      <c r="L3744" t="n">
        <v>5</v>
      </c>
      <c r="M3744" t="inlineStr">
        <is>
          <t>Muçarela Mozzalet 2 kg</t>
        </is>
      </c>
      <c r="N3744" t="inlineStr">
        <is>
          <t>Cozinha Industrial</t>
        </is>
      </c>
      <c r="O3744" t="n">
        <v>4</v>
      </c>
      <c r="P3744" t="n">
        <v>10</v>
      </c>
      <c r="Q3744" t="n">
        <v>0</v>
      </c>
    </row>
    <row r="3745">
      <c r="J3745" t="inlineStr">
        <is>
          <t>A</t>
        </is>
      </c>
      <c r="K3745" t="n">
        <v>2025</v>
      </c>
      <c r="L3745" t="n">
        <v>6</v>
      </c>
      <c r="M3745" t="inlineStr">
        <is>
          <t>Muçarela Mozzalet 2 kg</t>
        </is>
      </c>
      <c r="N3745" t="inlineStr">
        <is>
          <t>Cozinha Industrial</t>
        </is>
      </c>
      <c r="O3745" t="n">
        <v>5</v>
      </c>
      <c r="P3745" t="n">
        <v>58</v>
      </c>
      <c r="Q3745" t="n">
        <v>0</v>
      </c>
    </row>
    <row r="3746">
      <c r="J3746" t="inlineStr">
        <is>
          <t>M</t>
        </is>
      </c>
      <c r="K3746" t="n">
        <v>2025</v>
      </c>
      <c r="L3746" t="n">
        <v>6</v>
      </c>
      <c r="M3746" t="inlineStr">
        <is>
          <t>Muçarela Mozzalet 2 kg</t>
        </is>
      </c>
      <c r="N3746" t="inlineStr">
        <is>
          <t>Cozinha Industrial</t>
        </is>
      </c>
      <c r="O3746" t="n">
        <v>5</v>
      </c>
      <c r="P3746" t="n">
        <v>13</v>
      </c>
      <c r="Q3746" t="n">
        <v>0</v>
      </c>
    </row>
    <row r="3747">
      <c r="J3747" t="inlineStr">
        <is>
          <t>A</t>
        </is>
      </c>
      <c r="K3747" t="n">
        <v>2025</v>
      </c>
      <c r="L3747" t="n">
        <v>7</v>
      </c>
      <c r="M3747" t="inlineStr">
        <is>
          <t>Muçarela Mozzalet 2 kg</t>
        </is>
      </c>
      <c r="N3747" t="inlineStr">
        <is>
          <t>Cozinha Industrial</t>
        </is>
      </c>
      <c r="O3747" t="n">
        <v>6</v>
      </c>
      <c r="P3747" t="n">
        <v>70</v>
      </c>
      <c r="Q3747" t="n">
        <v>0</v>
      </c>
    </row>
    <row r="3748">
      <c r="J3748" t="inlineStr">
        <is>
          <t>M</t>
        </is>
      </c>
      <c r="K3748" t="n">
        <v>2025</v>
      </c>
      <c r="L3748" t="n">
        <v>7</v>
      </c>
      <c r="M3748" t="inlineStr">
        <is>
          <t>Muçarela Mozzalet 2 kg</t>
        </is>
      </c>
      <c r="N3748" t="inlineStr">
        <is>
          <t>Cozinha Industrial</t>
        </is>
      </c>
      <c r="O3748" t="n">
        <v>4</v>
      </c>
      <c r="P3748" t="n">
        <v>12</v>
      </c>
      <c r="Q3748" t="n">
        <v>0</v>
      </c>
    </row>
    <row r="3749">
      <c r="J3749" t="inlineStr">
        <is>
          <t>A</t>
        </is>
      </c>
      <c r="K3749" t="n">
        <v>2025</v>
      </c>
      <c r="L3749" t="n">
        <v>8</v>
      </c>
      <c r="M3749" t="inlineStr">
        <is>
          <t>Muçarela Mozzalet 2 kg</t>
        </is>
      </c>
      <c r="N3749" t="inlineStr">
        <is>
          <t>Cozinha Industrial</t>
        </is>
      </c>
      <c r="O3749" t="n">
        <v>7</v>
      </c>
      <c r="P3749" t="n">
        <v>83</v>
      </c>
      <c r="Q3749" t="n">
        <v>0</v>
      </c>
    </row>
    <row r="3750">
      <c r="J3750" t="inlineStr">
        <is>
          <t>M</t>
        </is>
      </c>
      <c r="K3750" t="n">
        <v>2025</v>
      </c>
      <c r="L3750" t="n">
        <v>8</v>
      </c>
      <c r="M3750" t="inlineStr">
        <is>
          <t>Muçarela Mozzalet 2 kg</t>
        </is>
      </c>
      <c r="N3750" t="inlineStr">
        <is>
          <t>Cozinha Industrial</t>
        </is>
      </c>
      <c r="O3750" t="n">
        <v>4</v>
      </c>
      <c r="P3750" t="n">
        <v>13</v>
      </c>
      <c r="Q3750" t="n">
        <v>0</v>
      </c>
    </row>
    <row r="3751">
      <c r="J3751" t="inlineStr">
        <is>
          <t>A</t>
        </is>
      </c>
      <c r="K3751" t="n">
        <v>2025</v>
      </c>
      <c r="L3751" t="n">
        <v>9</v>
      </c>
      <c r="M3751" t="inlineStr">
        <is>
          <t>Muçarela Mozzalet 2 kg</t>
        </is>
      </c>
      <c r="N3751" t="inlineStr">
        <is>
          <t>Cozinha Industrial</t>
        </is>
      </c>
      <c r="O3751" t="n">
        <v>8</v>
      </c>
      <c r="P3751" t="n">
        <v>94</v>
      </c>
      <c r="Q3751" t="n">
        <v>1</v>
      </c>
    </row>
    <row r="3752">
      <c r="J3752" t="inlineStr">
        <is>
          <t>M</t>
        </is>
      </c>
      <c r="K3752" t="n">
        <v>2025</v>
      </c>
      <c r="L3752" t="n">
        <v>9</v>
      </c>
      <c r="M3752" t="inlineStr">
        <is>
          <t>Muçarela Mozzalet 2 kg</t>
        </is>
      </c>
      <c r="N3752" t="inlineStr">
        <is>
          <t>Cozinha Industrial</t>
        </is>
      </c>
      <c r="O3752" t="n">
        <v>3</v>
      </c>
      <c r="P3752" t="n">
        <v>11</v>
      </c>
      <c r="Q3752" t="n">
        <v>0</v>
      </c>
    </row>
    <row r="3753">
      <c r="J3753" t="inlineStr">
        <is>
          <t>A</t>
        </is>
      </c>
      <c r="K3753" t="n">
        <v>2025</v>
      </c>
      <c r="L3753" t="n">
        <v>10</v>
      </c>
      <c r="M3753" t="inlineStr">
        <is>
          <t>Muçarela Mozzalet 2 kg</t>
        </is>
      </c>
      <c r="N3753" t="inlineStr">
        <is>
          <t>Cozinha Industrial</t>
        </is>
      </c>
      <c r="O3753" t="n">
        <v>8</v>
      </c>
      <c r="P3753" t="n">
        <v>105</v>
      </c>
      <c r="Q3753" t="n">
        <v>1</v>
      </c>
    </row>
    <row r="3754">
      <c r="J3754" t="inlineStr">
        <is>
          <t>M</t>
        </is>
      </c>
      <c r="K3754" t="n">
        <v>2025</v>
      </c>
      <c r="L3754" t="n">
        <v>10</v>
      </c>
      <c r="M3754" t="inlineStr">
        <is>
          <t>Muçarela Mozzalet 2 kg</t>
        </is>
      </c>
      <c r="N3754" t="inlineStr">
        <is>
          <t>Cozinha Industrial</t>
        </is>
      </c>
      <c r="O3754" t="n">
        <v>3</v>
      </c>
      <c r="P3754" t="n">
        <v>11</v>
      </c>
      <c r="Q3754" t="n">
        <v>0</v>
      </c>
    </row>
    <row r="3755">
      <c r="J3755" t="inlineStr">
        <is>
          <t>A</t>
        </is>
      </c>
      <c r="K3755" t="n">
        <v>2025</v>
      </c>
      <c r="L3755" t="n">
        <v>11</v>
      </c>
      <c r="M3755" t="inlineStr">
        <is>
          <t>Muçarela Mozzalet 2 kg</t>
        </is>
      </c>
      <c r="N3755" t="inlineStr">
        <is>
          <t>Cozinha Industrial</t>
        </is>
      </c>
      <c r="O3755" t="n">
        <v>8</v>
      </c>
      <c r="P3755" t="n">
        <v>117</v>
      </c>
      <c r="Q3755" t="n">
        <v>1</v>
      </c>
    </row>
    <row r="3756">
      <c r="J3756" t="inlineStr">
        <is>
          <t>M</t>
        </is>
      </c>
      <c r="K3756" t="n">
        <v>2025</v>
      </c>
      <c r="L3756" t="n">
        <v>11</v>
      </c>
      <c r="M3756" t="inlineStr">
        <is>
          <t>Muçarela Mozzalet 2 kg</t>
        </is>
      </c>
      <c r="N3756" t="inlineStr">
        <is>
          <t>Cozinha Industrial</t>
        </is>
      </c>
      <c r="O3756" t="n">
        <v>2</v>
      </c>
      <c r="P3756" t="n">
        <v>12</v>
      </c>
      <c r="Q3756" t="n">
        <v>0</v>
      </c>
    </row>
    <row r="3757">
      <c r="J3757" t="inlineStr">
        <is>
          <t>A</t>
        </is>
      </c>
      <c r="K3757" t="n">
        <v>2025</v>
      </c>
      <c r="L3757" t="n">
        <v>12</v>
      </c>
      <c r="M3757" t="inlineStr">
        <is>
          <t>Muçarela Mozzalet 2 kg</t>
        </is>
      </c>
      <c r="N3757" t="inlineStr">
        <is>
          <t>Cozinha Industrial</t>
        </is>
      </c>
      <c r="O3757" t="n">
        <v>8</v>
      </c>
      <c r="P3757" t="n">
        <v>124</v>
      </c>
      <c r="Q3757" t="n">
        <v>1</v>
      </c>
    </row>
    <row r="3758">
      <c r="J3758" t="inlineStr">
        <is>
          <t>M</t>
        </is>
      </c>
      <c r="K3758" t="n">
        <v>2025</v>
      </c>
      <c r="L3758" t="n">
        <v>12</v>
      </c>
      <c r="M3758" t="inlineStr">
        <is>
          <t>Muçarela Mozzalet 2 kg</t>
        </is>
      </c>
      <c r="N3758" t="inlineStr">
        <is>
          <t>Cozinha Industrial</t>
        </is>
      </c>
      <c r="O3758" t="n">
        <v>1</v>
      </c>
      <c r="P3758" t="n">
        <v>7</v>
      </c>
      <c r="Q3758" t="n">
        <v>0</v>
      </c>
    </row>
    <row r="3759">
      <c r="J3759" t="inlineStr">
        <is>
          <t>A</t>
        </is>
      </c>
      <c r="K3759" t="n">
        <v>2025</v>
      </c>
      <c r="L3759" t="n">
        <v>1</v>
      </c>
      <c r="M3759" t="inlineStr">
        <is>
          <t>Muçarela Mozzalet 2 kg</t>
        </is>
      </c>
      <c r="N3759" t="inlineStr">
        <is>
          <t>Fábrica de Massas</t>
        </is>
      </c>
      <c r="O3759" t="n">
        <v>2</v>
      </c>
      <c r="P3759" t="n">
        <v>7</v>
      </c>
      <c r="Q3759" t="n">
        <v>1</v>
      </c>
    </row>
    <row r="3760">
      <c r="J3760" t="inlineStr">
        <is>
          <t>M</t>
        </is>
      </c>
      <c r="K3760" t="n">
        <v>2025</v>
      </c>
      <c r="L3760" t="n">
        <v>1</v>
      </c>
      <c r="M3760" t="inlineStr">
        <is>
          <t>Muçarela Mozzalet 2 kg</t>
        </is>
      </c>
      <c r="N3760" t="inlineStr">
        <is>
          <t>Fábrica de Massas</t>
        </is>
      </c>
      <c r="O3760" t="n">
        <v>2</v>
      </c>
      <c r="P3760" t="n">
        <v>7</v>
      </c>
      <c r="Q3760" t="n">
        <v>0</v>
      </c>
    </row>
    <row r="3761">
      <c r="J3761" t="inlineStr">
        <is>
          <t>A</t>
        </is>
      </c>
      <c r="K3761" t="n">
        <v>2025</v>
      </c>
      <c r="L3761" t="n">
        <v>2</v>
      </c>
      <c r="M3761" t="inlineStr">
        <is>
          <t>Muçarela Mozzalet 2 kg</t>
        </is>
      </c>
      <c r="N3761" t="inlineStr">
        <is>
          <t>Fábrica de Massas</t>
        </is>
      </c>
      <c r="O3761" t="n">
        <v>3</v>
      </c>
      <c r="P3761" t="n">
        <v>15</v>
      </c>
      <c r="Q3761" t="n">
        <v>2</v>
      </c>
    </row>
    <row r="3762">
      <c r="J3762" t="inlineStr">
        <is>
          <t>M</t>
        </is>
      </c>
      <c r="K3762" t="n">
        <v>2025</v>
      </c>
      <c r="L3762" t="n">
        <v>2</v>
      </c>
      <c r="M3762" t="inlineStr">
        <is>
          <t>Muçarela Mozzalet 2 kg</t>
        </is>
      </c>
      <c r="N3762" t="inlineStr">
        <is>
          <t>Fábrica de Massas</t>
        </is>
      </c>
      <c r="O3762" t="n">
        <v>3</v>
      </c>
      <c r="P3762" t="n">
        <v>8</v>
      </c>
      <c r="Q3762" t="n">
        <v>0</v>
      </c>
    </row>
    <row r="3763">
      <c r="J3763" t="inlineStr">
        <is>
          <t>A</t>
        </is>
      </c>
      <c r="K3763" t="n">
        <v>2025</v>
      </c>
      <c r="L3763" t="n">
        <v>3</v>
      </c>
      <c r="M3763" t="inlineStr">
        <is>
          <t>Muçarela Mozzalet 2 kg</t>
        </is>
      </c>
      <c r="N3763" t="inlineStr">
        <is>
          <t>Fábrica de Massas</t>
        </is>
      </c>
      <c r="O3763" t="n">
        <v>3</v>
      </c>
      <c r="P3763" t="n">
        <v>17</v>
      </c>
      <c r="Q3763" t="n">
        <v>2</v>
      </c>
    </row>
    <row r="3764">
      <c r="J3764" t="inlineStr">
        <is>
          <t>M</t>
        </is>
      </c>
      <c r="K3764" t="n">
        <v>2025</v>
      </c>
      <c r="L3764" t="n">
        <v>3</v>
      </c>
      <c r="M3764" t="inlineStr">
        <is>
          <t>Muçarela Mozzalet 2 kg</t>
        </is>
      </c>
      <c r="N3764" t="inlineStr">
        <is>
          <t>Fábrica de Massas</t>
        </is>
      </c>
      <c r="O3764" t="n">
        <v>2</v>
      </c>
      <c r="P3764" t="n">
        <v>2</v>
      </c>
      <c r="Q3764" t="n">
        <v>0</v>
      </c>
    </row>
    <row r="3765">
      <c r="J3765" t="inlineStr">
        <is>
          <t>A</t>
        </is>
      </c>
      <c r="K3765" t="n">
        <v>2025</v>
      </c>
      <c r="L3765" t="n">
        <v>4</v>
      </c>
      <c r="M3765" t="inlineStr">
        <is>
          <t>Muçarela Mozzalet 2 kg</t>
        </is>
      </c>
      <c r="N3765" t="inlineStr">
        <is>
          <t>Fábrica de Massas</t>
        </is>
      </c>
      <c r="O3765" t="n">
        <v>3</v>
      </c>
      <c r="P3765" t="n">
        <v>21</v>
      </c>
      <c r="Q3765" t="n">
        <v>2</v>
      </c>
    </row>
    <row r="3766">
      <c r="J3766" t="inlineStr">
        <is>
          <t>M</t>
        </is>
      </c>
      <c r="K3766" t="n">
        <v>2025</v>
      </c>
      <c r="L3766" t="n">
        <v>4</v>
      </c>
      <c r="M3766" t="inlineStr">
        <is>
          <t>Muçarela Mozzalet 2 kg</t>
        </is>
      </c>
      <c r="N3766" t="inlineStr">
        <is>
          <t>Fábrica de Massas</t>
        </is>
      </c>
      <c r="O3766" t="n">
        <v>2</v>
      </c>
      <c r="P3766" t="n">
        <v>4</v>
      </c>
      <c r="Q3766" t="n">
        <v>0</v>
      </c>
    </row>
    <row r="3767">
      <c r="J3767" t="inlineStr">
        <is>
          <t>A</t>
        </is>
      </c>
      <c r="K3767" t="n">
        <v>2025</v>
      </c>
      <c r="L3767" t="n">
        <v>5</v>
      </c>
      <c r="M3767" t="inlineStr">
        <is>
          <t>Muçarela Mozzalet 2 kg</t>
        </is>
      </c>
      <c r="N3767" t="inlineStr">
        <is>
          <t>Fábrica de Massas</t>
        </is>
      </c>
      <c r="O3767" t="n">
        <v>4</v>
      </c>
      <c r="P3767" t="n">
        <v>26</v>
      </c>
      <c r="Q3767" t="n">
        <v>2</v>
      </c>
    </row>
    <row r="3768">
      <c r="J3768" t="inlineStr">
        <is>
          <t>M</t>
        </is>
      </c>
      <c r="K3768" t="n">
        <v>2025</v>
      </c>
      <c r="L3768" t="n">
        <v>5</v>
      </c>
      <c r="M3768" t="inlineStr">
        <is>
          <t>Muçarela Mozzalet 2 kg</t>
        </is>
      </c>
      <c r="N3768" t="inlineStr">
        <is>
          <t>Fábrica de Massas</t>
        </is>
      </c>
      <c r="O3768" t="n">
        <v>3</v>
      </c>
      <c r="P3768" t="n">
        <v>5</v>
      </c>
      <c r="Q3768" t="n">
        <v>0</v>
      </c>
    </row>
    <row r="3769">
      <c r="J3769" t="inlineStr">
        <is>
          <t>A</t>
        </is>
      </c>
      <c r="K3769" t="n">
        <v>2025</v>
      </c>
      <c r="L3769" t="n">
        <v>6</v>
      </c>
      <c r="M3769" t="inlineStr">
        <is>
          <t>Muçarela Mozzalet 2 kg</t>
        </is>
      </c>
      <c r="N3769" t="inlineStr">
        <is>
          <t>Fábrica de Massas</t>
        </is>
      </c>
      <c r="O3769" t="n">
        <v>6</v>
      </c>
      <c r="P3769" t="n">
        <v>35</v>
      </c>
      <c r="Q3769" t="n">
        <v>3</v>
      </c>
    </row>
    <row r="3770">
      <c r="J3770" t="inlineStr">
        <is>
          <t>M</t>
        </is>
      </c>
      <c r="K3770" t="n">
        <v>2025</v>
      </c>
      <c r="L3770" t="n">
        <v>6</v>
      </c>
      <c r="M3770" t="inlineStr">
        <is>
          <t>Muçarela Mozzalet 2 kg</t>
        </is>
      </c>
      <c r="N3770" t="inlineStr">
        <is>
          <t>Fábrica de Massas</t>
        </is>
      </c>
      <c r="O3770" t="n">
        <v>4</v>
      </c>
      <c r="P3770" t="n">
        <v>9</v>
      </c>
      <c r="Q3770" t="n">
        <v>0</v>
      </c>
    </row>
    <row r="3771">
      <c r="J3771" t="inlineStr">
        <is>
          <t>A</t>
        </is>
      </c>
      <c r="K3771" t="n">
        <v>2025</v>
      </c>
      <c r="L3771" t="n">
        <v>7</v>
      </c>
      <c r="M3771" t="inlineStr">
        <is>
          <t>Muçarela Mozzalet 2 kg</t>
        </is>
      </c>
      <c r="N3771" t="inlineStr">
        <is>
          <t>Fábrica de Massas</t>
        </is>
      </c>
      <c r="O3771" t="n">
        <v>7</v>
      </c>
      <c r="P3771" t="n">
        <v>40</v>
      </c>
      <c r="Q3771" t="n">
        <v>4</v>
      </c>
    </row>
    <row r="3772">
      <c r="J3772" t="inlineStr">
        <is>
          <t>M</t>
        </is>
      </c>
      <c r="K3772" t="n">
        <v>2025</v>
      </c>
      <c r="L3772" t="n">
        <v>7</v>
      </c>
      <c r="M3772" t="inlineStr">
        <is>
          <t>Muçarela Mozzalet 2 kg</t>
        </is>
      </c>
      <c r="N3772" t="inlineStr">
        <is>
          <t>Fábrica de Massas</t>
        </is>
      </c>
      <c r="O3772" t="n">
        <v>3</v>
      </c>
      <c r="P3772" t="n">
        <v>5</v>
      </c>
      <c r="Q3772" t="n">
        <v>0</v>
      </c>
    </row>
    <row r="3773">
      <c r="J3773" t="inlineStr">
        <is>
          <t>A</t>
        </is>
      </c>
      <c r="K3773" t="n">
        <v>2025</v>
      </c>
      <c r="L3773" t="n">
        <v>8</v>
      </c>
      <c r="M3773" t="inlineStr">
        <is>
          <t>Muçarela Mozzalet 2 kg</t>
        </is>
      </c>
      <c r="N3773" t="inlineStr">
        <is>
          <t>Fábrica de Massas</t>
        </is>
      </c>
      <c r="O3773" t="n">
        <v>7</v>
      </c>
      <c r="P3773" t="n">
        <v>44</v>
      </c>
      <c r="Q3773" t="n">
        <v>4</v>
      </c>
    </row>
    <row r="3774">
      <c r="J3774" t="inlineStr">
        <is>
          <t>M</t>
        </is>
      </c>
      <c r="K3774" t="n">
        <v>2025</v>
      </c>
      <c r="L3774" t="n">
        <v>8</v>
      </c>
      <c r="M3774" t="inlineStr">
        <is>
          <t>Muçarela Mozzalet 2 kg</t>
        </is>
      </c>
      <c r="N3774" t="inlineStr">
        <is>
          <t>Fábrica de Massas</t>
        </is>
      </c>
      <c r="O3774" t="n">
        <v>2</v>
      </c>
      <c r="P3774" t="n">
        <v>4</v>
      </c>
      <c r="Q3774" t="n">
        <v>0</v>
      </c>
    </row>
    <row r="3775">
      <c r="J3775" t="inlineStr">
        <is>
          <t>A</t>
        </is>
      </c>
      <c r="K3775" t="n">
        <v>2025</v>
      </c>
      <c r="L3775" t="n">
        <v>9</v>
      </c>
      <c r="M3775" t="inlineStr">
        <is>
          <t>Muçarela Mozzalet 2 kg</t>
        </is>
      </c>
      <c r="N3775" t="inlineStr">
        <is>
          <t>Fábrica de Massas</t>
        </is>
      </c>
      <c r="O3775" t="n">
        <v>7</v>
      </c>
      <c r="P3775" t="n">
        <v>47</v>
      </c>
      <c r="Q3775" t="n">
        <v>4</v>
      </c>
    </row>
    <row r="3776">
      <c r="J3776" t="inlineStr">
        <is>
          <t>M</t>
        </is>
      </c>
      <c r="K3776" t="n">
        <v>2025</v>
      </c>
      <c r="L3776" t="n">
        <v>9</v>
      </c>
      <c r="M3776" t="inlineStr">
        <is>
          <t>Muçarela Mozzalet 2 kg</t>
        </is>
      </c>
      <c r="N3776" t="inlineStr">
        <is>
          <t>Fábrica de Massas</t>
        </is>
      </c>
      <c r="O3776" t="n">
        <v>2</v>
      </c>
      <c r="P3776" t="n">
        <v>3</v>
      </c>
      <c r="Q3776" t="n">
        <v>0</v>
      </c>
    </row>
    <row r="3777">
      <c r="J3777" t="inlineStr">
        <is>
          <t>A</t>
        </is>
      </c>
      <c r="K3777" t="n">
        <v>2025</v>
      </c>
      <c r="L3777" t="n">
        <v>10</v>
      </c>
      <c r="M3777" t="inlineStr">
        <is>
          <t>Muçarela Mozzalet 2 kg</t>
        </is>
      </c>
      <c r="N3777" t="inlineStr">
        <is>
          <t>Fábrica de Massas</t>
        </is>
      </c>
      <c r="O3777" t="n">
        <v>7</v>
      </c>
      <c r="P3777" t="n">
        <v>52</v>
      </c>
      <c r="Q3777" t="n">
        <v>4</v>
      </c>
    </row>
    <row r="3778">
      <c r="J3778" t="inlineStr">
        <is>
          <t>M</t>
        </is>
      </c>
      <c r="K3778" t="n">
        <v>2025</v>
      </c>
      <c r="L3778" t="n">
        <v>10</v>
      </c>
      <c r="M3778" t="inlineStr">
        <is>
          <t>Muçarela Mozzalet 2 kg</t>
        </is>
      </c>
      <c r="N3778" t="inlineStr">
        <is>
          <t>Fábrica de Massas</t>
        </is>
      </c>
      <c r="O3778" t="n">
        <v>3</v>
      </c>
      <c r="P3778" t="n">
        <v>5</v>
      </c>
      <c r="Q3778" t="n">
        <v>0</v>
      </c>
    </row>
    <row r="3779">
      <c r="J3779" t="inlineStr">
        <is>
          <t>A</t>
        </is>
      </c>
      <c r="K3779" t="n">
        <v>2025</v>
      </c>
      <c r="L3779" t="n">
        <v>11</v>
      </c>
      <c r="M3779" t="inlineStr">
        <is>
          <t>Muçarela Mozzalet 2 kg</t>
        </is>
      </c>
      <c r="N3779" t="inlineStr">
        <is>
          <t>Fábrica de Massas</t>
        </is>
      </c>
      <c r="O3779" t="n">
        <v>7</v>
      </c>
      <c r="P3779" t="n">
        <v>54</v>
      </c>
      <c r="Q3779" t="n">
        <v>4</v>
      </c>
    </row>
    <row r="3780">
      <c r="J3780" t="inlineStr">
        <is>
          <t>M</t>
        </is>
      </c>
      <c r="K3780" t="n">
        <v>2025</v>
      </c>
      <c r="L3780" t="n">
        <v>11</v>
      </c>
      <c r="M3780" t="inlineStr">
        <is>
          <t>Muçarela Mozzalet 2 kg</t>
        </is>
      </c>
      <c r="N3780" t="inlineStr">
        <is>
          <t>Fábrica de Massas</t>
        </is>
      </c>
      <c r="O3780" t="n">
        <v>1</v>
      </c>
      <c r="P3780" t="n">
        <v>2</v>
      </c>
      <c r="Q3780" t="n">
        <v>0</v>
      </c>
    </row>
    <row r="3781">
      <c r="J3781" t="inlineStr">
        <is>
          <t>A</t>
        </is>
      </c>
      <c r="K3781" t="n">
        <v>2025</v>
      </c>
      <c r="L3781" t="n">
        <v>12</v>
      </c>
      <c r="M3781" t="inlineStr">
        <is>
          <t>Muçarela Mozzalet 2 kg</t>
        </is>
      </c>
      <c r="N3781" t="inlineStr">
        <is>
          <t>Fábrica de Massas</t>
        </is>
      </c>
      <c r="O3781" t="n">
        <v>7</v>
      </c>
      <c r="P3781" t="n">
        <v>54</v>
      </c>
      <c r="Q3781" t="n">
        <v>4</v>
      </c>
    </row>
    <row r="3782">
      <c r="J3782" t="inlineStr">
        <is>
          <t>A</t>
        </is>
      </c>
      <c r="K3782" t="n">
        <v>2025</v>
      </c>
      <c r="L3782" t="n">
        <v>1</v>
      </c>
      <c r="M3782" t="inlineStr">
        <is>
          <t>Muçarela Mozzalet 2 kg</t>
        </is>
      </c>
      <c r="N3782" t="inlineStr">
        <is>
          <t>Outros</t>
        </is>
      </c>
      <c r="O3782" t="n">
        <v>1</v>
      </c>
      <c r="P3782" t="n">
        <v>1</v>
      </c>
      <c r="Q3782" t="n">
        <v>0</v>
      </c>
    </row>
    <row r="3783">
      <c r="J3783" t="inlineStr">
        <is>
          <t>M</t>
        </is>
      </c>
      <c r="K3783" t="n">
        <v>2025</v>
      </c>
      <c r="L3783" t="n">
        <v>1</v>
      </c>
      <c r="M3783" t="inlineStr">
        <is>
          <t>Muçarela Mozzalet 2 kg</t>
        </is>
      </c>
      <c r="N3783" t="inlineStr">
        <is>
          <t>Outros</t>
        </is>
      </c>
      <c r="O3783" t="n">
        <v>1</v>
      </c>
      <c r="P3783" t="n">
        <v>1</v>
      </c>
      <c r="Q3783" t="n">
        <v>0</v>
      </c>
    </row>
    <row r="3784">
      <c r="J3784" t="inlineStr">
        <is>
          <t>A</t>
        </is>
      </c>
      <c r="K3784" t="n">
        <v>2025</v>
      </c>
      <c r="L3784" t="n">
        <v>2</v>
      </c>
      <c r="M3784" t="inlineStr">
        <is>
          <t>Muçarela Mozzalet 2 kg</t>
        </is>
      </c>
      <c r="N3784" t="inlineStr">
        <is>
          <t>Outros</t>
        </is>
      </c>
      <c r="O3784" t="n">
        <v>1</v>
      </c>
      <c r="P3784" t="n">
        <v>1</v>
      </c>
      <c r="Q3784" t="n">
        <v>0</v>
      </c>
    </row>
    <row r="3785">
      <c r="J3785" t="inlineStr">
        <is>
          <t>A</t>
        </is>
      </c>
      <c r="K3785" t="n">
        <v>2025</v>
      </c>
      <c r="L3785" t="n">
        <v>3</v>
      </c>
      <c r="M3785" t="inlineStr">
        <is>
          <t>Muçarela Mozzalet 2 kg</t>
        </is>
      </c>
      <c r="N3785" t="inlineStr">
        <is>
          <t>Outros</t>
        </is>
      </c>
      <c r="O3785" t="n">
        <v>1</v>
      </c>
      <c r="P3785" t="n">
        <v>2</v>
      </c>
      <c r="Q3785" t="n">
        <v>0</v>
      </c>
    </row>
    <row r="3786">
      <c r="J3786" t="inlineStr">
        <is>
          <t>M</t>
        </is>
      </c>
      <c r="K3786" t="n">
        <v>2025</v>
      </c>
      <c r="L3786" t="n">
        <v>3</v>
      </c>
      <c r="M3786" t="inlineStr">
        <is>
          <t>Muçarela Mozzalet 2 kg</t>
        </is>
      </c>
      <c r="N3786" t="inlineStr">
        <is>
          <t>Outros</t>
        </is>
      </c>
      <c r="O3786" t="n">
        <v>1</v>
      </c>
      <c r="P3786" t="n">
        <v>1</v>
      </c>
      <c r="Q3786" t="n">
        <v>0</v>
      </c>
    </row>
    <row r="3787">
      <c r="J3787" t="inlineStr">
        <is>
          <t>A</t>
        </is>
      </c>
      <c r="K3787" t="n">
        <v>2025</v>
      </c>
      <c r="L3787" t="n">
        <v>4</v>
      </c>
      <c r="M3787" t="inlineStr">
        <is>
          <t>Muçarela Mozzalet 2 kg</t>
        </is>
      </c>
      <c r="N3787" t="inlineStr">
        <is>
          <t>Outros</t>
        </is>
      </c>
      <c r="O3787" t="n">
        <v>2</v>
      </c>
      <c r="P3787" t="n">
        <v>7</v>
      </c>
      <c r="Q3787" t="n">
        <v>1</v>
      </c>
    </row>
    <row r="3788">
      <c r="J3788" t="inlineStr">
        <is>
          <t>M</t>
        </is>
      </c>
      <c r="K3788" t="n">
        <v>2025</v>
      </c>
      <c r="L3788" t="n">
        <v>4</v>
      </c>
      <c r="M3788" t="inlineStr">
        <is>
          <t>Muçarela Mozzalet 2 kg</t>
        </is>
      </c>
      <c r="N3788" t="inlineStr">
        <is>
          <t>Outros</t>
        </is>
      </c>
      <c r="O3788" t="n">
        <v>2</v>
      </c>
      <c r="P3788" t="n">
        <v>5</v>
      </c>
      <c r="Q3788" t="n">
        <v>0</v>
      </c>
    </row>
    <row r="3789">
      <c r="J3789" t="inlineStr">
        <is>
          <t>A</t>
        </is>
      </c>
      <c r="K3789" t="n">
        <v>2025</v>
      </c>
      <c r="L3789" t="n">
        <v>5</v>
      </c>
      <c r="M3789" t="inlineStr">
        <is>
          <t>Muçarela Mozzalet 2 kg</t>
        </is>
      </c>
      <c r="N3789" t="inlineStr">
        <is>
          <t>Outros</t>
        </is>
      </c>
      <c r="O3789" t="n">
        <v>4</v>
      </c>
      <c r="P3789" t="n">
        <v>11</v>
      </c>
      <c r="Q3789" t="n">
        <v>2</v>
      </c>
    </row>
    <row r="3790">
      <c r="J3790" t="inlineStr">
        <is>
          <t>M</t>
        </is>
      </c>
      <c r="K3790" t="n">
        <v>2025</v>
      </c>
      <c r="L3790" t="n">
        <v>5</v>
      </c>
      <c r="M3790" t="inlineStr">
        <is>
          <t>Muçarela Mozzalet 2 kg</t>
        </is>
      </c>
      <c r="N3790" t="inlineStr">
        <is>
          <t>Outros</t>
        </is>
      </c>
      <c r="O3790" t="n">
        <v>3</v>
      </c>
      <c r="P3790" t="n">
        <v>4</v>
      </c>
      <c r="Q3790" t="n">
        <v>0</v>
      </c>
    </row>
    <row r="3791">
      <c r="J3791" t="inlineStr">
        <is>
          <t>A</t>
        </is>
      </c>
      <c r="K3791" t="n">
        <v>2025</v>
      </c>
      <c r="L3791" t="n">
        <v>6</v>
      </c>
      <c r="M3791" t="inlineStr">
        <is>
          <t>Muçarela Mozzalet 2 kg</t>
        </is>
      </c>
      <c r="N3791" t="inlineStr">
        <is>
          <t>Outros</t>
        </is>
      </c>
      <c r="O3791" t="n">
        <v>5</v>
      </c>
      <c r="P3791" t="n">
        <v>16</v>
      </c>
      <c r="Q3791" t="n">
        <v>3</v>
      </c>
    </row>
    <row r="3792">
      <c r="J3792" t="inlineStr">
        <is>
          <t>M</t>
        </is>
      </c>
      <c r="K3792" t="n">
        <v>2025</v>
      </c>
      <c r="L3792" t="n">
        <v>6</v>
      </c>
      <c r="M3792" t="inlineStr">
        <is>
          <t>Muçarela Mozzalet 2 kg</t>
        </is>
      </c>
      <c r="N3792" t="inlineStr">
        <is>
          <t>Outros</t>
        </is>
      </c>
      <c r="O3792" t="n">
        <v>2</v>
      </c>
      <c r="P3792" t="n">
        <v>5</v>
      </c>
      <c r="Q3792" t="n">
        <v>0</v>
      </c>
    </row>
    <row r="3793">
      <c r="J3793" t="inlineStr">
        <is>
          <t>A</t>
        </is>
      </c>
      <c r="K3793" t="n">
        <v>2025</v>
      </c>
      <c r="L3793" t="n">
        <v>7</v>
      </c>
      <c r="M3793" t="inlineStr">
        <is>
          <t>Muçarela Mozzalet 2 kg</t>
        </is>
      </c>
      <c r="N3793" t="inlineStr">
        <is>
          <t>Outros</t>
        </is>
      </c>
      <c r="O3793" t="n">
        <v>5</v>
      </c>
      <c r="P3793" t="n">
        <v>21</v>
      </c>
      <c r="Q3793" t="n">
        <v>3</v>
      </c>
    </row>
    <row r="3794">
      <c r="J3794" t="inlineStr">
        <is>
          <t>M</t>
        </is>
      </c>
      <c r="K3794" t="n">
        <v>2025</v>
      </c>
      <c r="L3794" t="n">
        <v>7</v>
      </c>
      <c r="M3794" t="inlineStr">
        <is>
          <t>Muçarela Mozzalet 2 kg</t>
        </is>
      </c>
      <c r="N3794" t="inlineStr">
        <is>
          <t>Outros</t>
        </is>
      </c>
      <c r="O3794" t="n">
        <v>2</v>
      </c>
      <c r="P3794" t="n">
        <v>5</v>
      </c>
      <c r="Q3794" t="n">
        <v>0</v>
      </c>
    </row>
    <row r="3795">
      <c r="J3795" t="inlineStr">
        <is>
          <t>A</t>
        </is>
      </c>
      <c r="K3795" t="n">
        <v>2025</v>
      </c>
      <c r="L3795" t="n">
        <v>8</v>
      </c>
      <c r="M3795" t="inlineStr">
        <is>
          <t>Muçarela Mozzalet 2 kg</t>
        </is>
      </c>
      <c r="N3795" t="inlineStr">
        <is>
          <t>Outros</t>
        </is>
      </c>
      <c r="O3795" t="n">
        <v>5</v>
      </c>
      <c r="P3795" t="n">
        <v>23</v>
      </c>
      <c r="Q3795" t="n">
        <v>3</v>
      </c>
    </row>
    <row r="3796">
      <c r="J3796" t="inlineStr">
        <is>
          <t>M</t>
        </is>
      </c>
      <c r="K3796" t="n">
        <v>2025</v>
      </c>
      <c r="L3796" t="n">
        <v>8</v>
      </c>
      <c r="M3796" t="inlineStr">
        <is>
          <t>Muçarela Mozzalet 2 kg</t>
        </is>
      </c>
      <c r="N3796" t="inlineStr">
        <is>
          <t>Outros</t>
        </is>
      </c>
      <c r="O3796" t="n">
        <v>1</v>
      </c>
      <c r="P3796" t="n">
        <v>2</v>
      </c>
      <c r="Q3796" t="n">
        <v>0</v>
      </c>
    </row>
    <row r="3797">
      <c r="J3797" t="inlineStr">
        <is>
          <t>A</t>
        </is>
      </c>
      <c r="K3797" t="n">
        <v>2025</v>
      </c>
      <c r="L3797" t="n">
        <v>9</v>
      </c>
      <c r="M3797" t="inlineStr">
        <is>
          <t>Muçarela Mozzalet 2 kg</t>
        </is>
      </c>
      <c r="N3797" t="inlineStr">
        <is>
          <t>Outros</t>
        </is>
      </c>
      <c r="O3797" t="n">
        <v>5</v>
      </c>
      <c r="P3797" t="n">
        <v>24</v>
      </c>
      <c r="Q3797" t="n">
        <v>3</v>
      </c>
    </row>
    <row r="3798">
      <c r="J3798" t="inlineStr">
        <is>
          <t>M</t>
        </is>
      </c>
      <c r="K3798" t="n">
        <v>2025</v>
      </c>
      <c r="L3798" t="n">
        <v>9</v>
      </c>
      <c r="M3798" t="inlineStr">
        <is>
          <t>Muçarela Mozzalet 2 kg</t>
        </is>
      </c>
      <c r="N3798" t="inlineStr">
        <is>
          <t>Outros</t>
        </is>
      </c>
      <c r="O3798" t="n">
        <v>1</v>
      </c>
      <c r="P3798" t="n">
        <v>1</v>
      </c>
      <c r="Q3798" t="n">
        <v>0</v>
      </c>
    </row>
    <row r="3799">
      <c r="J3799" t="inlineStr">
        <is>
          <t>A</t>
        </is>
      </c>
      <c r="K3799" t="n">
        <v>2025</v>
      </c>
      <c r="L3799" t="n">
        <v>10</v>
      </c>
      <c r="M3799" t="inlineStr">
        <is>
          <t>Muçarela Mozzalet 2 kg</t>
        </is>
      </c>
      <c r="N3799" t="inlineStr">
        <is>
          <t>Outros</t>
        </is>
      </c>
      <c r="O3799" t="n">
        <v>6</v>
      </c>
      <c r="P3799" t="n">
        <v>26</v>
      </c>
      <c r="Q3799" t="n">
        <v>3</v>
      </c>
    </row>
    <row r="3800">
      <c r="J3800" t="inlineStr">
        <is>
          <t>M</t>
        </is>
      </c>
      <c r="K3800" t="n">
        <v>2025</v>
      </c>
      <c r="L3800" t="n">
        <v>10</v>
      </c>
      <c r="M3800" t="inlineStr">
        <is>
          <t>Muçarela Mozzalet 2 kg</t>
        </is>
      </c>
      <c r="N3800" t="inlineStr">
        <is>
          <t>Outros</t>
        </is>
      </c>
      <c r="O3800" t="n">
        <v>2</v>
      </c>
      <c r="P3800" t="n">
        <v>2</v>
      </c>
      <c r="Q3800" t="n">
        <v>0</v>
      </c>
    </row>
    <row r="3801">
      <c r="J3801" t="inlineStr">
        <is>
          <t>A</t>
        </is>
      </c>
      <c r="K3801" t="n">
        <v>2025</v>
      </c>
      <c r="L3801" t="n">
        <v>11</v>
      </c>
      <c r="M3801" t="inlineStr">
        <is>
          <t>Muçarela Mozzalet 2 kg</t>
        </is>
      </c>
      <c r="N3801" t="inlineStr">
        <is>
          <t>Outros</t>
        </is>
      </c>
      <c r="O3801" t="n">
        <v>6</v>
      </c>
      <c r="P3801" t="n">
        <v>26</v>
      </c>
      <c r="Q3801" t="n">
        <v>3</v>
      </c>
    </row>
    <row r="3802">
      <c r="J3802" t="inlineStr">
        <is>
          <t>A</t>
        </is>
      </c>
      <c r="K3802" t="n">
        <v>2025</v>
      </c>
      <c r="L3802" t="n">
        <v>12</v>
      </c>
      <c r="M3802" t="inlineStr">
        <is>
          <t>Muçarela Mozzalet 2 kg</t>
        </is>
      </c>
      <c r="N3802" t="inlineStr">
        <is>
          <t>Outros</t>
        </is>
      </c>
      <c r="O3802" t="n">
        <v>6</v>
      </c>
      <c r="P3802" t="n">
        <v>26</v>
      </c>
      <c r="Q3802" t="n">
        <v>3</v>
      </c>
    </row>
    <row r="3803">
      <c r="J3803" t="inlineStr">
        <is>
          <t>A</t>
        </is>
      </c>
      <c r="K3803" t="n">
        <v>2025</v>
      </c>
      <c r="L3803" t="n">
        <v>1</v>
      </c>
      <c r="M3803" t="inlineStr">
        <is>
          <t>Muçarela Mozzalet 2 kg</t>
        </is>
      </c>
      <c r="N3803" t="inlineStr">
        <is>
          <t>Pessoa Física</t>
        </is>
      </c>
      <c r="O3803" t="n">
        <v>3</v>
      </c>
      <c r="P3803" t="n">
        <v>5</v>
      </c>
      <c r="Q3803" t="n">
        <v>0</v>
      </c>
    </row>
    <row r="3804">
      <c r="J3804" t="inlineStr">
        <is>
          <t>M</t>
        </is>
      </c>
      <c r="K3804" t="n">
        <v>2025</v>
      </c>
      <c r="L3804" t="n">
        <v>1</v>
      </c>
      <c r="M3804" t="inlineStr">
        <is>
          <t>Muçarela Mozzalet 2 kg</t>
        </is>
      </c>
      <c r="N3804" t="inlineStr">
        <is>
          <t>Pessoa Física</t>
        </is>
      </c>
      <c r="O3804" t="n">
        <v>3</v>
      </c>
      <c r="P3804" t="n">
        <v>5</v>
      </c>
      <c r="Q3804" t="n">
        <v>0</v>
      </c>
    </row>
    <row r="3805">
      <c r="J3805" t="inlineStr">
        <is>
          <t>A</t>
        </is>
      </c>
      <c r="K3805" t="n">
        <v>2025</v>
      </c>
      <c r="L3805" t="n">
        <v>2</v>
      </c>
      <c r="M3805" t="inlineStr">
        <is>
          <t>Muçarela Mozzalet 2 kg</t>
        </is>
      </c>
      <c r="N3805" t="inlineStr">
        <is>
          <t>Pessoa Física</t>
        </is>
      </c>
      <c r="O3805" t="n">
        <v>5</v>
      </c>
      <c r="P3805" t="n">
        <v>9</v>
      </c>
      <c r="Q3805" t="n">
        <v>1</v>
      </c>
    </row>
    <row r="3806">
      <c r="J3806" t="inlineStr">
        <is>
          <t>M</t>
        </is>
      </c>
      <c r="K3806" t="n">
        <v>2025</v>
      </c>
      <c r="L3806" t="n">
        <v>2</v>
      </c>
      <c r="M3806" t="inlineStr">
        <is>
          <t>Muçarela Mozzalet 2 kg</t>
        </is>
      </c>
      <c r="N3806" t="inlineStr">
        <is>
          <t>Pessoa Física</t>
        </is>
      </c>
      <c r="O3806" t="n">
        <v>4</v>
      </c>
      <c r="P3806" t="n">
        <v>4</v>
      </c>
      <c r="Q3806" t="n">
        <v>0</v>
      </c>
    </row>
    <row r="3807">
      <c r="J3807" t="inlineStr">
        <is>
          <t>A</t>
        </is>
      </c>
      <c r="K3807" t="n">
        <v>2025</v>
      </c>
      <c r="L3807" t="n">
        <v>3</v>
      </c>
      <c r="M3807" t="inlineStr">
        <is>
          <t>Muçarela Mozzalet 2 kg</t>
        </is>
      </c>
      <c r="N3807" t="inlineStr">
        <is>
          <t>Pessoa Física</t>
        </is>
      </c>
      <c r="O3807" t="n">
        <v>6</v>
      </c>
      <c r="P3807" t="n">
        <v>12</v>
      </c>
      <c r="Q3807" t="n">
        <v>1</v>
      </c>
    </row>
    <row r="3808">
      <c r="J3808" t="inlineStr">
        <is>
          <t>M</t>
        </is>
      </c>
      <c r="K3808" t="n">
        <v>2025</v>
      </c>
      <c r="L3808" t="n">
        <v>3</v>
      </c>
      <c r="M3808" t="inlineStr">
        <is>
          <t>Muçarela Mozzalet 2 kg</t>
        </is>
      </c>
      <c r="N3808" t="inlineStr">
        <is>
          <t>Pessoa Física</t>
        </is>
      </c>
      <c r="O3808" t="n">
        <v>3</v>
      </c>
      <c r="P3808" t="n">
        <v>3</v>
      </c>
      <c r="Q3808" t="n">
        <v>0</v>
      </c>
    </row>
    <row r="3809">
      <c r="J3809" t="inlineStr">
        <is>
          <t>A</t>
        </is>
      </c>
      <c r="K3809" t="n">
        <v>2025</v>
      </c>
      <c r="L3809" t="n">
        <v>4</v>
      </c>
      <c r="M3809" t="inlineStr">
        <is>
          <t>Muçarela Mozzalet 2 kg</t>
        </is>
      </c>
      <c r="N3809" t="inlineStr">
        <is>
          <t>Pessoa Física</t>
        </is>
      </c>
      <c r="O3809" t="n">
        <v>6</v>
      </c>
      <c r="P3809" t="n">
        <v>16</v>
      </c>
      <c r="Q3809" t="n">
        <v>1</v>
      </c>
    </row>
    <row r="3810">
      <c r="J3810" t="inlineStr">
        <is>
          <t>M</t>
        </is>
      </c>
      <c r="K3810" t="n">
        <v>2025</v>
      </c>
      <c r="L3810" t="n">
        <v>4</v>
      </c>
      <c r="M3810" t="inlineStr">
        <is>
          <t>Muçarela Mozzalet 2 kg</t>
        </is>
      </c>
      <c r="N3810" t="inlineStr">
        <is>
          <t>Pessoa Física</t>
        </is>
      </c>
      <c r="O3810" t="n">
        <v>4</v>
      </c>
      <c r="P3810" t="n">
        <v>4</v>
      </c>
      <c r="Q3810" t="n">
        <v>0</v>
      </c>
    </row>
    <row r="3811">
      <c r="J3811" t="inlineStr">
        <is>
          <t>A</t>
        </is>
      </c>
      <c r="K3811" t="n">
        <v>2025</v>
      </c>
      <c r="L3811" t="n">
        <v>5</v>
      </c>
      <c r="M3811" t="inlineStr">
        <is>
          <t>Muçarela Mozzalet 2 kg</t>
        </is>
      </c>
      <c r="N3811" t="inlineStr">
        <is>
          <t>Pessoa Física</t>
        </is>
      </c>
      <c r="O3811" t="n">
        <v>7</v>
      </c>
      <c r="P3811" t="n">
        <v>20</v>
      </c>
      <c r="Q3811" t="n">
        <v>1</v>
      </c>
    </row>
    <row r="3812">
      <c r="J3812" t="inlineStr">
        <is>
          <t>M</t>
        </is>
      </c>
      <c r="K3812" t="n">
        <v>2025</v>
      </c>
      <c r="L3812" t="n">
        <v>5</v>
      </c>
      <c r="M3812" t="inlineStr">
        <is>
          <t>Muçarela Mozzalet 2 kg</t>
        </is>
      </c>
      <c r="N3812" t="inlineStr">
        <is>
          <t>Pessoa Física</t>
        </is>
      </c>
      <c r="O3812" t="n">
        <v>4</v>
      </c>
      <c r="P3812" t="n">
        <v>4</v>
      </c>
      <c r="Q3812" t="n">
        <v>0</v>
      </c>
    </row>
    <row r="3813">
      <c r="J3813" t="inlineStr">
        <is>
          <t>A</t>
        </is>
      </c>
      <c r="K3813" t="n">
        <v>2025</v>
      </c>
      <c r="L3813" t="n">
        <v>6</v>
      </c>
      <c r="M3813" t="inlineStr">
        <is>
          <t>Muçarela Mozzalet 2 kg</t>
        </is>
      </c>
      <c r="N3813" t="inlineStr">
        <is>
          <t>Pessoa Física</t>
        </is>
      </c>
      <c r="O3813" t="n">
        <v>8</v>
      </c>
      <c r="P3813" t="n">
        <v>30</v>
      </c>
      <c r="Q3813" t="n">
        <v>2</v>
      </c>
    </row>
    <row r="3814">
      <c r="J3814" t="inlineStr">
        <is>
          <t>M</t>
        </is>
      </c>
      <c r="K3814" t="n">
        <v>2025</v>
      </c>
      <c r="L3814" t="n">
        <v>6</v>
      </c>
      <c r="M3814" t="inlineStr">
        <is>
          <t>Muçarela Mozzalet 2 kg</t>
        </is>
      </c>
      <c r="N3814" t="inlineStr">
        <is>
          <t>Pessoa Física</t>
        </is>
      </c>
      <c r="O3814" t="n">
        <v>6</v>
      </c>
      <c r="P3814" t="n">
        <v>10</v>
      </c>
      <c r="Q3814" t="n">
        <v>0</v>
      </c>
    </row>
    <row r="3815">
      <c r="J3815" t="inlineStr">
        <is>
          <t>A</t>
        </is>
      </c>
      <c r="K3815" t="n">
        <v>2025</v>
      </c>
      <c r="L3815" t="n">
        <v>7</v>
      </c>
      <c r="M3815" t="inlineStr">
        <is>
          <t>Muçarela Mozzalet 2 kg</t>
        </is>
      </c>
      <c r="N3815" t="inlineStr">
        <is>
          <t>Pessoa Física</t>
        </is>
      </c>
      <c r="O3815" t="n">
        <v>9</v>
      </c>
      <c r="P3815" t="n">
        <v>36</v>
      </c>
      <c r="Q3815" t="n">
        <v>3</v>
      </c>
    </row>
    <row r="3816">
      <c r="J3816" t="inlineStr">
        <is>
          <t>M</t>
        </is>
      </c>
      <c r="K3816" t="n">
        <v>2025</v>
      </c>
      <c r="L3816" t="n">
        <v>7</v>
      </c>
      <c r="M3816" t="inlineStr">
        <is>
          <t>Muçarela Mozzalet 2 kg</t>
        </is>
      </c>
      <c r="N3816" t="inlineStr">
        <is>
          <t>Pessoa Física</t>
        </is>
      </c>
      <c r="O3816" t="n">
        <v>3</v>
      </c>
      <c r="P3816" t="n">
        <v>6</v>
      </c>
      <c r="Q3816" t="n">
        <v>0</v>
      </c>
    </row>
    <row r="3817">
      <c r="J3817" t="inlineStr">
        <is>
          <t>A</t>
        </is>
      </c>
      <c r="K3817" t="n">
        <v>2025</v>
      </c>
      <c r="L3817" t="n">
        <v>8</v>
      </c>
      <c r="M3817" t="inlineStr">
        <is>
          <t>Muçarela Mozzalet 2 kg</t>
        </is>
      </c>
      <c r="N3817" t="inlineStr">
        <is>
          <t>Pessoa Física</t>
        </is>
      </c>
      <c r="O3817" t="n">
        <v>9</v>
      </c>
      <c r="P3817" t="n">
        <v>42</v>
      </c>
      <c r="Q3817" t="n">
        <v>3</v>
      </c>
    </row>
    <row r="3818">
      <c r="J3818" t="inlineStr">
        <is>
          <t>M</t>
        </is>
      </c>
      <c r="K3818" t="n">
        <v>2025</v>
      </c>
      <c r="L3818" t="n">
        <v>8</v>
      </c>
      <c r="M3818" t="inlineStr">
        <is>
          <t>Muçarela Mozzalet 2 kg</t>
        </is>
      </c>
      <c r="N3818" t="inlineStr">
        <is>
          <t>Pessoa Física</t>
        </is>
      </c>
      <c r="O3818" t="n">
        <v>5</v>
      </c>
      <c r="P3818" t="n">
        <v>6</v>
      </c>
      <c r="Q3818" t="n">
        <v>0</v>
      </c>
    </row>
    <row r="3819">
      <c r="J3819" t="inlineStr">
        <is>
          <t>A</t>
        </is>
      </c>
      <c r="K3819" t="n">
        <v>2025</v>
      </c>
      <c r="L3819" t="n">
        <v>9</v>
      </c>
      <c r="M3819" t="inlineStr">
        <is>
          <t>Muçarela Mozzalet 2 kg</t>
        </is>
      </c>
      <c r="N3819" t="inlineStr">
        <is>
          <t>Pessoa Física</t>
        </is>
      </c>
      <c r="O3819" t="n">
        <v>9</v>
      </c>
      <c r="P3819" t="n">
        <v>46</v>
      </c>
      <c r="Q3819" t="n">
        <v>3</v>
      </c>
    </row>
    <row r="3820">
      <c r="J3820" t="inlineStr">
        <is>
          <t>M</t>
        </is>
      </c>
      <c r="K3820" t="n">
        <v>2025</v>
      </c>
      <c r="L3820" t="n">
        <v>9</v>
      </c>
      <c r="M3820" t="inlineStr">
        <is>
          <t>Muçarela Mozzalet 2 kg</t>
        </is>
      </c>
      <c r="N3820" t="inlineStr">
        <is>
          <t>Pessoa Física</t>
        </is>
      </c>
      <c r="O3820" t="n">
        <v>3</v>
      </c>
      <c r="P3820" t="n">
        <v>4</v>
      </c>
      <c r="Q3820" t="n">
        <v>0</v>
      </c>
    </row>
    <row r="3821">
      <c r="J3821" t="inlineStr">
        <is>
          <t>A</t>
        </is>
      </c>
      <c r="K3821" t="n">
        <v>2025</v>
      </c>
      <c r="L3821" t="n">
        <v>10</v>
      </c>
      <c r="M3821" t="inlineStr">
        <is>
          <t>Muçarela Mozzalet 2 kg</t>
        </is>
      </c>
      <c r="N3821" t="inlineStr">
        <is>
          <t>Pessoa Física</t>
        </is>
      </c>
      <c r="O3821" t="n">
        <v>9</v>
      </c>
      <c r="P3821" t="n">
        <v>47</v>
      </c>
      <c r="Q3821" t="n">
        <v>3</v>
      </c>
    </row>
    <row r="3822">
      <c r="J3822" t="inlineStr">
        <is>
          <t>M</t>
        </is>
      </c>
      <c r="K3822" t="n">
        <v>2025</v>
      </c>
      <c r="L3822" t="n">
        <v>10</v>
      </c>
      <c r="M3822" t="inlineStr">
        <is>
          <t>Muçarela Mozzalet 2 kg</t>
        </is>
      </c>
      <c r="N3822" t="inlineStr">
        <is>
          <t>Pessoa Física</t>
        </is>
      </c>
      <c r="O3822" t="n">
        <v>1</v>
      </c>
      <c r="P3822" t="n">
        <v>1</v>
      </c>
      <c r="Q3822" t="n">
        <v>0</v>
      </c>
    </row>
    <row r="3823">
      <c r="J3823" t="inlineStr">
        <is>
          <t>A</t>
        </is>
      </c>
      <c r="K3823" t="n">
        <v>2025</v>
      </c>
      <c r="L3823" t="n">
        <v>11</v>
      </c>
      <c r="M3823" t="inlineStr">
        <is>
          <t>Muçarela Mozzalet 2 kg</t>
        </is>
      </c>
      <c r="N3823" t="inlineStr">
        <is>
          <t>Pessoa Física</t>
        </is>
      </c>
      <c r="O3823" t="n">
        <v>9</v>
      </c>
      <c r="P3823" t="n">
        <v>48</v>
      </c>
      <c r="Q3823" t="n">
        <v>3</v>
      </c>
    </row>
    <row r="3824">
      <c r="J3824" t="inlineStr">
        <is>
          <t>M</t>
        </is>
      </c>
      <c r="K3824" t="n">
        <v>2025</v>
      </c>
      <c r="L3824" t="n">
        <v>11</v>
      </c>
      <c r="M3824" t="inlineStr">
        <is>
          <t>Muçarela Mozzalet 2 kg</t>
        </is>
      </c>
      <c r="N3824" t="inlineStr">
        <is>
          <t>Pessoa Física</t>
        </is>
      </c>
      <c r="O3824" t="n">
        <v>1</v>
      </c>
      <c r="P3824" t="n">
        <v>1</v>
      </c>
      <c r="Q3824" t="n">
        <v>0</v>
      </c>
    </row>
    <row r="3825">
      <c r="J3825" t="inlineStr">
        <is>
          <t>A</t>
        </is>
      </c>
      <c r="K3825" t="n">
        <v>2025</v>
      </c>
      <c r="L3825" t="n">
        <v>12</v>
      </c>
      <c r="M3825" t="inlineStr">
        <is>
          <t>Muçarela Mozzalet 2 kg</t>
        </is>
      </c>
      <c r="N3825" t="inlineStr">
        <is>
          <t>Pessoa Física</t>
        </is>
      </c>
      <c r="O3825" t="n">
        <v>9</v>
      </c>
      <c r="P3825" t="n">
        <v>50</v>
      </c>
      <c r="Q3825" t="n">
        <v>3</v>
      </c>
    </row>
    <row r="3826">
      <c r="J3826" t="inlineStr">
        <is>
          <t>M</t>
        </is>
      </c>
      <c r="K3826" t="n">
        <v>2025</v>
      </c>
      <c r="L3826" t="n">
        <v>12</v>
      </c>
      <c r="M3826" t="inlineStr">
        <is>
          <t>Muçarela Mozzalet 2 kg</t>
        </is>
      </c>
      <c r="N3826" t="inlineStr">
        <is>
          <t>Pessoa Física</t>
        </is>
      </c>
      <c r="O3826" t="n">
        <v>1</v>
      </c>
      <c r="P3826" t="n">
        <v>2</v>
      </c>
      <c r="Q3826" t="n">
        <v>0</v>
      </c>
    </row>
    <row r="3827">
      <c r="J3827" t="inlineStr">
        <is>
          <t>A</t>
        </is>
      </c>
      <c r="K3827" t="n">
        <v>2025</v>
      </c>
      <c r="L3827" t="n">
        <v>1</v>
      </c>
      <c r="M3827" t="inlineStr">
        <is>
          <t>Muçarela Mozzalet 2 kg</t>
        </is>
      </c>
      <c r="N3827" t="inlineStr">
        <is>
          <t>Pastelaria</t>
        </is>
      </c>
      <c r="O3827" t="n">
        <v>1</v>
      </c>
      <c r="P3827" t="n">
        <v>2</v>
      </c>
      <c r="Q3827" t="n">
        <v>0</v>
      </c>
    </row>
    <row r="3828">
      <c r="J3828" t="inlineStr">
        <is>
          <t>M</t>
        </is>
      </c>
      <c r="K3828" t="n">
        <v>2025</v>
      </c>
      <c r="L3828" t="n">
        <v>1</v>
      </c>
      <c r="M3828" t="inlineStr">
        <is>
          <t>Muçarela Mozzalet 2 kg</t>
        </is>
      </c>
      <c r="N3828" t="inlineStr">
        <is>
          <t>Pastelaria</t>
        </is>
      </c>
      <c r="O3828" t="n">
        <v>1</v>
      </c>
      <c r="P3828" t="n">
        <v>2</v>
      </c>
      <c r="Q3828" t="n">
        <v>0</v>
      </c>
    </row>
    <row r="3829">
      <c r="J3829" t="inlineStr">
        <is>
          <t>A</t>
        </is>
      </c>
      <c r="K3829" t="n">
        <v>2025</v>
      </c>
      <c r="L3829" t="n">
        <v>2</v>
      </c>
      <c r="M3829" t="inlineStr">
        <is>
          <t>Muçarela Mozzalet 2 kg</t>
        </is>
      </c>
      <c r="N3829" t="inlineStr">
        <is>
          <t>Pastelaria</t>
        </is>
      </c>
      <c r="O3829" t="n">
        <v>2</v>
      </c>
      <c r="P3829" t="n">
        <v>5</v>
      </c>
      <c r="Q3829" t="n">
        <v>0</v>
      </c>
    </row>
    <row r="3830">
      <c r="J3830" t="inlineStr">
        <is>
          <t>M</t>
        </is>
      </c>
      <c r="K3830" t="n">
        <v>2025</v>
      </c>
      <c r="L3830" t="n">
        <v>2</v>
      </c>
      <c r="M3830" t="inlineStr">
        <is>
          <t>Muçarela Mozzalet 2 kg</t>
        </is>
      </c>
      <c r="N3830" t="inlineStr">
        <is>
          <t>Pastelaria</t>
        </is>
      </c>
      <c r="O3830" t="n">
        <v>2</v>
      </c>
      <c r="P3830" t="n">
        <v>3</v>
      </c>
      <c r="Q3830" t="n">
        <v>0</v>
      </c>
    </row>
    <row r="3831">
      <c r="J3831" t="inlineStr">
        <is>
          <t>A</t>
        </is>
      </c>
      <c r="K3831" t="n">
        <v>2025</v>
      </c>
      <c r="L3831" t="n">
        <v>3</v>
      </c>
      <c r="M3831" t="inlineStr">
        <is>
          <t>Muçarela Mozzalet 2 kg</t>
        </is>
      </c>
      <c r="N3831" t="inlineStr">
        <is>
          <t>Pastelaria</t>
        </is>
      </c>
      <c r="O3831" t="n">
        <v>3</v>
      </c>
      <c r="P3831" t="n">
        <v>9</v>
      </c>
      <c r="Q3831" t="n">
        <v>0</v>
      </c>
    </row>
    <row r="3832">
      <c r="J3832" t="inlineStr">
        <is>
          <t>M</t>
        </is>
      </c>
      <c r="K3832" t="n">
        <v>2025</v>
      </c>
      <c r="L3832" t="n">
        <v>3</v>
      </c>
      <c r="M3832" t="inlineStr">
        <is>
          <t>Muçarela Mozzalet 2 kg</t>
        </is>
      </c>
      <c r="N3832" t="inlineStr">
        <is>
          <t>Pastelaria</t>
        </is>
      </c>
      <c r="O3832" t="n">
        <v>2</v>
      </c>
      <c r="P3832" t="n">
        <v>4</v>
      </c>
      <c r="Q3832" t="n">
        <v>0</v>
      </c>
    </row>
    <row r="3833">
      <c r="J3833" t="inlineStr">
        <is>
          <t>A</t>
        </is>
      </c>
      <c r="K3833" t="n">
        <v>2025</v>
      </c>
      <c r="L3833" t="n">
        <v>4</v>
      </c>
      <c r="M3833" t="inlineStr">
        <is>
          <t>Muçarela Mozzalet 2 kg</t>
        </is>
      </c>
      <c r="N3833" t="inlineStr">
        <is>
          <t>Pastelaria</t>
        </is>
      </c>
      <c r="O3833" t="n">
        <v>4</v>
      </c>
      <c r="P3833" t="n">
        <v>14</v>
      </c>
      <c r="Q3833" t="n">
        <v>1</v>
      </c>
    </row>
    <row r="3834">
      <c r="J3834" t="inlineStr">
        <is>
          <t>M</t>
        </is>
      </c>
      <c r="K3834" t="n">
        <v>2025</v>
      </c>
      <c r="L3834" t="n">
        <v>4</v>
      </c>
      <c r="M3834" t="inlineStr">
        <is>
          <t>Muçarela Mozzalet 2 kg</t>
        </is>
      </c>
      <c r="N3834" t="inlineStr">
        <is>
          <t>Pastelaria</t>
        </is>
      </c>
      <c r="O3834" t="n">
        <v>2</v>
      </c>
      <c r="P3834" t="n">
        <v>5</v>
      </c>
      <c r="Q3834" t="n">
        <v>0</v>
      </c>
    </row>
    <row r="3835">
      <c r="J3835" t="inlineStr">
        <is>
          <t>A</t>
        </is>
      </c>
      <c r="K3835" t="n">
        <v>2025</v>
      </c>
      <c r="L3835" t="n">
        <v>5</v>
      </c>
      <c r="M3835" t="inlineStr">
        <is>
          <t>Muçarela Mozzalet 2 kg</t>
        </is>
      </c>
      <c r="N3835" t="inlineStr">
        <is>
          <t>Pastelaria</t>
        </is>
      </c>
      <c r="O3835" t="n">
        <v>4</v>
      </c>
      <c r="P3835" t="n">
        <v>18</v>
      </c>
      <c r="Q3835" t="n">
        <v>1</v>
      </c>
    </row>
    <row r="3836">
      <c r="J3836" t="inlineStr">
        <is>
          <t>M</t>
        </is>
      </c>
      <c r="K3836" t="n">
        <v>2025</v>
      </c>
      <c r="L3836" t="n">
        <v>5</v>
      </c>
      <c r="M3836" t="inlineStr">
        <is>
          <t>Muçarela Mozzalet 2 kg</t>
        </is>
      </c>
      <c r="N3836" t="inlineStr">
        <is>
          <t>Pastelaria</t>
        </is>
      </c>
      <c r="O3836" t="n">
        <v>2</v>
      </c>
      <c r="P3836" t="n">
        <v>4</v>
      </c>
      <c r="Q3836" t="n">
        <v>0</v>
      </c>
    </row>
    <row r="3837">
      <c r="J3837" t="inlineStr">
        <is>
          <t>A</t>
        </is>
      </c>
      <c r="K3837" t="n">
        <v>2025</v>
      </c>
      <c r="L3837" t="n">
        <v>6</v>
      </c>
      <c r="M3837" t="inlineStr">
        <is>
          <t>Muçarela Mozzalet 2 kg</t>
        </is>
      </c>
      <c r="N3837" t="inlineStr">
        <is>
          <t>Pastelaria</t>
        </is>
      </c>
      <c r="O3837" t="n">
        <v>4</v>
      </c>
      <c r="P3837" t="n">
        <v>24</v>
      </c>
      <c r="Q3837" t="n">
        <v>1</v>
      </c>
    </row>
    <row r="3838">
      <c r="J3838" t="inlineStr">
        <is>
          <t>M</t>
        </is>
      </c>
      <c r="K3838" t="n">
        <v>2025</v>
      </c>
      <c r="L3838" t="n">
        <v>6</v>
      </c>
      <c r="M3838" t="inlineStr">
        <is>
          <t>Muçarela Mozzalet 2 kg</t>
        </is>
      </c>
      <c r="N3838" t="inlineStr">
        <is>
          <t>Pastelaria</t>
        </is>
      </c>
      <c r="O3838" t="n">
        <v>2</v>
      </c>
      <c r="P3838" t="n">
        <v>6</v>
      </c>
      <c r="Q3838" t="n">
        <v>0</v>
      </c>
    </row>
    <row r="3839">
      <c r="J3839" t="inlineStr">
        <is>
          <t>A</t>
        </is>
      </c>
      <c r="K3839" t="n">
        <v>2025</v>
      </c>
      <c r="L3839" t="n">
        <v>7</v>
      </c>
      <c r="M3839" t="inlineStr">
        <is>
          <t>Muçarela Mozzalet 2 kg</t>
        </is>
      </c>
      <c r="N3839" t="inlineStr">
        <is>
          <t>Pastelaria</t>
        </is>
      </c>
      <c r="O3839" t="n">
        <v>4</v>
      </c>
      <c r="P3839" t="n">
        <v>31</v>
      </c>
      <c r="Q3839" t="n">
        <v>1</v>
      </c>
    </row>
    <row r="3840">
      <c r="J3840" t="inlineStr">
        <is>
          <t>M</t>
        </is>
      </c>
      <c r="K3840" t="n">
        <v>2025</v>
      </c>
      <c r="L3840" t="n">
        <v>7</v>
      </c>
      <c r="M3840" t="inlineStr">
        <is>
          <t>Muçarela Mozzalet 2 kg</t>
        </is>
      </c>
      <c r="N3840" t="inlineStr">
        <is>
          <t>Pastelaria</t>
        </is>
      </c>
      <c r="O3840" t="n">
        <v>2</v>
      </c>
      <c r="P3840" t="n">
        <v>7</v>
      </c>
      <c r="Q3840" t="n">
        <v>0</v>
      </c>
    </row>
    <row r="3841">
      <c r="J3841" t="inlineStr">
        <is>
          <t>A</t>
        </is>
      </c>
      <c r="K3841" t="n">
        <v>2025</v>
      </c>
      <c r="L3841" t="n">
        <v>8</v>
      </c>
      <c r="M3841" t="inlineStr">
        <is>
          <t>Muçarela Mozzalet 2 kg</t>
        </is>
      </c>
      <c r="N3841" t="inlineStr">
        <is>
          <t>Pastelaria</t>
        </is>
      </c>
      <c r="O3841" t="n">
        <v>4</v>
      </c>
      <c r="P3841" t="n">
        <v>38</v>
      </c>
      <c r="Q3841" t="n">
        <v>1</v>
      </c>
    </row>
    <row r="3842">
      <c r="J3842" t="inlineStr">
        <is>
          <t>M</t>
        </is>
      </c>
      <c r="K3842" t="n">
        <v>2025</v>
      </c>
      <c r="L3842" t="n">
        <v>8</v>
      </c>
      <c r="M3842" t="inlineStr">
        <is>
          <t>Muçarela Mozzalet 2 kg</t>
        </is>
      </c>
      <c r="N3842" t="inlineStr">
        <is>
          <t>Pastelaria</t>
        </is>
      </c>
      <c r="O3842" t="n">
        <v>2</v>
      </c>
      <c r="P3842" t="n">
        <v>7</v>
      </c>
      <c r="Q3842" t="n">
        <v>0</v>
      </c>
    </row>
    <row r="3843">
      <c r="J3843" t="inlineStr">
        <is>
          <t>A</t>
        </is>
      </c>
      <c r="K3843" t="n">
        <v>2025</v>
      </c>
      <c r="L3843" t="n">
        <v>9</v>
      </c>
      <c r="M3843" t="inlineStr">
        <is>
          <t>Muçarela Mozzalet 2 kg</t>
        </is>
      </c>
      <c r="N3843" t="inlineStr">
        <is>
          <t>Pastelaria</t>
        </is>
      </c>
      <c r="O3843" t="n">
        <v>4</v>
      </c>
      <c r="P3843" t="n">
        <v>46</v>
      </c>
      <c r="Q3843" t="n">
        <v>1</v>
      </c>
    </row>
    <row r="3844">
      <c r="J3844" t="inlineStr">
        <is>
          <t>M</t>
        </is>
      </c>
      <c r="K3844" t="n">
        <v>2025</v>
      </c>
      <c r="L3844" t="n">
        <v>9</v>
      </c>
      <c r="M3844" t="inlineStr">
        <is>
          <t>Muçarela Mozzalet 2 kg</t>
        </is>
      </c>
      <c r="N3844" t="inlineStr">
        <is>
          <t>Pastelaria</t>
        </is>
      </c>
      <c r="O3844" t="n">
        <v>2</v>
      </c>
      <c r="P3844" t="n">
        <v>8</v>
      </c>
      <c r="Q3844" t="n">
        <v>0</v>
      </c>
    </row>
    <row r="3845">
      <c r="J3845" t="inlineStr">
        <is>
          <t>A</t>
        </is>
      </c>
      <c r="K3845" t="n">
        <v>2025</v>
      </c>
      <c r="L3845" t="n">
        <v>10</v>
      </c>
      <c r="M3845" t="inlineStr">
        <is>
          <t>Muçarela Mozzalet 2 kg</t>
        </is>
      </c>
      <c r="N3845" t="inlineStr">
        <is>
          <t>Pastelaria</t>
        </is>
      </c>
      <c r="O3845" t="n">
        <v>4</v>
      </c>
      <c r="P3845" t="n">
        <v>51</v>
      </c>
      <c r="Q3845" t="n">
        <v>1</v>
      </c>
    </row>
    <row r="3846">
      <c r="J3846" t="inlineStr">
        <is>
          <t>M</t>
        </is>
      </c>
      <c r="K3846" t="n">
        <v>2025</v>
      </c>
      <c r="L3846" t="n">
        <v>10</v>
      </c>
      <c r="M3846" t="inlineStr">
        <is>
          <t>Muçarela Mozzalet 2 kg</t>
        </is>
      </c>
      <c r="N3846" t="inlineStr">
        <is>
          <t>Pastelaria</t>
        </is>
      </c>
      <c r="O3846" t="n">
        <v>1</v>
      </c>
      <c r="P3846" t="n">
        <v>5</v>
      </c>
      <c r="Q3846" t="n">
        <v>0</v>
      </c>
    </row>
    <row r="3847">
      <c r="J3847" t="inlineStr">
        <is>
          <t>A</t>
        </is>
      </c>
      <c r="K3847" t="n">
        <v>2025</v>
      </c>
      <c r="L3847" t="n">
        <v>11</v>
      </c>
      <c r="M3847" t="inlineStr">
        <is>
          <t>Muçarela Mozzalet 2 kg</t>
        </is>
      </c>
      <c r="N3847" t="inlineStr">
        <is>
          <t>Pastelaria</t>
        </is>
      </c>
      <c r="O3847" t="n">
        <v>4</v>
      </c>
      <c r="P3847" t="n">
        <v>52</v>
      </c>
      <c r="Q3847" t="n">
        <v>1</v>
      </c>
    </row>
    <row r="3848">
      <c r="J3848" t="inlineStr">
        <is>
          <t>M</t>
        </is>
      </c>
      <c r="K3848" t="n">
        <v>2025</v>
      </c>
      <c r="L3848" t="n">
        <v>11</v>
      </c>
      <c r="M3848" t="inlineStr">
        <is>
          <t>Muçarela Mozzalet 2 kg</t>
        </is>
      </c>
      <c r="N3848" t="inlineStr">
        <is>
          <t>Pastelaria</t>
        </is>
      </c>
      <c r="O3848" t="n">
        <v>1</v>
      </c>
      <c r="P3848" t="n">
        <v>1</v>
      </c>
      <c r="Q3848" t="n">
        <v>0</v>
      </c>
    </row>
    <row r="3849">
      <c r="J3849" t="inlineStr">
        <is>
          <t>A</t>
        </is>
      </c>
      <c r="K3849" t="n">
        <v>2025</v>
      </c>
      <c r="L3849" t="n">
        <v>12</v>
      </c>
      <c r="M3849" t="inlineStr">
        <is>
          <t>Muçarela Mozzalet 2 kg</t>
        </is>
      </c>
      <c r="N3849" t="inlineStr">
        <is>
          <t>Pastelaria</t>
        </is>
      </c>
      <c r="O3849" t="n">
        <v>4</v>
      </c>
      <c r="P3849" t="n">
        <v>52</v>
      </c>
      <c r="Q3849" t="n">
        <v>1</v>
      </c>
    </row>
    <row r="3850">
      <c r="J3850" t="inlineStr">
        <is>
          <t>A</t>
        </is>
      </c>
      <c r="K3850" t="n">
        <v>2025</v>
      </c>
      <c r="L3850" t="n">
        <v>3</v>
      </c>
      <c r="M3850" t="inlineStr">
        <is>
          <t>Muçarela Mozzalet 2 kg</t>
        </is>
      </c>
      <c r="N3850" t="inlineStr">
        <is>
          <t>Esfiharia</t>
        </is>
      </c>
      <c r="O3850" t="n">
        <v>2</v>
      </c>
      <c r="P3850" t="n">
        <v>2</v>
      </c>
      <c r="Q3850" t="n">
        <v>0</v>
      </c>
    </row>
    <row r="3851">
      <c r="J3851" t="inlineStr">
        <is>
          <t>M</t>
        </is>
      </c>
      <c r="K3851" t="n">
        <v>2025</v>
      </c>
      <c r="L3851" t="n">
        <v>3</v>
      </c>
      <c r="M3851" t="inlineStr">
        <is>
          <t>Muçarela Mozzalet 2 kg</t>
        </is>
      </c>
      <c r="N3851" t="inlineStr">
        <is>
          <t>Esfiharia</t>
        </is>
      </c>
      <c r="O3851" t="n">
        <v>2</v>
      </c>
      <c r="P3851" t="n">
        <v>2</v>
      </c>
      <c r="Q3851" t="n">
        <v>0</v>
      </c>
    </row>
    <row r="3852">
      <c r="J3852" t="inlineStr">
        <is>
          <t>A</t>
        </is>
      </c>
      <c r="K3852" t="n">
        <v>2025</v>
      </c>
      <c r="L3852" t="n">
        <v>4</v>
      </c>
      <c r="M3852" t="inlineStr">
        <is>
          <t>Muçarela Mozzalet 2 kg</t>
        </is>
      </c>
      <c r="N3852" t="inlineStr">
        <is>
          <t>Esfiharia</t>
        </is>
      </c>
      <c r="O3852" t="n">
        <v>2</v>
      </c>
      <c r="P3852" t="n">
        <v>2</v>
      </c>
      <c r="Q3852" t="n">
        <v>0</v>
      </c>
    </row>
    <row r="3853">
      <c r="J3853" t="inlineStr">
        <is>
          <t>A</t>
        </is>
      </c>
      <c r="K3853" t="n">
        <v>2025</v>
      </c>
      <c r="L3853" t="n">
        <v>5</v>
      </c>
      <c r="M3853" t="inlineStr">
        <is>
          <t>Muçarela Mozzalet 2 kg</t>
        </is>
      </c>
      <c r="N3853" t="inlineStr">
        <is>
          <t>Esfiharia</t>
        </is>
      </c>
      <c r="O3853" t="n">
        <v>2</v>
      </c>
      <c r="P3853" t="n">
        <v>3</v>
      </c>
      <c r="Q3853" t="n">
        <v>0</v>
      </c>
    </row>
    <row r="3854">
      <c r="J3854" t="inlineStr">
        <is>
          <t>M</t>
        </is>
      </c>
      <c r="K3854" t="n">
        <v>2025</v>
      </c>
      <c r="L3854" t="n">
        <v>5</v>
      </c>
      <c r="M3854" t="inlineStr">
        <is>
          <t>Muçarela Mozzalet 2 kg</t>
        </is>
      </c>
      <c r="N3854" t="inlineStr">
        <is>
          <t>Esfiharia</t>
        </is>
      </c>
      <c r="O3854" t="n">
        <v>1</v>
      </c>
      <c r="P3854" t="n">
        <v>1</v>
      </c>
      <c r="Q3854" t="n">
        <v>0</v>
      </c>
    </row>
    <row r="3855">
      <c r="J3855" t="inlineStr">
        <is>
          <t>A</t>
        </is>
      </c>
      <c r="K3855" t="n">
        <v>2025</v>
      </c>
      <c r="L3855" t="n">
        <v>6</v>
      </c>
      <c r="M3855" t="inlineStr">
        <is>
          <t>Muçarela Mozzalet 2 kg</t>
        </is>
      </c>
      <c r="N3855" t="inlineStr">
        <is>
          <t>Esfiharia</t>
        </is>
      </c>
      <c r="O3855" t="n">
        <v>4</v>
      </c>
      <c r="P3855" t="n">
        <v>9</v>
      </c>
      <c r="Q3855" t="n">
        <v>1</v>
      </c>
    </row>
    <row r="3856">
      <c r="J3856" t="inlineStr">
        <is>
          <t>M</t>
        </is>
      </c>
      <c r="K3856" t="n">
        <v>2025</v>
      </c>
      <c r="L3856" t="n">
        <v>6</v>
      </c>
      <c r="M3856" t="inlineStr">
        <is>
          <t>Muçarela Mozzalet 2 kg</t>
        </is>
      </c>
      <c r="N3856" t="inlineStr">
        <is>
          <t>Esfiharia</t>
        </is>
      </c>
      <c r="O3856" t="n">
        <v>2</v>
      </c>
      <c r="P3856" t="n">
        <v>6</v>
      </c>
      <c r="Q3856" t="n">
        <v>0</v>
      </c>
    </row>
    <row r="3857">
      <c r="J3857" t="inlineStr">
        <is>
          <t>A</t>
        </is>
      </c>
      <c r="K3857" t="n">
        <v>2025</v>
      </c>
      <c r="L3857" t="n">
        <v>7</v>
      </c>
      <c r="M3857" t="inlineStr">
        <is>
          <t>Muçarela Mozzalet 2 kg</t>
        </is>
      </c>
      <c r="N3857" t="inlineStr">
        <is>
          <t>Esfiharia</t>
        </is>
      </c>
      <c r="O3857" t="n">
        <v>4</v>
      </c>
      <c r="P3857" t="n">
        <v>16</v>
      </c>
      <c r="Q3857" t="n">
        <v>1</v>
      </c>
    </row>
    <row r="3858">
      <c r="J3858" t="inlineStr">
        <is>
          <t>M</t>
        </is>
      </c>
      <c r="K3858" t="n">
        <v>2025</v>
      </c>
      <c r="L3858" t="n">
        <v>7</v>
      </c>
      <c r="M3858" t="inlineStr">
        <is>
          <t>Muçarela Mozzalet 2 kg</t>
        </is>
      </c>
      <c r="N3858" t="inlineStr">
        <is>
          <t>Esfiharia</t>
        </is>
      </c>
      <c r="O3858" t="n">
        <v>2</v>
      </c>
      <c r="P3858" t="n">
        <v>7</v>
      </c>
      <c r="Q3858" t="n">
        <v>0</v>
      </c>
    </row>
    <row r="3859">
      <c r="J3859" t="inlineStr">
        <is>
          <t>A</t>
        </is>
      </c>
      <c r="K3859" t="n">
        <v>2025</v>
      </c>
      <c r="L3859" t="n">
        <v>8</v>
      </c>
      <c r="M3859" t="inlineStr">
        <is>
          <t>Muçarela Mozzalet 2 kg</t>
        </is>
      </c>
      <c r="N3859" t="inlineStr">
        <is>
          <t>Esfiharia</t>
        </is>
      </c>
      <c r="O3859" t="n">
        <v>4</v>
      </c>
      <c r="P3859" t="n">
        <v>25</v>
      </c>
      <c r="Q3859" t="n">
        <v>1</v>
      </c>
    </row>
    <row r="3860">
      <c r="J3860" t="inlineStr">
        <is>
          <t>M</t>
        </is>
      </c>
      <c r="K3860" t="n">
        <v>2025</v>
      </c>
      <c r="L3860" t="n">
        <v>8</v>
      </c>
      <c r="M3860" t="inlineStr">
        <is>
          <t>Muçarela Mozzalet 2 kg</t>
        </is>
      </c>
      <c r="N3860" t="inlineStr">
        <is>
          <t>Esfiharia</t>
        </is>
      </c>
      <c r="O3860" t="n">
        <v>3</v>
      </c>
      <c r="P3860" t="n">
        <v>9</v>
      </c>
      <c r="Q3860" t="n">
        <v>0</v>
      </c>
    </row>
    <row r="3861">
      <c r="J3861" t="inlineStr">
        <is>
          <t>A</t>
        </is>
      </c>
      <c r="K3861" t="n">
        <v>2025</v>
      </c>
      <c r="L3861" t="n">
        <v>9</v>
      </c>
      <c r="M3861" t="inlineStr">
        <is>
          <t>Muçarela Mozzalet 2 kg</t>
        </is>
      </c>
      <c r="N3861" t="inlineStr">
        <is>
          <t>Esfiharia</t>
        </is>
      </c>
      <c r="O3861" t="n">
        <v>4</v>
      </c>
      <c r="P3861" t="n">
        <v>31</v>
      </c>
      <c r="Q3861" t="n">
        <v>1</v>
      </c>
    </row>
    <row r="3862">
      <c r="J3862" t="inlineStr">
        <is>
          <t>M</t>
        </is>
      </c>
      <c r="K3862" t="n">
        <v>2025</v>
      </c>
      <c r="L3862" t="n">
        <v>9</v>
      </c>
      <c r="M3862" t="inlineStr">
        <is>
          <t>Muçarela Mozzalet 2 kg</t>
        </is>
      </c>
      <c r="N3862" t="inlineStr">
        <is>
          <t>Esfiharia</t>
        </is>
      </c>
      <c r="O3862" t="n">
        <v>2</v>
      </c>
      <c r="P3862" t="n">
        <v>6</v>
      </c>
      <c r="Q3862" t="n">
        <v>0</v>
      </c>
    </row>
    <row r="3863">
      <c r="J3863" t="inlineStr">
        <is>
          <t>A</t>
        </is>
      </c>
      <c r="K3863" t="n">
        <v>2025</v>
      </c>
      <c r="L3863" t="n">
        <v>10</v>
      </c>
      <c r="M3863" t="inlineStr">
        <is>
          <t>Muçarela Mozzalet 2 kg</t>
        </is>
      </c>
      <c r="N3863" t="inlineStr">
        <is>
          <t>Esfiharia</t>
        </is>
      </c>
      <c r="O3863" t="n">
        <v>4</v>
      </c>
      <c r="P3863" t="n">
        <v>34</v>
      </c>
      <c r="Q3863" t="n">
        <v>1</v>
      </c>
    </row>
    <row r="3864">
      <c r="J3864" t="inlineStr">
        <is>
          <t>M</t>
        </is>
      </c>
      <c r="K3864" t="n">
        <v>2025</v>
      </c>
      <c r="L3864" t="n">
        <v>10</v>
      </c>
      <c r="M3864" t="inlineStr">
        <is>
          <t>Muçarela Mozzalet 2 kg</t>
        </is>
      </c>
      <c r="N3864" t="inlineStr">
        <is>
          <t>Esfiharia</t>
        </is>
      </c>
      <c r="O3864" t="n">
        <v>1</v>
      </c>
      <c r="P3864" t="n">
        <v>3</v>
      </c>
      <c r="Q3864" t="n">
        <v>0</v>
      </c>
    </row>
    <row r="3865">
      <c r="J3865" t="inlineStr">
        <is>
          <t>A</t>
        </is>
      </c>
      <c r="K3865" t="n">
        <v>2025</v>
      </c>
      <c r="L3865" t="n">
        <v>11</v>
      </c>
      <c r="M3865" t="inlineStr">
        <is>
          <t>Muçarela Mozzalet 2 kg</t>
        </is>
      </c>
      <c r="N3865" t="inlineStr">
        <is>
          <t>Esfiharia</t>
        </is>
      </c>
      <c r="O3865" t="n">
        <v>4</v>
      </c>
      <c r="P3865" t="n">
        <v>36</v>
      </c>
      <c r="Q3865" t="n">
        <v>1</v>
      </c>
    </row>
    <row r="3866">
      <c r="J3866" t="inlineStr">
        <is>
          <t>M</t>
        </is>
      </c>
      <c r="K3866" t="n">
        <v>2025</v>
      </c>
      <c r="L3866" t="n">
        <v>11</v>
      </c>
      <c r="M3866" t="inlineStr">
        <is>
          <t>Muçarela Mozzalet 2 kg</t>
        </is>
      </c>
      <c r="N3866" t="inlineStr">
        <is>
          <t>Esfiharia</t>
        </is>
      </c>
      <c r="O3866" t="n">
        <v>1</v>
      </c>
      <c r="P3866" t="n">
        <v>2</v>
      </c>
      <c r="Q3866" t="n">
        <v>0</v>
      </c>
    </row>
    <row r="3867">
      <c r="J3867" t="inlineStr">
        <is>
          <t>A</t>
        </is>
      </c>
      <c r="K3867" t="n">
        <v>2025</v>
      </c>
      <c r="L3867" t="n">
        <v>12</v>
      </c>
      <c r="M3867" t="inlineStr">
        <is>
          <t>Muçarela Mozzalet 2 kg</t>
        </is>
      </c>
      <c r="N3867" t="inlineStr">
        <is>
          <t>Esfiharia</t>
        </is>
      </c>
      <c r="O3867" t="n">
        <v>4</v>
      </c>
      <c r="P3867" t="n">
        <v>36</v>
      </c>
      <c r="Q3867" t="n">
        <v>1</v>
      </c>
    </row>
    <row r="3868">
      <c r="J3868" t="inlineStr">
        <is>
          <t>A</t>
        </is>
      </c>
      <c r="K3868" t="n">
        <v>2025</v>
      </c>
      <c r="L3868" t="n">
        <v>1</v>
      </c>
      <c r="M3868" t="inlineStr">
        <is>
          <t>Muçarela Mozzalet 2 kg</t>
        </is>
      </c>
      <c r="N3868" t="inlineStr">
        <is>
          <t>Lanchonete / Cafeteria</t>
        </is>
      </c>
      <c r="O3868" t="n">
        <v>2</v>
      </c>
      <c r="P3868" t="n">
        <v>4</v>
      </c>
      <c r="Q3868" t="n">
        <v>0</v>
      </c>
    </row>
    <row r="3869">
      <c r="J3869" t="inlineStr">
        <is>
          <t>M</t>
        </is>
      </c>
      <c r="K3869" t="n">
        <v>2025</v>
      </c>
      <c r="L3869" t="n">
        <v>1</v>
      </c>
      <c r="M3869" t="inlineStr">
        <is>
          <t>Muçarela Mozzalet 2 kg</t>
        </is>
      </c>
      <c r="N3869" t="inlineStr">
        <is>
          <t>Lanchonete / Cafeteria</t>
        </is>
      </c>
      <c r="O3869" t="n">
        <v>2</v>
      </c>
      <c r="P3869" t="n">
        <v>4</v>
      </c>
      <c r="Q3869" t="n">
        <v>0</v>
      </c>
    </row>
    <row r="3870">
      <c r="J3870" t="inlineStr">
        <is>
          <t>A</t>
        </is>
      </c>
      <c r="K3870" t="n">
        <v>2025</v>
      </c>
      <c r="L3870" t="n">
        <v>2</v>
      </c>
      <c r="M3870" t="inlineStr">
        <is>
          <t>Muçarela Mozzalet 2 kg</t>
        </is>
      </c>
      <c r="N3870" t="inlineStr">
        <is>
          <t>Lanchonete / Cafeteria</t>
        </is>
      </c>
      <c r="O3870" t="n">
        <v>2</v>
      </c>
      <c r="P3870" t="n">
        <v>5</v>
      </c>
      <c r="Q3870" t="n">
        <v>0</v>
      </c>
    </row>
    <row r="3871">
      <c r="J3871" t="inlineStr">
        <is>
          <t>M</t>
        </is>
      </c>
      <c r="K3871" t="n">
        <v>2025</v>
      </c>
      <c r="L3871" t="n">
        <v>2</v>
      </c>
      <c r="M3871" t="inlineStr">
        <is>
          <t>Muçarela Mozzalet 2 kg</t>
        </is>
      </c>
      <c r="N3871" t="inlineStr">
        <is>
          <t>Lanchonete / Cafeteria</t>
        </is>
      </c>
      <c r="O3871" t="n">
        <v>1</v>
      </c>
      <c r="P3871" t="n">
        <v>1</v>
      </c>
      <c r="Q3871" t="n">
        <v>0</v>
      </c>
    </row>
    <row r="3872">
      <c r="J3872" t="inlineStr">
        <is>
          <t>A</t>
        </is>
      </c>
      <c r="K3872" t="n">
        <v>2025</v>
      </c>
      <c r="L3872" t="n">
        <v>3</v>
      </c>
      <c r="M3872" t="inlineStr">
        <is>
          <t>Muçarela Mozzalet 2 kg</t>
        </is>
      </c>
      <c r="N3872" t="inlineStr">
        <is>
          <t>Lanchonete / Cafeteria</t>
        </is>
      </c>
      <c r="O3872" t="n">
        <v>4</v>
      </c>
      <c r="P3872" t="n">
        <v>10</v>
      </c>
      <c r="Q3872" t="n">
        <v>1</v>
      </c>
    </row>
    <row r="3873">
      <c r="J3873" t="inlineStr">
        <is>
          <t>M</t>
        </is>
      </c>
      <c r="K3873" t="n">
        <v>2025</v>
      </c>
      <c r="L3873" t="n">
        <v>3</v>
      </c>
      <c r="M3873" t="inlineStr">
        <is>
          <t>Muçarela Mozzalet 2 kg</t>
        </is>
      </c>
      <c r="N3873" t="inlineStr">
        <is>
          <t>Lanchonete / Cafeteria</t>
        </is>
      </c>
      <c r="O3873" t="n">
        <v>4</v>
      </c>
      <c r="P3873" t="n">
        <v>5</v>
      </c>
      <c r="Q3873" t="n">
        <v>0</v>
      </c>
    </row>
    <row r="3874">
      <c r="J3874" t="inlineStr">
        <is>
          <t>A</t>
        </is>
      </c>
      <c r="K3874" t="n">
        <v>2025</v>
      </c>
      <c r="L3874" t="n">
        <v>4</v>
      </c>
      <c r="M3874" t="inlineStr">
        <is>
          <t>Muçarela Mozzalet 2 kg</t>
        </is>
      </c>
      <c r="N3874" t="inlineStr">
        <is>
          <t>Lanchonete / Cafeteria</t>
        </is>
      </c>
      <c r="O3874" t="n">
        <v>5</v>
      </c>
      <c r="P3874" t="n">
        <v>14</v>
      </c>
      <c r="Q3874" t="n">
        <v>1</v>
      </c>
    </row>
    <row r="3875">
      <c r="J3875" t="inlineStr">
        <is>
          <t>M</t>
        </is>
      </c>
      <c r="K3875" t="n">
        <v>2025</v>
      </c>
      <c r="L3875" t="n">
        <v>4</v>
      </c>
      <c r="M3875" t="inlineStr">
        <is>
          <t>Muçarela Mozzalet 2 kg</t>
        </is>
      </c>
      <c r="N3875" t="inlineStr">
        <is>
          <t>Lanchonete / Cafeteria</t>
        </is>
      </c>
      <c r="O3875" t="n">
        <v>4</v>
      </c>
      <c r="P3875" t="n">
        <v>4</v>
      </c>
      <c r="Q3875" t="n">
        <v>0</v>
      </c>
    </row>
    <row r="3876">
      <c r="J3876" t="inlineStr">
        <is>
          <t>A</t>
        </is>
      </c>
      <c r="K3876" t="n">
        <v>2025</v>
      </c>
      <c r="L3876" t="n">
        <v>5</v>
      </c>
      <c r="M3876" t="inlineStr">
        <is>
          <t>Muçarela Mozzalet 2 kg</t>
        </is>
      </c>
      <c r="N3876" t="inlineStr">
        <is>
          <t>Lanchonete / Cafeteria</t>
        </is>
      </c>
      <c r="O3876" t="n">
        <v>5</v>
      </c>
      <c r="P3876" t="n">
        <v>17</v>
      </c>
      <c r="Q3876" t="n">
        <v>1</v>
      </c>
    </row>
    <row r="3877">
      <c r="J3877" t="inlineStr">
        <is>
          <t>M</t>
        </is>
      </c>
      <c r="K3877" t="n">
        <v>2025</v>
      </c>
      <c r="L3877" t="n">
        <v>5</v>
      </c>
      <c r="M3877" t="inlineStr">
        <is>
          <t>Muçarela Mozzalet 2 kg</t>
        </is>
      </c>
      <c r="N3877" t="inlineStr">
        <is>
          <t>Lanchonete / Cafeteria</t>
        </is>
      </c>
      <c r="O3877" t="n">
        <v>2</v>
      </c>
      <c r="P3877" t="n">
        <v>3</v>
      </c>
      <c r="Q3877" t="n">
        <v>0</v>
      </c>
    </row>
    <row r="3878">
      <c r="J3878" t="inlineStr">
        <is>
          <t>A</t>
        </is>
      </c>
      <c r="K3878" t="n">
        <v>2025</v>
      </c>
      <c r="L3878" t="n">
        <v>6</v>
      </c>
      <c r="M3878" t="inlineStr">
        <is>
          <t>Muçarela Mozzalet 2 kg</t>
        </is>
      </c>
      <c r="N3878" t="inlineStr">
        <is>
          <t>Lanchonete / Cafeteria</t>
        </is>
      </c>
      <c r="O3878" t="n">
        <v>7</v>
      </c>
      <c r="P3878" t="n">
        <v>21</v>
      </c>
      <c r="Q3878" t="n">
        <v>2</v>
      </c>
    </row>
    <row r="3879">
      <c r="J3879" t="inlineStr">
        <is>
          <t>M</t>
        </is>
      </c>
      <c r="K3879" t="n">
        <v>2025</v>
      </c>
      <c r="L3879" t="n">
        <v>6</v>
      </c>
      <c r="M3879" t="inlineStr">
        <is>
          <t>Muçarela Mozzalet 2 kg</t>
        </is>
      </c>
      <c r="N3879" t="inlineStr">
        <is>
          <t>Lanchonete / Cafeteria</t>
        </is>
      </c>
      <c r="O3879" t="n">
        <v>4</v>
      </c>
      <c r="P3879" t="n">
        <v>4</v>
      </c>
      <c r="Q3879" t="n">
        <v>0</v>
      </c>
    </row>
    <row r="3880">
      <c r="J3880" t="inlineStr">
        <is>
          <t>A</t>
        </is>
      </c>
      <c r="K3880" t="n">
        <v>2025</v>
      </c>
      <c r="L3880" t="n">
        <v>7</v>
      </c>
      <c r="M3880" t="inlineStr">
        <is>
          <t>Muçarela Mozzalet 2 kg</t>
        </is>
      </c>
      <c r="N3880" t="inlineStr">
        <is>
          <t>Lanchonete / Cafeteria</t>
        </is>
      </c>
      <c r="O3880" t="n">
        <v>7</v>
      </c>
      <c r="P3880" t="n">
        <v>31</v>
      </c>
      <c r="Q3880" t="n">
        <v>2</v>
      </c>
    </row>
    <row r="3881">
      <c r="J3881" t="inlineStr">
        <is>
          <t>M</t>
        </is>
      </c>
      <c r="K3881" t="n">
        <v>2025</v>
      </c>
      <c r="L3881" t="n">
        <v>7</v>
      </c>
      <c r="M3881" t="inlineStr">
        <is>
          <t>Muçarela Mozzalet 2 kg</t>
        </is>
      </c>
      <c r="N3881" t="inlineStr">
        <is>
          <t>Lanchonete / Cafeteria</t>
        </is>
      </c>
      <c r="O3881" t="n">
        <v>4</v>
      </c>
      <c r="P3881" t="n">
        <v>10</v>
      </c>
      <c r="Q3881" t="n">
        <v>0</v>
      </c>
    </row>
    <row r="3882">
      <c r="J3882" t="inlineStr">
        <is>
          <t>A</t>
        </is>
      </c>
      <c r="K3882" t="n">
        <v>2025</v>
      </c>
      <c r="L3882" t="n">
        <v>8</v>
      </c>
      <c r="M3882" t="inlineStr">
        <is>
          <t>Muçarela Mozzalet 2 kg</t>
        </is>
      </c>
      <c r="N3882" t="inlineStr">
        <is>
          <t>Lanchonete / Cafeteria</t>
        </is>
      </c>
      <c r="O3882" t="n">
        <v>7</v>
      </c>
      <c r="P3882" t="n">
        <v>34</v>
      </c>
      <c r="Q3882" t="n">
        <v>2</v>
      </c>
    </row>
    <row r="3883">
      <c r="J3883" t="inlineStr">
        <is>
          <t>M</t>
        </is>
      </c>
      <c r="K3883" t="n">
        <v>2025</v>
      </c>
      <c r="L3883" t="n">
        <v>8</v>
      </c>
      <c r="M3883" t="inlineStr">
        <is>
          <t>Muçarela Mozzalet 2 kg</t>
        </is>
      </c>
      <c r="N3883" t="inlineStr">
        <is>
          <t>Lanchonete / Cafeteria</t>
        </is>
      </c>
      <c r="O3883" t="n">
        <v>2</v>
      </c>
      <c r="P3883" t="n">
        <v>3</v>
      </c>
      <c r="Q3883" t="n">
        <v>0</v>
      </c>
    </row>
    <row r="3884">
      <c r="J3884" t="inlineStr">
        <is>
          <t>A</t>
        </is>
      </c>
      <c r="K3884" t="n">
        <v>2025</v>
      </c>
      <c r="L3884" t="n">
        <v>9</v>
      </c>
      <c r="M3884" t="inlineStr">
        <is>
          <t>Muçarela Mozzalet 2 kg</t>
        </is>
      </c>
      <c r="N3884" t="inlineStr">
        <is>
          <t>Lanchonete / Cafeteria</t>
        </is>
      </c>
      <c r="O3884" t="n">
        <v>7</v>
      </c>
      <c r="P3884" t="n">
        <v>36</v>
      </c>
      <c r="Q3884" t="n">
        <v>2</v>
      </c>
    </row>
    <row r="3885">
      <c r="J3885" t="inlineStr">
        <is>
          <t>M</t>
        </is>
      </c>
      <c r="K3885" t="n">
        <v>2025</v>
      </c>
      <c r="L3885" t="n">
        <v>9</v>
      </c>
      <c r="M3885" t="inlineStr">
        <is>
          <t>Muçarela Mozzalet 2 kg</t>
        </is>
      </c>
      <c r="N3885" t="inlineStr">
        <is>
          <t>Lanchonete / Cafeteria</t>
        </is>
      </c>
      <c r="O3885" t="n">
        <v>1</v>
      </c>
      <c r="P3885" t="n">
        <v>2</v>
      </c>
      <c r="Q3885" t="n">
        <v>0</v>
      </c>
    </row>
    <row r="3886">
      <c r="J3886" t="inlineStr">
        <is>
          <t>A</t>
        </is>
      </c>
      <c r="K3886" t="n">
        <v>2025</v>
      </c>
      <c r="L3886" t="n">
        <v>10</v>
      </c>
      <c r="M3886" t="inlineStr">
        <is>
          <t>Muçarela Mozzalet 2 kg</t>
        </is>
      </c>
      <c r="N3886" t="inlineStr">
        <is>
          <t>Lanchonete / Cafeteria</t>
        </is>
      </c>
      <c r="O3886" t="n">
        <v>7</v>
      </c>
      <c r="P3886" t="n">
        <v>41</v>
      </c>
      <c r="Q3886" t="n">
        <v>2</v>
      </c>
    </row>
    <row r="3887">
      <c r="J3887" t="inlineStr">
        <is>
          <t>M</t>
        </is>
      </c>
      <c r="K3887" t="n">
        <v>2025</v>
      </c>
      <c r="L3887" t="n">
        <v>10</v>
      </c>
      <c r="M3887" t="inlineStr">
        <is>
          <t>Muçarela Mozzalet 2 kg</t>
        </is>
      </c>
      <c r="N3887" t="inlineStr">
        <is>
          <t>Lanchonete / Cafeteria</t>
        </is>
      </c>
      <c r="O3887" t="n">
        <v>3</v>
      </c>
      <c r="P3887" t="n">
        <v>5</v>
      </c>
      <c r="Q3887" t="n">
        <v>0</v>
      </c>
    </row>
    <row r="3888">
      <c r="J3888" t="inlineStr">
        <is>
          <t>A</t>
        </is>
      </c>
      <c r="K3888" t="n">
        <v>2025</v>
      </c>
      <c r="L3888" t="n">
        <v>11</v>
      </c>
      <c r="M3888" t="inlineStr">
        <is>
          <t>Muçarela Mozzalet 2 kg</t>
        </is>
      </c>
      <c r="N3888" t="inlineStr">
        <is>
          <t>Lanchonete / Cafeteria</t>
        </is>
      </c>
      <c r="O3888" t="n">
        <v>7</v>
      </c>
      <c r="P3888" t="n">
        <v>43</v>
      </c>
      <c r="Q3888" t="n">
        <v>2</v>
      </c>
    </row>
    <row r="3889">
      <c r="J3889" t="inlineStr">
        <is>
          <t>M</t>
        </is>
      </c>
      <c r="K3889" t="n">
        <v>2025</v>
      </c>
      <c r="L3889" t="n">
        <v>11</v>
      </c>
      <c r="M3889" t="inlineStr">
        <is>
          <t>Muçarela Mozzalet 2 kg</t>
        </is>
      </c>
      <c r="N3889" t="inlineStr">
        <is>
          <t>Lanchonete / Cafeteria</t>
        </is>
      </c>
      <c r="O3889" t="n">
        <v>1</v>
      </c>
      <c r="P3889" t="n">
        <v>2</v>
      </c>
      <c r="Q3889" t="n">
        <v>0</v>
      </c>
    </row>
    <row r="3890">
      <c r="J3890" t="inlineStr">
        <is>
          <t>A</t>
        </is>
      </c>
      <c r="K3890" t="n">
        <v>2025</v>
      </c>
      <c r="L3890" t="n">
        <v>12</v>
      </c>
      <c r="M3890" t="inlineStr">
        <is>
          <t>Muçarela Mozzalet 2 kg</t>
        </is>
      </c>
      <c r="N3890" t="inlineStr">
        <is>
          <t>Lanchonete / Cafeteria</t>
        </is>
      </c>
      <c r="O3890" t="n">
        <v>7</v>
      </c>
      <c r="P3890" t="n">
        <v>46</v>
      </c>
      <c r="Q3890" t="n">
        <v>2</v>
      </c>
    </row>
    <row r="3891">
      <c r="J3891" t="inlineStr">
        <is>
          <t>M</t>
        </is>
      </c>
      <c r="K3891" t="n">
        <v>2025</v>
      </c>
      <c r="L3891" t="n">
        <v>12</v>
      </c>
      <c r="M3891" t="inlineStr">
        <is>
          <t>Muçarela Mozzalet 2 kg</t>
        </is>
      </c>
      <c r="N3891" t="inlineStr">
        <is>
          <t>Lanchonete / Cafeteria</t>
        </is>
      </c>
      <c r="O3891" t="n">
        <v>1</v>
      </c>
      <c r="P3891" t="n">
        <v>3</v>
      </c>
      <c r="Q3891" t="n">
        <v>0</v>
      </c>
    </row>
    <row r="3892">
      <c r="J3892" t="inlineStr">
        <is>
          <t>A</t>
        </is>
      </c>
      <c r="K3892" t="n">
        <v>2025</v>
      </c>
      <c r="L3892" t="n">
        <v>1</v>
      </c>
      <c r="M3892" t="inlineStr">
        <is>
          <t>Muçarela Mozzalet 2 kg</t>
        </is>
      </c>
      <c r="N3892" t="inlineStr">
        <is>
          <t>Padaria</t>
        </is>
      </c>
      <c r="O3892" t="n">
        <v>1</v>
      </c>
      <c r="P3892" t="n">
        <v>1</v>
      </c>
      <c r="Q3892" t="n">
        <v>0</v>
      </c>
    </row>
    <row r="3893">
      <c r="J3893" t="inlineStr">
        <is>
          <t>M</t>
        </is>
      </c>
      <c r="K3893" t="n">
        <v>2025</v>
      </c>
      <c r="L3893" t="n">
        <v>1</v>
      </c>
      <c r="M3893" t="inlineStr">
        <is>
          <t>Muçarela Mozzalet 2 kg</t>
        </is>
      </c>
      <c r="N3893" t="inlineStr">
        <is>
          <t>Padaria</t>
        </is>
      </c>
      <c r="O3893" t="n">
        <v>1</v>
      </c>
      <c r="P3893" t="n">
        <v>1</v>
      </c>
      <c r="Q3893" t="n">
        <v>0</v>
      </c>
    </row>
    <row r="3894">
      <c r="J3894" t="inlineStr">
        <is>
          <t>A</t>
        </is>
      </c>
      <c r="K3894" t="n">
        <v>2025</v>
      </c>
      <c r="L3894" t="n">
        <v>2</v>
      </c>
      <c r="M3894" t="inlineStr">
        <is>
          <t>Muçarela Mozzalet 2 kg</t>
        </is>
      </c>
      <c r="N3894" t="inlineStr">
        <is>
          <t>Padaria</t>
        </is>
      </c>
      <c r="O3894" t="n">
        <v>2</v>
      </c>
      <c r="P3894" t="n">
        <v>3</v>
      </c>
      <c r="Q3894" t="n">
        <v>0</v>
      </c>
    </row>
    <row r="3895">
      <c r="J3895" t="inlineStr">
        <is>
          <t>M</t>
        </is>
      </c>
      <c r="K3895" t="n">
        <v>2025</v>
      </c>
      <c r="L3895" t="n">
        <v>2</v>
      </c>
      <c r="M3895" t="inlineStr">
        <is>
          <t>Muçarela Mozzalet 2 kg</t>
        </is>
      </c>
      <c r="N3895" t="inlineStr">
        <is>
          <t>Padaria</t>
        </is>
      </c>
      <c r="O3895" t="n">
        <v>2</v>
      </c>
      <c r="P3895" t="n">
        <v>2</v>
      </c>
      <c r="Q3895" t="n">
        <v>0</v>
      </c>
    </row>
    <row r="3896">
      <c r="J3896" t="inlineStr">
        <is>
          <t>A</t>
        </is>
      </c>
      <c r="K3896" t="n">
        <v>2025</v>
      </c>
      <c r="L3896" t="n">
        <v>3</v>
      </c>
      <c r="M3896" t="inlineStr">
        <is>
          <t>Muçarela Mozzalet 2 kg</t>
        </is>
      </c>
      <c r="N3896" t="inlineStr">
        <is>
          <t>Padaria</t>
        </is>
      </c>
      <c r="O3896" t="n">
        <v>2</v>
      </c>
      <c r="P3896" t="n">
        <v>4</v>
      </c>
      <c r="Q3896" t="n">
        <v>0</v>
      </c>
    </row>
    <row r="3897">
      <c r="J3897" t="inlineStr">
        <is>
          <t>M</t>
        </is>
      </c>
      <c r="K3897" t="n">
        <v>2025</v>
      </c>
      <c r="L3897" t="n">
        <v>3</v>
      </c>
      <c r="M3897" t="inlineStr">
        <is>
          <t>Muçarela Mozzalet 2 kg</t>
        </is>
      </c>
      <c r="N3897" t="inlineStr">
        <is>
          <t>Padaria</t>
        </is>
      </c>
      <c r="O3897" t="n">
        <v>1</v>
      </c>
      <c r="P3897" t="n">
        <v>1</v>
      </c>
      <c r="Q3897" t="n">
        <v>0</v>
      </c>
    </row>
    <row r="3898">
      <c r="J3898" t="inlineStr">
        <is>
          <t>A</t>
        </is>
      </c>
      <c r="K3898" t="n">
        <v>2025</v>
      </c>
      <c r="L3898" t="n">
        <v>4</v>
      </c>
      <c r="M3898" t="inlineStr">
        <is>
          <t>Muçarela Mozzalet 2 kg</t>
        </is>
      </c>
      <c r="N3898" t="inlineStr">
        <is>
          <t>Padaria</t>
        </is>
      </c>
      <c r="O3898" t="n">
        <v>2</v>
      </c>
      <c r="P3898" t="n">
        <v>6</v>
      </c>
      <c r="Q3898" t="n">
        <v>0</v>
      </c>
    </row>
    <row r="3899">
      <c r="J3899" t="inlineStr">
        <is>
          <t>M</t>
        </is>
      </c>
      <c r="K3899" t="n">
        <v>2025</v>
      </c>
      <c r="L3899" t="n">
        <v>4</v>
      </c>
      <c r="M3899" t="inlineStr">
        <is>
          <t>Muçarela Mozzalet 2 kg</t>
        </is>
      </c>
      <c r="N3899" t="inlineStr">
        <is>
          <t>Padaria</t>
        </is>
      </c>
      <c r="O3899" t="n">
        <v>2</v>
      </c>
      <c r="P3899" t="n">
        <v>2</v>
      </c>
      <c r="Q3899" t="n">
        <v>0</v>
      </c>
    </row>
    <row r="3900">
      <c r="J3900" t="inlineStr">
        <is>
          <t>A</t>
        </is>
      </c>
      <c r="K3900" t="n">
        <v>2025</v>
      </c>
      <c r="L3900" t="n">
        <v>5</v>
      </c>
      <c r="M3900" t="inlineStr">
        <is>
          <t>Muçarela Mozzalet 2 kg</t>
        </is>
      </c>
      <c r="N3900" t="inlineStr">
        <is>
          <t>Padaria</t>
        </is>
      </c>
      <c r="O3900" t="n">
        <v>4</v>
      </c>
      <c r="P3900" t="n">
        <v>9</v>
      </c>
      <c r="Q3900" t="n">
        <v>0</v>
      </c>
    </row>
    <row r="3901">
      <c r="J3901" t="inlineStr">
        <is>
          <t>M</t>
        </is>
      </c>
      <c r="K3901" t="n">
        <v>2025</v>
      </c>
      <c r="L3901" t="n">
        <v>5</v>
      </c>
      <c r="M3901" t="inlineStr">
        <is>
          <t>Muçarela Mozzalet 2 kg</t>
        </is>
      </c>
      <c r="N3901" t="inlineStr">
        <is>
          <t>Padaria</t>
        </is>
      </c>
      <c r="O3901" t="n">
        <v>3</v>
      </c>
      <c r="P3901" t="n">
        <v>3</v>
      </c>
      <c r="Q3901" t="n">
        <v>0</v>
      </c>
    </row>
    <row r="3902">
      <c r="J3902" t="inlineStr">
        <is>
          <t>A</t>
        </is>
      </c>
      <c r="K3902" t="n">
        <v>2025</v>
      </c>
      <c r="L3902" t="n">
        <v>6</v>
      </c>
      <c r="M3902" t="inlineStr">
        <is>
          <t>Muçarela Mozzalet 2 kg</t>
        </is>
      </c>
      <c r="N3902" t="inlineStr">
        <is>
          <t>Padaria</t>
        </is>
      </c>
      <c r="O3902" t="n">
        <v>4</v>
      </c>
      <c r="P3902" t="n">
        <v>11</v>
      </c>
      <c r="Q3902" t="n">
        <v>0</v>
      </c>
    </row>
    <row r="3903">
      <c r="J3903" t="inlineStr">
        <is>
          <t>M</t>
        </is>
      </c>
      <c r="K3903" t="n">
        <v>2025</v>
      </c>
      <c r="L3903" t="n">
        <v>6</v>
      </c>
      <c r="M3903" t="inlineStr">
        <is>
          <t>Muçarela Mozzalet 2 kg</t>
        </is>
      </c>
      <c r="N3903" t="inlineStr">
        <is>
          <t>Padaria</t>
        </is>
      </c>
      <c r="O3903" t="n">
        <v>2</v>
      </c>
      <c r="P3903" t="n">
        <v>2</v>
      </c>
      <c r="Q3903" t="n">
        <v>0</v>
      </c>
    </row>
    <row r="3904">
      <c r="J3904" t="inlineStr">
        <is>
          <t>A</t>
        </is>
      </c>
      <c r="K3904" t="n">
        <v>2025</v>
      </c>
      <c r="L3904" t="n">
        <v>7</v>
      </c>
      <c r="M3904" t="inlineStr">
        <is>
          <t>Muçarela Mozzalet 2 kg</t>
        </is>
      </c>
      <c r="N3904" t="inlineStr">
        <is>
          <t>Padaria</t>
        </is>
      </c>
      <c r="O3904" t="n">
        <v>5</v>
      </c>
      <c r="P3904" t="n">
        <v>16</v>
      </c>
      <c r="Q3904" t="n">
        <v>1</v>
      </c>
    </row>
    <row r="3905">
      <c r="J3905" t="inlineStr">
        <is>
          <t>M</t>
        </is>
      </c>
      <c r="K3905" t="n">
        <v>2025</v>
      </c>
      <c r="L3905" t="n">
        <v>7</v>
      </c>
      <c r="M3905" t="inlineStr">
        <is>
          <t>Muçarela Mozzalet 2 kg</t>
        </is>
      </c>
      <c r="N3905" t="inlineStr">
        <is>
          <t>Padaria</t>
        </is>
      </c>
      <c r="O3905" t="n">
        <v>3</v>
      </c>
      <c r="P3905" t="n">
        <v>5</v>
      </c>
      <c r="Q3905" t="n">
        <v>0</v>
      </c>
    </row>
    <row r="3906">
      <c r="J3906" t="inlineStr">
        <is>
          <t>A</t>
        </is>
      </c>
      <c r="K3906" t="n">
        <v>2025</v>
      </c>
      <c r="L3906" t="n">
        <v>8</v>
      </c>
      <c r="M3906" t="inlineStr">
        <is>
          <t>Muçarela Mozzalet 2 kg</t>
        </is>
      </c>
      <c r="N3906" t="inlineStr">
        <is>
          <t>Padaria</t>
        </is>
      </c>
      <c r="O3906" t="n">
        <v>5</v>
      </c>
      <c r="P3906" t="n">
        <v>17</v>
      </c>
      <c r="Q3906" t="n">
        <v>1</v>
      </c>
    </row>
    <row r="3907">
      <c r="J3907" t="inlineStr">
        <is>
          <t>M</t>
        </is>
      </c>
      <c r="K3907" t="n">
        <v>2025</v>
      </c>
      <c r="L3907" t="n">
        <v>8</v>
      </c>
      <c r="M3907" t="inlineStr">
        <is>
          <t>Muçarela Mozzalet 2 kg</t>
        </is>
      </c>
      <c r="N3907" t="inlineStr">
        <is>
          <t>Padaria</t>
        </is>
      </c>
      <c r="O3907" t="n">
        <v>1</v>
      </c>
      <c r="P3907" t="n">
        <v>1</v>
      </c>
      <c r="Q3907" t="n">
        <v>0</v>
      </c>
    </row>
    <row r="3908">
      <c r="J3908" t="inlineStr">
        <is>
          <t>A</t>
        </is>
      </c>
      <c r="K3908" t="n">
        <v>2025</v>
      </c>
      <c r="L3908" t="n">
        <v>9</v>
      </c>
      <c r="M3908" t="inlineStr">
        <is>
          <t>Muçarela Mozzalet 2 kg</t>
        </is>
      </c>
      <c r="N3908" t="inlineStr">
        <is>
          <t>Padaria</t>
        </is>
      </c>
      <c r="O3908" t="n">
        <v>5</v>
      </c>
      <c r="P3908" t="n">
        <v>19</v>
      </c>
      <c r="Q3908" t="n">
        <v>1</v>
      </c>
    </row>
    <row r="3909">
      <c r="J3909" t="inlineStr">
        <is>
          <t>M</t>
        </is>
      </c>
      <c r="K3909" t="n">
        <v>2025</v>
      </c>
      <c r="L3909" t="n">
        <v>9</v>
      </c>
      <c r="M3909" t="inlineStr">
        <is>
          <t>Muçarela Mozzalet 2 kg</t>
        </is>
      </c>
      <c r="N3909" t="inlineStr">
        <is>
          <t>Padaria</t>
        </is>
      </c>
      <c r="O3909" t="n">
        <v>1</v>
      </c>
      <c r="P3909" t="n">
        <v>2</v>
      </c>
      <c r="Q3909" t="n">
        <v>0</v>
      </c>
    </row>
    <row r="3910">
      <c r="J3910" t="inlineStr">
        <is>
          <t>A</t>
        </is>
      </c>
      <c r="K3910" t="n">
        <v>2025</v>
      </c>
      <c r="L3910" t="n">
        <v>10</v>
      </c>
      <c r="M3910" t="inlineStr">
        <is>
          <t>Muçarela Mozzalet 2 kg</t>
        </is>
      </c>
      <c r="N3910" t="inlineStr">
        <is>
          <t>Padaria</t>
        </is>
      </c>
      <c r="O3910" t="n">
        <v>6</v>
      </c>
      <c r="P3910" t="n">
        <v>23</v>
      </c>
      <c r="Q3910" t="n">
        <v>1</v>
      </c>
    </row>
    <row r="3911">
      <c r="J3911" t="inlineStr">
        <is>
          <t>M</t>
        </is>
      </c>
      <c r="K3911" t="n">
        <v>2025</v>
      </c>
      <c r="L3911" t="n">
        <v>10</v>
      </c>
      <c r="M3911" t="inlineStr">
        <is>
          <t>Muçarela Mozzalet 2 kg</t>
        </is>
      </c>
      <c r="N3911" t="inlineStr">
        <is>
          <t>Padaria</t>
        </is>
      </c>
      <c r="O3911" t="n">
        <v>3</v>
      </c>
      <c r="P3911" t="n">
        <v>4</v>
      </c>
      <c r="Q3911" t="n">
        <v>0</v>
      </c>
    </row>
    <row r="3912">
      <c r="J3912" t="inlineStr">
        <is>
          <t>A</t>
        </is>
      </c>
      <c r="K3912" t="n">
        <v>2025</v>
      </c>
      <c r="L3912" t="n">
        <v>11</v>
      </c>
      <c r="M3912" t="inlineStr">
        <is>
          <t>Muçarela Mozzalet 2 kg</t>
        </is>
      </c>
      <c r="N3912" t="inlineStr">
        <is>
          <t>Padaria</t>
        </is>
      </c>
      <c r="O3912" t="n">
        <v>6</v>
      </c>
      <c r="P3912" t="n">
        <v>24</v>
      </c>
      <c r="Q3912" t="n">
        <v>1</v>
      </c>
    </row>
    <row r="3913">
      <c r="J3913" t="inlineStr">
        <is>
          <t>M</t>
        </is>
      </c>
      <c r="K3913" t="n">
        <v>2025</v>
      </c>
      <c r="L3913" t="n">
        <v>11</v>
      </c>
      <c r="M3913" t="inlineStr">
        <is>
          <t>Muçarela Mozzalet 2 kg</t>
        </is>
      </c>
      <c r="N3913" t="inlineStr">
        <is>
          <t>Padaria</t>
        </is>
      </c>
      <c r="O3913" t="n">
        <v>1</v>
      </c>
      <c r="P3913" t="n">
        <v>1</v>
      </c>
      <c r="Q3913" t="n">
        <v>0</v>
      </c>
    </row>
    <row r="3914">
      <c r="J3914" t="inlineStr">
        <is>
          <t>A</t>
        </is>
      </c>
      <c r="K3914" t="n">
        <v>2025</v>
      </c>
      <c r="L3914" t="n">
        <v>12</v>
      </c>
      <c r="M3914" t="inlineStr">
        <is>
          <t>Muçarela Mozzalet 2 kg</t>
        </is>
      </c>
      <c r="N3914" t="inlineStr">
        <is>
          <t>Padaria</t>
        </is>
      </c>
      <c r="O3914" t="n">
        <v>6</v>
      </c>
      <c r="P3914" t="n">
        <v>25</v>
      </c>
      <c r="Q3914" t="n">
        <v>1</v>
      </c>
    </row>
    <row r="3915">
      <c r="J3915" t="inlineStr">
        <is>
          <t>M</t>
        </is>
      </c>
      <c r="K3915" t="n">
        <v>2025</v>
      </c>
      <c r="L3915" t="n">
        <v>12</v>
      </c>
      <c r="M3915" t="inlineStr">
        <is>
          <t>Muçarela Mozzalet 2 kg</t>
        </is>
      </c>
      <c r="N3915" t="inlineStr">
        <is>
          <t>Padaria</t>
        </is>
      </c>
      <c r="O3915" t="n">
        <v>1</v>
      </c>
      <c r="P3915" t="n">
        <v>1</v>
      </c>
      <c r="Q3915" t="n">
        <v>0</v>
      </c>
    </row>
    <row r="3916">
      <c r="J3916" t="inlineStr">
        <is>
          <t>A</t>
        </is>
      </c>
      <c r="K3916" t="n">
        <v>2025</v>
      </c>
      <c r="L3916" t="n">
        <v>8</v>
      </c>
      <c r="M3916" t="inlineStr">
        <is>
          <t>Muçarela Mozzalet 2 kg</t>
        </is>
      </c>
      <c r="N3916" t="inlineStr">
        <is>
          <t>Rotisserie</t>
        </is>
      </c>
      <c r="O3916" t="n">
        <v>1</v>
      </c>
      <c r="P3916" t="n">
        <v>1</v>
      </c>
      <c r="Q3916" t="n">
        <v>1</v>
      </c>
    </row>
    <row r="3917">
      <c r="J3917" t="inlineStr">
        <is>
          <t>M</t>
        </is>
      </c>
      <c r="K3917" t="n">
        <v>2025</v>
      </c>
      <c r="L3917" t="n">
        <v>8</v>
      </c>
      <c r="M3917" t="inlineStr">
        <is>
          <t>Muçarela Mozzalet 2 kg</t>
        </is>
      </c>
      <c r="N3917" t="inlineStr">
        <is>
          <t>Rotisserie</t>
        </is>
      </c>
      <c r="O3917" t="n">
        <v>1</v>
      </c>
      <c r="P3917" t="n">
        <v>1</v>
      </c>
      <c r="Q3917" t="n">
        <v>0</v>
      </c>
    </row>
    <row r="3918">
      <c r="J3918" t="inlineStr">
        <is>
          <t>A</t>
        </is>
      </c>
      <c r="K3918" t="n">
        <v>2025</v>
      </c>
      <c r="L3918" t="n">
        <v>9</v>
      </c>
      <c r="M3918" t="inlineStr">
        <is>
          <t>Muçarela Mozzalet 2 kg</t>
        </is>
      </c>
      <c r="N3918" t="inlineStr">
        <is>
          <t>Rotisserie</t>
        </is>
      </c>
      <c r="O3918" t="n">
        <v>1</v>
      </c>
      <c r="P3918" t="n">
        <v>3</v>
      </c>
      <c r="Q3918" t="n">
        <v>1</v>
      </c>
    </row>
    <row r="3919">
      <c r="J3919" t="inlineStr">
        <is>
          <t>M</t>
        </is>
      </c>
      <c r="K3919" t="n">
        <v>2025</v>
      </c>
      <c r="L3919" t="n">
        <v>9</v>
      </c>
      <c r="M3919" t="inlineStr">
        <is>
          <t>Muçarela Mozzalet 2 kg</t>
        </is>
      </c>
      <c r="N3919" t="inlineStr">
        <is>
          <t>Rotisserie</t>
        </is>
      </c>
      <c r="O3919" t="n">
        <v>1</v>
      </c>
      <c r="P3919" t="n">
        <v>2</v>
      </c>
      <c r="Q3919" t="n">
        <v>0</v>
      </c>
    </row>
    <row r="3920">
      <c r="J3920" t="inlineStr">
        <is>
          <t>A</t>
        </is>
      </c>
      <c r="K3920" t="n">
        <v>2025</v>
      </c>
      <c r="L3920" t="n">
        <v>10</v>
      </c>
      <c r="M3920" t="inlineStr">
        <is>
          <t>Muçarela Mozzalet 2 kg</t>
        </is>
      </c>
      <c r="N3920" t="inlineStr">
        <is>
          <t>Rotisserie</t>
        </is>
      </c>
      <c r="O3920" t="n">
        <v>2</v>
      </c>
      <c r="P3920" t="n">
        <v>6</v>
      </c>
      <c r="Q3920" t="n">
        <v>1</v>
      </c>
    </row>
    <row r="3921">
      <c r="J3921" t="inlineStr">
        <is>
          <t>M</t>
        </is>
      </c>
      <c r="K3921" t="n">
        <v>2025</v>
      </c>
      <c r="L3921" t="n">
        <v>10</v>
      </c>
      <c r="M3921" t="inlineStr">
        <is>
          <t>Muçarela Mozzalet 2 kg</t>
        </is>
      </c>
      <c r="N3921" t="inlineStr">
        <is>
          <t>Rotisserie</t>
        </is>
      </c>
      <c r="O3921" t="n">
        <v>2</v>
      </c>
      <c r="P3921" t="n">
        <v>3</v>
      </c>
      <c r="Q3921" t="n">
        <v>0</v>
      </c>
    </row>
    <row r="3922">
      <c r="J3922" t="inlineStr">
        <is>
          <t>A</t>
        </is>
      </c>
      <c r="K3922" t="n">
        <v>2025</v>
      </c>
      <c r="L3922" t="n">
        <v>11</v>
      </c>
      <c r="M3922" t="inlineStr">
        <is>
          <t>Muçarela Mozzalet 2 kg</t>
        </is>
      </c>
      <c r="N3922" t="inlineStr">
        <is>
          <t>Rotisserie</t>
        </is>
      </c>
      <c r="O3922" t="n">
        <v>2</v>
      </c>
      <c r="P3922" t="n">
        <v>6</v>
      </c>
      <c r="Q3922" t="n">
        <v>1</v>
      </c>
    </row>
    <row r="3923">
      <c r="J3923" t="inlineStr">
        <is>
          <t>A</t>
        </is>
      </c>
      <c r="K3923" t="n">
        <v>2025</v>
      </c>
      <c r="L3923" t="n">
        <v>12</v>
      </c>
      <c r="M3923" t="inlineStr">
        <is>
          <t>Muçarela Mozzalet 2 kg</t>
        </is>
      </c>
      <c r="N3923" t="inlineStr">
        <is>
          <t>Rotisserie</t>
        </is>
      </c>
      <c r="O3923" t="n">
        <v>2</v>
      </c>
      <c r="P3923" t="n">
        <v>6</v>
      </c>
      <c r="Q3923" t="n">
        <v>1</v>
      </c>
    </row>
    <row r="3924">
      <c r="J3924" t="inlineStr">
        <is>
          <t>A</t>
        </is>
      </c>
      <c r="K3924" t="n">
        <v>2025</v>
      </c>
      <c r="L3924" t="n">
        <v>5</v>
      </c>
      <c r="M3924" t="inlineStr">
        <is>
          <t>Muçarela Mozzalet 2 kg</t>
        </is>
      </c>
      <c r="N3924" t="inlineStr">
        <is>
          <t>Mercearia / Sacolão</t>
        </is>
      </c>
      <c r="O3924" t="n">
        <v>1</v>
      </c>
      <c r="P3924" t="n">
        <v>1</v>
      </c>
      <c r="Q3924" t="n">
        <v>0</v>
      </c>
    </row>
    <row r="3925">
      <c r="J3925" t="inlineStr">
        <is>
          <t>M</t>
        </is>
      </c>
      <c r="K3925" t="n">
        <v>2025</v>
      </c>
      <c r="L3925" t="n">
        <v>5</v>
      </c>
      <c r="M3925" t="inlineStr">
        <is>
          <t>Muçarela Mozzalet 2 kg</t>
        </is>
      </c>
      <c r="N3925" t="inlineStr">
        <is>
          <t>Mercearia / Sacolão</t>
        </is>
      </c>
      <c r="O3925" t="n">
        <v>1</v>
      </c>
      <c r="P3925" t="n">
        <v>1</v>
      </c>
      <c r="Q3925" t="n">
        <v>0</v>
      </c>
    </row>
    <row r="3926">
      <c r="J3926" t="inlineStr">
        <is>
          <t>A</t>
        </is>
      </c>
      <c r="K3926" t="n">
        <v>2025</v>
      </c>
      <c r="L3926" t="n">
        <v>6</v>
      </c>
      <c r="M3926" t="inlineStr">
        <is>
          <t>Muçarela Mozzalet 2 kg</t>
        </is>
      </c>
      <c r="N3926" t="inlineStr">
        <is>
          <t>Mercearia / Sacolão</t>
        </is>
      </c>
      <c r="O3926" t="n">
        <v>1</v>
      </c>
      <c r="P3926" t="n">
        <v>1</v>
      </c>
      <c r="Q3926" t="n">
        <v>0</v>
      </c>
    </row>
    <row r="3927">
      <c r="J3927" t="inlineStr">
        <is>
          <t>A</t>
        </is>
      </c>
      <c r="K3927" t="n">
        <v>2025</v>
      </c>
      <c r="L3927" t="n">
        <v>7</v>
      </c>
      <c r="M3927" t="inlineStr">
        <is>
          <t>Muçarela Mozzalet 2 kg</t>
        </is>
      </c>
      <c r="N3927" t="inlineStr">
        <is>
          <t>Mercearia / Sacolão</t>
        </is>
      </c>
      <c r="O3927" t="n">
        <v>1</v>
      </c>
      <c r="P3927" t="n">
        <v>1</v>
      </c>
      <c r="Q3927" t="n">
        <v>0</v>
      </c>
    </row>
    <row r="3928">
      <c r="J3928" t="inlineStr">
        <is>
          <t>A</t>
        </is>
      </c>
      <c r="K3928" t="n">
        <v>2025</v>
      </c>
      <c r="L3928" t="n">
        <v>8</v>
      </c>
      <c r="M3928" t="inlineStr">
        <is>
          <t>Muçarela Mozzalet 2 kg</t>
        </is>
      </c>
      <c r="N3928" t="inlineStr">
        <is>
          <t>Mercearia / Sacolão</t>
        </is>
      </c>
      <c r="O3928" t="n">
        <v>1</v>
      </c>
      <c r="P3928" t="n">
        <v>2</v>
      </c>
      <c r="Q3928" t="n">
        <v>0</v>
      </c>
    </row>
    <row r="3929">
      <c r="J3929" t="inlineStr">
        <is>
          <t>M</t>
        </is>
      </c>
      <c r="K3929" t="n">
        <v>2025</v>
      </c>
      <c r="L3929" t="n">
        <v>8</v>
      </c>
      <c r="M3929" t="inlineStr">
        <is>
          <t>Muçarela Mozzalet 2 kg</t>
        </is>
      </c>
      <c r="N3929" t="inlineStr">
        <is>
          <t>Mercearia / Sacolão</t>
        </is>
      </c>
      <c r="O3929" t="n">
        <v>1</v>
      </c>
      <c r="P3929" t="n">
        <v>1</v>
      </c>
      <c r="Q3929" t="n">
        <v>0</v>
      </c>
    </row>
    <row r="3930">
      <c r="J3930" t="inlineStr">
        <is>
          <t>A</t>
        </is>
      </c>
      <c r="K3930" t="n">
        <v>2025</v>
      </c>
      <c r="L3930" t="n">
        <v>9</v>
      </c>
      <c r="M3930" t="inlineStr">
        <is>
          <t>Muçarela Mozzalet 2 kg</t>
        </is>
      </c>
      <c r="N3930" t="inlineStr">
        <is>
          <t>Mercearia / Sacolão</t>
        </is>
      </c>
      <c r="O3930" t="n">
        <v>1</v>
      </c>
      <c r="P3930" t="n">
        <v>2</v>
      </c>
      <c r="Q3930" t="n">
        <v>0</v>
      </c>
    </row>
    <row r="3931">
      <c r="J3931" t="inlineStr">
        <is>
          <t>A</t>
        </is>
      </c>
      <c r="K3931" t="n">
        <v>2025</v>
      </c>
      <c r="L3931" t="n">
        <v>10</v>
      </c>
      <c r="M3931" t="inlineStr">
        <is>
          <t>Muçarela Mozzalet 2 kg</t>
        </is>
      </c>
      <c r="N3931" t="inlineStr">
        <is>
          <t>Mercearia / Sacolão</t>
        </is>
      </c>
      <c r="O3931" t="n">
        <v>1</v>
      </c>
      <c r="P3931" t="n">
        <v>2</v>
      </c>
      <c r="Q3931" t="n">
        <v>0</v>
      </c>
    </row>
    <row r="3932">
      <c r="J3932" t="inlineStr">
        <is>
          <t>A</t>
        </is>
      </c>
      <c r="K3932" t="n">
        <v>2025</v>
      </c>
      <c r="L3932" t="n">
        <v>11</v>
      </c>
      <c r="M3932" t="inlineStr">
        <is>
          <t>Muçarela Mozzalet 2 kg</t>
        </is>
      </c>
      <c r="N3932" t="inlineStr">
        <is>
          <t>Mercearia / Sacolão</t>
        </is>
      </c>
      <c r="O3932" t="n">
        <v>1</v>
      </c>
      <c r="P3932" t="n">
        <v>2</v>
      </c>
      <c r="Q3932" t="n">
        <v>0</v>
      </c>
    </row>
    <row r="3933">
      <c r="J3933" t="inlineStr">
        <is>
          <t>A</t>
        </is>
      </c>
      <c r="K3933" t="n">
        <v>2025</v>
      </c>
      <c r="L3933" t="n">
        <v>12</v>
      </c>
      <c r="M3933" t="inlineStr">
        <is>
          <t>Muçarela Mozzalet 2 kg</t>
        </is>
      </c>
      <c r="N3933" t="inlineStr">
        <is>
          <t>Mercearia / Sacolão</t>
        </is>
      </c>
      <c r="O3933" t="n">
        <v>1</v>
      </c>
      <c r="P3933" t="n">
        <v>2</v>
      </c>
      <c r="Q3933" t="n">
        <v>0</v>
      </c>
    </row>
    <row r="3934">
      <c r="J3934" t="inlineStr">
        <is>
          <t>A</t>
        </is>
      </c>
      <c r="K3934" t="n">
        <v>2025</v>
      </c>
      <c r="L3934" t="n">
        <v>3</v>
      </c>
      <c r="M3934" t="inlineStr">
        <is>
          <t>Muçarela Mozzalet 2 kg</t>
        </is>
      </c>
      <c r="N3934" t="inlineStr">
        <is>
          <t>Hamburgueria</t>
        </is>
      </c>
      <c r="O3934" t="n">
        <v>2</v>
      </c>
      <c r="P3934" t="n">
        <v>3</v>
      </c>
      <c r="Q3934" t="n">
        <v>1</v>
      </c>
    </row>
    <row r="3935">
      <c r="J3935" t="inlineStr">
        <is>
          <t>M</t>
        </is>
      </c>
      <c r="K3935" t="n">
        <v>2025</v>
      </c>
      <c r="L3935" t="n">
        <v>3</v>
      </c>
      <c r="M3935" t="inlineStr">
        <is>
          <t>Muçarela Mozzalet 2 kg</t>
        </is>
      </c>
      <c r="N3935" t="inlineStr">
        <is>
          <t>Hamburgueria</t>
        </is>
      </c>
      <c r="O3935" t="n">
        <v>2</v>
      </c>
      <c r="P3935" t="n">
        <v>3</v>
      </c>
      <c r="Q3935" t="n">
        <v>0</v>
      </c>
    </row>
    <row r="3936">
      <c r="J3936" t="inlineStr">
        <is>
          <t>A</t>
        </is>
      </c>
      <c r="K3936" t="n">
        <v>2025</v>
      </c>
      <c r="L3936" t="n">
        <v>4</v>
      </c>
      <c r="M3936" t="inlineStr">
        <is>
          <t>Muçarela Mozzalet 2 kg</t>
        </is>
      </c>
      <c r="N3936" t="inlineStr">
        <is>
          <t>Hamburgueria</t>
        </is>
      </c>
      <c r="O3936" t="n">
        <v>2</v>
      </c>
      <c r="P3936" t="n">
        <v>4</v>
      </c>
      <c r="Q3936" t="n">
        <v>1</v>
      </c>
    </row>
    <row r="3937">
      <c r="J3937" t="inlineStr">
        <is>
          <t>M</t>
        </is>
      </c>
      <c r="K3937" t="n">
        <v>2025</v>
      </c>
      <c r="L3937" t="n">
        <v>4</v>
      </c>
      <c r="M3937" t="inlineStr">
        <is>
          <t>Muçarela Mozzalet 2 kg</t>
        </is>
      </c>
      <c r="N3937" t="inlineStr">
        <is>
          <t>Hamburgueria</t>
        </is>
      </c>
      <c r="O3937" t="n">
        <v>1</v>
      </c>
      <c r="P3937" t="n">
        <v>1</v>
      </c>
      <c r="Q3937" t="n">
        <v>0</v>
      </c>
    </row>
    <row r="3938">
      <c r="J3938" t="inlineStr">
        <is>
          <t>A</t>
        </is>
      </c>
      <c r="K3938" t="n">
        <v>2025</v>
      </c>
      <c r="L3938" t="n">
        <v>5</v>
      </c>
      <c r="M3938" t="inlineStr">
        <is>
          <t>Muçarela Mozzalet 2 kg</t>
        </is>
      </c>
      <c r="N3938" t="inlineStr">
        <is>
          <t>Hamburgueria</t>
        </is>
      </c>
      <c r="O3938" t="n">
        <v>2</v>
      </c>
      <c r="P3938" t="n">
        <v>6</v>
      </c>
      <c r="Q3938" t="n">
        <v>1</v>
      </c>
    </row>
    <row r="3939">
      <c r="J3939" t="inlineStr">
        <is>
          <t>M</t>
        </is>
      </c>
      <c r="K3939" t="n">
        <v>2025</v>
      </c>
      <c r="L3939" t="n">
        <v>5</v>
      </c>
      <c r="M3939" t="inlineStr">
        <is>
          <t>Muçarela Mozzalet 2 kg</t>
        </is>
      </c>
      <c r="N3939" t="inlineStr">
        <is>
          <t>Hamburgueria</t>
        </is>
      </c>
      <c r="O3939" t="n">
        <v>1</v>
      </c>
      <c r="P3939" t="n">
        <v>2</v>
      </c>
      <c r="Q3939" t="n">
        <v>0</v>
      </c>
    </row>
    <row r="3940">
      <c r="J3940" t="inlineStr">
        <is>
          <t>A</t>
        </is>
      </c>
      <c r="K3940" t="n">
        <v>2025</v>
      </c>
      <c r="L3940" t="n">
        <v>6</v>
      </c>
      <c r="M3940" t="inlineStr">
        <is>
          <t>Muçarela Mozzalet 2 kg</t>
        </is>
      </c>
      <c r="N3940" t="inlineStr">
        <is>
          <t>Hamburgueria</t>
        </is>
      </c>
      <c r="O3940" t="n">
        <v>2</v>
      </c>
      <c r="P3940" t="n">
        <v>8</v>
      </c>
      <c r="Q3940" t="n">
        <v>1</v>
      </c>
    </row>
    <row r="3941">
      <c r="J3941" t="inlineStr">
        <is>
          <t>M</t>
        </is>
      </c>
      <c r="K3941" t="n">
        <v>2025</v>
      </c>
      <c r="L3941" t="n">
        <v>6</v>
      </c>
      <c r="M3941" t="inlineStr">
        <is>
          <t>Muçarela Mozzalet 2 kg</t>
        </is>
      </c>
      <c r="N3941" t="inlineStr">
        <is>
          <t>Hamburgueria</t>
        </is>
      </c>
      <c r="O3941" t="n">
        <v>1</v>
      </c>
      <c r="P3941" t="n">
        <v>2</v>
      </c>
      <c r="Q3941" t="n">
        <v>0</v>
      </c>
    </row>
    <row r="3942">
      <c r="J3942" t="inlineStr">
        <is>
          <t>A</t>
        </is>
      </c>
      <c r="K3942" t="n">
        <v>2025</v>
      </c>
      <c r="L3942" t="n">
        <v>7</v>
      </c>
      <c r="M3942" t="inlineStr">
        <is>
          <t>Muçarela Mozzalet 2 kg</t>
        </is>
      </c>
      <c r="N3942" t="inlineStr">
        <is>
          <t>Hamburgueria</t>
        </is>
      </c>
      <c r="O3942" t="n">
        <v>2</v>
      </c>
      <c r="P3942" t="n">
        <v>8</v>
      </c>
      <c r="Q3942" t="n">
        <v>1</v>
      </c>
    </row>
    <row r="3943">
      <c r="J3943" t="inlineStr">
        <is>
          <t>A</t>
        </is>
      </c>
      <c r="K3943" t="n">
        <v>2025</v>
      </c>
      <c r="L3943" t="n">
        <v>8</v>
      </c>
      <c r="M3943" t="inlineStr">
        <is>
          <t>Muçarela Mozzalet 2 kg</t>
        </is>
      </c>
      <c r="N3943" t="inlineStr">
        <is>
          <t>Hamburgueria</t>
        </is>
      </c>
      <c r="O3943" t="n">
        <v>2</v>
      </c>
      <c r="P3943" t="n">
        <v>8</v>
      </c>
      <c r="Q3943" t="n">
        <v>1</v>
      </c>
    </row>
    <row r="3944">
      <c r="J3944" t="inlineStr">
        <is>
          <t>A</t>
        </is>
      </c>
      <c r="K3944" t="n">
        <v>2025</v>
      </c>
      <c r="L3944" t="n">
        <v>9</v>
      </c>
      <c r="M3944" t="inlineStr">
        <is>
          <t>Muçarela Mozzalet 2 kg</t>
        </is>
      </c>
      <c r="N3944" t="inlineStr">
        <is>
          <t>Hamburgueria</t>
        </is>
      </c>
      <c r="O3944" t="n">
        <v>2</v>
      </c>
      <c r="P3944" t="n">
        <v>8</v>
      </c>
      <c r="Q3944" t="n">
        <v>1</v>
      </c>
    </row>
    <row r="3945">
      <c r="J3945" t="inlineStr">
        <is>
          <t>A</t>
        </is>
      </c>
      <c r="K3945" t="n">
        <v>2025</v>
      </c>
      <c r="L3945" t="n">
        <v>10</v>
      </c>
      <c r="M3945" t="inlineStr">
        <is>
          <t>Muçarela Mozzalet 2 kg</t>
        </is>
      </c>
      <c r="N3945" t="inlineStr">
        <is>
          <t>Hamburgueria</t>
        </is>
      </c>
      <c r="O3945" t="n">
        <v>2</v>
      </c>
      <c r="P3945" t="n">
        <v>8</v>
      </c>
      <c r="Q3945" t="n">
        <v>1</v>
      </c>
    </row>
    <row r="3946">
      <c r="J3946" t="inlineStr">
        <is>
          <t>A</t>
        </is>
      </c>
      <c r="K3946" t="n">
        <v>2025</v>
      </c>
      <c r="L3946" t="n">
        <v>11</v>
      </c>
      <c r="M3946" t="inlineStr">
        <is>
          <t>Muçarela Mozzalet 2 kg</t>
        </is>
      </c>
      <c r="N3946" t="inlineStr">
        <is>
          <t>Hamburgueria</t>
        </is>
      </c>
      <c r="O3946" t="n">
        <v>2</v>
      </c>
      <c r="P3946" t="n">
        <v>8</v>
      </c>
      <c r="Q3946" t="n">
        <v>1</v>
      </c>
    </row>
    <row r="3947">
      <c r="J3947" t="inlineStr">
        <is>
          <t>A</t>
        </is>
      </c>
      <c r="K3947" t="n">
        <v>2025</v>
      </c>
      <c r="L3947" t="n">
        <v>12</v>
      </c>
      <c r="M3947" t="inlineStr">
        <is>
          <t>Muçarela Mozzalet 2 kg</t>
        </is>
      </c>
      <c r="N3947" t="inlineStr">
        <is>
          <t>Hamburgueria</t>
        </is>
      </c>
      <c r="O3947" t="n">
        <v>2</v>
      </c>
      <c r="P3947" t="n">
        <v>8</v>
      </c>
      <c r="Q3947" t="n">
        <v>1</v>
      </c>
    </row>
    <row r="3948">
      <c r="J3948" t="inlineStr">
        <is>
          <t>A</t>
        </is>
      </c>
      <c r="K3948" t="n">
        <v>2025</v>
      </c>
      <c r="L3948" t="n">
        <v>5</v>
      </c>
      <c r="M3948" t="inlineStr">
        <is>
          <t>Muçarela Mozzalet 2 kg</t>
        </is>
      </c>
      <c r="N3948" t="inlineStr">
        <is>
          <t>Laticínios / Distribuidor</t>
        </is>
      </c>
      <c r="O3948" t="n">
        <v>1</v>
      </c>
      <c r="P3948" t="n">
        <v>1</v>
      </c>
      <c r="Q3948" t="n">
        <v>1</v>
      </c>
    </row>
    <row r="3949">
      <c r="J3949" t="inlineStr">
        <is>
          <t>M</t>
        </is>
      </c>
      <c r="K3949" t="n">
        <v>2025</v>
      </c>
      <c r="L3949" t="n">
        <v>5</v>
      </c>
      <c r="M3949" t="inlineStr">
        <is>
          <t>Muçarela Mozzalet 2 kg</t>
        </is>
      </c>
      <c r="N3949" t="inlineStr">
        <is>
          <t>Laticínios / Distribuidor</t>
        </is>
      </c>
      <c r="O3949" t="n">
        <v>1</v>
      </c>
      <c r="P3949" t="n">
        <v>1</v>
      </c>
      <c r="Q3949" t="n">
        <v>0</v>
      </c>
    </row>
    <row r="3950">
      <c r="J3950" t="inlineStr">
        <is>
          <t>A</t>
        </is>
      </c>
      <c r="K3950" t="n">
        <v>2025</v>
      </c>
      <c r="L3950" t="n">
        <v>6</v>
      </c>
      <c r="M3950" t="inlineStr">
        <is>
          <t>Muçarela Mozzalet 2 kg</t>
        </is>
      </c>
      <c r="N3950" t="inlineStr">
        <is>
          <t>Laticínios / Distribuidor</t>
        </is>
      </c>
      <c r="O3950" t="n">
        <v>1</v>
      </c>
      <c r="P3950" t="n">
        <v>1</v>
      </c>
      <c r="Q3950" t="n">
        <v>1</v>
      </c>
    </row>
    <row r="3951">
      <c r="J3951" t="inlineStr">
        <is>
          <t>A</t>
        </is>
      </c>
      <c r="K3951" t="n">
        <v>2025</v>
      </c>
      <c r="L3951" t="n">
        <v>7</v>
      </c>
      <c r="M3951" t="inlineStr">
        <is>
          <t>Muçarela Mozzalet 2 kg</t>
        </is>
      </c>
      <c r="N3951" t="inlineStr">
        <is>
          <t>Laticínios / Distribuidor</t>
        </is>
      </c>
      <c r="O3951" t="n">
        <v>2</v>
      </c>
      <c r="P3951" t="n">
        <v>2</v>
      </c>
      <c r="Q3951" t="n">
        <v>1</v>
      </c>
    </row>
    <row r="3952">
      <c r="J3952" t="inlineStr">
        <is>
          <t>M</t>
        </is>
      </c>
      <c r="K3952" t="n">
        <v>2025</v>
      </c>
      <c r="L3952" t="n">
        <v>7</v>
      </c>
      <c r="M3952" t="inlineStr">
        <is>
          <t>Muçarela Mozzalet 2 kg</t>
        </is>
      </c>
      <c r="N3952" t="inlineStr">
        <is>
          <t>Laticínios / Distribuidor</t>
        </is>
      </c>
      <c r="O3952" t="n">
        <v>1</v>
      </c>
      <c r="P3952" t="n">
        <v>1</v>
      </c>
      <c r="Q3952" t="n">
        <v>0</v>
      </c>
    </row>
    <row r="3953">
      <c r="J3953" t="inlineStr">
        <is>
          <t>A</t>
        </is>
      </c>
      <c r="K3953" t="n">
        <v>2025</v>
      </c>
      <c r="L3953" t="n">
        <v>8</v>
      </c>
      <c r="M3953" t="inlineStr">
        <is>
          <t>Muçarela Mozzalet 2 kg</t>
        </is>
      </c>
      <c r="N3953" t="inlineStr">
        <is>
          <t>Laticínios / Distribuidor</t>
        </is>
      </c>
      <c r="O3953" t="n">
        <v>2</v>
      </c>
      <c r="P3953" t="n">
        <v>2</v>
      </c>
      <c r="Q3953" t="n">
        <v>1</v>
      </c>
    </row>
    <row r="3954">
      <c r="J3954" t="inlineStr">
        <is>
          <t>A</t>
        </is>
      </c>
      <c r="K3954" t="n">
        <v>2025</v>
      </c>
      <c r="L3954" t="n">
        <v>9</v>
      </c>
      <c r="M3954" t="inlineStr">
        <is>
          <t>Muçarela Mozzalet 2 kg</t>
        </is>
      </c>
      <c r="N3954" t="inlineStr">
        <is>
          <t>Laticínios / Distribuidor</t>
        </is>
      </c>
      <c r="O3954" t="n">
        <v>3</v>
      </c>
      <c r="P3954" t="n">
        <v>3</v>
      </c>
      <c r="Q3954" t="n">
        <v>2</v>
      </c>
    </row>
    <row r="3955">
      <c r="J3955" t="inlineStr">
        <is>
          <t>M</t>
        </is>
      </c>
      <c r="K3955" t="n">
        <v>2025</v>
      </c>
      <c r="L3955" t="n">
        <v>9</v>
      </c>
      <c r="M3955" t="inlineStr">
        <is>
          <t>Muçarela Mozzalet 2 kg</t>
        </is>
      </c>
      <c r="N3955" t="inlineStr">
        <is>
          <t>Laticínios / Distribuidor</t>
        </is>
      </c>
      <c r="O3955" t="n">
        <v>1</v>
      </c>
      <c r="P3955" t="n">
        <v>1</v>
      </c>
      <c r="Q3955" t="n">
        <v>0</v>
      </c>
    </row>
    <row r="3956">
      <c r="J3956" t="inlineStr">
        <is>
          <t>A</t>
        </is>
      </c>
      <c r="K3956" t="n">
        <v>2025</v>
      </c>
      <c r="L3956" t="n">
        <v>10</v>
      </c>
      <c r="M3956" t="inlineStr">
        <is>
          <t>Muçarela Mozzalet 2 kg</t>
        </is>
      </c>
      <c r="N3956" t="inlineStr">
        <is>
          <t>Laticínios / Distribuidor</t>
        </is>
      </c>
      <c r="O3956" t="n">
        <v>3</v>
      </c>
      <c r="P3956" t="n">
        <v>3</v>
      </c>
      <c r="Q3956" t="n">
        <v>2</v>
      </c>
    </row>
    <row r="3957">
      <c r="J3957" t="inlineStr">
        <is>
          <t>A</t>
        </is>
      </c>
      <c r="K3957" t="n">
        <v>2025</v>
      </c>
      <c r="L3957" t="n">
        <v>11</v>
      </c>
      <c r="M3957" t="inlineStr">
        <is>
          <t>Muçarela Mozzalet 2 kg</t>
        </is>
      </c>
      <c r="N3957" t="inlineStr">
        <is>
          <t>Laticínios / Distribuidor</t>
        </is>
      </c>
      <c r="O3957" t="n">
        <v>3</v>
      </c>
      <c r="P3957" t="n">
        <v>3</v>
      </c>
      <c r="Q3957" t="n">
        <v>2</v>
      </c>
    </row>
    <row r="3958">
      <c r="J3958" t="inlineStr">
        <is>
          <t>A</t>
        </is>
      </c>
      <c r="K3958" t="n">
        <v>2025</v>
      </c>
      <c r="L3958" t="n">
        <v>12</v>
      </c>
      <c r="M3958" t="inlineStr">
        <is>
          <t>Muçarela Mozzalet 2 kg</t>
        </is>
      </c>
      <c r="N3958" t="inlineStr">
        <is>
          <t>Laticínios / Distribuidor</t>
        </is>
      </c>
      <c r="O3958" t="n">
        <v>3</v>
      </c>
      <c r="P3958" t="n">
        <v>3</v>
      </c>
      <c r="Q3958" t="n">
        <v>2</v>
      </c>
    </row>
    <row r="3959">
      <c r="J3959" t="inlineStr">
        <is>
          <t>A</t>
        </is>
      </c>
      <c r="K3959" t="n">
        <v>2025</v>
      </c>
      <c r="L3959" t="n">
        <v>1</v>
      </c>
      <c r="M3959" t="inlineStr">
        <is>
          <t>Muçarela Mozzalet 2 kg</t>
        </is>
      </c>
      <c r="N3959" t="inlineStr">
        <is>
          <t>Cozinha Oriental</t>
        </is>
      </c>
      <c r="O3959" t="n">
        <v>1</v>
      </c>
      <c r="P3959" t="n">
        <v>1</v>
      </c>
      <c r="Q3959" t="n">
        <v>0</v>
      </c>
    </row>
    <row r="3960">
      <c r="J3960" t="inlineStr">
        <is>
          <t>M</t>
        </is>
      </c>
      <c r="K3960" t="n">
        <v>2025</v>
      </c>
      <c r="L3960" t="n">
        <v>1</v>
      </c>
      <c r="M3960" t="inlineStr">
        <is>
          <t>Muçarela Mozzalet 2 kg</t>
        </is>
      </c>
      <c r="N3960" t="inlineStr">
        <is>
          <t>Cozinha Oriental</t>
        </is>
      </c>
      <c r="O3960" t="n">
        <v>1</v>
      </c>
      <c r="P3960" t="n">
        <v>1</v>
      </c>
      <c r="Q3960" t="n">
        <v>0</v>
      </c>
    </row>
    <row r="3961">
      <c r="J3961" t="inlineStr">
        <is>
          <t>A</t>
        </is>
      </c>
      <c r="K3961" t="n">
        <v>2025</v>
      </c>
      <c r="L3961" t="n">
        <v>2</v>
      </c>
      <c r="M3961" t="inlineStr">
        <is>
          <t>Muçarela Mozzalet 2 kg</t>
        </is>
      </c>
      <c r="N3961" t="inlineStr">
        <is>
          <t>Cozinha Oriental</t>
        </is>
      </c>
      <c r="O3961" t="n">
        <v>2</v>
      </c>
      <c r="P3961" t="n">
        <v>2</v>
      </c>
      <c r="Q3961" t="n">
        <v>1</v>
      </c>
    </row>
    <row r="3962">
      <c r="J3962" t="inlineStr">
        <is>
          <t>M</t>
        </is>
      </c>
      <c r="K3962" t="n">
        <v>2025</v>
      </c>
      <c r="L3962" t="n">
        <v>2</v>
      </c>
      <c r="M3962" t="inlineStr">
        <is>
          <t>Muçarela Mozzalet 2 kg</t>
        </is>
      </c>
      <c r="N3962" t="inlineStr">
        <is>
          <t>Cozinha Oriental</t>
        </is>
      </c>
      <c r="O3962" t="n">
        <v>1</v>
      </c>
      <c r="P3962" t="n">
        <v>1</v>
      </c>
      <c r="Q3962" t="n">
        <v>0</v>
      </c>
    </row>
    <row r="3963">
      <c r="J3963" t="inlineStr">
        <is>
          <t>A</t>
        </is>
      </c>
      <c r="K3963" t="n">
        <v>2025</v>
      </c>
      <c r="L3963" t="n">
        <v>3</v>
      </c>
      <c r="M3963" t="inlineStr">
        <is>
          <t>Muçarela Mozzalet 2 kg</t>
        </is>
      </c>
      <c r="N3963" t="inlineStr">
        <is>
          <t>Cozinha Oriental</t>
        </is>
      </c>
      <c r="O3963" t="n">
        <v>2</v>
      </c>
      <c r="P3963" t="n">
        <v>2</v>
      </c>
      <c r="Q3963" t="n">
        <v>1</v>
      </c>
    </row>
    <row r="3964">
      <c r="J3964" t="inlineStr">
        <is>
          <t>A</t>
        </is>
      </c>
      <c r="K3964" t="n">
        <v>2025</v>
      </c>
      <c r="L3964" t="n">
        <v>4</v>
      </c>
      <c r="M3964" t="inlineStr">
        <is>
          <t>Muçarela Mozzalet 2 kg</t>
        </is>
      </c>
      <c r="N3964" t="inlineStr">
        <is>
          <t>Cozinha Oriental</t>
        </is>
      </c>
      <c r="O3964" t="n">
        <v>3</v>
      </c>
      <c r="P3964" t="n">
        <v>4</v>
      </c>
      <c r="Q3964" t="n">
        <v>2</v>
      </c>
    </row>
    <row r="3965">
      <c r="J3965" t="inlineStr">
        <is>
          <t>M</t>
        </is>
      </c>
      <c r="K3965" t="n">
        <v>2025</v>
      </c>
      <c r="L3965" t="n">
        <v>4</v>
      </c>
      <c r="M3965" t="inlineStr">
        <is>
          <t>Muçarela Mozzalet 2 kg</t>
        </is>
      </c>
      <c r="N3965" t="inlineStr">
        <is>
          <t>Cozinha Oriental</t>
        </is>
      </c>
      <c r="O3965" t="n">
        <v>2</v>
      </c>
      <c r="P3965" t="n">
        <v>2</v>
      </c>
      <c r="Q3965" t="n">
        <v>0</v>
      </c>
    </row>
    <row r="3966">
      <c r="J3966" t="inlineStr">
        <is>
          <t>A</t>
        </is>
      </c>
      <c r="K3966" t="n">
        <v>2025</v>
      </c>
      <c r="L3966" t="n">
        <v>5</v>
      </c>
      <c r="M3966" t="inlineStr">
        <is>
          <t>Muçarela Mozzalet 2 kg</t>
        </is>
      </c>
      <c r="N3966" t="inlineStr">
        <is>
          <t>Cozinha Oriental</t>
        </is>
      </c>
      <c r="O3966" t="n">
        <v>3</v>
      </c>
      <c r="P3966" t="n">
        <v>6</v>
      </c>
      <c r="Q3966" t="n">
        <v>2</v>
      </c>
    </row>
    <row r="3967">
      <c r="J3967" t="inlineStr">
        <is>
          <t>M</t>
        </is>
      </c>
      <c r="K3967" t="n">
        <v>2025</v>
      </c>
      <c r="L3967" t="n">
        <v>5</v>
      </c>
      <c r="M3967" t="inlineStr">
        <is>
          <t>Muçarela Mozzalet 2 kg</t>
        </is>
      </c>
      <c r="N3967" t="inlineStr">
        <is>
          <t>Cozinha Oriental</t>
        </is>
      </c>
      <c r="O3967" t="n">
        <v>2</v>
      </c>
      <c r="P3967" t="n">
        <v>2</v>
      </c>
      <c r="Q3967" t="n">
        <v>0</v>
      </c>
    </row>
    <row r="3968">
      <c r="J3968" t="inlineStr">
        <is>
          <t>A</t>
        </is>
      </c>
      <c r="K3968" t="n">
        <v>2025</v>
      </c>
      <c r="L3968" t="n">
        <v>6</v>
      </c>
      <c r="M3968" t="inlineStr">
        <is>
          <t>Muçarela Mozzalet 2 kg</t>
        </is>
      </c>
      <c r="N3968" t="inlineStr">
        <is>
          <t>Cozinha Oriental</t>
        </is>
      </c>
      <c r="O3968" t="n">
        <v>4</v>
      </c>
      <c r="P3968" t="n">
        <v>9</v>
      </c>
      <c r="Q3968" t="n">
        <v>2</v>
      </c>
    </row>
    <row r="3969">
      <c r="J3969" t="inlineStr">
        <is>
          <t>M</t>
        </is>
      </c>
      <c r="K3969" t="n">
        <v>2025</v>
      </c>
      <c r="L3969" t="n">
        <v>6</v>
      </c>
      <c r="M3969" t="inlineStr">
        <is>
          <t>Muçarela Mozzalet 2 kg</t>
        </is>
      </c>
      <c r="N3969" t="inlineStr">
        <is>
          <t>Cozinha Oriental</t>
        </is>
      </c>
      <c r="O3969" t="n">
        <v>3</v>
      </c>
      <c r="P3969" t="n">
        <v>3</v>
      </c>
      <c r="Q3969" t="n">
        <v>0</v>
      </c>
    </row>
    <row r="3970">
      <c r="J3970" t="inlineStr">
        <is>
          <t>A</t>
        </is>
      </c>
      <c r="K3970" t="n">
        <v>2025</v>
      </c>
      <c r="L3970" t="n">
        <v>7</v>
      </c>
      <c r="M3970" t="inlineStr">
        <is>
          <t>Muçarela Mozzalet 2 kg</t>
        </is>
      </c>
      <c r="N3970" t="inlineStr">
        <is>
          <t>Cozinha Oriental</t>
        </is>
      </c>
      <c r="O3970" t="n">
        <v>4</v>
      </c>
      <c r="P3970" t="n">
        <v>10</v>
      </c>
      <c r="Q3970" t="n">
        <v>2</v>
      </c>
    </row>
    <row r="3971">
      <c r="J3971" t="inlineStr">
        <is>
          <t>M</t>
        </is>
      </c>
      <c r="K3971" t="n">
        <v>2025</v>
      </c>
      <c r="L3971" t="n">
        <v>7</v>
      </c>
      <c r="M3971" t="inlineStr">
        <is>
          <t>Muçarela Mozzalet 2 kg</t>
        </is>
      </c>
      <c r="N3971" t="inlineStr">
        <is>
          <t>Cozinha Oriental</t>
        </is>
      </c>
      <c r="O3971" t="n">
        <v>1</v>
      </c>
      <c r="P3971" t="n">
        <v>1</v>
      </c>
      <c r="Q3971" t="n">
        <v>0</v>
      </c>
    </row>
    <row r="3972">
      <c r="J3972" t="inlineStr">
        <is>
          <t>A</t>
        </is>
      </c>
      <c r="K3972" t="n">
        <v>2025</v>
      </c>
      <c r="L3972" t="n">
        <v>8</v>
      </c>
      <c r="M3972" t="inlineStr">
        <is>
          <t>Muçarela Mozzalet 2 kg</t>
        </is>
      </c>
      <c r="N3972" t="inlineStr">
        <is>
          <t>Cozinha Oriental</t>
        </is>
      </c>
      <c r="O3972" t="n">
        <v>4</v>
      </c>
      <c r="P3972" t="n">
        <v>11</v>
      </c>
      <c r="Q3972" t="n">
        <v>2</v>
      </c>
    </row>
    <row r="3973">
      <c r="J3973" t="inlineStr">
        <is>
          <t>M</t>
        </is>
      </c>
      <c r="K3973" t="n">
        <v>2025</v>
      </c>
      <c r="L3973" t="n">
        <v>8</v>
      </c>
      <c r="M3973" t="inlineStr">
        <is>
          <t>Muçarela Mozzalet 2 kg</t>
        </is>
      </c>
      <c r="N3973" t="inlineStr">
        <is>
          <t>Cozinha Oriental</t>
        </is>
      </c>
      <c r="O3973" t="n">
        <v>1</v>
      </c>
      <c r="P3973" t="n">
        <v>1</v>
      </c>
      <c r="Q3973" t="n">
        <v>0</v>
      </c>
    </row>
    <row r="3974">
      <c r="J3974" t="inlineStr">
        <is>
          <t>A</t>
        </is>
      </c>
      <c r="K3974" t="n">
        <v>2025</v>
      </c>
      <c r="L3974" t="n">
        <v>9</v>
      </c>
      <c r="M3974" t="inlineStr">
        <is>
          <t>Muçarela Mozzalet 2 kg</t>
        </is>
      </c>
      <c r="N3974" t="inlineStr">
        <is>
          <t>Cozinha Oriental</t>
        </is>
      </c>
      <c r="O3974" t="n">
        <v>4</v>
      </c>
      <c r="P3974" t="n">
        <v>11</v>
      </c>
      <c r="Q3974" t="n">
        <v>2</v>
      </c>
    </row>
    <row r="3975">
      <c r="J3975" t="inlineStr">
        <is>
          <t>A</t>
        </is>
      </c>
      <c r="K3975" t="n">
        <v>2025</v>
      </c>
      <c r="L3975" t="n">
        <v>10</v>
      </c>
      <c r="M3975" t="inlineStr">
        <is>
          <t>Muçarela Mozzalet 2 kg</t>
        </is>
      </c>
      <c r="N3975" t="inlineStr">
        <is>
          <t>Cozinha Oriental</t>
        </is>
      </c>
      <c r="O3975" t="n">
        <v>4</v>
      </c>
      <c r="P3975" t="n">
        <v>11</v>
      </c>
      <c r="Q3975" t="n">
        <v>2</v>
      </c>
    </row>
    <row r="3976">
      <c r="J3976" t="inlineStr">
        <is>
          <t>A</t>
        </is>
      </c>
      <c r="K3976" t="n">
        <v>2025</v>
      </c>
      <c r="L3976" t="n">
        <v>11</v>
      </c>
      <c r="M3976" t="inlineStr">
        <is>
          <t>Muçarela Mozzalet 2 kg</t>
        </is>
      </c>
      <c r="N3976" t="inlineStr">
        <is>
          <t>Cozinha Oriental</t>
        </is>
      </c>
      <c r="O3976" t="n">
        <v>4</v>
      </c>
      <c r="P3976" t="n">
        <v>11</v>
      </c>
      <c r="Q3976" t="n">
        <v>2</v>
      </c>
    </row>
    <row r="3977">
      <c r="J3977" t="inlineStr">
        <is>
          <t>A</t>
        </is>
      </c>
      <c r="K3977" t="n">
        <v>2025</v>
      </c>
      <c r="L3977" t="n">
        <v>12</v>
      </c>
      <c r="M3977" t="inlineStr">
        <is>
          <t>Muçarela Mozzalet 2 kg</t>
        </is>
      </c>
      <c r="N3977" t="inlineStr">
        <is>
          <t>Cozinha Oriental</t>
        </is>
      </c>
      <c r="O3977" t="n">
        <v>4</v>
      </c>
      <c r="P3977" t="n">
        <v>11</v>
      </c>
      <c r="Q3977" t="n">
        <v>2</v>
      </c>
    </row>
    <row r="3978">
      <c r="J3978" t="inlineStr">
        <is>
          <t>A</t>
        </is>
      </c>
      <c r="K3978" t="n">
        <v>2025</v>
      </c>
      <c r="L3978" t="n">
        <v>5</v>
      </c>
      <c r="M3978" t="inlineStr">
        <is>
          <t>Muçarela Mozzalet 2 kg</t>
        </is>
      </c>
      <c r="N3978" t="inlineStr">
        <is>
          <t>Bar / Chopperia</t>
        </is>
      </c>
      <c r="O3978" t="n">
        <v>1</v>
      </c>
      <c r="P3978" t="n">
        <v>1</v>
      </c>
      <c r="Q3978" t="n">
        <v>0</v>
      </c>
    </row>
    <row r="3979">
      <c r="J3979" t="inlineStr">
        <is>
          <t>M</t>
        </is>
      </c>
      <c r="K3979" t="n">
        <v>2025</v>
      </c>
      <c r="L3979" t="n">
        <v>5</v>
      </c>
      <c r="M3979" t="inlineStr">
        <is>
          <t>Muçarela Mozzalet 2 kg</t>
        </is>
      </c>
      <c r="N3979" t="inlineStr">
        <is>
          <t>Bar / Chopperia</t>
        </is>
      </c>
      <c r="O3979" t="n">
        <v>1</v>
      </c>
      <c r="P3979" t="n">
        <v>1</v>
      </c>
      <c r="Q3979" t="n">
        <v>0</v>
      </c>
    </row>
    <row r="3980">
      <c r="J3980" t="inlineStr">
        <is>
          <t>A</t>
        </is>
      </c>
      <c r="K3980" t="n">
        <v>2025</v>
      </c>
      <c r="L3980" t="n">
        <v>6</v>
      </c>
      <c r="M3980" t="inlineStr">
        <is>
          <t>Muçarela Mozzalet 2 kg</t>
        </is>
      </c>
      <c r="N3980" t="inlineStr">
        <is>
          <t>Bar / Chopperia</t>
        </is>
      </c>
      <c r="O3980" t="n">
        <v>1</v>
      </c>
      <c r="P3980" t="n">
        <v>1</v>
      </c>
      <c r="Q3980" t="n">
        <v>0</v>
      </c>
    </row>
    <row r="3981">
      <c r="J3981" t="inlineStr">
        <is>
          <t>A</t>
        </is>
      </c>
      <c r="K3981" t="n">
        <v>2025</v>
      </c>
      <c r="L3981" t="n">
        <v>7</v>
      </c>
      <c r="M3981" t="inlineStr">
        <is>
          <t>Muçarela Mozzalet 2 kg</t>
        </is>
      </c>
      <c r="N3981" t="inlineStr">
        <is>
          <t>Bar / Chopperia</t>
        </is>
      </c>
      <c r="O3981" t="n">
        <v>1</v>
      </c>
      <c r="P3981" t="n">
        <v>1</v>
      </c>
      <c r="Q3981" t="n">
        <v>0</v>
      </c>
    </row>
    <row r="3982">
      <c r="J3982" t="inlineStr">
        <is>
          <t>A</t>
        </is>
      </c>
      <c r="K3982" t="n">
        <v>2025</v>
      </c>
      <c r="L3982" t="n">
        <v>8</v>
      </c>
      <c r="M3982" t="inlineStr">
        <is>
          <t>Muçarela Mozzalet 2 kg</t>
        </is>
      </c>
      <c r="N3982" t="inlineStr">
        <is>
          <t>Bar / Chopperia</t>
        </is>
      </c>
      <c r="O3982" t="n">
        <v>1</v>
      </c>
      <c r="P3982" t="n">
        <v>1</v>
      </c>
      <c r="Q3982" t="n">
        <v>0</v>
      </c>
    </row>
    <row r="3983">
      <c r="J3983" t="inlineStr">
        <is>
          <t>A</t>
        </is>
      </c>
      <c r="K3983" t="n">
        <v>2025</v>
      </c>
      <c r="L3983" t="n">
        <v>9</v>
      </c>
      <c r="M3983" t="inlineStr">
        <is>
          <t>Muçarela Mozzalet 2 kg</t>
        </is>
      </c>
      <c r="N3983" t="inlineStr">
        <is>
          <t>Bar / Chopperia</t>
        </is>
      </c>
      <c r="O3983" t="n">
        <v>1</v>
      </c>
      <c r="P3983" t="n">
        <v>1</v>
      </c>
      <c r="Q3983" t="n">
        <v>0</v>
      </c>
    </row>
    <row r="3984">
      <c r="J3984" t="inlineStr">
        <is>
          <t>A</t>
        </is>
      </c>
      <c r="K3984" t="n">
        <v>2025</v>
      </c>
      <c r="L3984" t="n">
        <v>10</v>
      </c>
      <c r="M3984" t="inlineStr">
        <is>
          <t>Muçarela Mozzalet 2 kg</t>
        </is>
      </c>
      <c r="N3984" t="inlineStr">
        <is>
          <t>Bar / Chopperia</t>
        </is>
      </c>
      <c r="O3984" t="n">
        <v>1</v>
      </c>
      <c r="P3984" t="n">
        <v>1</v>
      </c>
      <c r="Q3984" t="n">
        <v>0</v>
      </c>
    </row>
    <row r="3985">
      <c r="J3985" t="inlineStr">
        <is>
          <t>A</t>
        </is>
      </c>
      <c r="K3985" t="n">
        <v>2025</v>
      </c>
      <c r="L3985" t="n">
        <v>11</v>
      </c>
      <c r="M3985" t="inlineStr">
        <is>
          <t>Muçarela Mozzalet 2 kg</t>
        </is>
      </c>
      <c r="N3985" t="inlineStr">
        <is>
          <t>Bar / Chopperia</t>
        </is>
      </c>
      <c r="O3985" t="n">
        <v>1</v>
      </c>
      <c r="P3985" t="n">
        <v>1</v>
      </c>
      <c r="Q3985" t="n">
        <v>0</v>
      </c>
    </row>
    <row r="3986">
      <c r="J3986" t="inlineStr">
        <is>
          <t>A</t>
        </is>
      </c>
      <c r="K3986" t="n">
        <v>2025</v>
      </c>
      <c r="L3986" t="n">
        <v>12</v>
      </c>
      <c r="M3986" t="inlineStr">
        <is>
          <t>Muçarela Mozzalet 2 kg</t>
        </is>
      </c>
      <c r="N3986" t="inlineStr">
        <is>
          <t>Bar / Chopperia</t>
        </is>
      </c>
      <c r="O3986" t="n">
        <v>1</v>
      </c>
      <c r="P3986" t="n">
        <v>1</v>
      </c>
      <c r="Q3986" t="n">
        <v>0</v>
      </c>
    </row>
    <row r="3987">
      <c r="J3987" t="inlineStr">
        <is>
          <t>A</t>
        </is>
      </c>
      <c r="K3987" t="n">
        <v>2025</v>
      </c>
      <c r="L3987" t="n">
        <v>5</v>
      </c>
      <c r="M3987" t="inlineStr">
        <is>
          <t>Muçarela Mozzalet 2 kg</t>
        </is>
      </c>
      <c r="N3987" t="inlineStr">
        <is>
          <t>Confeitaria</t>
        </is>
      </c>
      <c r="O3987" t="n">
        <v>1</v>
      </c>
      <c r="P3987" t="n">
        <v>1</v>
      </c>
      <c r="Q3987" t="n">
        <v>0</v>
      </c>
    </row>
    <row r="3988">
      <c r="J3988" t="inlineStr">
        <is>
          <t>M</t>
        </is>
      </c>
      <c r="K3988" t="n">
        <v>2025</v>
      </c>
      <c r="L3988" t="n">
        <v>5</v>
      </c>
      <c r="M3988" t="inlineStr">
        <is>
          <t>Muçarela Mozzalet 2 kg</t>
        </is>
      </c>
      <c r="N3988" t="inlineStr">
        <is>
          <t>Confeitaria</t>
        </is>
      </c>
      <c r="O3988" t="n">
        <v>1</v>
      </c>
      <c r="P3988" t="n">
        <v>1</v>
      </c>
      <c r="Q3988" t="n">
        <v>0</v>
      </c>
    </row>
    <row r="3989">
      <c r="J3989" t="inlineStr">
        <is>
          <t>A</t>
        </is>
      </c>
      <c r="K3989" t="n">
        <v>2025</v>
      </c>
      <c r="L3989" t="n">
        <v>6</v>
      </c>
      <c r="M3989" t="inlineStr">
        <is>
          <t>Muçarela Mozzalet 2 kg</t>
        </is>
      </c>
      <c r="N3989" t="inlineStr">
        <is>
          <t>Confeitaria</t>
        </is>
      </c>
      <c r="O3989" t="n">
        <v>1</v>
      </c>
      <c r="P3989" t="n">
        <v>2</v>
      </c>
      <c r="Q3989" t="n">
        <v>0</v>
      </c>
    </row>
    <row r="3990">
      <c r="J3990" t="inlineStr">
        <is>
          <t>M</t>
        </is>
      </c>
      <c r="K3990" t="n">
        <v>2025</v>
      </c>
      <c r="L3990" t="n">
        <v>6</v>
      </c>
      <c r="M3990" t="inlineStr">
        <is>
          <t>Muçarela Mozzalet 2 kg</t>
        </is>
      </c>
      <c r="N3990" t="inlineStr">
        <is>
          <t>Confeitaria</t>
        </is>
      </c>
      <c r="O3990" t="n">
        <v>1</v>
      </c>
      <c r="P3990" t="n">
        <v>1</v>
      </c>
      <c r="Q3990" t="n">
        <v>0</v>
      </c>
    </row>
    <row r="3991">
      <c r="J3991" t="inlineStr">
        <is>
          <t>A</t>
        </is>
      </c>
      <c r="K3991" t="n">
        <v>2025</v>
      </c>
      <c r="L3991" t="n">
        <v>7</v>
      </c>
      <c r="M3991" t="inlineStr">
        <is>
          <t>Muçarela Mozzalet 2 kg</t>
        </is>
      </c>
      <c r="N3991" t="inlineStr">
        <is>
          <t>Confeitaria</t>
        </is>
      </c>
      <c r="O3991" t="n">
        <v>1</v>
      </c>
      <c r="P3991" t="n">
        <v>3</v>
      </c>
      <c r="Q3991" t="n">
        <v>0</v>
      </c>
    </row>
    <row r="3992">
      <c r="J3992" t="inlineStr">
        <is>
          <t>M</t>
        </is>
      </c>
      <c r="K3992" t="n">
        <v>2025</v>
      </c>
      <c r="L3992" t="n">
        <v>7</v>
      </c>
      <c r="M3992" t="inlineStr">
        <is>
          <t>Muçarela Mozzalet 2 kg</t>
        </is>
      </c>
      <c r="N3992" t="inlineStr">
        <is>
          <t>Confeitaria</t>
        </is>
      </c>
      <c r="O3992" t="n">
        <v>1</v>
      </c>
      <c r="P3992" t="n">
        <v>1</v>
      </c>
      <c r="Q3992" t="n">
        <v>0</v>
      </c>
    </row>
    <row r="3993">
      <c r="J3993" t="inlineStr">
        <is>
          <t>A</t>
        </is>
      </c>
      <c r="K3993" t="n">
        <v>2025</v>
      </c>
      <c r="L3993" t="n">
        <v>8</v>
      </c>
      <c r="M3993" t="inlineStr">
        <is>
          <t>Muçarela Mozzalet 2 kg</t>
        </is>
      </c>
      <c r="N3993" t="inlineStr">
        <is>
          <t>Confeitaria</t>
        </is>
      </c>
      <c r="O3993" t="n">
        <v>1</v>
      </c>
      <c r="P3993" t="n">
        <v>3</v>
      </c>
      <c r="Q3993" t="n">
        <v>0</v>
      </c>
    </row>
    <row r="3994">
      <c r="J3994" t="inlineStr">
        <is>
          <t>A</t>
        </is>
      </c>
      <c r="K3994" t="n">
        <v>2025</v>
      </c>
      <c r="L3994" t="n">
        <v>9</v>
      </c>
      <c r="M3994" t="inlineStr">
        <is>
          <t>Muçarela Mozzalet 2 kg</t>
        </is>
      </c>
      <c r="N3994" t="inlineStr">
        <is>
          <t>Confeitaria</t>
        </is>
      </c>
      <c r="O3994" t="n">
        <v>1</v>
      </c>
      <c r="P3994" t="n">
        <v>3</v>
      </c>
      <c r="Q3994" t="n">
        <v>0</v>
      </c>
    </row>
    <row r="3995">
      <c r="J3995" t="inlineStr">
        <is>
          <t>A</t>
        </is>
      </c>
      <c r="K3995" t="n">
        <v>2025</v>
      </c>
      <c r="L3995" t="n">
        <v>10</v>
      </c>
      <c r="M3995" t="inlineStr">
        <is>
          <t>Muçarela Mozzalet 2 kg</t>
        </is>
      </c>
      <c r="N3995" t="inlineStr">
        <is>
          <t>Confeitaria</t>
        </is>
      </c>
      <c r="O3995" t="n">
        <v>1</v>
      </c>
      <c r="P3995" t="n">
        <v>3</v>
      </c>
      <c r="Q3995" t="n">
        <v>0</v>
      </c>
    </row>
    <row r="3996">
      <c r="J3996" t="inlineStr">
        <is>
          <t>A</t>
        </is>
      </c>
      <c r="K3996" t="n">
        <v>2025</v>
      </c>
      <c r="L3996" t="n">
        <v>11</v>
      </c>
      <c r="M3996" t="inlineStr">
        <is>
          <t>Muçarela Mozzalet 2 kg</t>
        </is>
      </c>
      <c r="N3996" t="inlineStr">
        <is>
          <t>Confeitaria</t>
        </is>
      </c>
      <c r="O3996" t="n">
        <v>1</v>
      </c>
      <c r="P3996" t="n">
        <v>3</v>
      </c>
      <c r="Q3996" t="n">
        <v>0</v>
      </c>
    </row>
    <row r="3997">
      <c r="J3997" t="inlineStr">
        <is>
          <t>A</t>
        </is>
      </c>
      <c r="K3997" t="n">
        <v>2025</v>
      </c>
      <c r="L3997" t="n">
        <v>12</v>
      </c>
      <c r="M3997" t="inlineStr">
        <is>
          <t>Muçarela Mozzalet 2 kg</t>
        </is>
      </c>
      <c r="N3997" t="inlineStr">
        <is>
          <t>Confeitaria</t>
        </is>
      </c>
      <c r="O3997" t="n">
        <v>1</v>
      </c>
      <c r="P3997" t="n">
        <v>3</v>
      </c>
      <c r="Q3997" t="n">
        <v>0</v>
      </c>
    </row>
    <row r="3998">
      <c r="J3998" t="inlineStr">
        <is>
          <t>A</t>
        </is>
      </c>
      <c r="K3998" t="n">
        <v>2025</v>
      </c>
      <c r="L3998" t="n">
        <v>1</v>
      </c>
      <c r="M3998" t="inlineStr">
        <is>
          <t>Requeijão Pizzalet 1,8 kg</t>
        </is>
      </c>
      <c r="N3998" t="inlineStr">
        <is>
          <t>Todos</t>
        </is>
      </c>
      <c r="O3998" t="n">
        <v>23</v>
      </c>
      <c r="P3998" t="n">
        <v>47</v>
      </c>
      <c r="Q3998" t="n">
        <v>3</v>
      </c>
    </row>
    <row r="3999">
      <c r="J3999" t="inlineStr">
        <is>
          <t>M</t>
        </is>
      </c>
      <c r="K3999" t="n">
        <v>2025</v>
      </c>
      <c r="L3999" t="n">
        <v>1</v>
      </c>
      <c r="M3999" t="inlineStr">
        <is>
          <t>Requeijão Pizzalet 1,8 kg</t>
        </is>
      </c>
      <c r="N3999" t="inlineStr">
        <is>
          <t>Todos</t>
        </is>
      </c>
      <c r="O3999" t="n">
        <v>23</v>
      </c>
      <c r="P3999" t="n">
        <v>47</v>
      </c>
      <c r="Q3999" t="n">
        <v>0</v>
      </c>
    </row>
    <row r="4000">
      <c r="J4000" t="inlineStr">
        <is>
          <t>A</t>
        </is>
      </c>
      <c r="K4000" t="n">
        <v>2025</v>
      </c>
      <c r="L4000" t="n">
        <v>2</v>
      </c>
      <c r="M4000" t="inlineStr">
        <is>
          <t>Requeijão Pizzalet 1,8 kg</t>
        </is>
      </c>
      <c r="N4000" t="inlineStr">
        <is>
          <t>Todos</t>
        </is>
      </c>
      <c r="O4000" t="n">
        <v>27</v>
      </c>
      <c r="P4000" t="n">
        <v>86</v>
      </c>
      <c r="Q4000" t="n">
        <v>6</v>
      </c>
    </row>
    <row r="4001">
      <c r="J4001" t="inlineStr">
        <is>
          <t>M</t>
        </is>
      </c>
      <c r="K4001" t="n">
        <v>2025</v>
      </c>
      <c r="L4001" t="n">
        <v>2</v>
      </c>
      <c r="M4001" t="inlineStr">
        <is>
          <t>Requeijão Pizzalet 1,8 kg</t>
        </is>
      </c>
      <c r="N4001" t="inlineStr">
        <is>
          <t>Todos</t>
        </is>
      </c>
      <c r="O4001" t="n">
        <v>18</v>
      </c>
      <c r="P4001" t="n">
        <v>39</v>
      </c>
      <c r="Q4001" t="n">
        <v>0</v>
      </c>
    </row>
    <row r="4002">
      <c r="J4002" t="inlineStr">
        <is>
          <t>A</t>
        </is>
      </c>
      <c r="K4002" t="n">
        <v>2025</v>
      </c>
      <c r="L4002" t="n">
        <v>3</v>
      </c>
      <c r="M4002" t="inlineStr">
        <is>
          <t>Requeijão Pizzalet 1,8 kg</t>
        </is>
      </c>
      <c r="N4002" t="inlineStr">
        <is>
          <t>Todos</t>
        </is>
      </c>
      <c r="O4002" t="n">
        <v>27</v>
      </c>
      <c r="P4002" t="n">
        <v>123</v>
      </c>
      <c r="Q4002" t="n">
        <v>6</v>
      </c>
    </row>
    <row r="4003">
      <c r="J4003" t="inlineStr">
        <is>
          <t>M</t>
        </is>
      </c>
      <c r="K4003" t="n">
        <v>2025</v>
      </c>
      <c r="L4003" t="n">
        <v>3</v>
      </c>
      <c r="M4003" t="inlineStr">
        <is>
          <t>Requeijão Pizzalet 1,8 kg</t>
        </is>
      </c>
      <c r="N4003" t="inlineStr">
        <is>
          <t>Todos</t>
        </is>
      </c>
      <c r="O4003" t="n">
        <v>13</v>
      </c>
      <c r="P4003" t="n">
        <v>37</v>
      </c>
      <c r="Q4003" t="n">
        <v>0</v>
      </c>
    </row>
    <row r="4004">
      <c r="J4004" t="inlineStr">
        <is>
          <t>A</t>
        </is>
      </c>
      <c r="K4004" t="n">
        <v>2025</v>
      </c>
      <c r="L4004" t="n">
        <v>4</v>
      </c>
      <c r="M4004" t="inlineStr">
        <is>
          <t>Requeijão Pizzalet 1,8 kg</t>
        </is>
      </c>
      <c r="N4004" t="inlineStr">
        <is>
          <t>Todos</t>
        </is>
      </c>
      <c r="O4004" t="n">
        <v>29</v>
      </c>
      <c r="P4004" t="n">
        <v>177</v>
      </c>
      <c r="Q4004" t="n">
        <v>8</v>
      </c>
    </row>
    <row r="4005">
      <c r="J4005" t="inlineStr">
        <is>
          <t>M</t>
        </is>
      </c>
      <c r="K4005" t="n">
        <v>2025</v>
      </c>
      <c r="L4005" t="n">
        <v>4</v>
      </c>
      <c r="M4005" t="inlineStr">
        <is>
          <t>Requeijão Pizzalet 1,8 kg</t>
        </is>
      </c>
      <c r="N4005" t="inlineStr">
        <is>
          <t>Todos</t>
        </is>
      </c>
      <c r="O4005" t="n">
        <v>17</v>
      </c>
      <c r="P4005" t="n">
        <v>54</v>
      </c>
      <c r="Q4005" t="n">
        <v>0</v>
      </c>
    </row>
    <row r="4006">
      <c r="J4006" t="inlineStr">
        <is>
          <t>A</t>
        </is>
      </c>
      <c r="K4006" t="n">
        <v>2025</v>
      </c>
      <c r="L4006" t="n">
        <v>5</v>
      </c>
      <c r="M4006" t="inlineStr">
        <is>
          <t>Requeijão Pizzalet 1,8 kg</t>
        </is>
      </c>
      <c r="N4006" t="inlineStr">
        <is>
          <t>Todos</t>
        </is>
      </c>
      <c r="O4006" t="n">
        <v>30</v>
      </c>
      <c r="P4006" t="n">
        <v>223</v>
      </c>
      <c r="Q4006" t="n">
        <v>9</v>
      </c>
    </row>
    <row r="4007">
      <c r="J4007" t="inlineStr">
        <is>
          <t>M</t>
        </is>
      </c>
      <c r="K4007" t="n">
        <v>2025</v>
      </c>
      <c r="L4007" t="n">
        <v>5</v>
      </c>
      <c r="M4007" t="inlineStr">
        <is>
          <t>Requeijão Pizzalet 1,8 kg</t>
        </is>
      </c>
      <c r="N4007" t="inlineStr">
        <is>
          <t>Todos</t>
        </is>
      </c>
      <c r="O4007" t="n">
        <v>16</v>
      </c>
      <c r="P4007" t="n">
        <v>46</v>
      </c>
      <c r="Q4007" t="n">
        <v>0</v>
      </c>
    </row>
    <row r="4008">
      <c r="J4008" t="inlineStr">
        <is>
          <t>A</t>
        </is>
      </c>
      <c r="K4008" t="n">
        <v>2025</v>
      </c>
      <c r="L4008" t="n">
        <v>6</v>
      </c>
      <c r="M4008" t="inlineStr">
        <is>
          <t>Requeijão Pizzalet 1,8 kg</t>
        </is>
      </c>
      <c r="N4008" t="inlineStr">
        <is>
          <t>Todos</t>
        </is>
      </c>
      <c r="O4008" t="n">
        <v>32</v>
      </c>
      <c r="P4008" t="n">
        <v>281</v>
      </c>
      <c r="Q4008" t="n">
        <v>11</v>
      </c>
    </row>
    <row r="4009">
      <c r="J4009" t="inlineStr">
        <is>
          <t>M</t>
        </is>
      </c>
      <c r="K4009" t="n">
        <v>2025</v>
      </c>
      <c r="L4009" t="n">
        <v>6</v>
      </c>
      <c r="M4009" t="inlineStr">
        <is>
          <t>Requeijão Pizzalet 1,8 kg</t>
        </is>
      </c>
      <c r="N4009" t="inlineStr">
        <is>
          <t>Todos</t>
        </is>
      </c>
      <c r="O4009" t="n">
        <v>18</v>
      </c>
      <c r="P4009" t="n">
        <v>58</v>
      </c>
      <c r="Q4009" t="n">
        <v>0</v>
      </c>
    </row>
    <row r="4010">
      <c r="J4010" t="inlineStr">
        <is>
          <t>A</t>
        </is>
      </c>
      <c r="K4010" t="n">
        <v>2025</v>
      </c>
      <c r="L4010" t="n">
        <v>7</v>
      </c>
      <c r="M4010" t="inlineStr">
        <is>
          <t>Requeijão Pizzalet 1,8 kg</t>
        </is>
      </c>
      <c r="N4010" t="inlineStr">
        <is>
          <t>Todos</t>
        </is>
      </c>
      <c r="O4010" t="n">
        <v>33</v>
      </c>
      <c r="P4010" t="n">
        <v>327</v>
      </c>
      <c r="Q4010" t="n">
        <v>12</v>
      </c>
    </row>
    <row r="4011">
      <c r="J4011" t="inlineStr">
        <is>
          <t>M</t>
        </is>
      </c>
      <c r="K4011" t="n">
        <v>2025</v>
      </c>
      <c r="L4011" t="n">
        <v>7</v>
      </c>
      <c r="M4011" t="inlineStr">
        <is>
          <t>Requeijão Pizzalet 1,8 kg</t>
        </is>
      </c>
      <c r="N4011" t="inlineStr">
        <is>
          <t>Todos</t>
        </is>
      </c>
      <c r="O4011" t="n">
        <v>15</v>
      </c>
      <c r="P4011" t="n">
        <v>46</v>
      </c>
      <c r="Q4011" t="n">
        <v>0</v>
      </c>
    </row>
    <row r="4012">
      <c r="J4012" t="inlineStr">
        <is>
          <t>A</t>
        </is>
      </c>
      <c r="K4012" t="n">
        <v>2025</v>
      </c>
      <c r="L4012" t="n">
        <v>8</v>
      </c>
      <c r="M4012" t="inlineStr">
        <is>
          <t>Requeijão Pizzalet 1,8 kg</t>
        </is>
      </c>
      <c r="N4012" t="inlineStr">
        <is>
          <t>Todos</t>
        </is>
      </c>
      <c r="O4012" t="n">
        <v>35</v>
      </c>
      <c r="P4012" t="n">
        <v>369</v>
      </c>
      <c r="Q4012" t="n">
        <v>12</v>
      </c>
    </row>
    <row r="4013">
      <c r="J4013" t="inlineStr">
        <is>
          <t>M</t>
        </is>
      </c>
      <c r="K4013" t="n">
        <v>2025</v>
      </c>
      <c r="L4013" t="n">
        <v>8</v>
      </c>
      <c r="M4013" t="inlineStr">
        <is>
          <t>Requeijão Pizzalet 1,8 kg</t>
        </is>
      </c>
      <c r="N4013" t="inlineStr">
        <is>
          <t>Todos</t>
        </is>
      </c>
      <c r="O4013" t="n">
        <v>15</v>
      </c>
      <c r="P4013" t="n">
        <v>42</v>
      </c>
      <c r="Q4013" t="n">
        <v>0</v>
      </c>
    </row>
    <row r="4014">
      <c r="J4014" t="inlineStr">
        <is>
          <t>A</t>
        </is>
      </c>
      <c r="K4014" t="n">
        <v>2025</v>
      </c>
      <c r="L4014" t="n">
        <v>9</v>
      </c>
      <c r="M4014" t="inlineStr">
        <is>
          <t>Requeijão Pizzalet 1,8 kg</t>
        </is>
      </c>
      <c r="N4014" t="inlineStr">
        <is>
          <t>Todos</t>
        </is>
      </c>
      <c r="O4014" t="n">
        <v>35</v>
      </c>
      <c r="P4014" t="n">
        <v>406</v>
      </c>
      <c r="Q4014" t="n">
        <v>12</v>
      </c>
    </row>
    <row r="4015">
      <c r="J4015" t="inlineStr">
        <is>
          <t>M</t>
        </is>
      </c>
      <c r="K4015" t="n">
        <v>2025</v>
      </c>
      <c r="L4015" t="n">
        <v>9</v>
      </c>
      <c r="M4015" t="inlineStr">
        <is>
          <t>Requeijão Pizzalet 1,8 kg</t>
        </is>
      </c>
      <c r="N4015" t="inlineStr">
        <is>
          <t>Todos</t>
        </is>
      </c>
      <c r="O4015" t="n">
        <v>14</v>
      </c>
      <c r="P4015" t="n">
        <v>37</v>
      </c>
      <c r="Q4015" t="n">
        <v>0</v>
      </c>
    </row>
    <row r="4016">
      <c r="J4016" t="inlineStr">
        <is>
          <t>A</t>
        </is>
      </c>
      <c r="K4016" t="n">
        <v>2025</v>
      </c>
      <c r="L4016" t="n">
        <v>10</v>
      </c>
      <c r="M4016" t="inlineStr">
        <is>
          <t>Requeijão Pizzalet 1,8 kg</t>
        </is>
      </c>
      <c r="N4016" t="inlineStr">
        <is>
          <t>Todos</t>
        </is>
      </c>
      <c r="O4016" t="n">
        <v>35</v>
      </c>
      <c r="P4016" t="n">
        <v>449</v>
      </c>
      <c r="Q4016" t="n">
        <v>12</v>
      </c>
    </row>
    <row r="4017">
      <c r="J4017" t="inlineStr">
        <is>
          <t>M</t>
        </is>
      </c>
      <c r="K4017" t="n">
        <v>2025</v>
      </c>
      <c r="L4017" t="n">
        <v>10</v>
      </c>
      <c r="M4017" t="inlineStr">
        <is>
          <t>Requeijão Pizzalet 1,8 kg</t>
        </is>
      </c>
      <c r="N4017" t="inlineStr">
        <is>
          <t>Todos</t>
        </is>
      </c>
      <c r="O4017" t="n">
        <v>11</v>
      </c>
      <c r="P4017" t="n">
        <v>43</v>
      </c>
      <c r="Q4017" t="n">
        <v>0</v>
      </c>
    </row>
    <row r="4018">
      <c r="J4018" t="inlineStr">
        <is>
          <t>A</t>
        </is>
      </c>
      <c r="K4018" t="n">
        <v>2025</v>
      </c>
      <c r="L4018" t="n">
        <v>11</v>
      </c>
      <c r="M4018" t="inlineStr">
        <is>
          <t>Requeijão Pizzalet 1,8 kg</t>
        </is>
      </c>
      <c r="N4018" t="inlineStr">
        <is>
          <t>Todos</t>
        </is>
      </c>
      <c r="O4018" t="n">
        <v>38</v>
      </c>
      <c r="P4018" t="n">
        <v>487</v>
      </c>
      <c r="Q4018" t="n">
        <v>15</v>
      </c>
    </row>
    <row r="4019">
      <c r="J4019" t="inlineStr">
        <is>
          <t>M</t>
        </is>
      </c>
      <c r="K4019" t="n">
        <v>2025</v>
      </c>
      <c r="L4019" t="n">
        <v>11</v>
      </c>
      <c r="M4019" t="inlineStr">
        <is>
          <t>Requeijão Pizzalet 1,8 kg</t>
        </is>
      </c>
      <c r="N4019" t="inlineStr">
        <is>
          <t>Todos</t>
        </is>
      </c>
      <c r="O4019" t="n">
        <v>14</v>
      </c>
      <c r="P4019" t="n">
        <v>38</v>
      </c>
      <c r="Q4019" t="n">
        <v>0</v>
      </c>
    </row>
    <row r="4020">
      <c r="J4020" t="inlineStr">
        <is>
          <t>A</t>
        </is>
      </c>
      <c r="K4020" t="n">
        <v>2025</v>
      </c>
      <c r="L4020" t="n">
        <v>12</v>
      </c>
      <c r="M4020" t="inlineStr">
        <is>
          <t>Requeijão Pizzalet 1,8 kg</t>
        </is>
      </c>
      <c r="N4020" t="inlineStr">
        <is>
          <t>Todos</t>
        </is>
      </c>
      <c r="O4020" t="n">
        <v>38</v>
      </c>
      <c r="P4020" t="n">
        <v>517</v>
      </c>
      <c r="Q4020" t="n">
        <v>15</v>
      </c>
    </row>
    <row r="4021">
      <c r="J4021" t="inlineStr">
        <is>
          <t>M</t>
        </is>
      </c>
      <c r="K4021" t="n">
        <v>2025</v>
      </c>
      <c r="L4021" t="n">
        <v>12</v>
      </c>
      <c r="M4021" t="inlineStr">
        <is>
          <t>Requeijão Pizzalet 1,8 kg</t>
        </is>
      </c>
      <c r="N4021" t="inlineStr">
        <is>
          <t>Todos</t>
        </is>
      </c>
      <c r="O4021" t="n">
        <v>13</v>
      </c>
      <c r="P4021" t="n">
        <v>30</v>
      </c>
      <c r="Q4021" t="n">
        <v>0</v>
      </c>
    </row>
    <row r="4022">
      <c r="J4022" t="inlineStr">
        <is>
          <t>A</t>
        </is>
      </c>
      <c r="K4022" t="n">
        <v>2025</v>
      </c>
      <c r="L4022" t="n">
        <v>1</v>
      </c>
      <c r="M4022" t="inlineStr">
        <is>
          <t>Requeijão Pizzalet 1,8 kg</t>
        </is>
      </c>
      <c r="N4022" t="inlineStr">
        <is>
          <t>Pizzaria</t>
        </is>
      </c>
      <c r="O4022" t="n">
        <v>6</v>
      </c>
      <c r="P4022" t="n">
        <v>14</v>
      </c>
      <c r="Q4022" t="n">
        <v>0</v>
      </c>
    </row>
    <row r="4023">
      <c r="J4023" t="inlineStr">
        <is>
          <t>M</t>
        </is>
      </c>
      <c r="K4023" t="n">
        <v>2025</v>
      </c>
      <c r="L4023" t="n">
        <v>1</v>
      </c>
      <c r="M4023" t="inlineStr">
        <is>
          <t>Requeijão Pizzalet 1,8 kg</t>
        </is>
      </c>
      <c r="N4023" t="inlineStr">
        <is>
          <t>Pizzaria</t>
        </is>
      </c>
      <c r="O4023" t="n">
        <v>6</v>
      </c>
      <c r="P4023" t="n">
        <v>14</v>
      </c>
      <c r="Q4023" t="n">
        <v>0</v>
      </c>
    </row>
    <row r="4024">
      <c r="J4024" t="inlineStr">
        <is>
          <t>A</t>
        </is>
      </c>
      <c r="K4024" t="n">
        <v>2025</v>
      </c>
      <c r="L4024" t="n">
        <v>2</v>
      </c>
      <c r="M4024" t="inlineStr">
        <is>
          <t>Requeijão Pizzalet 1,8 kg</t>
        </is>
      </c>
      <c r="N4024" t="inlineStr">
        <is>
          <t>Pizzaria</t>
        </is>
      </c>
      <c r="O4024" t="n">
        <v>7</v>
      </c>
      <c r="P4024" t="n">
        <v>25</v>
      </c>
      <c r="Q4024" t="n">
        <v>0</v>
      </c>
    </row>
    <row r="4025">
      <c r="J4025" t="inlineStr">
        <is>
          <t>M</t>
        </is>
      </c>
      <c r="K4025" t="n">
        <v>2025</v>
      </c>
      <c r="L4025" t="n">
        <v>2</v>
      </c>
      <c r="M4025" t="inlineStr">
        <is>
          <t>Requeijão Pizzalet 1,8 kg</t>
        </is>
      </c>
      <c r="N4025" t="inlineStr">
        <is>
          <t>Pizzaria</t>
        </is>
      </c>
      <c r="O4025" t="n">
        <v>4</v>
      </c>
      <c r="P4025" t="n">
        <v>11</v>
      </c>
      <c r="Q4025" t="n">
        <v>0</v>
      </c>
    </row>
    <row r="4026">
      <c r="J4026" t="inlineStr">
        <is>
          <t>A</t>
        </is>
      </c>
      <c r="K4026" t="n">
        <v>2025</v>
      </c>
      <c r="L4026" t="n">
        <v>3</v>
      </c>
      <c r="M4026" t="inlineStr">
        <is>
          <t>Requeijão Pizzalet 1,8 kg</t>
        </is>
      </c>
      <c r="N4026" t="inlineStr">
        <is>
          <t>Pizzaria</t>
        </is>
      </c>
      <c r="O4026" t="n">
        <v>7</v>
      </c>
      <c r="P4026" t="n">
        <v>34</v>
      </c>
      <c r="Q4026" t="n">
        <v>0</v>
      </c>
    </row>
    <row r="4027">
      <c r="J4027" t="inlineStr">
        <is>
          <t>M</t>
        </is>
      </c>
      <c r="K4027" t="n">
        <v>2025</v>
      </c>
      <c r="L4027" t="n">
        <v>3</v>
      </c>
      <c r="M4027" t="inlineStr">
        <is>
          <t>Requeijão Pizzalet 1,8 kg</t>
        </is>
      </c>
      <c r="N4027" t="inlineStr">
        <is>
          <t>Pizzaria</t>
        </is>
      </c>
      <c r="O4027" t="n">
        <v>2</v>
      </c>
      <c r="P4027" t="n">
        <v>9</v>
      </c>
      <c r="Q4027" t="n">
        <v>0</v>
      </c>
    </row>
    <row r="4028">
      <c r="J4028" t="inlineStr">
        <is>
          <t>A</t>
        </is>
      </c>
      <c r="K4028" t="n">
        <v>2025</v>
      </c>
      <c r="L4028" t="n">
        <v>4</v>
      </c>
      <c r="M4028" t="inlineStr">
        <is>
          <t>Requeijão Pizzalet 1,8 kg</t>
        </is>
      </c>
      <c r="N4028" t="inlineStr">
        <is>
          <t>Pizzaria</t>
        </is>
      </c>
      <c r="O4028" t="n">
        <v>9</v>
      </c>
      <c r="P4028" t="n">
        <v>51</v>
      </c>
      <c r="Q4028" t="n">
        <v>2</v>
      </c>
    </row>
    <row r="4029">
      <c r="J4029" t="inlineStr">
        <is>
          <t>M</t>
        </is>
      </c>
      <c r="K4029" t="n">
        <v>2025</v>
      </c>
      <c r="L4029" t="n">
        <v>4</v>
      </c>
      <c r="M4029" t="inlineStr">
        <is>
          <t>Requeijão Pizzalet 1,8 kg</t>
        </is>
      </c>
      <c r="N4029" t="inlineStr">
        <is>
          <t>Pizzaria</t>
        </is>
      </c>
      <c r="O4029" t="n">
        <v>6</v>
      </c>
      <c r="P4029" t="n">
        <v>17</v>
      </c>
      <c r="Q4029" t="n">
        <v>0</v>
      </c>
    </row>
    <row r="4030">
      <c r="J4030" t="inlineStr">
        <is>
          <t>A</t>
        </is>
      </c>
      <c r="K4030" t="n">
        <v>2025</v>
      </c>
      <c r="L4030" t="n">
        <v>5</v>
      </c>
      <c r="M4030" t="inlineStr">
        <is>
          <t>Requeijão Pizzalet 1,8 kg</t>
        </is>
      </c>
      <c r="N4030" t="inlineStr">
        <is>
          <t>Pizzaria</t>
        </is>
      </c>
      <c r="O4030" t="n">
        <v>10</v>
      </c>
      <c r="P4030" t="n">
        <v>70</v>
      </c>
      <c r="Q4030" t="n">
        <v>3</v>
      </c>
    </row>
    <row r="4031">
      <c r="J4031" t="inlineStr">
        <is>
          <t>M</t>
        </is>
      </c>
      <c r="K4031" t="n">
        <v>2025</v>
      </c>
      <c r="L4031" t="n">
        <v>5</v>
      </c>
      <c r="M4031" t="inlineStr">
        <is>
          <t>Requeijão Pizzalet 1,8 kg</t>
        </is>
      </c>
      <c r="N4031" t="inlineStr">
        <is>
          <t>Pizzaria</t>
        </is>
      </c>
      <c r="O4031" t="n">
        <v>6</v>
      </c>
      <c r="P4031" t="n">
        <v>19</v>
      </c>
      <c r="Q4031" t="n">
        <v>0</v>
      </c>
    </row>
    <row r="4032">
      <c r="J4032" t="inlineStr">
        <is>
          <t>A</t>
        </is>
      </c>
      <c r="K4032" t="n">
        <v>2025</v>
      </c>
      <c r="L4032" t="n">
        <v>6</v>
      </c>
      <c r="M4032" t="inlineStr">
        <is>
          <t>Requeijão Pizzalet 1,8 kg</t>
        </is>
      </c>
      <c r="N4032" t="inlineStr">
        <is>
          <t>Pizzaria</t>
        </is>
      </c>
      <c r="O4032" t="n">
        <v>12</v>
      </c>
      <c r="P4032" t="n">
        <v>88</v>
      </c>
      <c r="Q4032" t="n">
        <v>5</v>
      </c>
    </row>
    <row r="4033">
      <c r="J4033" t="inlineStr">
        <is>
          <t>M</t>
        </is>
      </c>
      <c r="K4033" t="n">
        <v>2025</v>
      </c>
      <c r="L4033" t="n">
        <v>6</v>
      </c>
      <c r="M4033" t="inlineStr">
        <is>
          <t>Requeijão Pizzalet 1,8 kg</t>
        </is>
      </c>
      <c r="N4033" t="inlineStr">
        <is>
          <t>Pizzaria</t>
        </is>
      </c>
      <c r="O4033" t="n">
        <v>6</v>
      </c>
      <c r="P4033" t="n">
        <v>18</v>
      </c>
      <c r="Q4033" t="n">
        <v>0</v>
      </c>
    </row>
    <row r="4034">
      <c r="J4034" t="inlineStr">
        <is>
          <t>A</t>
        </is>
      </c>
      <c r="K4034" t="n">
        <v>2025</v>
      </c>
      <c r="L4034" t="n">
        <v>7</v>
      </c>
      <c r="M4034" t="inlineStr">
        <is>
          <t>Requeijão Pizzalet 1,8 kg</t>
        </is>
      </c>
      <c r="N4034" t="inlineStr">
        <is>
          <t>Pizzaria</t>
        </is>
      </c>
      <c r="O4034" t="n">
        <v>13</v>
      </c>
      <c r="P4034" t="n">
        <v>106</v>
      </c>
      <c r="Q4034" t="n">
        <v>6</v>
      </c>
    </row>
    <row r="4035">
      <c r="J4035" t="inlineStr">
        <is>
          <t>M</t>
        </is>
      </c>
      <c r="K4035" t="n">
        <v>2025</v>
      </c>
      <c r="L4035" t="n">
        <v>7</v>
      </c>
      <c r="M4035" t="inlineStr">
        <is>
          <t>Requeijão Pizzalet 1,8 kg</t>
        </is>
      </c>
      <c r="N4035" t="inlineStr">
        <is>
          <t>Pizzaria</t>
        </is>
      </c>
      <c r="O4035" t="n">
        <v>5</v>
      </c>
      <c r="P4035" t="n">
        <v>18</v>
      </c>
      <c r="Q4035" t="n">
        <v>0</v>
      </c>
    </row>
    <row r="4036">
      <c r="J4036" t="inlineStr">
        <is>
          <t>A</t>
        </is>
      </c>
      <c r="K4036" t="n">
        <v>2025</v>
      </c>
      <c r="L4036" t="n">
        <v>8</v>
      </c>
      <c r="M4036" t="inlineStr">
        <is>
          <t>Requeijão Pizzalet 1,8 kg</t>
        </is>
      </c>
      <c r="N4036" t="inlineStr">
        <is>
          <t>Pizzaria</t>
        </is>
      </c>
      <c r="O4036" t="n">
        <v>14</v>
      </c>
      <c r="P4036" t="n">
        <v>117</v>
      </c>
      <c r="Q4036" t="n">
        <v>6</v>
      </c>
    </row>
    <row r="4037">
      <c r="J4037" t="inlineStr">
        <is>
          <t>M</t>
        </is>
      </c>
      <c r="K4037" t="n">
        <v>2025</v>
      </c>
      <c r="L4037" t="n">
        <v>8</v>
      </c>
      <c r="M4037" t="inlineStr">
        <is>
          <t>Requeijão Pizzalet 1,8 kg</t>
        </is>
      </c>
      <c r="N4037" t="inlineStr">
        <is>
          <t>Pizzaria</t>
        </is>
      </c>
      <c r="O4037" t="n">
        <v>4</v>
      </c>
      <c r="P4037" t="n">
        <v>11</v>
      </c>
      <c r="Q4037" t="n">
        <v>0</v>
      </c>
    </row>
    <row r="4038">
      <c r="J4038" t="inlineStr">
        <is>
          <t>A</t>
        </is>
      </c>
      <c r="K4038" t="n">
        <v>2025</v>
      </c>
      <c r="L4038" t="n">
        <v>9</v>
      </c>
      <c r="M4038" t="inlineStr">
        <is>
          <t>Requeijão Pizzalet 1,8 kg</t>
        </is>
      </c>
      <c r="N4038" t="inlineStr">
        <is>
          <t>Pizzaria</t>
        </is>
      </c>
      <c r="O4038" t="n">
        <v>14</v>
      </c>
      <c r="P4038" t="n">
        <v>129</v>
      </c>
      <c r="Q4038" t="n">
        <v>6</v>
      </c>
    </row>
    <row r="4039">
      <c r="J4039" t="inlineStr">
        <is>
          <t>M</t>
        </is>
      </c>
      <c r="K4039" t="n">
        <v>2025</v>
      </c>
      <c r="L4039" t="n">
        <v>9</v>
      </c>
      <c r="M4039" t="inlineStr">
        <is>
          <t>Requeijão Pizzalet 1,8 kg</t>
        </is>
      </c>
      <c r="N4039" t="inlineStr">
        <is>
          <t>Pizzaria</t>
        </is>
      </c>
      <c r="O4039" t="n">
        <v>4</v>
      </c>
      <c r="P4039" t="n">
        <v>12</v>
      </c>
      <c r="Q4039" t="n">
        <v>0</v>
      </c>
    </row>
    <row r="4040">
      <c r="J4040" t="inlineStr">
        <is>
          <t>A</t>
        </is>
      </c>
      <c r="K4040" t="n">
        <v>2025</v>
      </c>
      <c r="L4040" t="n">
        <v>10</v>
      </c>
      <c r="M4040" t="inlineStr">
        <is>
          <t>Requeijão Pizzalet 1,8 kg</t>
        </is>
      </c>
      <c r="N4040" t="inlineStr">
        <is>
          <t>Pizzaria</t>
        </is>
      </c>
      <c r="O4040" t="n">
        <v>14</v>
      </c>
      <c r="P4040" t="n">
        <v>143</v>
      </c>
      <c r="Q4040" t="n">
        <v>6</v>
      </c>
    </row>
    <row r="4041">
      <c r="J4041" t="inlineStr">
        <is>
          <t>M</t>
        </is>
      </c>
      <c r="K4041" t="n">
        <v>2025</v>
      </c>
      <c r="L4041" t="n">
        <v>10</v>
      </c>
      <c r="M4041" t="inlineStr">
        <is>
          <t>Requeijão Pizzalet 1,8 kg</t>
        </is>
      </c>
      <c r="N4041" t="inlineStr">
        <is>
          <t>Pizzaria</t>
        </is>
      </c>
      <c r="O4041" t="n">
        <v>2</v>
      </c>
      <c r="P4041" t="n">
        <v>14</v>
      </c>
      <c r="Q4041" t="n">
        <v>0</v>
      </c>
    </row>
    <row r="4042">
      <c r="J4042" t="inlineStr">
        <is>
          <t>A</t>
        </is>
      </c>
      <c r="K4042" t="n">
        <v>2025</v>
      </c>
      <c r="L4042" t="n">
        <v>11</v>
      </c>
      <c r="M4042" t="inlineStr">
        <is>
          <t>Requeijão Pizzalet 1,8 kg</t>
        </is>
      </c>
      <c r="N4042" t="inlineStr">
        <is>
          <t>Pizzaria</t>
        </is>
      </c>
      <c r="O4042" t="n">
        <v>15</v>
      </c>
      <c r="P4042" t="n">
        <v>153</v>
      </c>
      <c r="Q4042" t="n">
        <v>7</v>
      </c>
    </row>
    <row r="4043">
      <c r="J4043" t="inlineStr">
        <is>
          <t>M</t>
        </is>
      </c>
      <c r="K4043" t="n">
        <v>2025</v>
      </c>
      <c r="L4043" t="n">
        <v>11</v>
      </c>
      <c r="M4043" t="inlineStr">
        <is>
          <t>Requeijão Pizzalet 1,8 kg</t>
        </is>
      </c>
      <c r="N4043" t="inlineStr">
        <is>
          <t>Pizzaria</t>
        </is>
      </c>
      <c r="O4043" t="n">
        <v>3</v>
      </c>
      <c r="P4043" t="n">
        <v>10</v>
      </c>
      <c r="Q4043" t="n">
        <v>0</v>
      </c>
    </row>
    <row r="4044">
      <c r="J4044" t="inlineStr">
        <is>
          <t>A</t>
        </is>
      </c>
      <c r="K4044" t="n">
        <v>2025</v>
      </c>
      <c r="L4044" t="n">
        <v>12</v>
      </c>
      <c r="M4044" t="inlineStr">
        <is>
          <t>Requeijão Pizzalet 1,8 kg</t>
        </is>
      </c>
      <c r="N4044" t="inlineStr">
        <is>
          <t>Pizzaria</t>
        </is>
      </c>
      <c r="O4044" t="n">
        <v>15</v>
      </c>
      <c r="P4044" t="n">
        <v>162</v>
      </c>
      <c r="Q4044" t="n">
        <v>7</v>
      </c>
    </row>
    <row r="4045">
      <c r="J4045" t="inlineStr">
        <is>
          <t>M</t>
        </is>
      </c>
      <c r="K4045" t="n">
        <v>2025</v>
      </c>
      <c r="L4045" t="n">
        <v>12</v>
      </c>
      <c r="M4045" t="inlineStr">
        <is>
          <t>Requeijão Pizzalet 1,8 kg</t>
        </is>
      </c>
      <c r="N4045" t="inlineStr">
        <is>
          <t>Pizzaria</t>
        </is>
      </c>
      <c r="O4045" t="n">
        <v>3</v>
      </c>
      <c r="P4045" t="n">
        <v>9</v>
      </c>
      <c r="Q4045" t="n">
        <v>0</v>
      </c>
    </row>
    <row r="4046">
      <c r="J4046" t="inlineStr">
        <is>
          <t>A</t>
        </is>
      </c>
      <c r="K4046" t="n">
        <v>2025</v>
      </c>
      <c r="L4046" t="n">
        <v>1</v>
      </c>
      <c r="M4046" t="inlineStr">
        <is>
          <t>Requeijão Pizzalet 1,8 kg</t>
        </is>
      </c>
      <c r="N4046" t="inlineStr">
        <is>
          <t>Restaurante / Cantina</t>
        </is>
      </c>
      <c r="O4046" t="n">
        <v>2</v>
      </c>
      <c r="P4046" t="n">
        <v>4</v>
      </c>
      <c r="Q4046" t="n">
        <v>1</v>
      </c>
    </row>
    <row r="4047">
      <c r="J4047" t="inlineStr">
        <is>
          <t>M</t>
        </is>
      </c>
      <c r="K4047" t="n">
        <v>2025</v>
      </c>
      <c r="L4047" t="n">
        <v>1</v>
      </c>
      <c r="M4047" t="inlineStr">
        <is>
          <t>Requeijão Pizzalet 1,8 kg</t>
        </is>
      </c>
      <c r="N4047" t="inlineStr">
        <is>
          <t>Restaurante / Cantina</t>
        </is>
      </c>
      <c r="O4047" t="n">
        <v>2</v>
      </c>
      <c r="P4047" t="n">
        <v>4</v>
      </c>
      <c r="Q4047" t="n">
        <v>0</v>
      </c>
    </row>
    <row r="4048">
      <c r="J4048" t="inlineStr">
        <is>
          <t>A</t>
        </is>
      </c>
      <c r="K4048" t="n">
        <v>2025</v>
      </c>
      <c r="L4048" t="n">
        <v>2</v>
      </c>
      <c r="M4048" t="inlineStr">
        <is>
          <t>Requeijão Pizzalet 1,8 kg</t>
        </is>
      </c>
      <c r="N4048" t="inlineStr">
        <is>
          <t>Restaurante / Cantina</t>
        </is>
      </c>
      <c r="O4048" t="n">
        <v>2</v>
      </c>
      <c r="P4048" t="n">
        <v>6</v>
      </c>
      <c r="Q4048" t="n">
        <v>1</v>
      </c>
    </row>
    <row r="4049">
      <c r="J4049" t="inlineStr">
        <is>
          <t>M</t>
        </is>
      </c>
      <c r="K4049" t="n">
        <v>2025</v>
      </c>
      <c r="L4049" t="n">
        <v>2</v>
      </c>
      <c r="M4049" t="inlineStr">
        <is>
          <t>Requeijão Pizzalet 1,8 kg</t>
        </is>
      </c>
      <c r="N4049" t="inlineStr">
        <is>
          <t>Restaurante / Cantina</t>
        </is>
      </c>
      <c r="O4049" t="n">
        <v>1</v>
      </c>
      <c r="P4049" t="n">
        <v>2</v>
      </c>
      <c r="Q4049" t="n">
        <v>0</v>
      </c>
    </row>
    <row r="4050">
      <c r="J4050" t="inlineStr">
        <is>
          <t>A</t>
        </is>
      </c>
      <c r="K4050" t="n">
        <v>2025</v>
      </c>
      <c r="L4050" t="n">
        <v>3</v>
      </c>
      <c r="M4050" t="inlineStr">
        <is>
          <t>Requeijão Pizzalet 1,8 kg</t>
        </is>
      </c>
      <c r="N4050" t="inlineStr">
        <is>
          <t>Restaurante / Cantina</t>
        </is>
      </c>
      <c r="O4050" t="n">
        <v>2</v>
      </c>
      <c r="P4050" t="n">
        <v>7</v>
      </c>
      <c r="Q4050" t="n">
        <v>1</v>
      </c>
    </row>
    <row r="4051">
      <c r="J4051" t="inlineStr">
        <is>
          <t>M</t>
        </is>
      </c>
      <c r="K4051" t="n">
        <v>2025</v>
      </c>
      <c r="L4051" t="n">
        <v>3</v>
      </c>
      <c r="M4051" t="inlineStr">
        <is>
          <t>Requeijão Pizzalet 1,8 kg</t>
        </is>
      </c>
      <c r="N4051" t="inlineStr">
        <is>
          <t>Restaurante / Cantina</t>
        </is>
      </c>
      <c r="O4051" t="n">
        <v>1</v>
      </c>
      <c r="P4051" t="n">
        <v>1</v>
      </c>
      <c r="Q4051" t="n">
        <v>0</v>
      </c>
    </row>
    <row r="4052">
      <c r="J4052" t="inlineStr">
        <is>
          <t>A</t>
        </is>
      </c>
      <c r="K4052" t="n">
        <v>2025</v>
      </c>
      <c r="L4052" t="n">
        <v>4</v>
      </c>
      <c r="M4052" t="inlineStr">
        <is>
          <t>Requeijão Pizzalet 1,8 kg</t>
        </is>
      </c>
      <c r="N4052" t="inlineStr">
        <is>
          <t>Restaurante / Cantina</t>
        </is>
      </c>
      <c r="O4052" t="n">
        <v>2</v>
      </c>
      <c r="P4052" t="n">
        <v>11</v>
      </c>
      <c r="Q4052" t="n">
        <v>1</v>
      </c>
    </row>
    <row r="4053">
      <c r="J4053" t="inlineStr">
        <is>
          <t>M</t>
        </is>
      </c>
      <c r="K4053" t="n">
        <v>2025</v>
      </c>
      <c r="L4053" t="n">
        <v>4</v>
      </c>
      <c r="M4053" t="inlineStr">
        <is>
          <t>Requeijão Pizzalet 1,8 kg</t>
        </is>
      </c>
      <c r="N4053" t="inlineStr">
        <is>
          <t>Restaurante / Cantina</t>
        </is>
      </c>
      <c r="O4053" t="n">
        <v>1</v>
      </c>
      <c r="P4053" t="n">
        <v>4</v>
      </c>
      <c r="Q4053" t="n">
        <v>0</v>
      </c>
    </row>
    <row r="4054">
      <c r="J4054" t="inlineStr">
        <is>
          <t>A</t>
        </is>
      </c>
      <c r="K4054" t="n">
        <v>2025</v>
      </c>
      <c r="L4054" t="n">
        <v>5</v>
      </c>
      <c r="M4054" t="inlineStr">
        <is>
          <t>Requeijão Pizzalet 1,8 kg</t>
        </is>
      </c>
      <c r="N4054" t="inlineStr">
        <is>
          <t>Restaurante / Cantina</t>
        </is>
      </c>
      <c r="O4054" t="n">
        <v>2</v>
      </c>
      <c r="P4054" t="n">
        <v>12</v>
      </c>
      <c r="Q4054" t="n">
        <v>1</v>
      </c>
    </row>
    <row r="4055">
      <c r="J4055" t="inlineStr">
        <is>
          <t>M</t>
        </is>
      </c>
      <c r="K4055" t="n">
        <v>2025</v>
      </c>
      <c r="L4055" t="n">
        <v>5</v>
      </c>
      <c r="M4055" t="inlineStr">
        <is>
          <t>Requeijão Pizzalet 1,8 kg</t>
        </is>
      </c>
      <c r="N4055" t="inlineStr">
        <is>
          <t>Restaurante / Cantina</t>
        </is>
      </c>
      <c r="O4055" t="n">
        <v>1</v>
      </c>
      <c r="P4055" t="n">
        <v>1</v>
      </c>
      <c r="Q4055" t="n">
        <v>0</v>
      </c>
    </row>
    <row r="4056">
      <c r="J4056" t="inlineStr">
        <is>
          <t>A</t>
        </is>
      </c>
      <c r="K4056" t="n">
        <v>2025</v>
      </c>
      <c r="L4056" t="n">
        <v>6</v>
      </c>
      <c r="M4056" t="inlineStr">
        <is>
          <t>Requeijão Pizzalet 1,8 kg</t>
        </is>
      </c>
      <c r="N4056" t="inlineStr">
        <is>
          <t>Restaurante / Cantina</t>
        </is>
      </c>
      <c r="O4056" t="n">
        <v>2</v>
      </c>
      <c r="P4056" t="n">
        <v>13</v>
      </c>
      <c r="Q4056" t="n">
        <v>1</v>
      </c>
    </row>
    <row r="4057">
      <c r="J4057" t="inlineStr">
        <is>
          <t>M</t>
        </is>
      </c>
      <c r="K4057" t="n">
        <v>2025</v>
      </c>
      <c r="L4057" t="n">
        <v>6</v>
      </c>
      <c r="M4057" t="inlineStr">
        <is>
          <t>Requeijão Pizzalet 1,8 kg</t>
        </is>
      </c>
      <c r="N4057" t="inlineStr">
        <is>
          <t>Restaurante / Cantina</t>
        </is>
      </c>
      <c r="O4057" t="n">
        <v>1</v>
      </c>
      <c r="P4057" t="n">
        <v>1</v>
      </c>
      <c r="Q4057" t="n">
        <v>0</v>
      </c>
    </row>
    <row r="4058">
      <c r="J4058" t="inlineStr">
        <is>
          <t>A</t>
        </is>
      </c>
      <c r="K4058" t="n">
        <v>2025</v>
      </c>
      <c r="L4058" t="n">
        <v>7</v>
      </c>
      <c r="M4058" t="inlineStr">
        <is>
          <t>Requeijão Pizzalet 1,8 kg</t>
        </is>
      </c>
      <c r="N4058" t="inlineStr">
        <is>
          <t>Restaurante / Cantina</t>
        </is>
      </c>
      <c r="O4058" t="n">
        <v>2</v>
      </c>
      <c r="P4058" t="n">
        <v>15</v>
      </c>
      <c r="Q4058" t="n">
        <v>1</v>
      </c>
    </row>
    <row r="4059">
      <c r="J4059" t="inlineStr">
        <is>
          <t>M</t>
        </is>
      </c>
      <c r="K4059" t="n">
        <v>2025</v>
      </c>
      <c r="L4059" t="n">
        <v>7</v>
      </c>
      <c r="M4059" t="inlineStr">
        <is>
          <t>Requeijão Pizzalet 1,8 kg</t>
        </is>
      </c>
      <c r="N4059" t="inlineStr">
        <is>
          <t>Restaurante / Cantina</t>
        </is>
      </c>
      <c r="O4059" t="n">
        <v>1</v>
      </c>
      <c r="P4059" t="n">
        <v>2</v>
      </c>
      <c r="Q4059" t="n">
        <v>0</v>
      </c>
    </row>
    <row r="4060">
      <c r="J4060" t="inlineStr">
        <is>
          <t>A</t>
        </is>
      </c>
      <c r="K4060" t="n">
        <v>2025</v>
      </c>
      <c r="L4060" t="n">
        <v>8</v>
      </c>
      <c r="M4060" t="inlineStr">
        <is>
          <t>Requeijão Pizzalet 1,8 kg</t>
        </is>
      </c>
      <c r="N4060" t="inlineStr">
        <is>
          <t>Restaurante / Cantina</t>
        </is>
      </c>
      <c r="O4060" t="n">
        <v>2</v>
      </c>
      <c r="P4060" t="n">
        <v>16</v>
      </c>
      <c r="Q4060" t="n">
        <v>1</v>
      </c>
    </row>
    <row r="4061">
      <c r="J4061" t="inlineStr">
        <is>
          <t>M</t>
        </is>
      </c>
      <c r="K4061" t="n">
        <v>2025</v>
      </c>
      <c r="L4061" t="n">
        <v>8</v>
      </c>
      <c r="M4061" t="inlineStr">
        <is>
          <t>Requeijão Pizzalet 1,8 kg</t>
        </is>
      </c>
      <c r="N4061" t="inlineStr">
        <is>
          <t>Restaurante / Cantina</t>
        </is>
      </c>
      <c r="O4061" t="n">
        <v>1</v>
      </c>
      <c r="P4061" t="n">
        <v>1</v>
      </c>
      <c r="Q4061" t="n">
        <v>0</v>
      </c>
    </row>
    <row r="4062">
      <c r="J4062" t="inlineStr">
        <is>
          <t>A</t>
        </is>
      </c>
      <c r="K4062" t="n">
        <v>2025</v>
      </c>
      <c r="L4062" t="n">
        <v>9</v>
      </c>
      <c r="M4062" t="inlineStr">
        <is>
          <t>Requeijão Pizzalet 1,8 kg</t>
        </is>
      </c>
      <c r="N4062" t="inlineStr">
        <is>
          <t>Restaurante / Cantina</t>
        </is>
      </c>
      <c r="O4062" t="n">
        <v>2</v>
      </c>
      <c r="P4062" t="n">
        <v>17</v>
      </c>
      <c r="Q4062" t="n">
        <v>1</v>
      </c>
    </row>
    <row r="4063">
      <c r="J4063" t="inlineStr">
        <is>
          <t>M</t>
        </is>
      </c>
      <c r="K4063" t="n">
        <v>2025</v>
      </c>
      <c r="L4063" t="n">
        <v>9</v>
      </c>
      <c r="M4063" t="inlineStr">
        <is>
          <t>Requeijão Pizzalet 1,8 kg</t>
        </is>
      </c>
      <c r="N4063" t="inlineStr">
        <is>
          <t>Restaurante / Cantina</t>
        </is>
      </c>
      <c r="O4063" t="n">
        <v>1</v>
      </c>
      <c r="P4063" t="n">
        <v>1</v>
      </c>
      <c r="Q4063" t="n">
        <v>0</v>
      </c>
    </row>
    <row r="4064">
      <c r="J4064" t="inlineStr">
        <is>
          <t>A</t>
        </is>
      </c>
      <c r="K4064" t="n">
        <v>2025</v>
      </c>
      <c r="L4064" t="n">
        <v>10</v>
      </c>
      <c r="M4064" t="inlineStr">
        <is>
          <t>Requeijão Pizzalet 1,8 kg</t>
        </is>
      </c>
      <c r="N4064" t="inlineStr">
        <is>
          <t>Restaurante / Cantina</t>
        </is>
      </c>
      <c r="O4064" t="n">
        <v>2</v>
      </c>
      <c r="P4064" t="n">
        <v>18</v>
      </c>
      <c r="Q4064" t="n">
        <v>1</v>
      </c>
    </row>
    <row r="4065">
      <c r="J4065" t="inlineStr">
        <is>
          <t>M</t>
        </is>
      </c>
      <c r="K4065" t="n">
        <v>2025</v>
      </c>
      <c r="L4065" t="n">
        <v>10</v>
      </c>
      <c r="M4065" t="inlineStr">
        <is>
          <t>Requeijão Pizzalet 1,8 kg</t>
        </is>
      </c>
      <c r="N4065" t="inlineStr">
        <is>
          <t>Restaurante / Cantina</t>
        </is>
      </c>
      <c r="O4065" t="n">
        <v>1</v>
      </c>
      <c r="P4065" t="n">
        <v>1</v>
      </c>
      <c r="Q4065" t="n">
        <v>0</v>
      </c>
    </row>
    <row r="4066">
      <c r="J4066" t="inlineStr">
        <is>
          <t>A</t>
        </is>
      </c>
      <c r="K4066" t="n">
        <v>2025</v>
      </c>
      <c r="L4066" t="n">
        <v>11</v>
      </c>
      <c r="M4066" t="inlineStr">
        <is>
          <t>Requeijão Pizzalet 1,8 kg</t>
        </is>
      </c>
      <c r="N4066" t="inlineStr">
        <is>
          <t>Restaurante / Cantina</t>
        </is>
      </c>
      <c r="O4066" t="n">
        <v>2</v>
      </c>
      <c r="P4066" t="n">
        <v>19</v>
      </c>
      <c r="Q4066" t="n">
        <v>1</v>
      </c>
    </row>
    <row r="4067">
      <c r="J4067" t="inlineStr">
        <is>
          <t>M</t>
        </is>
      </c>
      <c r="K4067" t="n">
        <v>2025</v>
      </c>
      <c r="L4067" t="n">
        <v>11</v>
      </c>
      <c r="M4067" t="inlineStr">
        <is>
          <t>Requeijão Pizzalet 1,8 kg</t>
        </is>
      </c>
      <c r="N4067" t="inlineStr">
        <is>
          <t>Restaurante / Cantina</t>
        </is>
      </c>
      <c r="O4067" t="n">
        <v>1</v>
      </c>
      <c r="P4067" t="n">
        <v>1</v>
      </c>
      <c r="Q4067" t="n">
        <v>0</v>
      </c>
    </row>
    <row r="4068">
      <c r="J4068" t="inlineStr">
        <is>
          <t>A</t>
        </is>
      </c>
      <c r="K4068" t="n">
        <v>2025</v>
      </c>
      <c r="L4068" t="n">
        <v>12</v>
      </c>
      <c r="M4068" t="inlineStr">
        <is>
          <t>Requeijão Pizzalet 1,8 kg</t>
        </is>
      </c>
      <c r="N4068" t="inlineStr">
        <is>
          <t>Restaurante / Cantina</t>
        </is>
      </c>
      <c r="O4068" t="n">
        <v>2</v>
      </c>
      <c r="P4068" t="n">
        <v>20</v>
      </c>
      <c r="Q4068" t="n">
        <v>1</v>
      </c>
    </row>
    <row r="4069">
      <c r="J4069" t="inlineStr">
        <is>
          <t>M</t>
        </is>
      </c>
      <c r="K4069" t="n">
        <v>2025</v>
      </c>
      <c r="L4069" t="n">
        <v>12</v>
      </c>
      <c r="M4069" t="inlineStr">
        <is>
          <t>Requeijão Pizzalet 1,8 kg</t>
        </is>
      </c>
      <c r="N4069" t="inlineStr">
        <is>
          <t>Restaurante / Cantina</t>
        </is>
      </c>
      <c r="O4069" t="n">
        <v>1</v>
      </c>
      <c r="P4069" t="n">
        <v>1</v>
      </c>
      <c r="Q4069" t="n">
        <v>0</v>
      </c>
    </row>
    <row r="4070">
      <c r="J4070" t="inlineStr">
        <is>
          <t>A</t>
        </is>
      </c>
      <c r="K4070" t="n">
        <v>2025</v>
      </c>
      <c r="L4070" t="n">
        <v>1</v>
      </c>
      <c r="M4070" t="inlineStr">
        <is>
          <t>Requeijão Pizzalet 1,8 kg</t>
        </is>
      </c>
      <c r="N4070" t="inlineStr">
        <is>
          <t>Cozinha Industrial</t>
        </is>
      </c>
      <c r="O4070" t="n">
        <v>1</v>
      </c>
      <c r="P4070" t="n">
        <v>2</v>
      </c>
      <c r="Q4070" t="n">
        <v>0</v>
      </c>
    </row>
    <row r="4071">
      <c r="J4071" t="inlineStr">
        <is>
          <t>M</t>
        </is>
      </c>
      <c r="K4071" t="n">
        <v>2025</v>
      </c>
      <c r="L4071" t="n">
        <v>1</v>
      </c>
      <c r="M4071" t="inlineStr">
        <is>
          <t>Requeijão Pizzalet 1,8 kg</t>
        </is>
      </c>
      <c r="N4071" t="inlineStr">
        <is>
          <t>Cozinha Industrial</t>
        </is>
      </c>
      <c r="O4071" t="n">
        <v>1</v>
      </c>
      <c r="P4071" t="n">
        <v>2</v>
      </c>
      <c r="Q4071" t="n">
        <v>0</v>
      </c>
    </row>
    <row r="4072">
      <c r="J4072" t="inlineStr">
        <is>
          <t>A</t>
        </is>
      </c>
      <c r="K4072" t="n">
        <v>2025</v>
      </c>
      <c r="L4072" t="n">
        <v>2</v>
      </c>
      <c r="M4072" t="inlineStr">
        <is>
          <t>Requeijão Pizzalet 1,8 kg</t>
        </is>
      </c>
      <c r="N4072" t="inlineStr">
        <is>
          <t>Cozinha Industrial</t>
        </is>
      </c>
      <c r="O4072" t="n">
        <v>1</v>
      </c>
      <c r="P4072" t="n">
        <v>2</v>
      </c>
      <c r="Q4072" t="n">
        <v>0</v>
      </c>
    </row>
    <row r="4073">
      <c r="J4073" t="inlineStr">
        <is>
          <t>A</t>
        </is>
      </c>
      <c r="K4073" t="n">
        <v>2025</v>
      </c>
      <c r="L4073" t="n">
        <v>3</v>
      </c>
      <c r="M4073" t="inlineStr">
        <is>
          <t>Requeijão Pizzalet 1,8 kg</t>
        </is>
      </c>
      <c r="N4073" t="inlineStr">
        <is>
          <t>Cozinha Industrial</t>
        </is>
      </c>
      <c r="O4073" t="n">
        <v>1</v>
      </c>
      <c r="P4073" t="n">
        <v>2</v>
      </c>
      <c r="Q4073" t="n">
        <v>0</v>
      </c>
    </row>
    <row r="4074">
      <c r="J4074" t="inlineStr">
        <is>
          <t>A</t>
        </is>
      </c>
      <c r="K4074" t="n">
        <v>2025</v>
      </c>
      <c r="L4074" t="n">
        <v>4</v>
      </c>
      <c r="M4074" t="inlineStr">
        <is>
          <t>Requeijão Pizzalet 1,8 kg</t>
        </is>
      </c>
      <c r="N4074" t="inlineStr">
        <is>
          <t>Cozinha Industrial</t>
        </is>
      </c>
      <c r="O4074" t="n">
        <v>1</v>
      </c>
      <c r="P4074" t="n">
        <v>3</v>
      </c>
      <c r="Q4074" t="n">
        <v>0</v>
      </c>
    </row>
    <row r="4075">
      <c r="J4075" t="inlineStr">
        <is>
          <t>M</t>
        </is>
      </c>
      <c r="K4075" t="n">
        <v>2025</v>
      </c>
      <c r="L4075" t="n">
        <v>4</v>
      </c>
      <c r="M4075" t="inlineStr">
        <is>
          <t>Requeijão Pizzalet 1,8 kg</t>
        </is>
      </c>
      <c r="N4075" t="inlineStr">
        <is>
          <t>Cozinha Industrial</t>
        </is>
      </c>
      <c r="O4075" t="n">
        <v>1</v>
      </c>
      <c r="P4075" t="n">
        <v>1</v>
      </c>
      <c r="Q4075" t="n">
        <v>0</v>
      </c>
    </row>
    <row r="4076">
      <c r="J4076" t="inlineStr">
        <is>
          <t>A</t>
        </is>
      </c>
      <c r="K4076" t="n">
        <v>2025</v>
      </c>
      <c r="L4076" t="n">
        <v>5</v>
      </c>
      <c r="M4076" t="inlineStr">
        <is>
          <t>Requeijão Pizzalet 1,8 kg</t>
        </is>
      </c>
      <c r="N4076" t="inlineStr">
        <is>
          <t>Cozinha Industrial</t>
        </is>
      </c>
      <c r="O4076" t="n">
        <v>1</v>
      </c>
      <c r="P4076" t="n">
        <v>3</v>
      </c>
      <c r="Q4076" t="n">
        <v>0</v>
      </c>
    </row>
    <row r="4077">
      <c r="J4077" t="inlineStr">
        <is>
          <t>A</t>
        </is>
      </c>
      <c r="K4077" t="n">
        <v>2025</v>
      </c>
      <c r="L4077" t="n">
        <v>6</v>
      </c>
      <c r="M4077" t="inlineStr">
        <is>
          <t>Requeijão Pizzalet 1,8 kg</t>
        </is>
      </c>
      <c r="N4077" t="inlineStr">
        <is>
          <t>Cozinha Industrial</t>
        </is>
      </c>
      <c r="O4077" t="n">
        <v>1</v>
      </c>
      <c r="P4077" t="n">
        <v>5</v>
      </c>
      <c r="Q4077" t="n">
        <v>0</v>
      </c>
    </row>
    <row r="4078">
      <c r="J4078" t="inlineStr">
        <is>
          <t>M</t>
        </is>
      </c>
      <c r="K4078" t="n">
        <v>2025</v>
      </c>
      <c r="L4078" t="n">
        <v>6</v>
      </c>
      <c r="M4078" t="inlineStr">
        <is>
          <t>Requeijão Pizzalet 1,8 kg</t>
        </is>
      </c>
      <c r="N4078" t="inlineStr">
        <is>
          <t>Cozinha Industrial</t>
        </is>
      </c>
      <c r="O4078" t="n">
        <v>1</v>
      </c>
      <c r="P4078" t="n">
        <v>2</v>
      </c>
      <c r="Q4078" t="n">
        <v>0</v>
      </c>
    </row>
    <row r="4079">
      <c r="J4079" t="inlineStr">
        <is>
          <t>A</t>
        </is>
      </c>
      <c r="K4079" t="n">
        <v>2025</v>
      </c>
      <c r="L4079" t="n">
        <v>7</v>
      </c>
      <c r="M4079" t="inlineStr">
        <is>
          <t>Requeijão Pizzalet 1,8 kg</t>
        </is>
      </c>
      <c r="N4079" t="inlineStr">
        <is>
          <t>Cozinha Industrial</t>
        </is>
      </c>
      <c r="O4079" t="n">
        <v>1</v>
      </c>
      <c r="P4079" t="n">
        <v>5</v>
      </c>
      <c r="Q4079" t="n">
        <v>0</v>
      </c>
    </row>
    <row r="4080">
      <c r="J4080" t="inlineStr">
        <is>
          <t>A</t>
        </is>
      </c>
      <c r="K4080" t="n">
        <v>2025</v>
      </c>
      <c r="L4080" t="n">
        <v>8</v>
      </c>
      <c r="M4080" t="inlineStr">
        <is>
          <t>Requeijão Pizzalet 1,8 kg</t>
        </is>
      </c>
      <c r="N4080" t="inlineStr">
        <is>
          <t>Cozinha Industrial</t>
        </is>
      </c>
      <c r="O4080" t="n">
        <v>1</v>
      </c>
      <c r="P4080" t="n">
        <v>5</v>
      </c>
      <c r="Q4080" t="n">
        <v>0</v>
      </c>
    </row>
    <row r="4081">
      <c r="J4081" t="inlineStr">
        <is>
          <t>A</t>
        </is>
      </c>
      <c r="K4081" t="n">
        <v>2025</v>
      </c>
      <c r="L4081" t="n">
        <v>9</v>
      </c>
      <c r="M4081" t="inlineStr">
        <is>
          <t>Requeijão Pizzalet 1,8 kg</t>
        </is>
      </c>
      <c r="N4081" t="inlineStr">
        <is>
          <t>Cozinha Industrial</t>
        </is>
      </c>
      <c r="O4081" t="n">
        <v>1</v>
      </c>
      <c r="P4081" t="n">
        <v>5</v>
      </c>
      <c r="Q4081" t="n">
        <v>0</v>
      </c>
    </row>
    <row r="4082">
      <c r="J4082" t="inlineStr">
        <is>
          <t>A</t>
        </is>
      </c>
      <c r="K4082" t="n">
        <v>2025</v>
      </c>
      <c r="L4082" t="n">
        <v>10</v>
      </c>
      <c r="M4082" t="inlineStr">
        <is>
          <t>Requeijão Pizzalet 1,8 kg</t>
        </is>
      </c>
      <c r="N4082" t="inlineStr">
        <is>
          <t>Cozinha Industrial</t>
        </is>
      </c>
      <c r="O4082" t="n">
        <v>1</v>
      </c>
      <c r="P4082" t="n">
        <v>5</v>
      </c>
      <c r="Q4082" t="n">
        <v>0</v>
      </c>
    </row>
    <row r="4083">
      <c r="J4083" t="inlineStr">
        <is>
          <t>A</t>
        </is>
      </c>
      <c r="K4083" t="n">
        <v>2025</v>
      </c>
      <c r="L4083" t="n">
        <v>11</v>
      </c>
      <c r="M4083" t="inlineStr">
        <is>
          <t>Requeijão Pizzalet 1,8 kg</t>
        </is>
      </c>
      <c r="N4083" t="inlineStr">
        <is>
          <t>Cozinha Industrial</t>
        </is>
      </c>
      <c r="O4083" t="n">
        <v>1</v>
      </c>
      <c r="P4083" t="n">
        <v>5</v>
      </c>
      <c r="Q4083" t="n">
        <v>0</v>
      </c>
    </row>
    <row r="4084">
      <c r="J4084" t="inlineStr">
        <is>
          <t>A</t>
        </is>
      </c>
      <c r="K4084" t="n">
        <v>2025</v>
      </c>
      <c r="L4084" t="n">
        <v>12</v>
      </c>
      <c r="M4084" t="inlineStr">
        <is>
          <t>Requeijão Pizzalet 1,8 kg</t>
        </is>
      </c>
      <c r="N4084" t="inlineStr">
        <is>
          <t>Cozinha Industrial</t>
        </is>
      </c>
      <c r="O4084" t="n">
        <v>1</v>
      </c>
      <c r="P4084" t="n">
        <v>5</v>
      </c>
      <c r="Q4084" t="n">
        <v>0</v>
      </c>
    </row>
    <row r="4085">
      <c r="J4085" t="inlineStr">
        <is>
          <t>A</t>
        </is>
      </c>
      <c r="K4085" t="n">
        <v>2025</v>
      </c>
      <c r="L4085" t="n">
        <v>1</v>
      </c>
      <c r="M4085" t="inlineStr">
        <is>
          <t>Requeijão Pizzalet 1,8 kg</t>
        </is>
      </c>
      <c r="N4085" t="inlineStr">
        <is>
          <t>Outros</t>
        </is>
      </c>
      <c r="O4085" t="n">
        <v>2</v>
      </c>
      <c r="P4085" t="n">
        <v>5</v>
      </c>
      <c r="Q4085" t="n">
        <v>1</v>
      </c>
    </row>
    <row r="4086">
      <c r="J4086" t="inlineStr">
        <is>
          <t>M</t>
        </is>
      </c>
      <c r="K4086" t="n">
        <v>2025</v>
      </c>
      <c r="L4086" t="n">
        <v>1</v>
      </c>
      <c r="M4086" t="inlineStr">
        <is>
          <t>Requeijão Pizzalet 1,8 kg</t>
        </is>
      </c>
      <c r="N4086" t="inlineStr">
        <is>
          <t>Outros</t>
        </is>
      </c>
      <c r="O4086" t="n">
        <v>2</v>
      </c>
      <c r="P4086" t="n">
        <v>5</v>
      </c>
      <c r="Q4086" t="n">
        <v>0</v>
      </c>
    </row>
    <row r="4087">
      <c r="J4087" t="inlineStr">
        <is>
          <t>A</t>
        </is>
      </c>
      <c r="K4087" t="n">
        <v>2025</v>
      </c>
      <c r="L4087" t="n">
        <v>2</v>
      </c>
      <c r="M4087" t="inlineStr">
        <is>
          <t>Requeijão Pizzalet 1,8 kg</t>
        </is>
      </c>
      <c r="N4087" t="inlineStr">
        <is>
          <t>Outros</t>
        </is>
      </c>
      <c r="O4087" t="n">
        <v>2</v>
      </c>
      <c r="P4087" t="n">
        <v>8</v>
      </c>
      <c r="Q4087" t="n">
        <v>1</v>
      </c>
    </row>
    <row r="4088">
      <c r="J4088" t="inlineStr">
        <is>
          <t>M</t>
        </is>
      </c>
      <c r="K4088" t="n">
        <v>2025</v>
      </c>
      <c r="L4088" t="n">
        <v>2</v>
      </c>
      <c r="M4088" t="inlineStr">
        <is>
          <t>Requeijão Pizzalet 1,8 kg</t>
        </is>
      </c>
      <c r="N4088" t="inlineStr">
        <is>
          <t>Outros</t>
        </is>
      </c>
      <c r="O4088" t="n">
        <v>1</v>
      </c>
      <c r="P4088" t="n">
        <v>3</v>
      </c>
      <c r="Q4088" t="n">
        <v>0</v>
      </c>
    </row>
    <row r="4089">
      <c r="J4089" t="inlineStr">
        <is>
          <t>A</t>
        </is>
      </c>
      <c r="K4089" t="n">
        <v>2025</v>
      </c>
      <c r="L4089" t="n">
        <v>3</v>
      </c>
      <c r="M4089" t="inlineStr">
        <is>
          <t>Requeijão Pizzalet 1,8 kg</t>
        </is>
      </c>
      <c r="N4089" t="inlineStr">
        <is>
          <t>Outros</t>
        </is>
      </c>
      <c r="O4089" t="n">
        <v>2</v>
      </c>
      <c r="P4089" t="n">
        <v>12</v>
      </c>
      <c r="Q4089" t="n">
        <v>1</v>
      </c>
    </row>
    <row r="4090">
      <c r="J4090" t="inlineStr">
        <is>
          <t>M</t>
        </is>
      </c>
      <c r="K4090" t="n">
        <v>2025</v>
      </c>
      <c r="L4090" t="n">
        <v>3</v>
      </c>
      <c r="M4090" t="inlineStr">
        <is>
          <t>Requeijão Pizzalet 1,8 kg</t>
        </is>
      </c>
      <c r="N4090" t="inlineStr">
        <is>
          <t>Outros</t>
        </is>
      </c>
      <c r="O4090" t="n">
        <v>1</v>
      </c>
      <c r="P4090" t="n">
        <v>4</v>
      </c>
      <c r="Q4090" t="n">
        <v>0</v>
      </c>
    </row>
    <row r="4091">
      <c r="J4091" t="inlineStr">
        <is>
          <t>A</t>
        </is>
      </c>
      <c r="K4091" t="n">
        <v>2025</v>
      </c>
      <c r="L4091" t="n">
        <v>4</v>
      </c>
      <c r="M4091" t="inlineStr">
        <is>
          <t>Requeijão Pizzalet 1,8 kg</t>
        </is>
      </c>
      <c r="N4091" t="inlineStr">
        <is>
          <t>Outros</t>
        </is>
      </c>
      <c r="O4091" t="n">
        <v>2</v>
      </c>
      <c r="P4091" t="n">
        <v>16</v>
      </c>
      <c r="Q4091" t="n">
        <v>1</v>
      </c>
    </row>
    <row r="4092">
      <c r="J4092" t="inlineStr">
        <is>
          <t>M</t>
        </is>
      </c>
      <c r="K4092" t="n">
        <v>2025</v>
      </c>
      <c r="L4092" t="n">
        <v>4</v>
      </c>
      <c r="M4092" t="inlineStr">
        <is>
          <t>Requeijão Pizzalet 1,8 kg</t>
        </is>
      </c>
      <c r="N4092" t="inlineStr">
        <is>
          <t>Outros</t>
        </is>
      </c>
      <c r="O4092" t="n">
        <v>1</v>
      </c>
      <c r="P4092" t="n">
        <v>4</v>
      </c>
      <c r="Q4092" t="n">
        <v>0</v>
      </c>
    </row>
    <row r="4093">
      <c r="J4093" t="inlineStr">
        <is>
          <t>A</t>
        </is>
      </c>
      <c r="K4093" t="n">
        <v>2025</v>
      </c>
      <c r="L4093" t="n">
        <v>5</v>
      </c>
      <c r="M4093" t="inlineStr">
        <is>
          <t>Requeijão Pizzalet 1,8 kg</t>
        </is>
      </c>
      <c r="N4093" t="inlineStr">
        <is>
          <t>Outros</t>
        </is>
      </c>
      <c r="O4093" t="n">
        <v>2</v>
      </c>
      <c r="P4093" t="n">
        <v>20</v>
      </c>
      <c r="Q4093" t="n">
        <v>1</v>
      </c>
    </row>
    <row r="4094">
      <c r="J4094" t="inlineStr">
        <is>
          <t>M</t>
        </is>
      </c>
      <c r="K4094" t="n">
        <v>2025</v>
      </c>
      <c r="L4094" t="n">
        <v>5</v>
      </c>
      <c r="M4094" t="inlineStr">
        <is>
          <t>Requeijão Pizzalet 1,8 kg</t>
        </is>
      </c>
      <c r="N4094" t="inlineStr">
        <is>
          <t>Outros</t>
        </is>
      </c>
      <c r="O4094" t="n">
        <v>1</v>
      </c>
      <c r="P4094" t="n">
        <v>4</v>
      </c>
      <c r="Q4094" t="n">
        <v>0</v>
      </c>
    </row>
    <row r="4095">
      <c r="J4095" t="inlineStr">
        <is>
          <t>A</t>
        </is>
      </c>
      <c r="K4095" t="n">
        <v>2025</v>
      </c>
      <c r="L4095" t="n">
        <v>6</v>
      </c>
      <c r="M4095" t="inlineStr">
        <is>
          <t>Requeijão Pizzalet 1,8 kg</t>
        </is>
      </c>
      <c r="N4095" t="inlineStr">
        <is>
          <t>Outros</t>
        </is>
      </c>
      <c r="O4095" t="n">
        <v>2</v>
      </c>
      <c r="P4095" t="n">
        <v>25</v>
      </c>
      <c r="Q4095" t="n">
        <v>1</v>
      </c>
    </row>
    <row r="4096">
      <c r="J4096" t="inlineStr">
        <is>
          <t>M</t>
        </is>
      </c>
      <c r="K4096" t="n">
        <v>2025</v>
      </c>
      <c r="L4096" t="n">
        <v>6</v>
      </c>
      <c r="M4096" t="inlineStr">
        <is>
          <t>Requeijão Pizzalet 1,8 kg</t>
        </is>
      </c>
      <c r="N4096" t="inlineStr">
        <is>
          <t>Outros</t>
        </is>
      </c>
      <c r="O4096" t="n">
        <v>1</v>
      </c>
      <c r="P4096" t="n">
        <v>5</v>
      </c>
      <c r="Q4096" t="n">
        <v>0</v>
      </c>
    </row>
    <row r="4097">
      <c r="J4097" t="inlineStr">
        <is>
          <t>A</t>
        </is>
      </c>
      <c r="K4097" t="n">
        <v>2025</v>
      </c>
      <c r="L4097" t="n">
        <v>7</v>
      </c>
      <c r="M4097" t="inlineStr">
        <is>
          <t>Requeijão Pizzalet 1,8 kg</t>
        </is>
      </c>
      <c r="N4097" t="inlineStr">
        <is>
          <t>Outros</t>
        </is>
      </c>
      <c r="O4097" t="n">
        <v>2</v>
      </c>
      <c r="P4097" t="n">
        <v>29</v>
      </c>
      <c r="Q4097" t="n">
        <v>1</v>
      </c>
    </row>
    <row r="4098">
      <c r="J4098" t="inlineStr">
        <is>
          <t>M</t>
        </is>
      </c>
      <c r="K4098" t="n">
        <v>2025</v>
      </c>
      <c r="L4098" t="n">
        <v>7</v>
      </c>
      <c r="M4098" t="inlineStr">
        <is>
          <t>Requeijão Pizzalet 1,8 kg</t>
        </is>
      </c>
      <c r="N4098" t="inlineStr">
        <is>
          <t>Outros</t>
        </is>
      </c>
      <c r="O4098" t="n">
        <v>1</v>
      </c>
      <c r="P4098" t="n">
        <v>4</v>
      </c>
      <c r="Q4098" t="n">
        <v>0</v>
      </c>
    </row>
    <row r="4099">
      <c r="J4099" t="inlineStr">
        <is>
          <t>A</t>
        </is>
      </c>
      <c r="K4099" t="n">
        <v>2025</v>
      </c>
      <c r="L4099" t="n">
        <v>8</v>
      </c>
      <c r="M4099" t="inlineStr">
        <is>
          <t>Requeijão Pizzalet 1,8 kg</t>
        </is>
      </c>
      <c r="N4099" t="inlineStr">
        <is>
          <t>Outros</t>
        </is>
      </c>
      <c r="O4099" t="n">
        <v>2</v>
      </c>
      <c r="P4099" t="n">
        <v>33</v>
      </c>
      <c r="Q4099" t="n">
        <v>1</v>
      </c>
    </row>
    <row r="4100">
      <c r="J4100" t="inlineStr">
        <is>
          <t>M</t>
        </is>
      </c>
      <c r="K4100" t="n">
        <v>2025</v>
      </c>
      <c r="L4100" t="n">
        <v>8</v>
      </c>
      <c r="M4100" t="inlineStr">
        <is>
          <t>Requeijão Pizzalet 1,8 kg</t>
        </is>
      </c>
      <c r="N4100" t="inlineStr">
        <is>
          <t>Outros</t>
        </is>
      </c>
      <c r="O4100" t="n">
        <v>1</v>
      </c>
      <c r="P4100" t="n">
        <v>4</v>
      </c>
      <c r="Q4100" t="n">
        <v>0</v>
      </c>
    </row>
    <row r="4101">
      <c r="J4101" t="inlineStr">
        <is>
          <t>A</t>
        </is>
      </c>
      <c r="K4101" t="n">
        <v>2025</v>
      </c>
      <c r="L4101" t="n">
        <v>9</v>
      </c>
      <c r="M4101" t="inlineStr">
        <is>
          <t>Requeijão Pizzalet 1,8 kg</t>
        </is>
      </c>
      <c r="N4101" t="inlineStr">
        <is>
          <t>Outros</t>
        </is>
      </c>
      <c r="O4101" t="n">
        <v>2</v>
      </c>
      <c r="P4101" t="n">
        <v>38</v>
      </c>
      <c r="Q4101" t="n">
        <v>1</v>
      </c>
    </row>
    <row r="4102">
      <c r="J4102" t="inlineStr">
        <is>
          <t>M</t>
        </is>
      </c>
      <c r="K4102" t="n">
        <v>2025</v>
      </c>
      <c r="L4102" t="n">
        <v>9</v>
      </c>
      <c r="M4102" t="inlineStr">
        <is>
          <t>Requeijão Pizzalet 1,8 kg</t>
        </is>
      </c>
      <c r="N4102" t="inlineStr">
        <is>
          <t>Outros</t>
        </is>
      </c>
      <c r="O4102" t="n">
        <v>1</v>
      </c>
      <c r="P4102" t="n">
        <v>5</v>
      </c>
      <c r="Q4102" t="n">
        <v>0</v>
      </c>
    </row>
    <row r="4103">
      <c r="J4103" t="inlineStr">
        <is>
          <t>A</t>
        </is>
      </c>
      <c r="K4103" t="n">
        <v>2025</v>
      </c>
      <c r="L4103" t="n">
        <v>10</v>
      </c>
      <c r="M4103" t="inlineStr">
        <is>
          <t>Requeijão Pizzalet 1,8 kg</t>
        </is>
      </c>
      <c r="N4103" t="inlineStr">
        <is>
          <t>Outros</t>
        </is>
      </c>
      <c r="O4103" t="n">
        <v>2</v>
      </c>
      <c r="P4103" t="n">
        <v>42</v>
      </c>
      <c r="Q4103" t="n">
        <v>1</v>
      </c>
    </row>
    <row r="4104">
      <c r="J4104" t="inlineStr">
        <is>
          <t>M</t>
        </is>
      </c>
      <c r="K4104" t="n">
        <v>2025</v>
      </c>
      <c r="L4104" t="n">
        <v>10</v>
      </c>
      <c r="M4104" t="inlineStr">
        <is>
          <t>Requeijão Pizzalet 1,8 kg</t>
        </is>
      </c>
      <c r="N4104" t="inlineStr">
        <is>
          <t>Outros</t>
        </is>
      </c>
      <c r="O4104" t="n">
        <v>1</v>
      </c>
      <c r="P4104" t="n">
        <v>4</v>
      </c>
      <c r="Q4104" t="n">
        <v>0</v>
      </c>
    </row>
    <row r="4105">
      <c r="J4105" t="inlineStr">
        <is>
          <t>A</t>
        </is>
      </c>
      <c r="K4105" t="n">
        <v>2025</v>
      </c>
      <c r="L4105" t="n">
        <v>11</v>
      </c>
      <c r="M4105" t="inlineStr">
        <is>
          <t>Requeijão Pizzalet 1,8 kg</t>
        </is>
      </c>
      <c r="N4105" t="inlineStr">
        <is>
          <t>Outros</t>
        </is>
      </c>
      <c r="O4105" t="n">
        <v>2</v>
      </c>
      <c r="P4105" t="n">
        <v>44</v>
      </c>
      <c r="Q4105" t="n">
        <v>1</v>
      </c>
    </row>
    <row r="4106">
      <c r="J4106" t="inlineStr">
        <is>
          <t>M</t>
        </is>
      </c>
      <c r="K4106" t="n">
        <v>2025</v>
      </c>
      <c r="L4106" t="n">
        <v>11</v>
      </c>
      <c r="M4106" t="inlineStr">
        <is>
          <t>Requeijão Pizzalet 1,8 kg</t>
        </is>
      </c>
      <c r="N4106" t="inlineStr">
        <is>
          <t>Outros</t>
        </is>
      </c>
      <c r="O4106" t="n">
        <v>1</v>
      </c>
      <c r="P4106" t="n">
        <v>2</v>
      </c>
      <c r="Q4106" t="n">
        <v>0</v>
      </c>
    </row>
    <row r="4107">
      <c r="J4107" t="inlineStr">
        <is>
          <t>A</t>
        </is>
      </c>
      <c r="K4107" t="n">
        <v>2025</v>
      </c>
      <c r="L4107" t="n">
        <v>12</v>
      </c>
      <c r="M4107" t="inlineStr">
        <is>
          <t>Requeijão Pizzalet 1,8 kg</t>
        </is>
      </c>
      <c r="N4107" t="inlineStr">
        <is>
          <t>Outros</t>
        </is>
      </c>
      <c r="O4107" t="n">
        <v>2</v>
      </c>
      <c r="P4107" t="n">
        <v>45</v>
      </c>
      <c r="Q4107" t="n">
        <v>1</v>
      </c>
    </row>
    <row r="4108">
      <c r="J4108" t="inlineStr">
        <is>
          <t>M</t>
        </is>
      </c>
      <c r="K4108" t="n">
        <v>2025</v>
      </c>
      <c r="L4108" t="n">
        <v>12</v>
      </c>
      <c r="M4108" t="inlineStr">
        <is>
          <t>Requeijão Pizzalet 1,8 kg</t>
        </is>
      </c>
      <c r="N4108" t="inlineStr">
        <is>
          <t>Outros</t>
        </is>
      </c>
      <c r="O4108" t="n">
        <v>1</v>
      </c>
      <c r="P4108" t="n">
        <v>1</v>
      </c>
      <c r="Q4108" t="n">
        <v>0</v>
      </c>
    </row>
    <row r="4109">
      <c r="J4109" t="inlineStr">
        <is>
          <t>A</t>
        </is>
      </c>
      <c r="K4109" t="n">
        <v>2025</v>
      </c>
      <c r="L4109" t="n">
        <v>1</v>
      </c>
      <c r="M4109" t="inlineStr">
        <is>
          <t>Requeijão Pizzalet 1,8 kg</t>
        </is>
      </c>
      <c r="N4109" t="inlineStr">
        <is>
          <t>Pessoa Física</t>
        </is>
      </c>
      <c r="O4109" t="n">
        <v>1</v>
      </c>
      <c r="P4109" t="n">
        <v>1</v>
      </c>
      <c r="Q4109" t="n">
        <v>0</v>
      </c>
    </row>
    <row r="4110">
      <c r="J4110" t="inlineStr">
        <is>
          <t>M</t>
        </is>
      </c>
      <c r="K4110" t="n">
        <v>2025</v>
      </c>
      <c r="L4110" t="n">
        <v>1</v>
      </c>
      <c r="M4110" t="inlineStr">
        <is>
          <t>Requeijão Pizzalet 1,8 kg</t>
        </is>
      </c>
      <c r="N4110" t="inlineStr">
        <is>
          <t>Pessoa Física</t>
        </is>
      </c>
      <c r="O4110" t="n">
        <v>1</v>
      </c>
      <c r="P4110" t="n">
        <v>1</v>
      </c>
      <c r="Q4110" t="n">
        <v>0</v>
      </c>
    </row>
    <row r="4111">
      <c r="J4111" t="inlineStr">
        <is>
          <t>A</t>
        </is>
      </c>
      <c r="K4111" t="n">
        <v>2025</v>
      </c>
      <c r="L4111" t="n">
        <v>2</v>
      </c>
      <c r="M4111" t="inlineStr">
        <is>
          <t>Requeijão Pizzalet 1,8 kg</t>
        </is>
      </c>
      <c r="N4111" t="inlineStr">
        <is>
          <t>Pessoa Física</t>
        </is>
      </c>
      <c r="O4111" t="n">
        <v>2</v>
      </c>
      <c r="P4111" t="n">
        <v>3</v>
      </c>
      <c r="Q4111" t="n">
        <v>1</v>
      </c>
    </row>
    <row r="4112">
      <c r="J4112" t="inlineStr">
        <is>
          <t>M</t>
        </is>
      </c>
      <c r="K4112" t="n">
        <v>2025</v>
      </c>
      <c r="L4112" t="n">
        <v>2</v>
      </c>
      <c r="M4112" t="inlineStr">
        <is>
          <t>Requeijão Pizzalet 1,8 kg</t>
        </is>
      </c>
      <c r="N4112" t="inlineStr">
        <is>
          <t>Pessoa Física</t>
        </is>
      </c>
      <c r="O4112" t="n">
        <v>1</v>
      </c>
      <c r="P4112" t="n">
        <v>2</v>
      </c>
      <c r="Q4112" t="n">
        <v>0</v>
      </c>
    </row>
    <row r="4113">
      <c r="J4113" t="inlineStr">
        <is>
          <t>A</t>
        </is>
      </c>
      <c r="K4113" t="n">
        <v>2025</v>
      </c>
      <c r="L4113" t="n">
        <v>3</v>
      </c>
      <c r="M4113" t="inlineStr">
        <is>
          <t>Requeijão Pizzalet 1,8 kg</t>
        </is>
      </c>
      <c r="N4113" t="inlineStr">
        <is>
          <t>Pessoa Física</t>
        </is>
      </c>
      <c r="O4113" t="n">
        <v>2</v>
      </c>
      <c r="P4113" t="n">
        <v>3</v>
      </c>
      <c r="Q4113" t="n">
        <v>1</v>
      </c>
    </row>
    <row r="4114">
      <c r="J4114" t="inlineStr">
        <is>
          <t>A</t>
        </is>
      </c>
      <c r="K4114" t="n">
        <v>2025</v>
      </c>
      <c r="L4114" t="n">
        <v>4</v>
      </c>
      <c r="M4114" t="inlineStr">
        <is>
          <t>Requeijão Pizzalet 1,8 kg</t>
        </is>
      </c>
      <c r="N4114" t="inlineStr">
        <is>
          <t>Pessoa Física</t>
        </is>
      </c>
      <c r="O4114" t="n">
        <v>2</v>
      </c>
      <c r="P4114" t="n">
        <v>3</v>
      </c>
      <c r="Q4114" t="n">
        <v>1</v>
      </c>
    </row>
    <row r="4115">
      <c r="J4115" t="inlineStr">
        <is>
          <t>A</t>
        </is>
      </c>
      <c r="K4115" t="n">
        <v>2025</v>
      </c>
      <c r="L4115" t="n">
        <v>5</v>
      </c>
      <c r="M4115" t="inlineStr">
        <is>
          <t>Requeijão Pizzalet 1,8 kg</t>
        </is>
      </c>
      <c r="N4115" t="inlineStr">
        <is>
          <t>Pessoa Física</t>
        </is>
      </c>
      <c r="O4115" t="n">
        <v>2</v>
      </c>
      <c r="P4115" t="n">
        <v>3</v>
      </c>
      <c r="Q4115" t="n">
        <v>1</v>
      </c>
    </row>
    <row r="4116">
      <c r="J4116" t="inlineStr">
        <is>
          <t>A</t>
        </is>
      </c>
      <c r="K4116" t="n">
        <v>2025</v>
      </c>
      <c r="L4116" t="n">
        <v>6</v>
      </c>
      <c r="M4116" t="inlineStr">
        <is>
          <t>Requeijão Pizzalet 1,8 kg</t>
        </is>
      </c>
      <c r="N4116" t="inlineStr">
        <is>
          <t>Pessoa Física</t>
        </is>
      </c>
      <c r="O4116" t="n">
        <v>2</v>
      </c>
      <c r="P4116" t="n">
        <v>3</v>
      </c>
      <c r="Q4116" t="n">
        <v>1</v>
      </c>
    </row>
    <row r="4117">
      <c r="J4117" t="inlineStr">
        <is>
          <t>A</t>
        </is>
      </c>
      <c r="K4117" t="n">
        <v>2025</v>
      </c>
      <c r="L4117" t="n">
        <v>7</v>
      </c>
      <c r="M4117" t="inlineStr">
        <is>
          <t>Requeijão Pizzalet 1,8 kg</t>
        </is>
      </c>
      <c r="N4117" t="inlineStr">
        <is>
          <t>Pessoa Física</t>
        </is>
      </c>
      <c r="O4117" t="n">
        <v>2</v>
      </c>
      <c r="P4117" t="n">
        <v>3</v>
      </c>
      <c r="Q4117" t="n">
        <v>1</v>
      </c>
    </row>
    <row r="4118">
      <c r="J4118" t="inlineStr">
        <is>
          <t>A</t>
        </is>
      </c>
      <c r="K4118" t="n">
        <v>2025</v>
      </c>
      <c r="L4118" t="n">
        <v>8</v>
      </c>
      <c r="M4118" t="inlineStr">
        <is>
          <t>Requeijão Pizzalet 1,8 kg</t>
        </is>
      </c>
      <c r="N4118" t="inlineStr">
        <is>
          <t>Pessoa Física</t>
        </is>
      </c>
      <c r="O4118" t="n">
        <v>2</v>
      </c>
      <c r="P4118" t="n">
        <v>3</v>
      </c>
      <c r="Q4118" t="n">
        <v>1</v>
      </c>
    </row>
    <row r="4119">
      <c r="J4119" t="inlineStr">
        <is>
          <t>A</t>
        </is>
      </c>
      <c r="K4119" t="n">
        <v>2025</v>
      </c>
      <c r="L4119" t="n">
        <v>9</v>
      </c>
      <c r="M4119" t="inlineStr">
        <is>
          <t>Requeijão Pizzalet 1,8 kg</t>
        </is>
      </c>
      <c r="N4119" t="inlineStr">
        <is>
          <t>Pessoa Física</t>
        </is>
      </c>
      <c r="O4119" t="n">
        <v>2</v>
      </c>
      <c r="P4119" t="n">
        <v>3</v>
      </c>
      <c r="Q4119" t="n">
        <v>1</v>
      </c>
    </row>
    <row r="4120">
      <c r="J4120" t="inlineStr">
        <is>
          <t>A</t>
        </is>
      </c>
      <c r="K4120" t="n">
        <v>2025</v>
      </c>
      <c r="L4120" t="n">
        <v>10</v>
      </c>
      <c r="M4120" t="inlineStr">
        <is>
          <t>Requeijão Pizzalet 1,8 kg</t>
        </is>
      </c>
      <c r="N4120" t="inlineStr">
        <is>
          <t>Pessoa Física</t>
        </is>
      </c>
      <c r="O4120" t="n">
        <v>2</v>
      </c>
      <c r="P4120" t="n">
        <v>3</v>
      </c>
      <c r="Q4120" t="n">
        <v>1</v>
      </c>
    </row>
    <row r="4121">
      <c r="J4121" t="inlineStr">
        <is>
          <t>A</t>
        </is>
      </c>
      <c r="K4121" t="n">
        <v>2025</v>
      </c>
      <c r="L4121" t="n">
        <v>11</v>
      </c>
      <c r="M4121" t="inlineStr">
        <is>
          <t>Requeijão Pizzalet 1,8 kg</t>
        </is>
      </c>
      <c r="N4121" t="inlineStr">
        <is>
          <t>Pessoa Física</t>
        </is>
      </c>
      <c r="O4121" t="n">
        <v>2</v>
      </c>
      <c r="P4121" t="n">
        <v>3</v>
      </c>
      <c r="Q4121" t="n">
        <v>1</v>
      </c>
    </row>
    <row r="4122">
      <c r="J4122" t="inlineStr">
        <is>
          <t>A</t>
        </is>
      </c>
      <c r="K4122" t="n">
        <v>2025</v>
      </c>
      <c r="L4122" t="n">
        <v>12</v>
      </c>
      <c r="M4122" t="inlineStr">
        <is>
          <t>Requeijão Pizzalet 1,8 kg</t>
        </is>
      </c>
      <c r="N4122" t="inlineStr">
        <is>
          <t>Pessoa Física</t>
        </is>
      </c>
      <c r="O4122" t="n">
        <v>2</v>
      </c>
      <c r="P4122" t="n">
        <v>3</v>
      </c>
      <c r="Q4122" t="n">
        <v>1</v>
      </c>
    </row>
    <row r="4123">
      <c r="J4123" t="inlineStr">
        <is>
          <t>A</t>
        </is>
      </c>
      <c r="K4123" t="n">
        <v>2025</v>
      </c>
      <c r="L4123" t="n">
        <v>1</v>
      </c>
      <c r="M4123" t="inlineStr">
        <is>
          <t>Requeijão Pizzalet 1,8 kg</t>
        </is>
      </c>
      <c r="N4123" t="inlineStr">
        <is>
          <t>Pastelaria</t>
        </is>
      </c>
      <c r="O4123" t="n">
        <v>5</v>
      </c>
      <c r="P4123" t="n">
        <v>10</v>
      </c>
      <c r="Q4123" t="n">
        <v>0</v>
      </c>
    </row>
    <row r="4124">
      <c r="J4124" t="inlineStr">
        <is>
          <t>M</t>
        </is>
      </c>
      <c r="K4124" t="n">
        <v>2025</v>
      </c>
      <c r="L4124" t="n">
        <v>1</v>
      </c>
      <c r="M4124" t="inlineStr">
        <is>
          <t>Requeijão Pizzalet 1,8 kg</t>
        </is>
      </c>
      <c r="N4124" t="inlineStr">
        <is>
          <t>Pastelaria</t>
        </is>
      </c>
      <c r="O4124" t="n">
        <v>5</v>
      </c>
      <c r="P4124" t="n">
        <v>10</v>
      </c>
      <c r="Q4124" t="n">
        <v>0</v>
      </c>
    </row>
    <row r="4125">
      <c r="J4125" t="inlineStr">
        <is>
          <t>A</t>
        </is>
      </c>
      <c r="K4125" t="n">
        <v>2025</v>
      </c>
      <c r="L4125" t="n">
        <v>2</v>
      </c>
      <c r="M4125" t="inlineStr">
        <is>
          <t>Requeijão Pizzalet 1,8 kg</t>
        </is>
      </c>
      <c r="N4125" t="inlineStr">
        <is>
          <t>Pastelaria</t>
        </is>
      </c>
      <c r="O4125" t="n">
        <v>5</v>
      </c>
      <c r="P4125" t="n">
        <v>19</v>
      </c>
      <c r="Q4125" t="n">
        <v>0</v>
      </c>
    </row>
    <row r="4126">
      <c r="J4126" t="inlineStr">
        <is>
          <t>M</t>
        </is>
      </c>
      <c r="K4126" t="n">
        <v>2025</v>
      </c>
      <c r="L4126" t="n">
        <v>2</v>
      </c>
      <c r="M4126" t="inlineStr">
        <is>
          <t>Requeijão Pizzalet 1,8 kg</t>
        </is>
      </c>
      <c r="N4126" t="inlineStr">
        <is>
          <t>Pastelaria</t>
        </is>
      </c>
      <c r="O4126" t="n">
        <v>4</v>
      </c>
      <c r="P4126" t="n">
        <v>9</v>
      </c>
      <c r="Q4126" t="n">
        <v>0</v>
      </c>
    </row>
    <row r="4127">
      <c r="J4127" t="inlineStr">
        <is>
          <t>A</t>
        </is>
      </c>
      <c r="K4127" t="n">
        <v>2025</v>
      </c>
      <c r="L4127" t="n">
        <v>3</v>
      </c>
      <c r="M4127" t="inlineStr">
        <is>
          <t>Requeijão Pizzalet 1,8 kg</t>
        </is>
      </c>
      <c r="N4127" t="inlineStr">
        <is>
          <t>Pastelaria</t>
        </is>
      </c>
      <c r="O4127" t="n">
        <v>5</v>
      </c>
      <c r="P4127" t="n">
        <v>29</v>
      </c>
      <c r="Q4127" t="n">
        <v>0</v>
      </c>
    </row>
    <row r="4128">
      <c r="J4128" t="inlineStr">
        <is>
          <t>M</t>
        </is>
      </c>
      <c r="K4128" t="n">
        <v>2025</v>
      </c>
      <c r="L4128" t="n">
        <v>3</v>
      </c>
      <c r="M4128" t="inlineStr">
        <is>
          <t>Requeijão Pizzalet 1,8 kg</t>
        </is>
      </c>
      <c r="N4128" t="inlineStr">
        <is>
          <t>Pastelaria</t>
        </is>
      </c>
      <c r="O4128" t="n">
        <v>4</v>
      </c>
      <c r="P4128" t="n">
        <v>10</v>
      </c>
      <c r="Q4128" t="n">
        <v>0</v>
      </c>
    </row>
    <row r="4129">
      <c r="J4129" t="inlineStr">
        <is>
          <t>A</t>
        </is>
      </c>
      <c r="K4129" t="n">
        <v>2025</v>
      </c>
      <c r="L4129" t="n">
        <v>4</v>
      </c>
      <c r="M4129" t="inlineStr">
        <is>
          <t>Requeijão Pizzalet 1,8 kg</t>
        </is>
      </c>
      <c r="N4129" t="inlineStr">
        <is>
          <t>Pastelaria</t>
        </is>
      </c>
      <c r="O4129" t="n">
        <v>5</v>
      </c>
      <c r="P4129" t="n">
        <v>39</v>
      </c>
      <c r="Q4129" t="n">
        <v>0</v>
      </c>
    </row>
    <row r="4130">
      <c r="J4130" t="inlineStr">
        <is>
          <t>M</t>
        </is>
      </c>
      <c r="K4130" t="n">
        <v>2025</v>
      </c>
      <c r="L4130" t="n">
        <v>4</v>
      </c>
      <c r="M4130" t="inlineStr">
        <is>
          <t>Requeijão Pizzalet 1,8 kg</t>
        </is>
      </c>
      <c r="N4130" t="inlineStr">
        <is>
          <t>Pastelaria</t>
        </is>
      </c>
      <c r="O4130" t="n">
        <v>3</v>
      </c>
      <c r="P4130" t="n">
        <v>10</v>
      </c>
      <c r="Q4130" t="n">
        <v>0</v>
      </c>
    </row>
    <row r="4131">
      <c r="J4131" t="inlineStr">
        <is>
          <t>A</t>
        </is>
      </c>
      <c r="K4131" t="n">
        <v>2025</v>
      </c>
      <c r="L4131" t="n">
        <v>5</v>
      </c>
      <c r="M4131" t="inlineStr">
        <is>
          <t>Requeijão Pizzalet 1,8 kg</t>
        </is>
      </c>
      <c r="N4131" t="inlineStr">
        <is>
          <t>Pastelaria</t>
        </is>
      </c>
      <c r="O4131" t="n">
        <v>5</v>
      </c>
      <c r="P4131" t="n">
        <v>46</v>
      </c>
      <c r="Q4131" t="n">
        <v>0</v>
      </c>
    </row>
    <row r="4132">
      <c r="J4132" t="inlineStr">
        <is>
          <t>M</t>
        </is>
      </c>
      <c r="K4132" t="n">
        <v>2025</v>
      </c>
      <c r="L4132" t="n">
        <v>5</v>
      </c>
      <c r="M4132" t="inlineStr">
        <is>
          <t>Requeijão Pizzalet 1,8 kg</t>
        </is>
      </c>
      <c r="N4132" t="inlineStr">
        <is>
          <t>Pastelaria</t>
        </is>
      </c>
      <c r="O4132" t="n">
        <v>3</v>
      </c>
      <c r="P4132" t="n">
        <v>7</v>
      </c>
      <c r="Q4132" t="n">
        <v>0</v>
      </c>
    </row>
    <row r="4133">
      <c r="J4133" t="inlineStr">
        <is>
          <t>A</t>
        </is>
      </c>
      <c r="K4133" t="n">
        <v>2025</v>
      </c>
      <c r="L4133" t="n">
        <v>6</v>
      </c>
      <c r="M4133" t="inlineStr">
        <is>
          <t>Requeijão Pizzalet 1,8 kg</t>
        </is>
      </c>
      <c r="N4133" t="inlineStr">
        <is>
          <t>Pastelaria</t>
        </is>
      </c>
      <c r="O4133" t="n">
        <v>5</v>
      </c>
      <c r="P4133" t="n">
        <v>58</v>
      </c>
      <c r="Q4133" t="n">
        <v>0</v>
      </c>
    </row>
    <row r="4134">
      <c r="J4134" t="inlineStr">
        <is>
          <t>M</t>
        </is>
      </c>
      <c r="K4134" t="n">
        <v>2025</v>
      </c>
      <c r="L4134" t="n">
        <v>6</v>
      </c>
      <c r="M4134" t="inlineStr">
        <is>
          <t>Requeijão Pizzalet 1,8 kg</t>
        </is>
      </c>
      <c r="N4134" t="inlineStr">
        <is>
          <t>Pastelaria</t>
        </is>
      </c>
      <c r="O4134" t="n">
        <v>4</v>
      </c>
      <c r="P4134" t="n">
        <v>12</v>
      </c>
      <c r="Q4134" t="n">
        <v>0</v>
      </c>
    </row>
    <row r="4135">
      <c r="J4135" t="inlineStr">
        <is>
          <t>A</t>
        </is>
      </c>
      <c r="K4135" t="n">
        <v>2025</v>
      </c>
      <c r="L4135" t="n">
        <v>7</v>
      </c>
      <c r="M4135" t="inlineStr">
        <is>
          <t>Requeijão Pizzalet 1,8 kg</t>
        </is>
      </c>
      <c r="N4135" t="inlineStr">
        <is>
          <t>Pastelaria</t>
        </is>
      </c>
      <c r="O4135" t="n">
        <v>5</v>
      </c>
      <c r="P4135" t="n">
        <v>67</v>
      </c>
      <c r="Q4135" t="n">
        <v>0</v>
      </c>
    </row>
    <row r="4136">
      <c r="J4136" t="inlineStr">
        <is>
          <t>M</t>
        </is>
      </c>
      <c r="K4136" t="n">
        <v>2025</v>
      </c>
      <c r="L4136" t="n">
        <v>7</v>
      </c>
      <c r="M4136" t="inlineStr">
        <is>
          <t>Requeijão Pizzalet 1,8 kg</t>
        </is>
      </c>
      <c r="N4136" t="inlineStr">
        <is>
          <t>Pastelaria</t>
        </is>
      </c>
      <c r="O4136" t="n">
        <v>3</v>
      </c>
      <c r="P4136" t="n">
        <v>9</v>
      </c>
      <c r="Q4136" t="n">
        <v>0</v>
      </c>
    </row>
    <row r="4137">
      <c r="J4137" t="inlineStr">
        <is>
          <t>A</t>
        </is>
      </c>
      <c r="K4137" t="n">
        <v>2025</v>
      </c>
      <c r="L4137" t="n">
        <v>8</v>
      </c>
      <c r="M4137" t="inlineStr">
        <is>
          <t>Requeijão Pizzalet 1,8 kg</t>
        </is>
      </c>
      <c r="N4137" t="inlineStr">
        <is>
          <t>Pastelaria</t>
        </is>
      </c>
      <c r="O4137" t="n">
        <v>5</v>
      </c>
      <c r="P4137" t="n">
        <v>77</v>
      </c>
      <c r="Q4137" t="n">
        <v>0</v>
      </c>
    </row>
    <row r="4138">
      <c r="J4138" t="inlineStr">
        <is>
          <t>M</t>
        </is>
      </c>
      <c r="K4138" t="n">
        <v>2025</v>
      </c>
      <c r="L4138" t="n">
        <v>8</v>
      </c>
      <c r="M4138" t="inlineStr">
        <is>
          <t>Requeijão Pizzalet 1,8 kg</t>
        </is>
      </c>
      <c r="N4138" t="inlineStr">
        <is>
          <t>Pastelaria</t>
        </is>
      </c>
      <c r="O4138" t="n">
        <v>3</v>
      </c>
      <c r="P4138" t="n">
        <v>10</v>
      </c>
      <c r="Q4138" t="n">
        <v>0</v>
      </c>
    </row>
    <row r="4139">
      <c r="J4139" t="inlineStr">
        <is>
          <t>A</t>
        </is>
      </c>
      <c r="K4139" t="n">
        <v>2025</v>
      </c>
      <c r="L4139" t="n">
        <v>9</v>
      </c>
      <c r="M4139" t="inlineStr">
        <is>
          <t>Requeijão Pizzalet 1,8 kg</t>
        </is>
      </c>
      <c r="N4139" t="inlineStr">
        <is>
          <t>Pastelaria</t>
        </is>
      </c>
      <c r="O4139" t="n">
        <v>5</v>
      </c>
      <c r="P4139" t="n">
        <v>86</v>
      </c>
      <c r="Q4139" t="n">
        <v>0</v>
      </c>
    </row>
    <row r="4140">
      <c r="J4140" t="inlineStr">
        <is>
          <t>M</t>
        </is>
      </c>
      <c r="K4140" t="n">
        <v>2025</v>
      </c>
      <c r="L4140" t="n">
        <v>9</v>
      </c>
      <c r="M4140" t="inlineStr">
        <is>
          <t>Requeijão Pizzalet 1,8 kg</t>
        </is>
      </c>
      <c r="N4140" t="inlineStr">
        <is>
          <t>Pastelaria</t>
        </is>
      </c>
      <c r="O4140" t="n">
        <v>3</v>
      </c>
      <c r="P4140" t="n">
        <v>9</v>
      </c>
      <c r="Q4140" t="n">
        <v>0</v>
      </c>
    </row>
    <row r="4141">
      <c r="J4141" t="inlineStr">
        <is>
          <t>A</t>
        </is>
      </c>
      <c r="K4141" t="n">
        <v>2025</v>
      </c>
      <c r="L4141" t="n">
        <v>10</v>
      </c>
      <c r="M4141" t="inlineStr">
        <is>
          <t>Requeijão Pizzalet 1,8 kg</t>
        </is>
      </c>
      <c r="N4141" t="inlineStr">
        <is>
          <t>Pastelaria</t>
        </is>
      </c>
      <c r="O4141" t="n">
        <v>5</v>
      </c>
      <c r="P4141" t="n">
        <v>96</v>
      </c>
      <c r="Q4141" t="n">
        <v>0</v>
      </c>
    </row>
    <row r="4142">
      <c r="J4142" t="inlineStr">
        <is>
          <t>M</t>
        </is>
      </c>
      <c r="K4142" t="n">
        <v>2025</v>
      </c>
      <c r="L4142" t="n">
        <v>10</v>
      </c>
      <c r="M4142" t="inlineStr">
        <is>
          <t>Requeijão Pizzalet 1,8 kg</t>
        </is>
      </c>
      <c r="N4142" t="inlineStr">
        <is>
          <t>Pastelaria</t>
        </is>
      </c>
      <c r="O4142" t="n">
        <v>3</v>
      </c>
      <c r="P4142" t="n">
        <v>10</v>
      </c>
      <c r="Q4142" t="n">
        <v>0</v>
      </c>
    </row>
    <row r="4143">
      <c r="J4143" t="inlineStr">
        <is>
          <t>A</t>
        </is>
      </c>
      <c r="K4143" t="n">
        <v>2025</v>
      </c>
      <c r="L4143" t="n">
        <v>11</v>
      </c>
      <c r="M4143" t="inlineStr">
        <is>
          <t>Requeijão Pizzalet 1,8 kg</t>
        </is>
      </c>
      <c r="N4143" t="inlineStr">
        <is>
          <t>Pastelaria</t>
        </is>
      </c>
      <c r="O4143" t="n">
        <v>5</v>
      </c>
      <c r="P4143" t="n">
        <v>108</v>
      </c>
      <c r="Q4143" t="n">
        <v>0</v>
      </c>
    </row>
    <row r="4144">
      <c r="J4144" t="inlineStr">
        <is>
          <t>M</t>
        </is>
      </c>
      <c r="K4144" t="n">
        <v>2025</v>
      </c>
      <c r="L4144" t="n">
        <v>11</v>
      </c>
      <c r="M4144" t="inlineStr">
        <is>
          <t>Requeijão Pizzalet 1,8 kg</t>
        </is>
      </c>
      <c r="N4144" t="inlineStr">
        <is>
          <t>Pastelaria</t>
        </is>
      </c>
      <c r="O4144" t="n">
        <v>3</v>
      </c>
      <c r="P4144" t="n">
        <v>12</v>
      </c>
      <c r="Q4144" t="n">
        <v>0</v>
      </c>
    </row>
    <row r="4145">
      <c r="J4145" t="inlineStr">
        <is>
          <t>A</t>
        </is>
      </c>
      <c r="K4145" t="n">
        <v>2025</v>
      </c>
      <c r="L4145" t="n">
        <v>12</v>
      </c>
      <c r="M4145" t="inlineStr">
        <is>
          <t>Requeijão Pizzalet 1,8 kg</t>
        </is>
      </c>
      <c r="N4145" t="inlineStr">
        <is>
          <t>Pastelaria</t>
        </is>
      </c>
      <c r="O4145" t="n">
        <v>5</v>
      </c>
      <c r="P4145" t="n">
        <v>119</v>
      </c>
      <c r="Q4145" t="n">
        <v>0</v>
      </c>
    </row>
    <row r="4146">
      <c r="J4146" t="inlineStr">
        <is>
          <t>M</t>
        </is>
      </c>
      <c r="K4146" t="n">
        <v>2025</v>
      </c>
      <c r="L4146" t="n">
        <v>12</v>
      </c>
      <c r="M4146" t="inlineStr">
        <is>
          <t>Requeijão Pizzalet 1,8 kg</t>
        </is>
      </c>
      <c r="N4146" t="inlineStr">
        <is>
          <t>Pastelaria</t>
        </is>
      </c>
      <c r="O4146" t="n">
        <v>3</v>
      </c>
      <c r="P4146" t="n">
        <v>11</v>
      </c>
      <c r="Q4146" t="n">
        <v>0</v>
      </c>
    </row>
    <row r="4147">
      <c r="J4147" t="inlineStr">
        <is>
          <t>A</t>
        </is>
      </c>
      <c r="K4147" t="n">
        <v>2025</v>
      </c>
      <c r="L4147" t="n">
        <v>1</v>
      </c>
      <c r="M4147" t="inlineStr">
        <is>
          <t>Requeijão Pizzalet 1,8 kg</t>
        </is>
      </c>
      <c r="N4147" t="inlineStr">
        <is>
          <t>Lanchonete / Cafeteria</t>
        </is>
      </c>
      <c r="O4147" t="n">
        <v>4</v>
      </c>
      <c r="P4147" t="n">
        <v>7</v>
      </c>
      <c r="Q4147" t="n">
        <v>0</v>
      </c>
    </row>
    <row r="4148">
      <c r="J4148" t="inlineStr">
        <is>
          <t>M</t>
        </is>
      </c>
      <c r="K4148" t="n">
        <v>2025</v>
      </c>
      <c r="L4148" t="n">
        <v>1</v>
      </c>
      <c r="M4148" t="inlineStr">
        <is>
          <t>Requeijão Pizzalet 1,8 kg</t>
        </is>
      </c>
      <c r="N4148" t="inlineStr">
        <is>
          <t>Lanchonete / Cafeteria</t>
        </is>
      </c>
      <c r="O4148" t="n">
        <v>4</v>
      </c>
      <c r="P4148" t="n">
        <v>7</v>
      </c>
      <c r="Q4148" t="n">
        <v>0</v>
      </c>
    </row>
    <row r="4149">
      <c r="J4149" t="inlineStr">
        <is>
          <t>A</t>
        </is>
      </c>
      <c r="K4149" t="n">
        <v>2025</v>
      </c>
      <c r="L4149" t="n">
        <v>2</v>
      </c>
      <c r="M4149" t="inlineStr">
        <is>
          <t>Requeijão Pizzalet 1,8 kg</t>
        </is>
      </c>
      <c r="N4149" t="inlineStr">
        <is>
          <t>Lanchonete / Cafeteria</t>
        </is>
      </c>
      <c r="O4149" t="n">
        <v>5</v>
      </c>
      <c r="P4149" t="n">
        <v>15</v>
      </c>
      <c r="Q4149" t="n">
        <v>1</v>
      </c>
    </row>
    <row r="4150">
      <c r="J4150" t="inlineStr">
        <is>
          <t>M</t>
        </is>
      </c>
      <c r="K4150" t="n">
        <v>2025</v>
      </c>
      <c r="L4150" t="n">
        <v>2</v>
      </c>
      <c r="M4150" t="inlineStr">
        <is>
          <t>Requeijão Pizzalet 1,8 kg</t>
        </is>
      </c>
      <c r="N4150" t="inlineStr">
        <is>
          <t>Lanchonete / Cafeteria</t>
        </is>
      </c>
      <c r="O4150" t="n">
        <v>5</v>
      </c>
      <c r="P4150" t="n">
        <v>8</v>
      </c>
      <c r="Q4150" t="n">
        <v>0</v>
      </c>
    </row>
    <row r="4151">
      <c r="J4151" t="inlineStr">
        <is>
          <t>A</t>
        </is>
      </c>
      <c r="K4151" t="n">
        <v>2025</v>
      </c>
      <c r="L4151" t="n">
        <v>3</v>
      </c>
      <c r="M4151" t="inlineStr">
        <is>
          <t>Requeijão Pizzalet 1,8 kg</t>
        </is>
      </c>
      <c r="N4151" t="inlineStr">
        <is>
          <t>Lanchonete / Cafeteria</t>
        </is>
      </c>
      <c r="O4151" t="n">
        <v>5</v>
      </c>
      <c r="P4151" t="n">
        <v>24</v>
      </c>
      <c r="Q4151" t="n">
        <v>1</v>
      </c>
    </row>
    <row r="4152">
      <c r="J4152" t="inlineStr">
        <is>
          <t>M</t>
        </is>
      </c>
      <c r="K4152" t="n">
        <v>2025</v>
      </c>
      <c r="L4152" t="n">
        <v>3</v>
      </c>
      <c r="M4152" t="inlineStr">
        <is>
          <t>Requeijão Pizzalet 1,8 kg</t>
        </is>
      </c>
      <c r="N4152" t="inlineStr">
        <is>
          <t>Lanchonete / Cafeteria</t>
        </is>
      </c>
      <c r="O4152" t="n">
        <v>4</v>
      </c>
      <c r="P4152" t="n">
        <v>9</v>
      </c>
      <c r="Q4152" t="n">
        <v>0</v>
      </c>
    </row>
    <row r="4153">
      <c r="J4153" t="inlineStr">
        <is>
          <t>A</t>
        </is>
      </c>
      <c r="K4153" t="n">
        <v>2025</v>
      </c>
      <c r="L4153" t="n">
        <v>4</v>
      </c>
      <c r="M4153" t="inlineStr">
        <is>
          <t>Requeijão Pizzalet 1,8 kg</t>
        </is>
      </c>
      <c r="N4153" t="inlineStr">
        <is>
          <t>Lanchonete / Cafeteria</t>
        </is>
      </c>
      <c r="O4153" t="n">
        <v>5</v>
      </c>
      <c r="P4153" t="n">
        <v>38</v>
      </c>
      <c r="Q4153" t="n">
        <v>1</v>
      </c>
    </row>
    <row r="4154">
      <c r="J4154" t="inlineStr">
        <is>
          <t>M</t>
        </is>
      </c>
      <c r="K4154" t="n">
        <v>2025</v>
      </c>
      <c r="L4154" t="n">
        <v>4</v>
      </c>
      <c r="M4154" t="inlineStr">
        <is>
          <t>Requeijão Pizzalet 1,8 kg</t>
        </is>
      </c>
      <c r="N4154" t="inlineStr">
        <is>
          <t>Lanchonete / Cafeteria</t>
        </is>
      </c>
      <c r="O4154" t="n">
        <v>4</v>
      </c>
      <c r="P4154" t="n">
        <v>14</v>
      </c>
      <c r="Q4154" t="n">
        <v>0</v>
      </c>
    </row>
    <row r="4155">
      <c r="J4155" t="inlineStr">
        <is>
          <t>A</t>
        </is>
      </c>
      <c r="K4155" t="n">
        <v>2025</v>
      </c>
      <c r="L4155" t="n">
        <v>5</v>
      </c>
      <c r="M4155" t="inlineStr">
        <is>
          <t>Requeijão Pizzalet 1,8 kg</t>
        </is>
      </c>
      <c r="N4155" t="inlineStr">
        <is>
          <t>Lanchonete / Cafeteria</t>
        </is>
      </c>
      <c r="O4155" t="n">
        <v>5</v>
      </c>
      <c r="P4155" t="n">
        <v>49</v>
      </c>
      <c r="Q4155" t="n">
        <v>1</v>
      </c>
    </row>
    <row r="4156">
      <c r="J4156" t="inlineStr">
        <is>
          <t>M</t>
        </is>
      </c>
      <c r="K4156" t="n">
        <v>2025</v>
      </c>
      <c r="L4156" t="n">
        <v>5</v>
      </c>
      <c r="M4156" t="inlineStr">
        <is>
          <t>Requeijão Pizzalet 1,8 kg</t>
        </is>
      </c>
      <c r="N4156" t="inlineStr">
        <is>
          <t>Lanchonete / Cafeteria</t>
        </is>
      </c>
      <c r="O4156" t="n">
        <v>4</v>
      </c>
      <c r="P4156" t="n">
        <v>11</v>
      </c>
      <c r="Q4156" t="n">
        <v>0</v>
      </c>
    </row>
    <row r="4157">
      <c r="J4157" t="inlineStr">
        <is>
          <t>A</t>
        </is>
      </c>
      <c r="K4157" t="n">
        <v>2025</v>
      </c>
      <c r="L4157" t="n">
        <v>6</v>
      </c>
      <c r="M4157" t="inlineStr">
        <is>
          <t>Requeijão Pizzalet 1,8 kg</t>
        </is>
      </c>
      <c r="N4157" t="inlineStr">
        <is>
          <t>Lanchonete / Cafeteria</t>
        </is>
      </c>
      <c r="O4157" t="n">
        <v>5</v>
      </c>
      <c r="P4157" t="n">
        <v>64</v>
      </c>
      <c r="Q4157" t="n">
        <v>1</v>
      </c>
    </row>
    <row r="4158">
      <c r="J4158" t="inlineStr">
        <is>
          <t>M</t>
        </is>
      </c>
      <c r="K4158" t="n">
        <v>2025</v>
      </c>
      <c r="L4158" t="n">
        <v>6</v>
      </c>
      <c r="M4158" t="inlineStr">
        <is>
          <t>Requeijão Pizzalet 1,8 kg</t>
        </is>
      </c>
      <c r="N4158" t="inlineStr">
        <is>
          <t>Lanchonete / Cafeteria</t>
        </is>
      </c>
      <c r="O4158" t="n">
        <v>4</v>
      </c>
      <c r="P4158" t="n">
        <v>15</v>
      </c>
      <c r="Q4158" t="n">
        <v>0</v>
      </c>
    </row>
    <row r="4159">
      <c r="J4159" t="inlineStr">
        <is>
          <t>A</t>
        </is>
      </c>
      <c r="K4159" t="n">
        <v>2025</v>
      </c>
      <c r="L4159" t="n">
        <v>7</v>
      </c>
      <c r="M4159" t="inlineStr">
        <is>
          <t>Requeijão Pizzalet 1,8 kg</t>
        </is>
      </c>
      <c r="N4159" t="inlineStr">
        <is>
          <t>Lanchonete / Cafeteria</t>
        </is>
      </c>
      <c r="O4159" t="n">
        <v>5</v>
      </c>
      <c r="P4159" t="n">
        <v>74</v>
      </c>
      <c r="Q4159" t="n">
        <v>1</v>
      </c>
    </row>
    <row r="4160">
      <c r="J4160" t="inlineStr">
        <is>
          <t>M</t>
        </is>
      </c>
      <c r="K4160" t="n">
        <v>2025</v>
      </c>
      <c r="L4160" t="n">
        <v>7</v>
      </c>
      <c r="M4160" t="inlineStr">
        <is>
          <t>Requeijão Pizzalet 1,8 kg</t>
        </is>
      </c>
      <c r="N4160" t="inlineStr">
        <is>
          <t>Lanchonete / Cafeteria</t>
        </is>
      </c>
      <c r="O4160" t="n">
        <v>4</v>
      </c>
      <c r="P4160" t="n">
        <v>10</v>
      </c>
      <c r="Q4160" t="n">
        <v>0</v>
      </c>
    </row>
    <row r="4161">
      <c r="J4161" t="inlineStr">
        <is>
          <t>A</t>
        </is>
      </c>
      <c r="K4161" t="n">
        <v>2025</v>
      </c>
      <c r="L4161" t="n">
        <v>8</v>
      </c>
      <c r="M4161" t="inlineStr">
        <is>
          <t>Requeijão Pizzalet 1,8 kg</t>
        </is>
      </c>
      <c r="N4161" t="inlineStr">
        <is>
          <t>Lanchonete / Cafeteria</t>
        </is>
      </c>
      <c r="O4161" t="n">
        <v>5</v>
      </c>
      <c r="P4161" t="n">
        <v>85</v>
      </c>
      <c r="Q4161" t="n">
        <v>1</v>
      </c>
    </row>
    <row r="4162">
      <c r="J4162" t="inlineStr">
        <is>
          <t>M</t>
        </is>
      </c>
      <c r="K4162" t="n">
        <v>2025</v>
      </c>
      <c r="L4162" t="n">
        <v>8</v>
      </c>
      <c r="M4162" t="inlineStr">
        <is>
          <t>Requeijão Pizzalet 1,8 kg</t>
        </is>
      </c>
      <c r="N4162" t="inlineStr">
        <is>
          <t>Lanchonete / Cafeteria</t>
        </is>
      </c>
      <c r="O4162" t="n">
        <v>4</v>
      </c>
      <c r="P4162" t="n">
        <v>11</v>
      </c>
      <c r="Q4162" t="n">
        <v>0</v>
      </c>
    </row>
    <row r="4163">
      <c r="J4163" t="inlineStr">
        <is>
          <t>A</t>
        </is>
      </c>
      <c r="K4163" t="n">
        <v>2025</v>
      </c>
      <c r="L4163" t="n">
        <v>9</v>
      </c>
      <c r="M4163" t="inlineStr">
        <is>
          <t>Requeijão Pizzalet 1,8 kg</t>
        </is>
      </c>
      <c r="N4163" t="inlineStr">
        <is>
          <t>Lanchonete / Cafeteria</t>
        </is>
      </c>
      <c r="O4163" t="n">
        <v>5</v>
      </c>
      <c r="P4163" t="n">
        <v>93</v>
      </c>
      <c r="Q4163" t="n">
        <v>1</v>
      </c>
    </row>
    <row r="4164">
      <c r="J4164" t="inlineStr">
        <is>
          <t>M</t>
        </is>
      </c>
      <c r="K4164" t="n">
        <v>2025</v>
      </c>
      <c r="L4164" t="n">
        <v>9</v>
      </c>
      <c r="M4164" t="inlineStr">
        <is>
          <t>Requeijão Pizzalet 1,8 kg</t>
        </is>
      </c>
      <c r="N4164" t="inlineStr">
        <is>
          <t>Lanchonete / Cafeteria</t>
        </is>
      </c>
      <c r="O4164" t="n">
        <v>4</v>
      </c>
      <c r="P4164" t="n">
        <v>8</v>
      </c>
      <c r="Q4164" t="n">
        <v>0</v>
      </c>
    </row>
    <row r="4165">
      <c r="J4165" t="inlineStr">
        <is>
          <t>A</t>
        </is>
      </c>
      <c r="K4165" t="n">
        <v>2025</v>
      </c>
      <c r="L4165" t="n">
        <v>10</v>
      </c>
      <c r="M4165" t="inlineStr">
        <is>
          <t>Requeijão Pizzalet 1,8 kg</t>
        </is>
      </c>
      <c r="N4165" t="inlineStr">
        <is>
          <t>Lanchonete / Cafeteria</t>
        </is>
      </c>
      <c r="O4165" t="n">
        <v>5</v>
      </c>
      <c r="P4165" t="n">
        <v>103</v>
      </c>
      <c r="Q4165" t="n">
        <v>1</v>
      </c>
    </row>
    <row r="4166">
      <c r="J4166" t="inlineStr">
        <is>
          <t>M</t>
        </is>
      </c>
      <c r="K4166" t="n">
        <v>2025</v>
      </c>
      <c r="L4166" t="n">
        <v>10</v>
      </c>
      <c r="M4166" t="inlineStr">
        <is>
          <t>Requeijão Pizzalet 1,8 kg</t>
        </is>
      </c>
      <c r="N4166" t="inlineStr">
        <is>
          <t>Lanchonete / Cafeteria</t>
        </is>
      </c>
      <c r="O4166" t="n">
        <v>3</v>
      </c>
      <c r="P4166" t="n">
        <v>10</v>
      </c>
      <c r="Q4166" t="n">
        <v>0</v>
      </c>
    </row>
    <row r="4167">
      <c r="J4167" t="inlineStr">
        <is>
          <t>A</t>
        </is>
      </c>
      <c r="K4167" t="n">
        <v>2025</v>
      </c>
      <c r="L4167" t="n">
        <v>11</v>
      </c>
      <c r="M4167" t="inlineStr">
        <is>
          <t>Requeijão Pizzalet 1,8 kg</t>
        </is>
      </c>
      <c r="N4167" t="inlineStr">
        <is>
          <t>Lanchonete / Cafeteria</t>
        </is>
      </c>
      <c r="O4167" t="n">
        <v>6</v>
      </c>
      <c r="P4167" t="n">
        <v>112</v>
      </c>
      <c r="Q4167" t="n">
        <v>2</v>
      </c>
    </row>
    <row r="4168">
      <c r="J4168" t="inlineStr">
        <is>
          <t>M</t>
        </is>
      </c>
      <c r="K4168" t="n">
        <v>2025</v>
      </c>
      <c r="L4168" t="n">
        <v>11</v>
      </c>
      <c r="M4168" t="inlineStr">
        <is>
          <t>Requeijão Pizzalet 1,8 kg</t>
        </is>
      </c>
      <c r="N4168" t="inlineStr">
        <is>
          <t>Lanchonete / Cafeteria</t>
        </is>
      </c>
      <c r="O4168" t="n">
        <v>4</v>
      </c>
      <c r="P4168" t="n">
        <v>9</v>
      </c>
      <c r="Q4168" t="n">
        <v>0</v>
      </c>
    </row>
    <row r="4169">
      <c r="J4169" t="inlineStr">
        <is>
          <t>A</t>
        </is>
      </c>
      <c r="K4169" t="n">
        <v>2025</v>
      </c>
      <c r="L4169" t="n">
        <v>12</v>
      </c>
      <c r="M4169" t="inlineStr">
        <is>
          <t>Requeijão Pizzalet 1,8 kg</t>
        </is>
      </c>
      <c r="N4169" t="inlineStr">
        <is>
          <t>Lanchonete / Cafeteria</t>
        </is>
      </c>
      <c r="O4169" t="n">
        <v>6</v>
      </c>
      <c r="P4169" t="n">
        <v>118</v>
      </c>
      <c r="Q4169" t="n">
        <v>2</v>
      </c>
    </row>
    <row r="4170">
      <c r="J4170" t="inlineStr">
        <is>
          <t>M</t>
        </is>
      </c>
      <c r="K4170" t="n">
        <v>2025</v>
      </c>
      <c r="L4170" t="n">
        <v>12</v>
      </c>
      <c r="M4170" t="inlineStr">
        <is>
          <t>Requeijão Pizzalet 1,8 kg</t>
        </is>
      </c>
      <c r="N4170" t="inlineStr">
        <is>
          <t>Lanchonete / Cafeteria</t>
        </is>
      </c>
      <c r="O4170" t="n">
        <v>4</v>
      </c>
      <c r="P4170" t="n">
        <v>6</v>
      </c>
      <c r="Q4170" t="n">
        <v>0</v>
      </c>
    </row>
    <row r="4171">
      <c r="J4171" t="inlineStr">
        <is>
          <t>A</t>
        </is>
      </c>
      <c r="K4171" t="n">
        <v>2025</v>
      </c>
      <c r="L4171" t="n">
        <v>2</v>
      </c>
      <c r="M4171" t="inlineStr">
        <is>
          <t>Requeijão Pizzalet 1,8 kg</t>
        </is>
      </c>
      <c r="N4171" t="inlineStr">
        <is>
          <t>Mercearia / Sacolão</t>
        </is>
      </c>
      <c r="O4171" t="n">
        <v>1</v>
      </c>
      <c r="P4171" t="n">
        <v>1</v>
      </c>
      <c r="Q4171" t="n">
        <v>1</v>
      </c>
    </row>
    <row r="4172">
      <c r="J4172" t="inlineStr">
        <is>
          <t>M</t>
        </is>
      </c>
      <c r="K4172" t="n">
        <v>2025</v>
      </c>
      <c r="L4172" t="n">
        <v>2</v>
      </c>
      <c r="M4172" t="inlineStr">
        <is>
          <t>Requeijão Pizzalet 1,8 kg</t>
        </is>
      </c>
      <c r="N4172" t="inlineStr">
        <is>
          <t>Mercearia / Sacolão</t>
        </is>
      </c>
      <c r="O4172" t="n">
        <v>1</v>
      </c>
      <c r="P4172" t="n">
        <v>1</v>
      </c>
      <c r="Q4172" t="n">
        <v>0</v>
      </c>
    </row>
    <row r="4173">
      <c r="J4173" t="inlineStr">
        <is>
          <t>A</t>
        </is>
      </c>
      <c r="K4173" t="n">
        <v>2025</v>
      </c>
      <c r="L4173" t="n">
        <v>3</v>
      </c>
      <c r="M4173" t="inlineStr">
        <is>
          <t>Requeijão Pizzalet 1,8 kg</t>
        </is>
      </c>
      <c r="N4173" t="inlineStr">
        <is>
          <t>Mercearia / Sacolão</t>
        </is>
      </c>
      <c r="O4173" t="n">
        <v>1</v>
      </c>
      <c r="P4173" t="n">
        <v>1</v>
      </c>
      <c r="Q4173" t="n">
        <v>1</v>
      </c>
    </row>
    <row r="4174">
      <c r="J4174" t="inlineStr">
        <is>
          <t>A</t>
        </is>
      </c>
      <c r="K4174" t="n">
        <v>2025</v>
      </c>
      <c r="L4174" t="n">
        <v>4</v>
      </c>
      <c r="M4174" t="inlineStr">
        <is>
          <t>Requeijão Pizzalet 1,8 kg</t>
        </is>
      </c>
      <c r="N4174" t="inlineStr">
        <is>
          <t>Mercearia / Sacolão</t>
        </is>
      </c>
      <c r="O4174" t="n">
        <v>1</v>
      </c>
      <c r="P4174" t="n">
        <v>1</v>
      </c>
      <c r="Q4174" t="n">
        <v>1</v>
      </c>
    </row>
    <row r="4175">
      <c r="J4175" t="inlineStr">
        <is>
          <t>A</t>
        </is>
      </c>
      <c r="K4175" t="n">
        <v>2025</v>
      </c>
      <c r="L4175" t="n">
        <v>5</v>
      </c>
      <c r="M4175" t="inlineStr">
        <is>
          <t>Requeijão Pizzalet 1,8 kg</t>
        </is>
      </c>
      <c r="N4175" t="inlineStr">
        <is>
          <t>Mercearia / Sacolão</t>
        </is>
      </c>
      <c r="O4175" t="n">
        <v>1</v>
      </c>
      <c r="P4175" t="n">
        <v>1</v>
      </c>
      <c r="Q4175" t="n">
        <v>1</v>
      </c>
    </row>
    <row r="4176">
      <c r="J4176" t="inlineStr">
        <is>
          <t>A</t>
        </is>
      </c>
      <c r="K4176" t="n">
        <v>2025</v>
      </c>
      <c r="L4176" t="n">
        <v>6</v>
      </c>
      <c r="M4176" t="inlineStr">
        <is>
          <t>Requeijão Pizzalet 1,8 kg</t>
        </is>
      </c>
      <c r="N4176" t="inlineStr">
        <is>
          <t>Mercearia / Sacolão</t>
        </is>
      </c>
      <c r="O4176" t="n">
        <v>1</v>
      </c>
      <c r="P4176" t="n">
        <v>1</v>
      </c>
      <c r="Q4176" t="n">
        <v>1</v>
      </c>
    </row>
    <row r="4177">
      <c r="J4177" t="inlineStr">
        <is>
          <t>A</t>
        </is>
      </c>
      <c r="K4177" t="n">
        <v>2025</v>
      </c>
      <c r="L4177" t="n">
        <v>7</v>
      </c>
      <c r="M4177" t="inlineStr">
        <is>
          <t>Requeijão Pizzalet 1,8 kg</t>
        </is>
      </c>
      <c r="N4177" t="inlineStr">
        <is>
          <t>Mercearia / Sacolão</t>
        </is>
      </c>
      <c r="O4177" t="n">
        <v>1</v>
      </c>
      <c r="P4177" t="n">
        <v>1</v>
      </c>
      <c r="Q4177" t="n">
        <v>1</v>
      </c>
    </row>
    <row r="4178">
      <c r="J4178" t="inlineStr">
        <is>
          <t>A</t>
        </is>
      </c>
      <c r="K4178" t="n">
        <v>2025</v>
      </c>
      <c r="L4178" t="n">
        <v>8</v>
      </c>
      <c r="M4178" t="inlineStr">
        <is>
          <t>Requeijão Pizzalet 1,8 kg</t>
        </is>
      </c>
      <c r="N4178" t="inlineStr">
        <is>
          <t>Mercearia / Sacolão</t>
        </is>
      </c>
      <c r="O4178" t="n">
        <v>1</v>
      </c>
      <c r="P4178" t="n">
        <v>1</v>
      </c>
      <c r="Q4178" t="n">
        <v>1</v>
      </c>
    </row>
    <row r="4179">
      <c r="J4179" t="inlineStr">
        <is>
          <t>A</t>
        </is>
      </c>
      <c r="K4179" t="n">
        <v>2025</v>
      </c>
      <c r="L4179" t="n">
        <v>9</v>
      </c>
      <c r="M4179" t="inlineStr">
        <is>
          <t>Requeijão Pizzalet 1,8 kg</t>
        </is>
      </c>
      <c r="N4179" t="inlineStr">
        <is>
          <t>Mercearia / Sacolão</t>
        </is>
      </c>
      <c r="O4179" t="n">
        <v>1</v>
      </c>
      <c r="P4179" t="n">
        <v>1</v>
      </c>
      <c r="Q4179" t="n">
        <v>1</v>
      </c>
    </row>
    <row r="4180">
      <c r="J4180" t="inlineStr">
        <is>
          <t>A</t>
        </is>
      </c>
      <c r="K4180" t="n">
        <v>2025</v>
      </c>
      <c r="L4180" t="n">
        <v>10</v>
      </c>
      <c r="M4180" t="inlineStr">
        <is>
          <t>Requeijão Pizzalet 1,8 kg</t>
        </is>
      </c>
      <c r="N4180" t="inlineStr">
        <is>
          <t>Mercearia / Sacolão</t>
        </is>
      </c>
      <c r="O4180" t="n">
        <v>1</v>
      </c>
      <c r="P4180" t="n">
        <v>1</v>
      </c>
      <c r="Q4180" t="n">
        <v>1</v>
      </c>
    </row>
    <row r="4181">
      <c r="J4181" t="inlineStr">
        <is>
          <t>A</t>
        </is>
      </c>
      <c r="K4181" t="n">
        <v>2025</v>
      </c>
      <c r="L4181" t="n">
        <v>11</v>
      </c>
      <c r="M4181" t="inlineStr">
        <is>
          <t>Requeijão Pizzalet 1,8 kg</t>
        </is>
      </c>
      <c r="N4181" t="inlineStr">
        <is>
          <t>Mercearia / Sacolão</t>
        </is>
      </c>
      <c r="O4181" t="n">
        <v>2</v>
      </c>
      <c r="P4181" t="n">
        <v>2</v>
      </c>
      <c r="Q4181" t="n">
        <v>2</v>
      </c>
    </row>
    <row r="4182">
      <c r="J4182" t="inlineStr">
        <is>
          <t>M</t>
        </is>
      </c>
      <c r="K4182" t="n">
        <v>2025</v>
      </c>
      <c r="L4182" t="n">
        <v>11</v>
      </c>
      <c r="M4182" t="inlineStr">
        <is>
          <t>Requeijão Pizzalet 1,8 kg</t>
        </is>
      </c>
      <c r="N4182" t="inlineStr">
        <is>
          <t>Mercearia / Sacolão</t>
        </is>
      </c>
      <c r="O4182" t="n">
        <v>1</v>
      </c>
      <c r="P4182" t="n">
        <v>1</v>
      </c>
      <c r="Q4182" t="n">
        <v>0</v>
      </c>
    </row>
    <row r="4183">
      <c r="J4183" t="inlineStr">
        <is>
          <t>A</t>
        </is>
      </c>
      <c r="K4183" t="n">
        <v>2025</v>
      </c>
      <c r="L4183" t="n">
        <v>12</v>
      </c>
      <c r="M4183" t="inlineStr">
        <is>
          <t>Requeijão Pizzalet 1,8 kg</t>
        </is>
      </c>
      <c r="N4183" t="inlineStr">
        <is>
          <t>Mercearia / Sacolão</t>
        </is>
      </c>
      <c r="O4183" t="n">
        <v>2</v>
      </c>
      <c r="P4183" t="n">
        <v>2</v>
      </c>
      <c r="Q4183" t="n">
        <v>2</v>
      </c>
    </row>
    <row r="4184">
      <c r="J4184" t="inlineStr">
        <is>
          <t>A</t>
        </is>
      </c>
      <c r="K4184" t="n">
        <v>2025</v>
      </c>
      <c r="L4184" t="n">
        <v>8</v>
      </c>
      <c r="M4184" t="inlineStr">
        <is>
          <t>Requeijão Pizzalet 1,8 kg</t>
        </is>
      </c>
      <c r="N4184" t="inlineStr">
        <is>
          <t>Hotel / Motel / Pousada</t>
        </is>
      </c>
      <c r="O4184" t="n">
        <v>1</v>
      </c>
      <c r="P4184" t="n">
        <v>1</v>
      </c>
      <c r="Q4184" t="n">
        <v>0</v>
      </c>
    </row>
    <row r="4185">
      <c r="J4185" t="inlineStr">
        <is>
          <t>M</t>
        </is>
      </c>
      <c r="K4185" t="n">
        <v>2025</v>
      </c>
      <c r="L4185" t="n">
        <v>8</v>
      </c>
      <c r="M4185" t="inlineStr">
        <is>
          <t>Requeijão Pizzalet 1,8 kg</t>
        </is>
      </c>
      <c r="N4185" t="inlineStr">
        <is>
          <t>Hotel / Motel / Pousada</t>
        </is>
      </c>
      <c r="O4185" t="n">
        <v>1</v>
      </c>
      <c r="P4185" t="n">
        <v>1</v>
      </c>
      <c r="Q4185" t="n">
        <v>0</v>
      </c>
    </row>
    <row r="4186">
      <c r="J4186" t="inlineStr">
        <is>
          <t>A</t>
        </is>
      </c>
      <c r="K4186" t="n">
        <v>2025</v>
      </c>
      <c r="L4186" t="n">
        <v>9</v>
      </c>
      <c r="M4186" t="inlineStr">
        <is>
          <t>Requeijão Pizzalet 1,8 kg</t>
        </is>
      </c>
      <c r="N4186" t="inlineStr">
        <is>
          <t>Hotel / Motel / Pousada</t>
        </is>
      </c>
      <c r="O4186" t="n">
        <v>1</v>
      </c>
      <c r="P4186" t="n">
        <v>1</v>
      </c>
      <c r="Q4186" t="n">
        <v>0</v>
      </c>
    </row>
    <row r="4187">
      <c r="J4187" t="inlineStr">
        <is>
          <t>A</t>
        </is>
      </c>
      <c r="K4187" t="n">
        <v>2025</v>
      </c>
      <c r="L4187" t="n">
        <v>10</v>
      </c>
      <c r="M4187" t="inlineStr">
        <is>
          <t>Requeijão Pizzalet 1,8 kg</t>
        </is>
      </c>
      <c r="N4187" t="inlineStr">
        <is>
          <t>Hotel / Motel / Pousada</t>
        </is>
      </c>
      <c r="O4187" t="n">
        <v>1</v>
      </c>
      <c r="P4187" t="n">
        <v>1</v>
      </c>
      <c r="Q4187" t="n">
        <v>0</v>
      </c>
    </row>
    <row r="4188">
      <c r="J4188" t="inlineStr">
        <is>
          <t>A</t>
        </is>
      </c>
      <c r="K4188" t="n">
        <v>2025</v>
      </c>
      <c r="L4188" t="n">
        <v>11</v>
      </c>
      <c r="M4188" t="inlineStr">
        <is>
          <t>Requeijão Pizzalet 1,8 kg</t>
        </is>
      </c>
      <c r="N4188" t="inlineStr">
        <is>
          <t>Hotel / Motel / Pousada</t>
        </is>
      </c>
      <c r="O4188" t="n">
        <v>1</v>
      </c>
      <c r="P4188" t="n">
        <v>1</v>
      </c>
      <c r="Q4188" t="n">
        <v>0</v>
      </c>
    </row>
    <row r="4189">
      <c r="J4189" t="inlineStr">
        <is>
          <t>A</t>
        </is>
      </c>
      <c r="K4189" t="n">
        <v>2025</v>
      </c>
      <c r="L4189" t="n">
        <v>12</v>
      </c>
      <c r="M4189" t="inlineStr">
        <is>
          <t>Requeijão Pizzalet 1,8 kg</t>
        </is>
      </c>
      <c r="N4189" t="inlineStr">
        <is>
          <t>Hotel / Motel / Pousada</t>
        </is>
      </c>
      <c r="O4189" t="n">
        <v>1</v>
      </c>
      <c r="P4189" t="n">
        <v>1</v>
      </c>
      <c r="Q4189" t="n">
        <v>0</v>
      </c>
    </row>
    <row r="4190">
      <c r="J4190" t="inlineStr">
        <is>
          <t>A</t>
        </is>
      </c>
      <c r="K4190" t="n">
        <v>2025</v>
      </c>
      <c r="L4190" t="n">
        <v>1</v>
      </c>
      <c r="M4190" t="inlineStr">
        <is>
          <t>Requeijão Pizzalet 1,8 kg</t>
        </is>
      </c>
      <c r="N4190" t="inlineStr">
        <is>
          <t>Cozinha Oriental</t>
        </is>
      </c>
      <c r="O4190" t="n">
        <v>1</v>
      </c>
      <c r="P4190" t="n">
        <v>1</v>
      </c>
      <c r="Q4190" t="n">
        <v>1</v>
      </c>
    </row>
    <row r="4191">
      <c r="J4191" t="inlineStr">
        <is>
          <t>M</t>
        </is>
      </c>
      <c r="K4191" t="n">
        <v>2025</v>
      </c>
      <c r="L4191" t="n">
        <v>1</v>
      </c>
      <c r="M4191" t="inlineStr">
        <is>
          <t>Requeijão Pizzalet 1,8 kg</t>
        </is>
      </c>
      <c r="N4191" t="inlineStr">
        <is>
          <t>Cozinha Oriental</t>
        </is>
      </c>
      <c r="O4191" t="n">
        <v>1</v>
      </c>
      <c r="P4191" t="n">
        <v>1</v>
      </c>
      <c r="Q4191" t="n">
        <v>0</v>
      </c>
    </row>
    <row r="4192">
      <c r="J4192" t="inlineStr">
        <is>
          <t>A</t>
        </is>
      </c>
      <c r="K4192" t="n">
        <v>2025</v>
      </c>
      <c r="L4192" t="n">
        <v>2</v>
      </c>
      <c r="M4192" t="inlineStr">
        <is>
          <t>Requeijão Pizzalet 1,8 kg</t>
        </is>
      </c>
      <c r="N4192" t="inlineStr">
        <is>
          <t>Cozinha Oriental</t>
        </is>
      </c>
      <c r="O4192" t="n">
        <v>1</v>
      </c>
      <c r="P4192" t="n">
        <v>1</v>
      </c>
      <c r="Q4192" t="n">
        <v>1</v>
      </c>
    </row>
    <row r="4193">
      <c r="J4193" t="inlineStr">
        <is>
          <t>A</t>
        </is>
      </c>
      <c r="K4193" t="n">
        <v>2025</v>
      </c>
      <c r="L4193" t="n">
        <v>3</v>
      </c>
      <c r="M4193" t="inlineStr">
        <is>
          <t>Requeijão Pizzalet 1,8 kg</t>
        </is>
      </c>
      <c r="N4193" t="inlineStr">
        <is>
          <t>Cozinha Oriental</t>
        </is>
      </c>
      <c r="O4193" t="n">
        <v>1</v>
      </c>
      <c r="P4193" t="n">
        <v>1</v>
      </c>
      <c r="Q4193" t="n">
        <v>1</v>
      </c>
    </row>
    <row r="4194">
      <c r="J4194" t="inlineStr">
        <is>
          <t>A</t>
        </is>
      </c>
      <c r="K4194" t="n">
        <v>2025</v>
      </c>
      <c r="L4194" t="n">
        <v>4</v>
      </c>
      <c r="M4194" t="inlineStr">
        <is>
          <t>Requeijão Pizzalet 1,8 kg</t>
        </is>
      </c>
      <c r="N4194" t="inlineStr">
        <is>
          <t>Cozinha Oriental</t>
        </is>
      </c>
      <c r="O4194" t="n">
        <v>1</v>
      </c>
      <c r="P4194" t="n">
        <v>1</v>
      </c>
      <c r="Q4194" t="n">
        <v>1</v>
      </c>
    </row>
    <row r="4195">
      <c r="J4195" t="inlineStr">
        <is>
          <t>A</t>
        </is>
      </c>
      <c r="K4195" t="n">
        <v>2025</v>
      </c>
      <c r="L4195" t="n">
        <v>5</v>
      </c>
      <c r="M4195" t="inlineStr">
        <is>
          <t>Requeijão Pizzalet 1,8 kg</t>
        </is>
      </c>
      <c r="N4195" t="inlineStr">
        <is>
          <t>Cozinha Oriental</t>
        </is>
      </c>
      <c r="O4195" t="n">
        <v>1</v>
      </c>
      <c r="P4195" t="n">
        <v>1</v>
      </c>
      <c r="Q4195" t="n">
        <v>1</v>
      </c>
    </row>
    <row r="4196">
      <c r="J4196" t="inlineStr">
        <is>
          <t>A</t>
        </is>
      </c>
      <c r="K4196" t="n">
        <v>2025</v>
      </c>
      <c r="L4196" t="n">
        <v>6</v>
      </c>
      <c r="M4196" t="inlineStr">
        <is>
          <t>Requeijão Pizzalet 1,8 kg</t>
        </is>
      </c>
      <c r="N4196" t="inlineStr">
        <is>
          <t>Cozinha Oriental</t>
        </is>
      </c>
      <c r="O4196" t="n">
        <v>1</v>
      </c>
      <c r="P4196" t="n">
        <v>1</v>
      </c>
      <c r="Q4196" t="n">
        <v>1</v>
      </c>
    </row>
    <row r="4197">
      <c r="J4197" t="inlineStr">
        <is>
          <t>A</t>
        </is>
      </c>
      <c r="K4197" t="n">
        <v>2025</v>
      </c>
      <c r="L4197" t="n">
        <v>7</v>
      </c>
      <c r="M4197" t="inlineStr">
        <is>
          <t>Requeijão Pizzalet 1,8 kg</t>
        </is>
      </c>
      <c r="N4197" t="inlineStr">
        <is>
          <t>Cozinha Oriental</t>
        </is>
      </c>
      <c r="O4197" t="n">
        <v>1</v>
      </c>
      <c r="P4197" t="n">
        <v>1</v>
      </c>
      <c r="Q4197" t="n">
        <v>1</v>
      </c>
    </row>
    <row r="4198">
      <c r="J4198" t="inlineStr">
        <is>
          <t>A</t>
        </is>
      </c>
      <c r="K4198" t="n">
        <v>2025</v>
      </c>
      <c r="L4198" t="n">
        <v>8</v>
      </c>
      <c r="M4198" t="inlineStr">
        <is>
          <t>Requeijão Pizzalet 1,8 kg</t>
        </is>
      </c>
      <c r="N4198" t="inlineStr">
        <is>
          <t>Cozinha Oriental</t>
        </is>
      </c>
      <c r="O4198" t="n">
        <v>1</v>
      </c>
      <c r="P4198" t="n">
        <v>1</v>
      </c>
      <c r="Q4198" t="n">
        <v>1</v>
      </c>
    </row>
    <row r="4199">
      <c r="J4199" t="inlineStr">
        <is>
          <t>A</t>
        </is>
      </c>
      <c r="K4199" t="n">
        <v>2025</v>
      </c>
      <c r="L4199" t="n">
        <v>9</v>
      </c>
      <c r="M4199" t="inlineStr">
        <is>
          <t>Requeijão Pizzalet 1,8 kg</t>
        </is>
      </c>
      <c r="N4199" t="inlineStr">
        <is>
          <t>Cozinha Oriental</t>
        </is>
      </c>
      <c r="O4199" t="n">
        <v>1</v>
      </c>
      <c r="P4199" t="n">
        <v>1</v>
      </c>
      <c r="Q4199" t="n">
        <v>1</v>
      </c>
    </row>
    <row r="4200">
      <c r="J4200" t="inlineStr">
        <is>
          <t>A</t>
        </is>
      </c>
      <c r="K4200" t="n">
        <v>2025</v>
      </c>
      <c r="L4200" t="n">
        <v>10</v>
      </c>
      <c r="M4200" t="inlineStr">
        <is>
          <t>Requeijão Pizzalet 1,8 kg</t>
        </is>
      </c>
      <c r="N4200" t="inlineStr">
        <is>
          <t>Cozinha Oriental</t>
        </is>
      </c>
      <c r="O4200" t="n">
        <v>1</v>
      </c>
      <c r="P4200" t="n">
        <v>1</v>
      </c>
      <c r="Q4200" t="n">
        <v>1</v>
      </c>
    </row>
    <row r="4201">
      <c r="J4201" t="inlineStr">
        <is>
          <t>A</t>
        </is>
      </c>
      <c r="K4201" t="n">
        <v>2025</v>
      </c>
      <c r="L4201" t="n">
        <v>11</v>
      </c>
      <c r="M4201" t="inlineStr">
        <is>
          <t>Requeijão Pizzalet 1,8 kg</t>
        </is>
      </c>
      <c r="N4201" t="inlineStr">
        <is>
          <t>Cozinha Oriental</t>
        </is>
      </c>
      <c r="O4201" t="n">
        <v>1</v>
      </c>
      <c r="P4201" t="n">
        <v>1</v>
      </c>
      <c r="Q4201" t="n">
        <v>1</v>
      </c>
    </row>
    <row r="4202">
      <c r="J4202" t="inlineStr">
        <is>
          <t>A</t>
        </is>
      </c>
      <c r="K4202" t="n">
        <v>2025</v>
      </c>
      <c r="L4202" t="n">
        <v>12</v>
      </c>
      <c r="M4202" t="inlineStr">
        <is>
          <t>Requeijão Pizzalet 1,8 kg</t>
        </is>
      </c>
      <c r="N4202" t="inlineStr">
        <is>
          <t>Cozinha Oriental</t>
        </is>
      </c>
      <c r="O4202" t="n">
        <v>1</v>
      </c>
      <c r="P4202" t="n">
        <v>1</v>
      </c>
      <c r="Q4202" t="n">
        <v>1</v>
      </c>
    </row>
    <row r="4203">
      <c r="J4203" t="inlineStr">
        <is>
          <t>A</t>
        </is>
      </c>
      <c r="K4203" t="n">
        <v>2025</v>
      </c>
      <c r="L4203" t="n">
        <v>1</v>
      </c>
      <c r="M4203" t="inlineStr">
        <is>
          <t>Requeijão Pizzalet 1,8 kg</t>
        </is>
      </c>
      <c r="N4203" t="inlineStr">
        <is>
          <t>Bar / Chopperia</t>
        </is>
      </c>
      <c r="O4203" t="n">
        <v>1</v>
      </c>
      <c r="P4203" t="n">
        <v>3</v>
      </c>
      <c r="Q4203" t="n">
        <v>0</v>
      </c>
    </row>
    <row r="4204">
      <c r="J4204" t="inlineStr">
        <is>
          <t>M</t>
        </is>
      </c>
      <c r="K4204" t="n">
        <v>2025</v>
      </c>
      <c r="L4204" t="n">
        <v>1</v>
      </c>
      <c r="M4204" t="inlineStr">
        <is>
          <t>Requeijão Pizzalet 1,8 kg</t>
        </is>
      </c>
      <c r="N4204" t="inlineStr">
        <is>
          <t>Bar / Chopperia</t>
        </is>
      </c>
      <c r="O4204" t="n">
        <v>1</v>
      </c>
      <c r="P4204" t="n">
        <v>3</v>
      </c>
      <c r="Q4204" t="n">
        <v>0</v>
      </c>
    </row>
    <row r="4205">
      <c r="J4205" t="inlineStr">
        <is>
          <t>A</t>
        </is>
      </c>
      <c r="K4205" t="n">
        <v>2025</v>
      </c>
      <c r="L4205" t="n">
        <v>2</v>
      </c>
      <c r="M4205" t="inlineStr">
        <is>
          <t>Requeijão Pizzalet 1,8 kg</t>
        </is>
      </c>
      <c r="N4205" t="inlineStr">
        <is>
          <t>Bar / Chopperia</t>
        </is>
      </c>
      <c r="O4205" t="n">
        <v>1</v>
      </c>
      <c r="P4205" t="n">
        <v>6</v>
      </c>
      <c r="Q4205" t="n">
        <v>0</v>
      </c>
    </row>
    <row r="4206">
      <c r="J4206" t="inlineStr">
        <is>
          <t>M</t>
        </is>
      </c>
      <c r="K4206" t="n">
        <v>2025</v>
      </c>
      <c r="L4206" t="n">
        <v>2</v>
      </c>
      <c r="M4206" t="inlineStr">
        <is>
          <t>Requeijão Pizzalet 1,8 kg</t>
        </is>
      </c>
      <c r="N4206" t="inlineStr">
        <is>
          <t>Bar / Chopperia</t>
        </is>
      </c>
      <c r="O4206" t="n">
        <v>1</v>
      </c>
      <c r="P4206" t="n">
        <v>3</v>
      </c>
      <c r="Q4206" t="n">
        <v>0</v>
      </c>
    </row>
    <row r="4207">
      <c r="J4207" t="inlineStr">
        <is>
          <t>A</t>
        </is>
      </c>
      <c r="K4207" t="n">
        <v>2025</v>
      </c>
      <c r="L4207" t="n">
        <v>3</v>
      </c>
      <c r="M4207" t="inlineStr">
        <is>
          <t>Requeijão Pizzalet 1,8 kg</t>
        </is>
      </c>
      <c r="N4207" t="inlineStr">
        <is>
          <t>Bar / Chopperia</t>
        </is>
      </c>
      <c r="O4207" t="n">
        <v>1</v>
      </c>
      <c r="P4207" t="n">
        <v>10</v>
      </c>
      <c r="Q4207" t="n">
        <v>0</v>
      </c>
    </row>
    <row r="4208">
      <c r="J4208" t="inlineStr">
        <is>
          <t>M</t>
        </is>
      </c>
      <c r="K4208" t="n">
        <v>2025</v>
      </c>
      <c r="L4208" t="n">
        <v>3</v>
      </c>
      <c r="M4208" t="inlineStr">
        <is>
          <t>Requeijão Pizzalet 1,8 kg</t>
        </is>
      </c>
      <c r="N4208" t="inlineStr">
        <is>
          <t>Bar / Chopperia</t>
        </is>
      </c>
      <c r="O4208" t="n">
        <v>1</v>
      </c>
      <c r="P4208" t="n">
        <v>4</v>
      </c>
      <c r="Q4208" t="n">
        <v>0</v>
      </c>
    </row>
    <row r="4209">
      <c r="J4209" t="inlineStr">
        <is>
          <t>A</t>
        </is>
      </c>
      <c r="K4209" t="n">
        <v>2025</v>
      </c>
      <c r="L4209" t="n">
        <v>4</v>
      </c>
      <c r="M4209" t="inlineStr">
        <is>
          <t>Requeijão Pizzalet 1,8 kg</t>
        </is>
      </c>
      <c r="N4209" t="inlineStr">
        <is>
          <t>Bar / Chopperia</t>
        </is>
      </c>
      <c r="O4209" t="n">
        <v>1</v>
      </c>
      <c r="P4209" t="n">
        <v>14</v>
      </c>
      <c r="Q4209" t="n">
        <v>0</v>
      </c>
    </row>
    <row r="4210">
      <c r="J4210" t="inlineStr">
        <is>
          <t>M</t>
        </is>
      </c>
      <c r="K4210" t="n">
        <v>2025</v>
      </c>
      <c r="L4210" t="n">
        <v>4</v>
      </c>
      <c r="M4210" t="inlineStr">
        <is>
          <t>Requeijão Pizzalet 1,8 kg</t>
        </is>
      </c>
      <c r="N4210" t="inlineStr">
        <is>
          <t>Bar / Chopperia</t>
        </is>
      </c>
      <c r="O4210" t="n">
        <v>1</v>
      </c>
      <c r="P4210" t="n">
        <v>4</v>
      </c>
      <c r="Q4210" t="n">
        <v>0</v>
      </c>
    </row>
    <row r="4211">
      <c r="J4211" t="inlineStr">
        <is>
          <t>A</t>
        </is>
      </c>
      <c r="K4211" t="n">
        <v>2025</v>
      </c>
      <c r="L4211" t="n">
        <v>5</v>
      </c>
      <c r="M4211" t="inlineStr">
        <is>
          <t>Requeijão Pizzalet 1,8 kg</t>
        </is>
      </c>
      <c r="N4211" t="inlineStr">
        <is>
          <t>Bar / Chopperia</t>
        </is>
      </c>
      <c r="O4211" t="n">
        <v>1</v>
      </c>
      <c r="P4211" t="n">
        <v>18</v>
      </c>
      <c r="Q4211" t="n">
        <v>0</v>
      </c>
    </row>
    <row r="4212">
      <c r="J4212" t="inlineStr">
        <is>
          <t>M</t>
        </is>
      </c>
      <c r="K4212" t="n">
        <v>2025</v>
      </c>
      <c r="L4212" t="n">
        <v>5</v>
      </c>
      <c r="M4212" t="inlineStr">
        <is>
          <t>Requeijão Pizzalet 1,8 kg</t>
        </is>
      </c>
      <c r="N4212" t="inlineStr">
        <is>
          <t>Bar / Chopperia</t>
        </is>
      </c>
      <c r="O4212" t="n">
        <v>1</v>
      </c>
      <c r="P4212" t="n">
        <v>4</v>
      </c>
      <c r="Q4212" t="n">
        <v>0</v>
      </c>
    </row>
    <row r="4213">
      <c r="J4213" t="inlineStr">
        <is>
          <t>A</t>
        </is>
      </c>
      <c r="K4213" t="n">
        <v>2025</v>
      </c>
      <c r="L4213" t="n">
        <v>6</v>
      </c>
      <c r="M4213" t="inlineStr">
        <is>
          <t>Requeijão Pizzalet 1,8 kg</t>
        </is>
      </c>
      <c r="N4213" t="inlineStr">
        <is>
          <t>Bar / Chopperia</t>
        </is>
      </c>
      <c r="O4213" t="n">
        <v>1</v>
      </c>
      <c r="P4213" t="n">
        <v>23</v>
      </c>
      <c r="Q4213" t="n">
        <v>0</v>
      </c>
    </row>
    <row r="4214">
      <c r="J4214" t="inlineStr">
        <is>
          <t>M</t>
        </is>
      </c>
      <c r="K4214" t="n">
        <v>2025</v>
      </c>
      <c r="L4214" t="n">
        <v>6</v>
      </c>
      <c r="M4214" t="inlineStr">
        <is>
          <t>Requeijão Pizzalet 1,8 kg</t>
        </is>
      </c>
      <c r="N4214" t="inlineStr">
        <is>
          <t>Bar / Chopperia</t>
        </is>
      </c>
      <c r="O4214" t="n">
        <v>1</v>
      </c>
      <c r="P4214" t="n">
        <v>5</v>
      </c>
      <c r="Q4214" t="n">
        <v>0</v>
      </c>
    </row>
    <row r="4215">
      <c r="J4215" t="inlineStr">
        <is>
          <t>A</t>
        </is>
      </c>
      <c r="K4215" t="n">
        <v>2025</v>
      </c>
      <c r="L4215" t="n">
        <v>7</v>
      </c>
      <c r="M4215" t="inlineStr">
        <is>
          <t>Requeijão Pizzalet 1,8 kg</t>
        </is>
      </c>
      <c r="N4215" t="inlineStr">
        <is>
          <t>Bar / Chopperia</t>
        </is>
      </c>
      <c r="O4215" t="n">
        <v>1</v>
      </c>
      <c r="P4215" t="n">
        <v>26</v>
      </c>
      <c r="Q4215" t="n">
        <v>0</v>
      </c>
    </row>
    <row r="4216">
      <c r="J4216" t="inlineStr">
        <is>
          <t>M</t>
        </is>
      </c>
      <c r="K4216" t="n">
        <v>2025</v>
      </c>
      <c r="L4216" t="n">
        <v>7</v>
      </c>
      <c r="M4216" t="inlineStr">
        <is>
          <t>Requeijão Pizzalet 1,8 kg</t>
        </is>
      </c>
      <c r="N4216" t="inlineStr">
        <is>
          <t>Bar / Chopperia</t>
        </is>
      </c>
      <c r="O4216" t="n">
        <v>1</v>
      </c>
      <c r="P4216" t="n">
        <v>3</v>
      </c>
      <c r="Q4216" t="n">
        <v>0</v>
      </c>
    </row>
    <row r="4217">
      <c r="J4217" t="inlineStr">
        <is>
          <t>A</t>
        </is>
      </c>
      <c r="K4217" t="n">
        <v>2025</v>
      </c>
      <c r="L4217" t="n">
        <v>8</v>
      </c>
      <c r="M4217" t="inlineStr">
        <is>
          <t>Requeijão Pizzalet 1,8 kg</t>
        </is>
      </c>
      <c r="N4217" t="inlineStr">
        <is>
          <t>Bar / Chopperia</t>
        </is>
      </c>
      <c r="O4217" t="n">
        <v>1</v>
      </c>
      <c r="P4217" t="n">
        <v>30</v>
      </c>
      <c r="Q4217" t="n">
        <v>0</v>
      </c>
    </row>
    <row r="4218">
      <c r="J4218" t="inlineStr">
        <is>
          <t>M</t>
        </is>
      </c>
      <c r="K4218" t="n">
        <v>2025</v>
      </c>
      <c r="L4218" t="n">
        <v>8</v>
      </c>
      <c r="M4218" t="inlineStr">
        <is>
          <t>Requeijão Pizzalet 1,8 kg</t>
        </is>
      </c>
      <c r="N4218" t="inlineStr">
        <is>
          <t>Bar / Chopperia</t>
        </is>
      </c>
      <c r="O4218" t="n">
        <v>1</v>
      </c>
      <c r="P4218" t="n">
        <v>4</v>
      </c>
      <c r="Q4218" t="n">
        <v>0</v>
      </c>
    </row>
    <row r="4219">
      <c r="J4219" t="inlineStr">
        <is>
          <t>A</t>
        </is>
      </c>
      <c r="K4219" t="n">
        <v>2025</v>
      </c>
      <c r="L4219" t="n">
        <v>9</v>
      </c>
      <c r="M4219" t="inlineStr">
        <is>
          <t>Requeijão Pizzalet 1,8 kg</t>
        </is>
      </c>
      <c r="N4219" t="inlineStr">
        <is>
          <t>Bar / Chopperia</t>
        </is>
      </c>
      <c r="O4219" t="n">
        <v>1</v>
      </c>
      <c r="P4219" t="n">
        <v>32</v>
      </c>
      <c r="Q4219" t="n">
        <v>0</v>
      </c>
    </row>
    <row r="4220">
      <c r="J4220" t="inlineStr">
        <is>
          <t>M</t>
        </is>
      </c>
      <c r="K4220" t="n">
        <v>2025</v>
      </c>
      <c r="L4220" t="n">
        <v>9</v>
      </c>
      <c r="M4220" t="inlineStr">
        <is>
          <t>Requeijão Pizzalet 1,8 kg</t>
        </is>
      </c>
      <c r="N4220" t="inlineStr">
        <is>
          <t>Bar / Chopperia</t>
        </is>
      </c>
      <c r="O4220" t="n">
        <v>1</v>
      </c>
      <c r="P4220" t="n">
        <v>2</v>
      </c>
      <c r="Q4220" t="n">
        <v>0</v>
      </c>
    </row>
    <row r="4221">
      <c r="J4221" t="inlineStr">
        <is>
          <t>A</t>
        </is>
      </c>
      <c r="K4221" t="n">
        <v>2025</v>
      </c>
      <c r="L4221" t="n">
        <v>10</v>
      </c>
      <c r="M4221" t="inlineStr">
        <is>
          <t>Requeijão Pizzalet 1,8 kg</t>
        </is>
      </c>
      <c r="N4221" t="inlineStr">
        <is>
          <t>Bar / Chopperia</t>
        </is>
      </c>
      <c r="O4221" t="n">
        <v>1</v>
      </c>
      <c r="P4221" t="n">
        <v>36</v>
      </c>
      <c r="Q4221" t="n">
        <v>0</v>
      </c>
    </row>
    <row r="4222">
      <c r="J4222" t="inlineStr">
        <is>
          <t>M</t>
        </is>
      </c>
      <c r="K4222" t="n">
        <v>2025</v>
      </c>
      <c r="L4222" t="n">
        <v>10</v>
      </c>
      <c r="M4222" t="inlineStr">
        <is>
          <t>Requeijão Pizzalet 1,8 kg</t>
        </is>
      </c>
      <c r="N4222" t="inlineStr">
        <is>
          <t>Bar / Chopperia</t>
        </is>
      </c>
      <c r="O4222" t="n">
        <v>1</v>
      </c>
      <c r="P4222" t="n">
        <v>4</v>
      </c>
      <c r="Q4222" t="n">
        <v>0</v>
      </c>
    </row>
    <row r="4223">
      <c r="J4223" t="inlineStr">
        <is>
          <t>A</t>
        </is>
      </c>
      <c r="K4223" t="n">
        <v>2025</v>
      </c>
      <c r="L4223" t="n">
        <v>11</v>
      </c>
      <c r="M4223" t="inlineStr">
        <is>
          <t>Requeijão Pizzalet 1,8 kg</t>
        </is>
      </c>
      <c r="N4223" t="inlineStr">
        <is>
          <t>Bar / Chopperia</t>
        </is>
      </c>
      <c r="O4223" t="n">
        <v>1</v>
      </c>
      <c r="P4223" t="n">
        <v>39</v>
      </c>
      <c r="Q4223" t="n">
        <v>0</v>
      </c>
    </row>
    <row r="4224">
      <c r="J4224" t="inlineStr">
        <is>
          <t>M</t>
        </is>
      </c>
      <c r="K4224" t="n">
        <v>2025</v>
      </c>
      <c r="L4224" t="n">
        <v>11</v>
      </c>
      <c r="M4224" t="inlineStr">
        <is>
          <t>Requeijão Pizzalet 1,8 kg</t>
        </is>
      </c>
      <c r="N4224" t="inlineStr">
        <is>
          <t>Bar / Chopperia</t>
        </is>
      </c>
      <c r="O4224" t="n">
        <v>1</v>
      </c>
      <c r="P4224" t="n">
        <v>3</v>
      </c>
      <c r="Q4224" t="n">
        <v>0</v>
      </c>
    </row>
    <row r="4225">
      <c r="J4225" t="inlineStr">
        <is>
          <t>A</t>
        </is>
      </c>
      <c r="K4225" t="n">
        <v>2025</v>
      </c>
      <c r="L4225" t="n">
        <v>12</v>
      </c>
      <c r="M4225" t="inlineStr">
        <is>
          <t>Requeijão Pizzalet 1,8 kg</t>
        </is>
      </c>
      <c r="N4225" t="inlineStr">
        <is>
          <t>Bar / Chopperia</t>
        </is>
      </c>
      <c r="O4225" t="n">
        <v>1</v>
      </c>
      <c r="P4225" t="n">
        <v>41</v>
      </c>
      <c r="Q4225" t="n">
        <v>0</v>
      </c>
    </row>
    <row r="4226">
      <c r="J4226" t="inlineStr">
        <is>
          <t>M</t>
        </is>
      </c>
      <c r="K4226" t="n">
        <v>2025</v>
      </c>
      <c r="L4226" t="n">
        <v>12</v>
      </c>
      <c r="M4226" t="inlineStr">
        <is>
          <t>Requeijão Pizzalet 1,8 kg</t>
        </is>
      </c>
      <c r="N4226" t="inlineStr">
        <is>
          <t>Bar / Chopperia</t>
        </is>
      </c>
      <c r="O4226" t="n">
        <v>1</v>
      </c>
      <c r="P4226" t="n">
        <v>2</v>
      </c>
      <c r="Q4226" t="n">
        <v>0</v>
      </c>
    </row>
    <row r="4227">
      <c r="J4227" t="inlineStr">
        <is>
          <t>A</t>
        </is>
      </c>
      <c r="K4227" t="n">
        <v>2025</v>
      </c>
      <c r="L4227" t="n">
        <v>1</v>
      </c>
      <c r="M4227" t="inlineStr">
        <is>
          <t>Chocolate em pó 50% 1 kg</t>
        </is>
      </c>
      <c r="N4227" t="inlineStr">
        <is>
          <t>Todos</t>
        </is>
      </c>
      <c r="O4227" t="n">
        <v>32</v>
      </c>
      <c r="P4227" t="n">
        <v>39</v>
      </c>
      <c r="Q4227" t="n">
        <v>4</v>
      </c>
    </row>
    <row r="4228">
      <c r="J4228" t="inlineStr">
        <is>
          <t>M</t>
        </is>
      </c>
      <c r="K4228" t="n">
        <v>2025</v>
      </c>
      <c r="L4228" t="n">
        <v>1</v>
      </c>
      <c r="M4228" t="inlineStr">
        <is>
          <t>Chocolate em pó 50% 1 kg</t>
        </is>
      </c>
      <c r="N4228" t="inlineStr">
        <is>
          <t>Todos</t>
        </is>
      </c>
      <c r="O4228" t="n">
        <v>32</v>
      </c>
      <c r="P4228" t="n">
        <v>39</v>
      </c>
      <c r="Q4228" t="n">
        <v>0</v>
      </c>
    </row>
    <row r="4229">
      <c r="J4229" t="inlineStr">
        <is>
          <t>A</t>
        </is>
      </c>
      <c r="K4229" t="n">
        <v>2025</v>
      </c>
      <c r="L4229" t="n">
        <v>2</v>
      </c>
      <c r="M4229" t="inlineStr">
        <is>
          <t>Chocolate em pó 50% 1 kg</t>
        </is>
      </c>
      <c r="N4229" t="inlineStr">
        <is>
          <t>Todos</t>
        </is>
      </c>
      <c r="O4229" t="n">
        <v>45</v>
      </c>
      <c r="P4229" t="n">
        <v>63</v>
      </c>
      <c r="Q4229" t="n">
        <v>11</v>
      </c>
    </row>
    <row r="4230">
      <c r="J4230" t="inlineStr">
        <is>
          <t>M</t>
        </is>
      </c>
      <c r="K4230" t="n">
        <v>2025</v>
      </c>
      <c r="L4230" t="n">
        <v>2</v>
      </c>
      <c r="M4230" t="inlineStr">
        <is>
          <t>Chocolate em pó 50% 1 kg</t>
        </is>
      </c>
      <c r="N4230" t="inlineStr">
        <is>
          <t>Todos</t>
        </is>
      </c>
      <c r="O4230" t="n">
        <v>23</v>
      </c>
      <c r="P4230" t="n">
        <v>24</v>
      </c>
      <c r="Q4230" t="n">
        <v>0</v>
      </c>
    </row>
    <row r="4231">
      <c r="J4231" t="inlineStr">
        <is>
          <t>A</t>
        </is>
      </c>
      <c r="K4231" t="n">
        <v>2025</v>
      </c>
      <c r="L4231" t="n">
        <v>3</v>
      </c>
      <c r="M4231" t="inlineStr">
        <is>
          <t>Chocolate em pó 50% 1 kg</t>
        </is>
      </c>
      <c r="N4231" t="inlineStr">
        <is>
          <t>Todos</t>
        </is>
      </c>
      <c r="O4231" t="n">
        <v>57</v>
      </c>
      <c r="P4231" t="n">
        <v>88</v>
      </c>
      <c r="Q4231" t="n">
        <v>16</v>
      </c>
    </row>
    <row r="4232">
      <c r="J4232" t="inlineStr">
        <is>
          <t>M</t>
        </is>
      </c>
      <c r="K4232" t="n">
        <v>2025</v>
      </c>
      <c r="L4232" t="n">
        <v>3</v>
      </c>
      <c r="M4232" t="inlineStr">
        <is>
          <t>Chocolate em pó 50% 1 kg</t>
        </is>
      </c>
      <c r="N4232" t="inlineStr">
        <is>
          <t>Todos</t>
        </is>
      </c>
      <c r="O4232" t="n">
        <v>22</v>
      </c>
      <c r="P4232" t="n">
        <v>25</v>
      </c>
      <c r="Q4232" t="n">
        <v>0</v>
      </c>
    </row>
    <row r="4233">
      <c r="J4233" t="inlineStr">
        <is>
          <t>A</t>
        </is>
      </c>
      <c r="K4233" t="n">
        <v>2025</v>
      </c>
      <c r="L4233" t="n">
        <v>4</v>
      </c>
      <c r="M4233" t="inlineStr">
        <is>
          <t>Chocolate em pó 50% 1 kg</t>
        </is>
      </c>
      <c r="N4233" t="inlineStr">
        <is>
          <t>Todos</t>
        </is>
      </c>
      <c r="O4233" t="n">
        <v>63</v>
      </c>
      <c r="P4233" t="n">
        <v>101</v>
      </c>
      <c r="Q4233" t="n">
        <v>19</v>
      </c>
    </row>
    <row r="4234">
      <c r="J4234" t="inlineStr">
        <is>
          <t>M</t>
        </is>
      </c>
      <c r="K4234" t="n">
        <v>2025</v>
      </c>
      <c r="L4234" t="n">
        <v>4</v>
      </c>
      <c r="M4234" t="inlineStr">
        <is>
          <t>Chocolate em pó 50% 1 kg</t>
        </is>
      </c>
      <c r="N4234" t="inlineStr">
        <is>
          <t>Todos</t>
        </is>
      </c>
      <c r="O4234" t="n">
        <v>11</v>
      </c>
      <c r="P4234" t="n">
        <v>13</v>
      </c>
      <c r="Q4234" t="n">
        <v>0</v>
      </c>
    </row>
    <row r="4235">
      <c r="J4235" t="inlineStr">
        <is>
          <t>A</t>
        </is>
      </c>
      <c r="K4235" t="n">
        <v>2025</v>
      </c>
      <c r="L4235" t="n">
        <v>5</v>
      </c>
      <c r="M4235" t="inlineStr">
        <is>
          <t>Chocolate em pó 50% 1 kg</t>
        </is>
      </c>
      <c r="N4235" t="inlineStr">
        <is>
          <t>Todos</t>
        </is>
      </c>
      <c r="O4235" t="n">
        <v>92</v>
      </c>
      <c r="P4235" t="n">
        <v>153</v>
      </c>
      <c r="Q4235" t="n">
        <v>37</v>
      </c>
    </row>
    <row r="4236">
      <c r="J4236" t="inlineStr">
        <is>
          <t>M</t>
        </is>
      </c>
      <c r="K4236" t="n">
        <v>2025</v>
      </c>
      <c r="L4236" t="n">
        <v>5</v>
      </c>
      <c r="M4236" t="inlineStr">
        <is>
          <t>Chocolate em pó 50% 1 kg</t>
        </is>
      </c>
      <c r="N4236" t="inlineStr">
        <is>
          <t>Todos</t>
        </is>
      </c>
      <c r="O4236" t="n">
        <v>46</v>
      </c>
      <c r="P4236" t="n">
        <v>52</v>
      </c>
      <c r="Q4236" t="n">
        <v>0</v>
      </c>
    </row>
    <row r="4237">
      <c r="J4237" t="inlineStr">
        <is>
          <t>A</t>
        </is>
      </c>
      <c r="K4237" t="n">
        <v>2025</v>
      </c>
      <c r="L4237" t="n">
        <v>6</v>
      </c>
      <c r="M4237" t="inlineStr">
        <is>
          <t>Chocolate em pó 50% 1 kg</t>
        </is>
      </c>
      <c r="N4237" t="inlineStr">
        <is>
          <t>Todos</t>
        </is>
      </c>
      <c r="O4237" t="n">
        <v>118</v>
      </c>
      <c r="P4237" t="n">
        <v>207</v>
      </c>
      <c r="Q4237" t="n">
        <v>51</v>
      </c>
    </row>
    <row r="4238">
      <c r="J4238" t="inlineStr">
        <is>
          <t>M</t>
        </is>
      </c>
      <c r="K4238" t="n">
        <v>2025</v>
      </c>
      <c r="L4238" t="n">
        <v>6</v>
      </c>
      <c r="M4238" t="inlineStr">
        <is>
          <t>Chocolate em pó 50% 1 kg</t>
        </is>
      </c>
      <c r="N4238" t="inlineStr">
        <is>
          <t>Todos</t>
        </is>
      </c>
      <c r="O4238" t="n">
        <v>43</v>
      </c>
      <c r="P4238" t="n">
        <v>54</v>
      </c>
      <c r="Q4238" t="n">
        <v>0</v>
      </c>
    </row>
    <row r="4239">
      <c r="J4239" t="inlineStr">
        <is>
          <t>A</t>
        </is>
      </c>
      <c r="K4239" t="n">
        <v>2025</v>
      </c>
      <c r="L4239" t="n">
        <v>7</v>
      </c>
      <c r="M4239" t="inlineStr">
        <is>
          <t>Chocolate em pó 50% 1 kg</t>
        </is>
      </c>
      <c r="N4239" t="inlineStr">
        <is>
          <t>Todos</t>
        </is>
      </c>
      <c r="O4239" t="n">
        <v>153</v>
      </c>
      <c r="P4239" t="n">
        <v>303</v>
      </c>
      <c r="Q4239" t="n">
        <v>79</v>
      </c>
    </row>
    <row r="4240">
      <c r="J4240" t="inlineStr">
        <is>
          <t>M</t>
        </is>
      </c>
      <c r="K4240" t="n">
        <v>2025</v>
      </c>
      <c r="L4240" t="n">
        <v>7</v>
      </c>
      <c r="M4240" t="inlineStr">
        <is>
          <t>Chocolate em pó 50% 1 kg</t>
        </is>
      </c>
      <c r="N4240" t="inlineStr">
        <is>
          <t>Todos</t>
        </is>
      </c>
      <c r="O4240" t="n">
        <v>74</v>
      </c>
      <c r="P4240" t="n">
        <v>96</v>
      </c>
      <c r="Q4240" t="n">
        <v>0</v>
      </c>
    </row>
    <row r="4241">
      <c r="J4241" t="inlineStr">
        <is>
          <t>A</t>
        </is>
      </c>
      <c r="K4241" t="n">
        <v>2025</v>
      </c>
      <c r="L4241" t="n">
        <v>8</v>
      </c>
      <c r="M4241" t="inlineStr">
        <is>
          <t>Chocolate em pó 50% 1 kg</t>
        </is>
      </c>
      <c r="N4241" t="inlineStr">
        <is>
          <t>Todos</t>
        </is>
      </c>
      <c r="O4241" t="n">
        <v>173</v>
      </c>
      <c r="P4241" t="n">
        <v>392</v>
      </c>
      <c r="Q4241" t="n">
        <v>94</v>
      </c>
    </row>
    <row r="4242">
      <c r="J4242" t="inlineStr">
        <is>
          <t>M</t>
        </is>
      </c>
      <c r="K4242" t="n">
        <v>2025</v>
      </c>
      <c r="L4242" t="n">
        <v>8</v>
      </c>
      <c r="M4242" t="inlineStr">
        <is>
          <t>Chocolate em pó 50% 1 kg</t>
        </is>
      </c>
      <c r="N4242" t="inlineStr">
        <is>
          <t>Todos</t>
        </is>
      </c>
      <c r="O4242" t="n">
        <v>67</v>
      </c>
      <c r="P4242" t="n">
        <v>89</v>
      </c>
      <c r="Q4242" t="n">
        <v>0</v>
      </c>
    </row>
    <row r="4243">
      <c r="J4243" t="inlineStr">
        <is>
          <t>A</t>
        </is>
      </c>
      <c r="K4243" t="n">
        <v>2025</v>
      </c>
      <c r="L4243" t="n">
        <v>9</v>
      </c>
      <c r="M4243" t="inlineStr">
        <is>
          <t>Chocolate em pó 50% 1 kg</t>
        </is>
      </c>
      <c r="N4243" t="inlineStr">
        <is>
          <t>Todos</t>
        </is>
      </c>
      <c r="O4243" t="n">
        <v>201</v>
      </c>
      <c r="P4243" t="n">
        <v>496</v>
      </c>
      <c r="Q4243" t="n">
        <v>118</v>
      </c>
    </row>
    <row r="4244">
      <c r="J4244" t="inlineStr">
        <is>
          <t>M</t>
        </is>
      </c>
      <c r="K4244" t="n">
        <v>2025</v>
      </c>
      <c r="L4244" t="n">
        <v>9</v>
      </c>
      <c r="M4244" t="inlineStr">
        <is>
          <t>Chocolate em pó 50% 1 kg</t>
        </is>
      </c>
      <c r="N4244" t="inlineStr">
        <is>
          <t>Todos</t>
        </is>
      </c>
      <c r="O4244" t="n">
        <v>72</v>
      </c>
      <c r="P4244" t="n">
        <v>104</v>
      </c>
      <c r="Q4244" t="n">
        <v>0</v>
      </c>
    </row>
    <row r="4245">
      <c r="J4245" t="inlineStr">
        <is>
          <t>A</t>
        </is>
      </c>
      <c r="K4245" t="n">
        <v>2025</v>
      </c>
      <c r="L4245" t="n">
        <v>10</v>
      </c>
      <c r="M4245" t="inlineStr">
        <is>
          <t>Chocolate em pó 50% 1 kg</t>
        </is>
      </c>
      <c r="N4245" t="inlineStr">
        <is>
          <t>Todos</t>
        </is>
      </c>
      <c r="O4245" t="n">
        <v>220</v>
      </c>
      <c r="P4245" t="n">
        <v>614</v>
      </c>
      <c r="Q4245" t="n">
        <v>134</v>
      </c>
    </row>
    <row r="4246">
      <c r="J4246" t="inlineStr">
        <is>
          <t>M</t>
        </is>
      </c>
      <c r="K4246" t="n">
        <v>2025</v>
      </c>
      <c r="L4246" t="n">
        <v>10</v>
      </c>
      <c r="M4246" t="inlineStr">
        <is>
          <t>Chocolate em pó 50% 1 kg</t>
        </is>
      </c>
      <c r="N4246" t="inlineStr">
        <is>
          <t>Todos</t>
        </is>
      </c>
      <c r="O4246" t="n">
        <v>79</v>
      </c>
      <c r="P4246" t="n">
        <v>118</v>
      </c>
      <c r="Q4246" t="n">
        <v>0</v>
      </c>
    </row>
    <row r="4247">
      <c r="J4247" t="inlineStr">
        <is>
          <t>A</t>
        </is>
      </c>
      <c r="K4247" t="n">
        <v>2025</v>
      </c>
      <c r="L4247" t="n">
        <v>11</v>
      </c>
      <c r="M4247" t="inlineStr">
        <is>
          <t>Chocolate em pó 50% 1 kg</t>
        </is>
      </c>
      <c r="N4247" t="inlineStr">
        <is>
          <t>Todos</t>
        </is>
      </c>
      <c r="O4247" t="n">
        <v>235</v>
      </c>
      <c r="P4247" t="n">
        <v>663</v>
      </c>
      <c r="Q4247" t="n">
        <v>148</v>
      </c>
    </row>
    <row r="4248">
      <c r="J4248" t="inlineStr">
        <is>
          <t>M</t>
        </is>
      </c>
      <c r="K4248" t="n">
        <v>2025</v>
      </c>
      <c r="L4248" t="n">
        <v>11</v>
      </c>
      <c r="M4248" t="inlineStr">
        <is>
          <t>Chocolate em pó 50% 1 kg</t>
        </is>
      </c>
      <c r="N4248" t="inlineStr">
        <is>
          <t>Todos</t>
        </is>
      </c>
      <c r="O4248" t="n">
        <v>43</v>
      </c>
      <c r="P4248" t="n">
        <v>49</v>
      </c>
      <c r="Q4248" t="n">
        <v>0</v>
      </c>
    </row>
    <row r="4249">
      <c r="J4249" t="inlineStr">
        <is>
          <t>A</t>
        </is>
      </c>
      <c r="K4249" t="n">
        <v>2025</v>
      </c>
      <c r="L4249" t="n">
        <v>12</v>
      </c>
      <c r="M4249" t="inlineStr">
        <is>
          <t>Chocolate em pó 50% 1 kg</t>
        </is>
      </c>
      <c r="N4249" t="inlineStr">
        <is>
          <t>Todos</t>
        </is>
      </c>
      <c r="O4249" t="n">
        <v>252</v>
      </c>
      <c r="P4249" t="n">
        <v>733</v>
      </c>
      <c r="Q4249" t="n">
        <v>164</v>
      </c>
    </row>
    <row r="4250">
      <c r="J4250" t="inlineStr">
        <is>
          <t>M</t>
        </is>
      </c>
      <c r="K4250" t="n">
        <v>2025</v>
      </c>
      <c r="L4250" t="n">
        <v>12</v>
      </c>
      <c r="M4250" t="inlineStr">
        <is>
          <t>Chocolate em pó 50% 1 kg</t>
        </is>
      </c>
      <c r="N4250" t="inlineStr">
        <is>
          <t>Todos</t>
        </is>
      </c>
      <c r="O4250" t="n">
        <v>59</v>
      </c>
      <c r="P4250" t="n">
        <v>70</v>
      </c>
      <c r="Q4250" t="n">
        <v>0</v>
      </c>
    </row>
    <row r="4251">
      <c r="J4251" t="inlineStr">
        <is>
          <t>A</t>
        </is>
      </c>
      <c r="K4251" t="n">
        <v>2025</v>
      </c>
      <c r="L4251" t="n">
        <v>1</v>
      </c>
      <c r="M4251" t="inlineStr">
        <is>
          <t>Chocolate em pó 50% 1 kg</t>
        </is>
      </c>
      <c r="N4251" t="inlineStr">
        <is>
          <t>Pizzaria</t>
        </is>
      </c>
      <c r="O4251" t="n">
        <v>4</v>
      </c>
      <c r="P4251" t="n">
        <v>5</v>
      </c>
      <c r="Q4251" t="n">
        <v>1</v>
      </c>
    </row>
    <row r="4252">
      <c r="J4252" t="inlineStr">
        <is>
          <t>M</t>
        </is>
      </c>
      <c r="K4252" t="n">
        <v>2025</v>
      </c>
      <c r="L4252" t="n">
        <v>1</v>
      </c>
      <c r="M4252" t="inlineStr">
        <is>
          <t>Chocolate em pó 50% 1 kg</t>
        </is>
      </c>
      <c r="N4252" t="inlineStr">
        <is>
          <t>Pizzaria</t>
        </is>
      </c>
      <c r="O4252" t="n">
        <v>4</v>
      </c>
      <c r="P4252" t="n">
        <v>5</v>
      </c>
      <c r="Q4252" t="n">
        <v>0</v>
      </c>
    </row>
    <row r="4253">
      <c r="J4253" t="inlineStr">
        <is>
          <t>A</t>
        </is>
      </c>
      <c r="K4253" t="n">
        <v>2025</v>
      </c>
      <c r="L4253" t="n">
        <v>2</v>
      </c>
      <c r="M4253" t="inlineStr">
        <is>
          <t>Chocolate em pó 50% 1 kg</t>
        </is>
      </c>
      <c r="N4253" t="inlineStr">
        <is>
          <t>Pizzaria</t>
        </is>
      </c>
      <c r="O4253" t="n">
        <v>9</v>
      </c>
      <c r="P4253" t="n">
        <v>11</v>
      </c>
      <c r="Q4253" t="n">
        <v>3</v>
      </c>
    </row>
    <row r="4254">
      <c r="J4254" t="inlineStr">
        <is>
          <t>M</t>
        </is>
      </c>
      <c r="K4254" t="n">
        <v>2025</v>
      </c>
      <c r="L4254" t="n">
        <v>2</v>
      </c>
      <c r="M4254" t="inlineStr">
        <is>
          <t>Chocolate em pó 50% 1 kg</t>
        </is>
      </c>
      <c r="N4254" t="inlineStr">
        <is>
          <t>Pizzaria</t>
        </is>
      </c>
      <c r="O4254" t="n">
        <v>6</v>
      </c>
      <c r="P4254" t="n">
        <v>6</v>
      </c>
      <c r="Q4254" t="n">
        <v>0</v>
      </c>
    </row>
    <row r="4255">
      <c r="J4255" t="inlineStr">
        <is>
          <t>A</t>
        </is>
      </c>
      <c r="K4255" t="n">
        <v>2025</v>
      </c>
      <c r="L4255" t="n">
        <v>3</v>
      </c>
      <c r="M4255" t="inlineStr">
        <is>
          <t>Chocolate em pó 50% 1 kg</t>
        </is>
      </c>
      <c r="N4255" t="inlineStr">
        <is>
          <t>Pizzaria</t>
        </is>
      </c>
      <c r="O4255" t="n">
        <v>9</v>
      </c>
      <c r="P4255" t="n">
        <v>11</v>
      </c>
      <c r="Q4255" t="n">
        <v>3</v>
      </c>
    </row>
    <row r="4256">
      <c r="J4256" t="inlineStr">
        <is>
          <t>A</t>
        </is>
      </c>
      <c r="K4256" t="n">
        <v>2025</v>
      </c>
      <c r="L4256" t="n">
        <v>4</v>
      </c>
      <c r="M4256" t="inlineStr">
        <is>
          <t>Chocolate em pó 50% 1 kg</t>
        </is>
      </c>
      <c r="N4256" t="inlineStr">
        <is>
          <t>Pizzaria</t>
        </is>
      </c>
      <c r="O4256" t="n">
        <v>9</v>
      </c>
      <c r="P4256" t="n">
        <v>12</v>
      </c>
      <c r="Q4256" t="n">
        <v>3</v>
      </c>
    </row>
    <row r="4257">
      <c r="J4257" t="inlineStr">
        <is>
          <t>M</t>
        </is>
      </c>
      <c r="K4257" t="n">
        <v>2025</v>
      </c>
      <c r="L4257" t="n">
        <v>4</v>
      </c>
      <c r="M4257" t="inlineStr">
        <is>
          <t>Chocolate em pó 50% 1 kg</t>
        </is>
      </c>
      <c r="N4257" t="inlineStr">
        <is>
          <t>Pizzaria</t>
        </is>
      </c>
      <c r="O4257" t="n">
        <v>1</v>
      </c>
      <c r="P4257" t="n">
        <v>1</v>
      </c>
      <c r="Q4257" t="n">
        <v>0</v>
      </c>
    </row>
    <row r="4258">
      <c r="J4258" t="inlineStr">
        <is>
          <t>A</t>
        </is>
      </c>
      <c r="K4258" t="n">
        <v>2025</v>
      </c>
      <c r="L4258" t="n">
        <v>5</v>
      </c>
      <c r="M4258" t="inlineStr">
        <is>
          <t>Chocolate em pó 50% 1 kg</t>
        </is>
      </c>
      <c r="N4258" t="inlineStr">
        <is>
          <t>Pizzaria</t>
        </is>
      </c>
      <c r="O4258" t="n">
        <v>13</v>
      </c>
      <c r="P4258" t="n">
        <v>17</v>
      </c>
      <c r="Q4258" t="n">
        <v>6</v>
      </c>
    </row>
    <row r="4259">
      <c r="J4259" t="inlineStr">
        <is>
          <t>M</t>
        </is>
      </c>
      <c r="K4259" t="n">
        <v>2025</v>
      </c>
      <c r="L4259" t="n">
        <v>5</v>
      </c>
      <c r="M4259" t="inlineStr">
        <is>
          <t>Chocolate em pó 50% 1 kg</t>
        </is>
      </c>
      <c r="N4259" t="inlineStr">
        <is>
          <t>Pizzaria</t>
        </is>
      </c>
      <c r="O4259" t="n">
        <v>5</v>
      </c>
      <c r="P4259" t="n">
        <v>5</v>
      </c>
      <c r="Q4259" t="n">
        <v>0</v>
      </c>
    </row>
    <row r="4260">
      <c r="J4260" t="inlineStr">
        <is>
          <t>A</t>
        </is>
      </c>
      <c r="K4260" t="n">
        <v>2025</v>
      </c>
      <c r="L4260" t="n">
        <v>6</v>
      </c>
      <c r="M4260" t="inlineStr">
        <is>
          <t>Chocolate em pó 50% 1 kg</t>
        </is>
      </c>
      <c r="N4260" t="inlineStr">
        <is>
          <t>Pizzaria</t>
        </is>
      </c>
      <c r="O4260" t="n">
        <v>20</v>
      </c>
      <c r="P4260" t="n">
        <v>28</v>
      </c>
      <c r="Q4260" t="n">
        <v>9</v>
      </c>
    </row>
    <row r="4261">
      <c r="J4261" t="inlineStr">
        <is>
          <t>M</t>
        </is>
      </c>
      <c r="K4261" t="n">
        <v>2025</v>
      </c>
      <c r="L4261" t="n">
        <v>6</v>
      </c>
      <c r="M4261" t="inlineStr">
        <is>
          <t>Chocolate em pó 50% 1 kg</t>
        </is>
      </c>
      <c r="N4261" t="inlineStr">
        <is>
          <t>Pizzaria</t>
        </is>
      </c>
      <c r="O4261" t="n">
        <v>9</v>
      </c>
      <c r="P4261" t="n">
        <v>11</v>
      </c>
      <c r="Q4261" t="n">
        <v>0</v>
      </c>
    </row>
    <row r="4262">
      <c r="J4262" t="inlineStr">
        <is>
          <t>A</t>
        </is>
      </c>
      <c r="K4262" t="n">
        <v>2025</v>
      </c>
      <c r="L4262" t="n">
        <v>7</v>
      </c>
      <c r="M4262" t="inlineStr">
        <is>
          <t>Chocolate em pó 50% 1 kg</t>
        </is>
      </c>
      <c r="N4262" t="inlineStr">
        <is>
          <t>Pizzaria</t>
        </is>
      </c>
      <c r="O4262" t="n">
        <v>29</v>
      </c>
      <c r="P4262" t="n">
        <v>50</v>
      </c>
      <c r="Q4262" t="n">
        <v>16</v>
      </c>
    </row>
    <row r="4263">
      <c r="J4263" t="inlineStr">
        <is>
          <t>M</t>
        </is>
      </c>
      <c r="K4263" t="n">
        <v>2025</v>
      </c>
      <c r="L4263" t="n">
        <v>7</v>
      </c>
      <c r="M4263" t="inlineStr">
        <is>
          <t>Chocolate em pó 50% 1 kg</t>
        </is>
      </c>
      <c r="N4263" t="inlineStr">
        <is>
          <t>Pizzaria</t>
        </is>
      </c>
      <c r="O4263" t="n">
        <v>18</v>
      </c>
      <c r="P4263" t="n">
        <v>22</v>
      </c>
      <c r="Q4263" t="n">
        <v>0</v>
      </c>
    </row>
    <row r="4264">
      <c r="J4264" t="inlineStr">
        <is>
          <t>A</t>
        </is>
      </c>
      <c r="K4264" t="n">
        <v>2025</v>
      </c>
      <c r="L4264" t="n">
        <v>8</v>
      </c>
      <c r="M4264" t="inlineStr">
        <is>
          <t>Chocolate em pó 50% 1 kg</t>
        </is>
      </c>
      <c r="N4264" t="inlineStr">
        <is>
          <t>Pizzaria</t>
        </is>
      </c>
      <c r="O4264" t="n">
        <v>31</v>
      </c>
      <c r="P4264" t="n">
        <v>67</v>
      </c>
      <c r="Q4264" t="n">
        <v>17</v>
      </c>
    </row>
    <row r="4265">
      <c r="J4265" t="inlineStr">
        <is>
          <t>M</t>
        </is>
      </c>
      <c r="K4265" t="n">
        <v>2025</v>
      </c>
      <c r="L4265" t="n">
        <v>8</v>
      </c>
      <c r="M4265" t="inlineStr">
        <is>
          <t>Chocolate em pó 50% 1 kg</t>
        </is>
      </c>
      <c r="N4265" t="inlineStr">
        <is>
          <t>Pizzaria</t>
        </is>
      </c>
      <c r="O4265" t="n">
        <v>12</v>
      </c>
      <c r="P4265" t="n">
        <v>17</v>
      </c>
      <c r="Q4265" t="n">
        <v>0</v>
      </c>
    </row>
    <row r="4266">
      <c r="J4266" t="inlineStr">
        <is>
          <t>A</t>
        </is>
      </c>
      <c r="K4266" t="n">
        <v>2025</v>
      </c>
      <c r="L4266" t="n">
        <v>9</v>
      </c>
      <c r="M4266" t="inlineStr">
        <is>
          <t>Chocolate em pó 50% 1 kg</t>
        </is>
      </c>
      <c r="N4266" t="inlineStr">
        <is>
          <t>Pizzaria</t>
        </is>
      </c>
      <c r="O4266" t="n">
        <v>37</v>
      </c>
      <c r="P4266" t="n">
        <v>83</v>
      </c>
      <c r="Q4266" t="n">
        <v>22</v>
      </c>
    </row>
    <row r="4267">
      <c r="J4267" t="inlineStr">
        <is>
          <t>M</t>
        </is>
      </c>
      <c r="K4267" t="n">
        <v>2025</v>
      </c>
      <c r="L4267" t="n">
        <v>9</v>
      </c>
      <c r="M4267" t="inlineStr">
        <is>
          <t>Chocolate em pó 50% 1 kg</t>
        </is>
      </c>
      <c r="N4267" t="inlineStr">
        <is>
          <t>Pizzaria</t>
        </is>
      </c>
      <c r="O4267" t="n">
        <v>12</v>
      </c>
      <c r="P4267" t="n">
        <v>16</v>
      </c>
      <c r="Q4267" t="n">
        <v>0</v>
      </c>
    </row>
    <row r="4268">
      <c r="J4268" t="inlineStr">
        <is>
          <t>A</t>
        </is>
      </c>
      <c r="K4268" t="n">
        <v>2025</v>
      </c>
      <c r="L4268" t="n">
        <v>10</v>
      </c>
      <c r="M4268" t="inlineStr">
        <is>
          <t>Chocolate em pó 50% 1 kg</t>
        </is>
      </c>
      <c r="N4268" t="inlineStr">
        <is>
          <t>Pizzaria</t>
        </is>
      </c>
      <c r="O4268" t="n">
        <v>39</v>
      </c>
      <c r="P4268" t="n">
        <v>107</v>
      </c>
      <c r="Q4268" t="n">
        <v>24</v>
      </c>
    </row>
    <row r="4269">
      <c r="J4269" t="inlineStr">
        <is>
          <t>M</t>
        </is>
      </c>
      <c r="K4269" t="n">
        <v>2025</v>
      </c>
      <c r="L4269" t="n">
        <v>10</v>
      </c>
      <c r="M4269" t="inlineStr">
        <is>
          <t>Chocolate em pó 50% 1 kg</t>
        </is>
      </c>
      <c r="N4269" t="inlineStr">
        <is>
          <t>Pizzaria</t>
        </is>
      </c>
      <c r="O4269" t="n">
        <v>16</v>
      </c>
      <c r="P4269" t="n">
        <v>24</v>
      </c>
      <c r="Q4269" t="n">
        <v>0</v>
      </c>
    </row>
    <row r="4270">
      <c r="J4270" t="inlineStr">
        <is>
          <t>A</t>
        </is>
      </c>
      <c r="K4270" t="n">
        <v>2025</v>
      </c>
      <c r="L4270" t="n">
        <v>11</v>
      </c>
      <c r="M4270" t="inlineStr">
        <is>
          <t>Chocolate em pó 50% 1 kg</t>
        </is>
      </c>
      <c r="N4270" t="inlineStr">
        <is>
          <t>Pizzaria</t>
        </is>
      </c>
      <c r="O4270" t="n">
        <v>40</v>
      </c>
      <c r="P4270" t="n">
        <v>114</v>
      </c>
      <c r="Q4270" t="n">
        <v>24</v>
      </c>
    </row>
    <row r="4271">
      <c r="J4271" t="inlineStr">
        <is>
          <t>M</t>
        </is>
      </c>
      <c r="K4271" t="n">
        <v>2025</v>
      </c>
      <c r="L4271" t="n">
        <v>11</v>
      </c>
      <c r="M4271" t="inlineStr">
        <is>
          <t>Chocolate em pó 50% 1 kg</t>
        </is>
      </c>
      <c r="N4271" t="inlineStr">
        <is>
          <t>Pizzaria</t>
        </is>
      </c>
      <c r="O4271" t="n">
        <v>6</v>
      </c>
      <c r="P4271" t="n">
        <v>7</v>
      </c>
      <c r="Q4271" t="n">
        <v>0</v>
      </c>
    </row>
    <row r="4272">
      <c r="J4272" t="inlineStr">
        <is>
          <t>A</t>
        </is>
      </c>
      <c r="K4272" t="n">
        <v>2025</v>
      </c>
      <c r="L4272" t="n">
        <v>12</v>
      </c>
      <c r="M4272" t="inlineStr">
        <is>
          <t>Chocolate em pó 50% 1 kg</t>
        </is>
      </c>
      <c r="N4272" t="inlineStr">
        <is>
          <t>Pizzaria</t>
        </is>
      </c>
      <c r="O4272" t="n">
        <v>42</v>
      </c>
      <c r="P4272" t="n">
        <v>122</v>
      </c>
      <c r="Q4272" t="n">
        <v>26</v>
      </c>
    </row>
    <row r="4273">
      <c r="J4273" t="inlineStr">
        <is>
          <t>M</t>
        </is>
      </c>
      <c r="K4273" t="n">
        <v>2025</v>
      </c>
      <c r="L4273" t="n">
        <v>12</v>
      </c>
      <c r="M4273" t="inlineStr">
        <is>
          <t>Chocolate em pó 50% 1 kg</t>
        </is>
      </c>
      <c r="N4273" t="inlineStr">
        <is>
          <t>Pizzaria</t>
        </is>
      </c>
      <c r="O4273" t="n">
        <v>7</v>
      </c>
      <c r="P4273" t="n">
        <v>8</v>
      </c>
      <c r="Q4273" t="n">
        <v>0</v>
      </c>
    </row>
    <row r="4274">
      <c r="J4274" t="inlineStr">
        <is>
          <t>A</t>
        </is>
      </c>
      <c r="K4274" t="n">
        <v>2025</v>
      </c>
      <c r="L4274" t="n">
        <v>1</v>
      </c>
      <c r="M4274" t="inlineStr">
        <is>
          <t>Chocolate em pó 50% 1 kg</t>
        </is>
      </c>
      <c r="N4274" t="inlineStr">
        <is>
          <t>Restaurante / Cantina</t>
        </is>
      </c>
      <c r="O4274" t="n">
        <v>9</v>
      </c>
      <c r="P4274" t="n">
        <v>10</v>
      </c>
      <c r="Q4274" t="n">
        <v>0</v>
      </c>
    </row>
    <row r="4275">
      <c r="J4275" t="inlineStr">
        <is>
          <t>M</t>
        </is>
      </c>
      <c r="K4275" t="n">
        <v>2025</v>
      </c>
      <c r="L4275" t="n">
        <v>1</v>
      </c>
      <c r="M4275" t="inlineStr">
        <is>
          <t>Chocolate em pó 50% 1 kg</t>
        </is>
      </c>
      <c r="N4275" t="inlineStr">
        <is>
          <t>Restaurante / Cantina</t>
        </is>
      </c>
      <c r="O4275" t="n">
        <v>9</v>
      </c>
      <c r="P4275" t="n">
        <v>10</v>
      </c>
      <c r="Q4275" t="n">
        <v>0</v>
      </c>
    </row>
    <row r="4276">
      <c r="J4276" t="inlineStr">
        <is>
          <t>A</t>
        </is>
      </c>
      <c r="K4276" t="n">
        <v>2025</v>
      </c>
      <c r="L4276" t="n">
        <v>2</v>
      </c>
      <c r="M4276" t="inlineStr">
        <is>
          <t>Chocolate em pó 50% 1 kg</t>
        </is>
      </c>
      <c r="N4276" t="inlineStr">
        <is>
          <t>Restaurante / Cantina</t>
        </is>
      </c>
      <c r="O4276" t="n">
        <v>11</v>
      </c>
      <c r="P4276" t="n">
        <v>16</v>
      </c>
      <c r="Q4276" t="n">
        <v>1</v>
      </c>
    </row>
    <row r="4277">
      <c r="J4277" t="inlineStr">
        <is>
          <t>M</t>
        </is>
      </c>
      <c r="K4277" t="n">
        <v>2025</v>
      </c>
      <c r="L4277" t="n">
        <v>2</v>
      </c>
      <c r="M4277" t="inlineStr">
        <is>
          <t>Chocolate em pó 50% 1 kg</t>
        </is>
      </c>
      <c r="N4277" t="inlineStr">
        <is>
          <t>Restaurante / Cantina</t>
        </is>
      </c>
      <c r="O4277" t="n">
        <v>6</v>
      </c>
      <c r="P4277" t="n">
        <v>6</v>
      </c>
      <c r="Q4277" t="n">
        <v>0</v>
      </c>
    </row>
    <row r="4278">
      <c r="J4278" t="inlineStr">
        <is>
          <t>A</t>
        </is>
      </c>
      <c r="K4278" t="n">
        <v>2025</v>
      </c>
      <c r="L4278" t="n">
        <v>3</v>
      </c>
      <c r="M4278" t="inlineStr">
        <is>
          <t>Chocolate em pó 50% 1 kg</t>
        </is>
      </c>
      <c r="N4278" t="inlineStr">
        <is>
          <t>Restaurante / Cantina</t>
        </is>
      </c>
      <c r="O4278" t="n">
        <v>16</v>
      </c>
      <c r="P4278" t="n">
        <v>25</v>
      </c>
      <c r="Q4278" t="n">
        <v>1</v>
      </c>
    </row>
    <row r="4279">
      <c r="J4279" t="inlineStr">
        <is>
          <t>M</t>
        </is>
      </c>
      <c r="K4279" t="n">
        <v>2025</v>
      </c>
      <c r="L4279" t="n">
        <v>3</v>
      </c>
      <c r="M4279" t="inlineStr">
        <is>
          <t>Chocolate em pó 50% 1 kg</t>
        </is>
      </c>
      <c r="N4279" t="inlineStr">
        <is>
          <t>Restaurante / Cantina</t>
        </is>
      </c>
      <c r="O4279" t="n">
        <v>8</v>
      </c>
      <c r="P4279" t="n">
        <v>9</v>
      </c>
      <c r="Q4279" t="n">
        <v>0</v>
      </c>
    </row>
    <row r="4280">
      <c r="J4280" t="inlineStr">
        <is>
          <t>A</t>
        </is>
      </c>
      <c r="K4280" t="n">
        <v>2025</v>
      </c>
      <c r="L4280" t="n">
        <v>4</v>
      </c>
      <c r="M4280" t="inlineStr">
        <is>
          <t>Chocolate em pó 50% 1 kg</t>
        </is>
      </c>
      <c r="N4280" t="inlineStr">
        <is>
          <t>Restaurante / Cantina</t>
        </is>
      </c>
      <c r="O4280" t="n">
        <v>17</v>
      </c>
      <c r="P4280" t="n">
        <v>27</v>
      </c>
      <c r="Q4280" t="n">
        <v>2</v>
      </c>
    </row>
    <row r="4281">
      <c r="J4281" t="inlineStr">
        <is>
          <t>M</t>
        </is>
      </c>
      <c r="K4281" t="n">
        <v>2025</v>
      </c>
      <c r="L4281" t="n">
        <v>4</v>
      </c>
      <c r="M4281" t="inlineStr">
        <is>
          <t>Chocolate em pó 50% 1 kg</t>
        </is>
      </c>
      <c r="N4281" t="inlineStr">
        <is>
          <t>Restaurante / Cantina</t>
        </is>
      </c>
      <c r="O4281" t="n">
        <v>2</v>
      </c>
      <c r="P4281" t="n">
        <v>2</v>
      </c>
      <c r="Q4281" t="n">
        <v>0</v>
      </c>
    </row>
    <row r="4282">
      <c r="J4282" t="inlineStr">
        <is>
          <t>A</t>
        </is>
      </c>
      <c r="K4282" t="n">
        <v>2025</v>
      </c>
      <c r="L4282" t="n">
        <v>5</v>
      </c>
      <c r="M4282" t="inlineStr">
        <is>
          <t>Chocolate em pó 50% 1 kg</t>
        </is>
      </c>
      <c r="N4282" t="inlineStr">
        <is>
          <t>Restaurante / Cantina</t>
        </is>
      </c>
      <c r="O4282" t="n">
        <v>26</v>
      </c>
      <c r="P4282" t="n">
        <v>46</v>
      </c>
      <c r="Q4282" t="n">
        <v>7</v>
      </c>
    </row>
    <row r="4283">
      <c r="J4283" t="inlineStr">
        <is>
          <t>M</t>
        </is>
      </c>
      <c r="K4283" t="n">
        <v>2025</v>
      </c>
      <c r="L4283" t="n">
        <v>5</v>
      </c>
      <c r="M4283" t="inlineStr">
        <is>
          <t>Chocolate em pó 50% 1 kg</t>
        </is>
      </c>
      <c r="N4283" t="inlineStr">
        <is>
          <t>Restaurante / Cantina</t>
        </is>
      </c>
      <c r="O4283" t="n">
        <v>17</v>
      </c>
      <c r="P4283" t="n">
        <v>19</v>
      </c>
      <c r="Q4283" t="n">
        <v>0</v>
      </c>
    </row>
    <row r="4284">
      <c r="J4284" t="inlineStr">
        <is>
          <t>A</t>
        </is>
      </c>
      <c r="K4284" t="n">
        <v>2025</v>
      </c>
      <c r="L4284" t="n">
        <v>6</v>
      </c>
      <c r="M4284" t="inlineStr">
        <is>
          <t>Chocolate em pó 50% 1 kg</t>
        </is>
      </c>
      <c r="N4284" t="inlineStr">
        <is>
          <t>Restaurante / Cantina</t>
        </is>
      </c>
      <c r="O4284" t="n">
        <v>36</v>
      </c>
      <c r="P4284" t="n">
        <v>69</v>
      </c>
      <c r="Q4284" t="n">
        <v>12</v>
      </c>
    </row>
    <row r="4285">
      <c r="J4285" t="inlineStr">
        <is>
          <t>M</t>
        </is>
      </c>
      <c r="K4285" t="n">
        <v>2025</v>
      </c>
      <c r="L4285" t="n">
        <v>6</v>
      </c>
      <c r="M4285" t="inlineStr">
        <is>
          <t>Chocolate em pó 50% 1 kg</t>
        </is>
      </c>
      <c r="N4285" t="inlineStr">
        <is>
          <t>Restaurante / Cantina</t>
        </is>
      </c>
      <c r="O4285" t="n">
        <v>17</v>
      </c>
      <c r="P4285" t="n">
        <v>23</v>
      </c>
      <c r="Q4285" t="n">
        <v>0</v>
      </c>
    </row>
    <row r="4286">
      <c r="J4286" t="inlineStr">
        <is>
          <t>A</t>
        </is>
      </c>
      <c r="K4286" t="n">
        <v>2025</v>
      </c>
      <c r="L4286" t="n">
        <v>7</v>
      </c>
      <c r="M4286" t="inlineStr">
        <is>
          <t>Chocolate em pó 50% 1 kg</t>
        </is>
      </c>
      <c r="N4286" t="inlineStr">
        <is>
          <t>Restaurante / Cantina</t>
        </is>
      </c>
      <c r="O4286" t="n">
        <v>40</v>
      </c>
      <c r="P4286" t="n">
        <v>93</v>
      </c>
      <c r="Q4286" t="n">
        <v>16</v>
      </c>
    </row>
    <row r="4287">
      <c r="J4287" t="inlineStr">
        <is>
          <t>M</t>
        </is>
      </c>
      <c r="K4287" t="n">
        <v>2025</v>
      </c>
      <c r="L4287" t="n">
        <v>7</v>
      </c>
      <c r="M4287" t="inlineStr">
        <is>
          <t>Chocolate em pó 50% 1 kg</t>
        </is>
      </c>
      <c r="N4287" t="inlineStr">
        <is>
          <t>Restaurante / Cantina</t>
        </is>
      </c>
      <c r="O4287" t="n">
        <v>16</v>
      </c>
      <c r="P4287" t="n">
        <v>24</v>
      </c>
      <c r="Q4287" t="n">
        <v>0</v>
      </c>
    </row>
    <row r="4288">
      <c r="J4288" t="inlineStr">
        <is>
          <t>A</t>
        </is>
      </c>
      <c r="K4288" t="n">
        <v>2025</v>
      </c>
      <c r="L4288" t="n">
        <v>8</v>
      </c>
      <c r="M4288" t="inlineStr">
        <is>
          <t>Chocolate em pó 50% 1 kg</t>
        </is>
      </c>
      <c r="N4288" t="inlineStr">
        <is>
          <t>Restaurante / Cantina</t>
        </is>
      </c>
      <c r="O4288" t="n">
        <v>46</v>
      </c>
      <c r="P4288" t="n">
        <v>122</v>
      </c>
      <c r="Q4288" t="n">
        <v>20</v>
      </c>
    </row>
    <row r="4289">
      <c r="J4289" t="inlineStr">
        <is>
          <t>M</t>
        </is>
      </c>
      <c r="K4289" t="n">
        <v>2025</v>
      </c>
      <c r="L4289" t="n">
        <v>8</v>
      </c>
      <c r="M4289" t="inlineStr">
        <is>
          <t>Chocolate em pó 50% 1 kg</t>
        </is>
      </c>
      <c r="N4289" t="inlineStr">
        <is>
          <t>Restaurante / Cantina</t>
        </is>
      </c>
      <c r="O4289" t="n">
        <v>19</v>
      </c>
      <c r="P4289" t="n">
        <v>29</v>
      </c>
      <c r="Q4289" t="n">
        <v>0</v>
      </c>
    </row>
    <row r="4290">
      <c r="J4290" t="inlineStr">
        <is>
          <t>A</t>
        </is>
      </c>
      <c r="K4290" t="n">
        <v>2025</v>
      </c>
      <c r="L4290" t="n">
        <v>9</v>
      </c>
      <c r="M4290" t="inlineStr">
        <is>
          <t>Chocolate em pó 50% 1 kg</t>
        </is>
      </c>
      <c r="N4290" t="inlineStr">
        <is>
          <t>Restaurante / Cantina</t>
        </is>
      </c>
      <c r="O4290" t="n">
        <v>50</v>
      </c>
      <c r="P4290" t="n">
        <v>153</v>
      </c>
      <c r="Q4290" t="n">
        <v>23</v>
      </c>
    </row>
    <row r="4291">
      <c r="J4291" t="inlineStr">
        <is>
          <t>M</t>
        </is>
      </c>
      <c r="K4291" t="n">
        <v>2025</v>
      </c>
      <c r="L4291" t="n">
        <v>9</v>
      </c>
      <c r="M4291" t="inlineStr">
        <is>
          <t>Chocolate em pó 50% 1 kg</t>
        </is>
      </c>
      <c r="N4291" t="inlineStr">
        <is>
          <t>Restaurante / Cantina</t>
        </is>
      </c>
      <c r="O4291" t="n">
        <v>16</v>
      </c>
      <c r="P4291" t="n">
        <v>31</v>
      </c>
      <c r="Q4291" t="n">
        <v>0</v>
      </c>
    </row>
    <row r="4292">
      <c r="J4292" t="inlineStr">
        <is>
          <t>A</t>
        </is>
      </c>
      <c r="K4292" t="n">
        <v>2025</v>
      </c>
      <c r="L4292" t="n">
        <v>10</v>
      </c>
      <c r="M4292" t="inlineStr">
        <is>
          <t>Chocolate em pó 50% 1 kg</t>
        </is>
      </c>
      <c r="N4292" t="inlineStr">
        <is>
          <t>Restaurante / Cantina</t>
        </is>
      </c>
      <c r="O4292" t="n">
        <v>54</v>
      </c>
      <c r="P4292" t="n">
        <v>189</v>
      </c>
      <c r="Q4292" t="n">
        <v>27</v>
      </c>
    </row>
    <row r="4293">
      <c r="J4293" t="inlineStr">
        <is>
          <t>M</t>
        </is>
      </c>
      <c r="K4293" t="n">
        <v>2025</v>
      </c>
      <c r="L4293" t="n">
        <v>10</v>
      </c>
      <c r="M4293" t="inlineStr">
        <is>
          <t>Chocolate em pó 50% 1 kg</t>
        </is>
      </c>
      <c r="N4293" t="inlineStr">
        <is>
          <t>Restaurante / Cantina</t>
        </is>
      </c>
      <c r="O4293" t="n">
        <v>24</v>
      </c>
      <c r="P4293" t="n">
        <v>36</v>
      </c>
      <c r="Q4293" t="n">
        <v>0</v>
      </c>
    </row>
    <row r="4294">
      <c r="J4294" t="inlineStr">
        <is>
          <t>A</t>
        </is>
      </c>
      <c r="K4294" t="n">
        <v>2025</v>
      </c>
      <c r="L4294" t="n">
        <v>11</v>
      </c>
      <c r="M4294" t="inlineStr">
        <is>
          <t>Chocolate em pó 50% 1 kg</t>
        </is>
      </c>
      <c r="N4294" t="inlineStr">
        <is>
          <t>Restaurante / Cantina</t>
        </is>
      </c>
      <c r="O4294" t="n">
        <v>60</v>
      </c>
      <c r="P4294" t="n">
        <v>206</v>
      </c>
      <c r="Q4294" t="n">
        <v>33</v>
      </c>
    </row>
    <row r="4295">
      <c r="J4295" t="inlineStr">
        <is>
          <t>M</t>
        </is>
      </c>
      <c r="K4295" t="n">
        <v>2025</v>
      </c>
      <c r="L4295" t="n">
        <v>11</v>
      </c>
      <c r="M4295" t="inlineStr">
        <is>
          <t>Chocolate em pó 50% 1 kg</t>
        </is>
      </c>
      <c r="N4295" t="inlineStr">
        <is>
          <t>Restaurante / Cantina</t>
        </is>
      </c>
      <c r="O4295" t="n">
        <v>15</v>
      </c>
      <c r="P4295" t="n">
        <v>17</v>
      </c>
      <c r="Q4295" t="n">
        <v>0</v>
      </c>
    </row>
    <row r="4296">
      <c r="J4296" t="inlineStr">
        <is>
          <t>A</t>
        </is>
      </c>
      <c r="K4296" t="n">
        <v>2025</v>
      </c>
      <c r="L4296" t="n">
        <v>12</v>
      </c>
      <c r="M4296" t="inlineStr">
        <is>
          <t>Chocolate em pó 50% 1 kg</t>
        </is>
      </c>
      <c r="N4296" t="inlineStr">
        <is>
          <t>Restaurante / Cantina</t>
        </is>
      </c>
      <c r="O4296" t="n">
        <v>63</v>
      </c>
      <c r="P4296" t="n">
        <v>218</v>
      </c>
      <c r="Q4296" t="n">
        <v>35</v>
      </c>
    </row>
    <row r="4297">
      <c r="J4297" t="inlineStr">
        <is>
          <t>M</t>
        </is>
      </c>
      <c r="K4297" t="n">
        <v>2025</v>
      </c>
      <c r="L4297" t="n">
        <v>12</v>
      </c>
      <c r="M4297" t="inlineStr">
        <is>
          <t>Chocolate em pó 50% 1 kg</t>
        </is>
      </c>
      <c r="N4297" t="inlineStr">
        <is>
          <t>Restaurante / Cantina</t>
        </is>
      </c>
      <c r="O4297" t="n">
        <v>11</v>
      </c>
      <c r="P4297" t="n">
        <v>12</v>
      </c>
      <c r="Q4297" t="n">
        <v>0</v>
      </c>
    </row>
    <row r="4298">
      <c r="J4298" t="inlineStr">
        <is>
          <t>A</t>
        </is>
      </c>
      <c r="K4298" t="n">
        <v>2025</v>
      </c>
      <c r="L4298" t="n">
        <v>1</v>
      </c>
      <c r="M4298" t="inlineStr">
        <is>
          <t>Chocolate em pó 50% 1 kg</t>
        </is>
      </c>
      <c r="N4298" t="inlineStr">
        <is>
          <t>Cozinha Industrial</t>
        </is>
      </c>
      <c r="O4298" t="n">
        <v>1</v>
      </c>
      <c r="P4298" t="n">
        <v>1</v>
      </c>
      <c r="Q4298" t="n">
        <v>0</v>
      </c>
    </row>
    <row r="4299">
      <c r="J4299" t="inlineStr">
        <is>
          <t>M</t>
        </is>
      </c>
      <c r="K4299" t="n">
        <v>2025</v>
      </c>
      <c r="L4299" t="n">
        <v>1</v>
      </c>
      <c r="M4299" t="inlineStr">
        <is>
          <t>Chocolate em pó 50% 1 kg</t>
        </is>
      </c>
      <c r="N4299" t="inlineStr">
        <is>
          <t>Cozinha Industrial</t>
        </is>
      </c>
      <c r="O4299" t="n">
        <v>1</v>
      </c>
      <c r="P4299" t="n">
        <v>1</v>
      </c>
      <c r="Q4299" t="n">
        <v>0</v>
      </c>
    </row>
    <row r="4300">
      <c r="J4300" t="inlineStr">
        <is>
          <t>A</t>
        </is>
      </c>
      <c r="K4300" t="n">
        <v>2025</v>
      </c>
      <c r="L4300" t="n">
        <v>2</v>
      </c>
      <c r="M4300" t="inlineStr">
        <is>
          <t>Chocolate em pó 50% 1 kg</t>
        </is>
      </c>
      <c r="N4300" t="inlineStr">
        <is>
          <t>Cozinha Industrial</t>
        </is>
      </c>
      <c r="O4300" t="n">
        <v>1</v>
      </c>
      <c r="P4300" t="n">
        <v>1</v>
      </c>
      <c r="Q4300" t="n">
        <v>0</v>
      </c>
    </row>
    <row r="4301">
      <c r="J4301" t="inlineStr">
        <is>
          <t>A</t>
        </is>
      </c>
      <c r="K4301" t="n">
        <v>2025</v>
      </c>
      <c r="L4301" t="n">
        <v>3</v>
      </c>
      <c r="M4301" t="inlineStr">
        <is>
          <t>Chocolate em pó 50% 1 kg</t>
        </is>
      </c>
      <c r="N4301" t="inlineStr">
        <is>
          <t>Cozinha Industrial</t>
        </is>
      </c>
      <c r="O4301" t="n">
        <v>1</v>
      </c>
      <c r="P4301" t="n">
        <v>2</v>
      </c>
      <c r="Q4301" t="n">
        <v>0</v>
      </c>
    </row>
    <row r="4302">
      <c r="J4302" t="inlineStr">
        <is>
          <t>M</t>
        </is>
      </c>
      <c r="K4302" t="n">
        <v>2025</v>
      </c>
      <c r="L4302" t="n">
        <v>3</v>
      </c>
      <c r="M4302" t="inlineStr">
        <is>
          <t>Chocolate em pó 50% 1 kg</t>
        </is>
      </c>
      <c r="N4302" t="inlineStr">
        <is>
          <t>Cozinha Industrial</t>
        </is>
      </c>
      <c r="O4302" t="n">
        <v>1</v>
      </c>
      <c r="P4302" t="n">
        <v>1</v>
      </c>
      <c r="Q4302" t="n">
        <v>0</v>
      </c>
    </row>
    <row r="4303">
      <c r="J4303" t="inlineStr">
        <is>
          <t>A</t>
        </is>
      </c>
      <c r="K4303" t="n">
        <v>2025</v>
      </c>
      <c r="L4303" t="n">
        <v>4</v>
      </c>
      <c r="M4303" t="inlineStr">
        <is>
          <t>Chocolate em pó 50% 1 kg</t>
        </is>
      </c>
      <c r="N4303" t="inlineStr">
        <is>
          <t>Cozinha Industrial</t>
        </is>
      </c>
      <c r="O4303" t="n">
        <v>1</v>
      </c>
      <c r="P4303" t="n">
        <v>2</v>
      </c>
      <c r="Q4303" t="n">
        <v>0</v>
      </c>
    </row>
    <row r="4304">
      <c r="J4304" t="inlineStr">
        <is>
          <t>A</t>
        </is>
      </c>
      <c r="K4304" t="n">
        <v>2025</v>
      </c>
      <c r="L4304" t="n">
        <v>5</v>
      </c>
      <c r="M4304" t="inlineStr">
        <is>
          <t>Chocolate em pó 50% 1 kg</t>
        </is>
      </c>
      <c r="N4304" t="inlineStr">
        <is>
          <t>Cozinha Industrial</t>
        </is>
      </c>
      <c r="O4304" t="n">
        <v>2</v>
      </c>
      <c r="P4304" t="n">
        <v>3</v>
      </c>
      <c r="Q4304" t="n">
        <v>1</v>
      </c>
    </row>
    <row r="4305">
      <c r="J4305" t="inlineStr">
        <is>
          <t>M</t>
        </is>
      </c>
      <c r="K4305" t="n">
        <v>2025</v>
      </c>
      <c r="L4305" t="n">
        <v>5</v>
      </c>
      <c r="M4305" t="inlineStr">
        <is>
          <t>Chocolate em pó 50% 1 kg</t>
        </is>
      </c>
      <c r="N4305" t="inlineStr">
        <is>
          <t>Cozinha Industrial</t>
        </is>
      </c>
      <c r="O4305" t="n">
        <v>1</v>
      </c>
      <c r="P4305" t="n">
        <v>1</v>
      </c>
      <c r="Q4305" t="n">
        <v>0</v>
      </c>
    </row>
    <row r="4306">
      <c r="J4306" t="inlineStr">
        <is>
          <t>A</t>
        </is>
      </c>
      <c r="K4306" t="n">
        <v>2025</v>
      </c>
      <c r="L4306" t="n">
        <v>6</v>
      </c>
      <c r="M4306" t="inlineStr">
        <is>
          <t>Chocolate em pó 50% 1 kg</t>
        </is>
      </c>
      <c r="N4306" t="inlineStr">
        <is>
          <t>Cozinha Industrial</t>
        </is>
      </c>
      <c r="O4306" t="n">
        <v>2</v>
      </c>
      <c r="P4306" t="n">
        <v>4</v>
      </c>
      <c r="Q4306" t="n">
        <v>1</v>
      </c>
    </row>
    <row r="4307">
      <c r="J4307" t="inlineStr">
        <is>
          <t>M</t>
        </is>
      </c>
      <c r="K4307" t="n">
        <v>2025</v>
      </c>
      <c r="L4307" t="n">
        <v>6</v>
      </c>
      <c r="M4307" t="inlineStr">
        <is>
          <t>Chocolate em pó 50% 1 kg</t>
        </is>
      </c>
      <c r="N4307" t="inlineStr">
        <is>
          <t>Cozinha Industrial</t>
        </is>
      </c>
      <c r="O4307" t="n">
        <v>1</v>
      </c>
      <c r="P4307" t="n">
        <v>1</v>
      </c>
      <c r="Q4307" t="n">
        <v>0</v>
      </c>
    </row>
    <row r="4308">
      <c r="J4308" t="inlineStr">
        <is>
          <t>A</t>
        </is>
      </c>
      <c r="K4308" t="n">
        <v>2025</v>
      </c>
      <c r="L4308" t="n">
        <v>7</v>
      </c>
      <c r="M4308" t="inlineStr">
        <is>
          <t>Chocolate em pó 50% 1 kg</t>
        </is>
      </c>
      <c r="N4308" t="inlineStr">
        <is>
          <t>Cozinha Industrial</t>
        </is>
      </c>
      <c r="O4308" t="n">
        <v>2</v>
      </c>
      <c r="P4308" t="n">
        <v>4</v>
      </c>
      <c r="Q4308" t="n">
        <v>1</v>
      </c>
    </row>
    <row r="4309">
      <c r="J4309" t="inlineStr">
        <is>
          <t>A</t>
        </is>
      </c>
      <c r="K4309" t="n">
        <v>2025</v>
      </c>
      <c r="L4309" t="n">
        <v>8</v>
      </c>
      <c r="M4309" t="inlineStr">
        <is>
          <t>Chocolate em pó 50% 1 kg</t>
        </is>
      </c>
      <c r="N4309" t="inlineStr">
        <is>
          <t>Cozinha Industrial</t>
        </is>
      </c>
      <c r="O4309" t="n">
        <v>3</v>
      </c>
      <c r="P4309" t="n">
        <v>7</v>
      </c>
      <c r="Q4309" t="n">
        <v>2</v>
      </c>
    </row>
    <row r="4310">
      <c r="J4310" t="inlineStr">
        <is>
          <t>M</t>
        </is>
      </c>
      <c r="K4310" t="n">
        <v>2025</v>
      </c>
      <c r="L4310" t="n">
        <v>8</v>
      </c>
      <c r="M4310" t="inlineStr">
        <is>
          <t>Chocolate em pó 50% 1 kg</t>
        </is>
      </c>
      <c r="N4310" t="inlineStr">
        <is>
          <t>Cozinha Industrial</t>
        </is>
      </c>
      <c r="O4310" t="n">
        <v>2</v>
      </c>
      <c r="P4310" t="n">
        <v>3</v>
      </c>
      <c r="Q4310" t="n">
        <v>0</v>
      </c>
    </row>
    <row r="4311">
      <c r="J4311" t="inlineStr">
        <is>
          <t>A</t>
        </is>
      </c>
      <c r="K4311" t="n">
        <v>2025</v>
      </c>
      <c r="L4311" t="n">
        <v>9</v>
      </c>
      <c r="M4311" t="inlineStr">
        <is>
          <t>Chocolate em pó 50% 1 kg</t>
        </is>
      </c>
      <c r="N4311" t="inlineStr">
        <is>
          <t>Cozinha Industrial</t>
        </is>
      </c>
      <c r="O4311" t="n">
        <v>4</v>
      </c>
      <c r="P4311" t="n">
        <v>9</v>
      </c>
      <c r="Q4311" t="n">
        <v>2</v>
      </c>
    </row>
    <row r="4312">
      <c r="J4312" t="inlineStr">
        <is>
          <t>M</t>
        </is>
      </c>
      <c r="K4312" t="n">
        <v>2025</v>
      </c>
      <c r="L4312" t="n">
        <v>9</v>
      </c>
      <c r="M4312" t="inlineStr">
        <is>
          <t>Chocolate em pó 50% 1 kg</t>
        </is>
      </c>
      <c r="N4312" t="inlineStr">
        <is>
          <t>Cozinha Industrial</t>
        </is>
      </c>
      <c r="O4312" t="n">
        <v>2</v>
      </c>
      <c r="P4312" t="n">
        <v>2</v>
      </c>
      <c r="Q4312" t="n">
        <v>0</v>
      </c>
    </row>
    <row r="4313">
      <c r="J4313" t="inlineStr">
        <is>
          <t>A</t>
        </is>
      </c>
      <c r="K4313" t="n">
        <v>2025</v>
      </c>
      <c r="L4313" t="n">
        <v>10</v>
      </c>
      <c r="M4313" t="inlineStr">
        <is>
          <t>Chocolate em pó 50% 1 kg</t>
        </is>
      </c>
      <c r="N4313" t="inlineStr">
        <is>
          <t>Cozinha Industrial</t>
        </is>
      </c>
      <c r="O4313" t="n">
        <v>4</v>
      </c>
      <c r="P4313" t="n">
        <v>9</v>
      </c>
      <c r="Q4313" t="n">
        <v>2</v>
      </c>
    </row>
    <row r="4314">
      <c r="J4314" t="inlineStr">
        <is>
          <t>A</t>
        </is>
      </c>
      <c r="K4314" t="n">
        <v>2025</v>
      </c>
      <c r="L4314" t="n">
        <v>11</v>
      </c>
      <c r="M4314" t="inlineStr">
        <is>
          <t>Chocolate em pó 50% 1 kg</t>
        </is>
      </c>
      <c r="N4314" t="inlineStr">
        <is>
          <t>Cozinha Industrial</t>
        </is>
      </c>
      <c r="O4314" t="n">
        <v>5</v>
      </c>
      <c r="P4314" t="n">
        <v>10</v>
      </c>
      <c r="Q4314" t="n">
        <v>3</v>
      </c>
    </row>
    <row r="4315">
      <c r="J4315" t="inlineStr">
        <is>
          <t>M</t>
        </is>
      </c>
      <c r="K4315" t="n">
        <v>2025</v>
      </c>
      <c r="L4315" t="n">
        <v>11</v>
      </c>
      <c r="M4315" t="inlineStr">
        <is>
          <t>Chocolate em pó 50% 1 kg</t>
        </is>
      </c>
      <c r="N4315" t="inlineStr">
        <is>
          <t>Cozinha Industrial</t>
        </is>
      </c>
      <c r="O4315" t="n">
        <v>1</v>
      </c>
      <c r="P4315" t="n">
        <v>1</v>
      </c>
      <c r="Q4315" t="n">
        <v>0</v>
      </c>
    </row>
    <row r="4316">
      <c r="J4316" t="inlineStr">
        <is>
          <t>A</t>
        </is>
      </c>
      <c r="K4316" t="n">
        <v>2025</v>
      </c>
      <c r="L4316" t="n">
        <v>12</v>
      </c>
      <c r="M4316" t="inlineStr">
        <is>
          <t>Chocolate em pó 50% 1 kg</t>
        </is>
      </c>
      <c r="N4316" t="inlineStr">
        <is>
          <t>Cozinha Industrial</t>
        </is>
      </c>
      <c r="O4316" t="n">
        <v>5</v>
      </c>
      <c r="P4316" t="n">
        <v>11</v>
      </c>
      <c r="Q4316" t="n">
        <v>3</v>
      </c>
    </row>
    <row r="4317">
      <c r="J4317" t="inlineStr">
        <is>
          <t>M</t>
        </is>
      </c>
      <c r="K4317" t="n">
        <v>2025</v>
      </c>
      <c r="L4317" t="n">
        <v>12</v>
      </c>
      <c r="M4317" t="inlineStr">
        <is>
          <t>Chocolate em pó 50% 1 kg</t>
        </is>
      </c>
      <c r="N4317" t="inlineStr">
        <is>
          <t>Cozinha Industrial</t>
        </is>
      </c>
      <c r="O4317" t="n">
        <v>1</v>
      </c>
      <c r="P4317" t="n">
        <v>1</v>
      </c>
      <c r="Q4317" t="n">
        <v>0</v>
      </c>
    </row>
    <row r="4318">
      <c r="J4318" t="inlineStr">
        <is>
          <t>A</t>
        </is>
      </c>
      <c r="K4318" t="n">
        <v>2025</v>
      </c>
      <c r="L4318" t="n">
        <v>5</v>
      </c>
      <c r="M4318" t="inlineStr">
        <is>
          <t>Chocolate em pó 50% 1 kg</t>
        </is>
      </c>
      <c r="N4318" t="inlineStr">
        <is>
          <t>Fábrica de Massas</t>
        </is>
      </c>
      <c r="O4318" t="n">
        <v>1</v>
      </c>
      <c r="P4318" t="n">
        <v>1</v>
      </c>
      <c r="Q4318" t="n">
        <v>1</v>
      </c>
    </row>
    <row r="4319">
      <c r="J4319" t="inlineStr">
        <is>
          <t>M</t>
        </is>
      </c>
      <c r="K4319" t="n">
        <v>2025</v>
      </c>
      <c r="L4319" t="n">
        <v>5</v>
      </c>
      <c r="M4319" t="inlineStr">
        <is>
          <t>Chocolate em pó 50% 1 kg</t>
        </is>
      </c>
      <c r="N4319" t="inlineStr">
        <is>
          <t>Fábrica de Massas</t>
        </is>
      </c>
      <c r="O4319" t="n">
        <v>1</v>
      </c>
      <c r="P4319" t="n">
        <v>1</v>
      </c>
      <c r="Q4319" t="n">
        <v>0</v>
      </c>
    </row>
    <row r="4320">
      <c r="J4320" t="inlineStr">
        <is>
          <t>A</t>
        </is>
      </c>
      <c r="K4320" t="n">
        <v>2025</v>
      </c>
      <c r="L4320" t="n">
        <v>6</v>
      </c>
      <c r="M4320" t="inlineStr">
        <is>
          <t>Chocolate em pó 50% 1 kg</t>
        </is>
      </c>
      <c r="N4320" t="inlineStr">
        <is>
          <t>Fábrica de Massas</t>
        </is>
      </c>
      <c r="O4320" t="n">
        <v>2</v>
      </c>
      <c r="P4320" t="n">
        <v>2</v>
      </c>
      <c r="Q4320" t="n">
        <v>2</v>
      </c>
    </row>
    <row r="4321">
      <c r="J4321" t="inlineStr">
        <is>
          <t>M</t>
        </is>
      </c>
      <c r="K4321" t="n">
        <v>2025</v>
      </c>
      <c r="L4321" t="n">
        <v>6</v>
      </c>
      <c r="M4321" t="inlineStr">
        <is>
          <t>Chocolate em pó 50% 1 kg</t>
        </is>
      </c>
      <c r="N4321" t="inlineStr">
        <is>
          <t>Fábrica de Massas</t>
        </is>
      </c>
      <c r="O4321" t="n">
        <v>1</v>
      </c>
      <c r="P4321" t="n">
        <v>1</v>
      </c>
      <c r="Q4321" t="n">
        <v>0</v>
      </c>
    </row>
    <row r="4322">
      <c r="J4322" t="inlineStr">
        <is>
          <t>A</t>
        </is>
      </c>
      <c r="K4322" t="n">
        <v>2025</v>
      </c>
      <c r="L4322" t="n">
        <v>7</v>
      </c>
      <c r="M4322" t="inlineStr">
        <is>
          <t>Chocolate em pó 50% 1 kg</t>
        </is>
      </c>
      <c r="N4322" t="inlineStr">
        <is>
          <t>Fábrica de Massas</t>
        </is>
      </c>
      <c r="O4322" t="n">
        <v>2</v>
      </c>
      <c r="P4322" t="n">
        <v>2</v>
      </c>
      <c r="Q4322" t="n">
        <v>2</v>
      </c>
    </row>
    <row r="4323">
      <c r="J4323" t="inlineStr">
        <is>
          <t>A</t>
        </is>
      </c>
      <c r="K4323" t="n">
        <v>2025</v>
      </c>
      <c r="L4323" t="n">
        <v>8</v>
      </c>
      <c r="M4323" t="inlineStr">
        <is>
          <t>Chocolate em pó 50% 1 kg</t>
        </is>
      </c>
      <c r="N4323" t="inlineStr">
        <is>
          <t>Fábrica de Massas</t>
        </is>
      </c>
      <c r="O4323" t="n">
        <v>2</v>
      </c>
      <c r="P4323" t="n">
        <v>3</v>
      </c>
      <c r="Q4323" t="n">
        <v>2</v>
      </c>
    </row>
    <row r="4324">
      <c r="J4324" t="inlineStr">
        <is>
          <t>M</t>
        </is>
      </c>
      <c r="K4324" t="n">
        <v>2025</v>
      </c>
      <c r="L4324" t="n">
        <v>8</v>
      </c>
      <c r="M4324" t="inlineStr">
        <is>
          <t>Chocolate em pó 50% 1 kg</t>
        </is>
      </c>
      <c r="N4324" t="inlineStr">
        <is>
          <t>Fábrica de Massas</t>
        </is>
      </c>
      <c r="O4324" t="n">
        <v>1</v>
      </c>
      <c r="P4324" t="n">
        <v>1</v>
      </c>
      <c r="Q4324" t="n">
        <v>0</v>
      </c>
    </row>
    <row r="4325">
      <c r="J4325" t="inlineStr">
        <is>
          <t>A</t>
        </is>
      </c>
      <c r="K4325" t="n">
        <v>2025</v>
      </c>
      <c r="L4325" t="n">
        <v>9</v>
      </c>
      <c r="M4325" t="inlineStr">
        <is>
          <t>Chocolate em pó 50% 1 kg</t>
        </is>
      </c>
      <c r="N4325" t="inlineStr">
        <is>
          <t>Fábrica de Massas</t>
        </is>
      </c>
      <c r="O4325" t="n">
        <v>2</v>
      </c>
      <c r="P4325" t="n">
        <v>3</v>
      </c>
      <c r="Q4325" t="n">
        <v>2</v>
      </c>
    </row>
    <row r="4326">
      <c r="J4326" t="inlineStr">
        <is>
          <t>A</t>
        </is>
      </c>
      <c r="K4326" t="n">
        <v>2025</v>
      </c>
      <c r="L4326" t="n">
        <v>10</v>
      </c>
      <c r="M4326" t="inlineStr">
        <is>
          <t>Chocolate em pó 50% 1 kg</t>
        </is>
      </c>
      <c r="N4326" t="inlineStr">
        <is>
          <t>Fábrica de Massas</t>
        </is>
      </c>
      <c r="O4326" t="n">
        <v>2</v>
      </c>
      <c r="P4326" t="n">
        <v>3</v>
      </c>
      <c r="Q4326" t="n">
        <v>2</v>
      </c>
    </row>
    <row r="4327">
      <c r="J4327" t="inlineStr">
        <is>
          <t>A</t>
        </is>
      </c>
      <c r="K4327" t="n">
        <v>2025</v>
      </c>
      <c r="L4327" t="n">
        <v>11</v>
      </c>
      <c r="M4327" t="inlineStr">
        <is>
          <t>Chocolate em pó 50% 1 kg</t>
        </is>
      </c>
      <c r="N4327" t="inlineStr">
        <is>
          <t>Fábrica de Massas</t>
        </is>
      </c>
      <c r="O4327" t="n">
        <v>2</v>
      </c>
      <c r="P4327" t="n">
        <v>3</v>
      </c>
      <c r="Q4327" t="n">
        <v>2</v>
      </c>
    </row>
    <row r="4328">
      <c r="J4328" t="inlineStr">
        <is>
          <t>A</t>
        </is>
      </c>
      <c r="K4328" t="n">
        <v>2025</v>
      </c>
      <c r="L4328" t="n">
        <v>12</v>
      </c>
      <c r="M4328" t="inlineStr">
        <is>
          <t>Chocolate em pó 50% 1 kg</t>
        </is>
      </c>
      <c r="N4328" t="inlineStr">
        <is>
          <t>Fábrica de Massas</t>
        </is>
      </c>
      <c r="O4328" t="n">
        <v>2</v>
      </c>
      <c r="P4328" t="n">
        <v>3</v>
      </c>
      <c r="Q4328" t="n">
        <v>2</v>
      </c>
    </row>
    <row r="4329">
      <c r="J4329" t="inlineStr">
        <is>
          <t>A</t>
        </is>
      </c>
      <c r="K4329" t="n">
        <v>2025</v>
      </c>
      <c r="L4329" t="n">
        <v>1</v>
      </c>
      <c r="M4329" t="inlineStr">
        <is>
          <t>Chocolate em pó 50% 1 kg</t>
        </is>
      </c>
      <c r="N4329" t="inlineStr">
        <is>
          <t>Outros</t>
        </is>
      </c>
      <c r="O4329" t="n">
        <v>3</v>
      </c>
      <c r="P4329" t="n">
        <v>4</v>
      </c>
      <c r="Q4329" t="n">
        <v>1</v>
      </c>
    </row>
    <row r="4330">
      <c r="J4330" t="inlineStr">
        <is>
          <t>M</t>
        </is>
      </c>
      <c r="K4330" t="n">
        <v>2025</v>
      </c>
      <c r="L4330" t="n">
        <v>1</v>
      </c>
      <c r="M4330" t="inlineStr">
        <is>
          <t>Chocolate em pó 50% 1 kg</t>
        </is>
      </c>
      <c r="N4330" t="inlineStr">
        <is>
          <t>Outros</t>
        </is>
      </c>
      <c r="O4330" t="n">
        <v>3</v>
      </c>
      <c r="P4330" t="n">
        <v>4</v>
      </c>
      <c r="Q4330" t="n">
        <v>0</v>
      </c>
    </row>
    <row r="4331">
      <c r="J4331" t="inlineStr">
        <is>
          <t>A</t>
        </is>
      </c>
      <c r="K4331" t="n">
        <v>2025</v>
      </c>
      <c r="L4331" t="n">
        <v>2</v>
      </c>
      <c r="M4331" t="inlineStr">
        <is>
          <t>Chocolate em pó 50% 1 kg</t>
        </is>
      </c>
      <c r="N4331" t="inlineStr">
        <is>
          <t>Outros</t>
        </is>
      </c>
      <c r="O4331" t="n">
        <v>4</v>
      </c>
      <c r="P4331" t="n">
        <v>6</v>
      </c>
      <c r="Q4331" t="n">
        <v>2</v>
      </c>
    </row>
    <row r="4332">
      <c r="J4332" t="inlineStr">
        <is>
          <t>M</t>
        </is>
      </c>
      <c r="K4332" t="n">
        <v>2025</v>
      </c>
      <c r="L4332" t="n">
        <v>2</v>
      </c>
      <c r="M4332" t="inlineStr">
        <is>
          <t>Chocolate em pó 50% 1 kg</t>
        </is>
      </c>
      <c r="N4332" t="inlineStr">
        <is>
          <t>Outros</t>
        </is>
      </c>
      <c r="O4332" t="n">
        <v>2</v>
      </c>
      <c r="P4332" t="n">
        <v>2</v>
      </c>
      <c r="Q4332" t="n">
        <v>0</v>
      </c>
    </row>
    <row r="4333">
      <c r="J4333" t="inlineStr">
        <is>
          <t>A</t>
        </is>
      </c>
      <c r="K4333" t="n">
        <v>2025</v>
      </c>
      <c r="L4333" t="n">
        <v>3</v>
      </c>
      <c r="M4333" t="inlineStr">
        <is>
          <t>Chocolate em pó 50% 1 kg</t>
        </is>
      </c>
      <c r="N4333" t="inlineStr">
        <is>
          <t>Outros</t>
        </is>
      </c>
      <c r="O4333" t="n">
        <v>5</v>
      </c>
      <c r="P4333" t="n">
        <v>8</v>
      </c>
      <c r="Q4333" t="n">
        <v>3</v>
      </c>
    </row>
    <row r="4334">
      <c r="J4334" t="inlineStr">
        <is>
          <t>M</t>
        </is>
      </c>
      <c r="K4334" t="n">
        <v>2025</v>
      </c>
      <c r="L4334" t="n">
        <v>3</v>
      </c>
      <c r="M4334" t="inlineStr">
        <is>
          <t>Chocolate em pó 50% 1 kg</t>
        </is>
      </c>
      <c r="N4334" t="inlineStr">
        <is>
          <t>Outros</t>
        </is>
      </c>
      <c r="O4334" t="n">
        <v>2</v>
      </c>
      <c r="P4334" t="n">
        <v>2</v>
      </c>
      <c r="Q4334" t="n">
        <v>0</v>
      </c>
    </row>
    <row r="4335">
      <c r="J4335" t="inlineStr">
        <is>
          <t>A</t>
        </is>
      </c>
      <c r="K4335" t="n">
        <v>2025</v>
      </c>
      <c r="L4335" t="n">
        <v>4</v>
      </c>
      <c r="M4335" t="inlineStr">
        <is>
          <t>Chocolate em pó 50% 1 kg</t>
        </is>
      </c>
      <c r="N4335" t="inlineStr">
        <is>
          <t>Outros</t>
        </is>
      </c>
      <c r="O4335" t="n">
        <v>5</v>
      </c>
      <c r="P4335" t="n">
        <v>8</v>
      </c>
      <c r="Q4335" t="n">
        <v>3</v>
      </c>
    </row>
    <row r="4336">
      <c r="J4336" t="inlineStr">
        <is>
          <t>A</t>
        </is>
      </c>
      <c r="K4336" t="n">
        <v>2025</v>
      </c>
      <c r="L4336" t="n">
        <v>5</v>
      </c>
      <c r="M4336" t="inlineStr">
        <is>
          <t>Chocolate em pó 50% 1 kg</t>
        </is>
      </c>
      <c r="N4336" t="inlineStr">
        <is>
          <t>Outros</t>
        </is>
      </c>
      <c r="O4336" t="n">
        <v>6</v>
      </c>
      <c r="P4336" t="n">
        <v>11</v>
      </c>
      <c r="Q4336" t="n">
        <v>3</v>
      </c>
    </row>
    <row r="4337">
      <c r="J4337" t="inlineStr">
        <is>
          <t>M</t>
        </is>
      </c>
      <c r="K4337" t="n">
        <v>2025</v>
      </c>
      <c r="L4337" t="n">
        <v>5</v>
      </c>
      <c r="M4337" t="inlineStr">
        <is>
          <t>Chocolate em pó 50% 1 kg</t>
        </is>
      </c>
      <c r="N4337" t="inlineStr">
        <is>
          <t>Outros</t>
        </is>
      </c>
      <c r="O4337" t="n">
        <v>2</v>
      </c>
      <c r="P4337" t="n">
        <v>3</v>
      </c>
      <c r="Q4337" t="n">
        <v>0</v>
      </c>
    </row>
    <row r="4338">
      <c r="J4338" t="inlineStr">
        <is>
          <t>A</t>
        </is>
      </c>
      <c r="K4338" t="n">
        <v>2025</v>
      </c>
      <c r="L4338" t="n">
        <v>6</v>
      </c>
      <c r="M4338" t="inlineStr">
        <is>
          <t>Chocolate em pó 50% 1 kg</t>
        </is>
      </c>
      <c r="N4338" t="inlineStr">
        <is>
          <t>Outros</t>
        </is>
      </c>
      <c r="O4338" t="n">
        <v>8</v>
      </c>
      <c r="P4338" t="n">
        <v>17</v>
      </c>
      <c r="Q4338" t="n">
        <v>4</v>
      </c>
    </row>
    <row r="4339">
      <c r="J4339" t="inlineStr">
        <is>
          <t>M</t>
        </is>
      </c>
      <c r="K4339" t="n">
        <v>2025</v>
      </c>
      <c r="L4339" t="n">
        <v>6</v>
      </c>
      <c r="M4339" t="inlineStr">
        <is>
          <t>Chocolate em pó 50% 1 kg</t>
        </is>
      </c>
      <c r="N4339" t="inlineStr">
        <is>
          <t>Outros</t>
        </is>
      </c>
      <c r="O4339" t="n">
        <v>5</v>
      </c>
      <c r="P4339" t="n">
        <v>6</v>
      </c>
      <c r="Q4339" t="n">
        <v>0</v>
      </c>
    </row>
    <row r="4340">
      <c r="J4340" t="inlineStr">
        <is>
          <t>A</t>
        </is>
      </c>
      <c r="K4340" t="n">
        <v>2025</v>
      </c>
      <c r="L4340" t="n">
        <v>7</v>
      </c>
      <c r="M4340" t="inlineStr">
        <is>
          <t>Chocolate em pó 50% 1 kg</t>
        </is>
      </c>
      <c r="N4340" t="inlineStr">
        <is>
          <t>Outros</t>
        </is>
      </c>
      <c r="O4340" t="n">
        <v>15</v>
      </c>
      <c r="P4340" t="n">
        <v>30</v>
      </c>
      <c r="Q4340" t="n">
        <v>9</v>
      </c>
    </row>
    <row r="4341">
      <c r="J4341" t="inlineStr">
        <is>
          <t>M</t>
        </is>
      </c>
      <c r="K4341" t="n">
        <v>2025</v>
      </c>
      <c r="L4341" t="n">
        <v>7</v>
      </c>
      <c r="M4341" t="inlineStr">
        <is>
          <t>Chocolate em pó 50% 1 kg</t>
        </is>
      </c>
      <c r="N4341" t="inlineStr">
        <is>
          <t>Outros</t>
        </is>
      </c>
      <c r="O4341" t="n">
        <v>11</v>
      </c>
      <c r="P4341" t="n">
        <v>13</v>
      </c>
      <c r="Q4341" t="n">
        <v>0</v>
      </c>
    </row>
    <row r="4342">
      <c r="J4342" t="inlineStr">
        <is>
          <t>A</t>
        </is>
      </c>
      <c r="K4342" t="n">
        <v>2025</v>
      </c>
      <c r="L4342" t="n">
        <v>8</v>
      </c>
      <c r="M4342" t="inlineStr">
        <is>
          <t>Chocolate em pó 50% 1 kg</t>
        </is>
      </c>
      <c r="N4342" t="inlineStr">
        <is>
          <t>Outros</t>
        </is>
      </c>
      <c r="O4342" t="n">
        <v>16</v>
      </c>
      <c r="P4342" t="n">
        <v>38</v>
      </c>
      <c r="Q4342" t="n">
        <v>10</v>
      </c>
    </row>
    <row r="4343">
      <c r="J4343" t="inlineStr">
        <is>
          <t>M</t>
        </is>
      </c>
      <c r="K4343" t="n">
        <v>2025</v>
      </c>
      <c r="L4343" t="n">
        <v>8</v>
      </c>
      <c r="M4343" t="inlineStr">
        <is>
          <t>Chocolate em pó 50% 1 kg</t>
        </is>
      </c>
      <c r="N4343" t="inlineStr">
        <is>
          <t>Outros</t>
        </is>
      </c>
      <c r="O4343" t="n">
        <v>7</v>
      </c>
      <c r="P4343" t="n">
        <v>8</v>
      </c>
      <c r="Q4343" t="n">
        <v>0</v>
      </c>
    </row>
    <row r="4344">
      <c r="J4344" t="inlineStr">
        <is>
          <t>A</t>
        </is>
      </c>
      <c r="K4344" t="n">
        <v>2025</v>
      </c>
      <c r="L4344" t="n">
        <v>9</v>
      </c>
      <c r="M4344" t="inlineStr">
        <is>
          <t>Chocolate em pó 50% 1 kg</t>
        </is>
      </c>
      <c r="N4344" t="inlineStr">
        <is>
          <t>Outros</t>
        </is>
      </c>
      <c r="O4344" t="n">
        <v>18</v>
      </c>
      <c r="P4344" t="n">
        <v>45</v>
      </c>
      <c r="Q4344" t="n">
        <v>12</v>
      </c>
    </row>
    <row r="4345">
      <c r="J4345" t="inlineStr">
        <is>
          <t>M</t>
        </is>
      </c>
      <c r="K4345" t="n">
        <v>2025</v>
      </c>
      <c r="L4345" t="n">
        <v>9</v>
      </c>
      <c r="M4345" t="inlineStr">
        <is>
          <t>Chocolate em pó 50% 1 kg</t>
        </is>
      </c>
      <c r="N4345" t="inlineStr">
        <is>
          <t>Outros</t>
        </is>
      </c>
      <c r="O4345" t="n">
        <v>6</v>
      </c>
      <c r="P4345" t="n">
        <v>7</v>
      </c>
      <c r="Q4345" t="n">
        <v>0</v>
      </c>
    </row>
    <row r="4346">
      <c r="J4346" t="inlineStr">
        <is>
          <t>A</t>
        </is>
      </c>
      <c r="K4346" t="n">
        <v>2025</v>
      </c>
      <c r="L4346" t="n">
        <v>10</v>
      </c>
      <c r="M4346" t="inlineStr">
        <is>
          <t>Chocolate em pó 50% 1 kg</t>
        </is>
      </c>
      <c r="N4346" t="inlineStr">
        <is>
          <t>Outros</t>
        </is>
      </c>
      <c r="O4346" t="n">
        <v>21</v>
      </c>
      <c r="P4346" t="n">
        <v>54</v>
      </c>
      <c r="Q4346" t="n">
        <v>14</v>
      </c>
    </row>
    <row r="4347">
      <c r="J4347" t="inlineStr">
        <is>
          <t>M</t>
        </is>
      </c>
      <c r="K4347" t="n">
        <v>2025</v>
      </c>
      <c r="L4347" t="n">
        <v>10</v>
      </c>
      <c r="M4347" t="inlineStr">
        <is>
          <t>Chocolate em pó 50% 1 kg</t>
        </is>
      </c>
      <c r="N4347" t="inlineStr">
        <is>
          <t>Outros</t>
        </is>
      </c>
      <c r="O4347" t="n">
        <v>6</v>
      </c>
      <c r="P4347" t="n">
        <v>9</v>
      </c>
      <c r="Q4347" t="n">
        <v>0</v>
      </c>
    </row>
    <row r="4348">
      <c r="J4348" t="inlineStr">
        <is>
          <t>A</t>
        </is>
      </c>
      <c r="K4348" t="n">
        <v>2025</v>
      </c>
      <c r="L4348" t="n">
        <v>11</v>
      </c>
      <c r="M4348" t="inlineStr">
        <is>
          <t>Chocolate em pó 50% 1 kg</t>
        </is>
      </c>
      <c r="N4348" t="inlineStr">
        <is>
          <t>Outros</t>
        </is>
      </c>
      <c r="O4348" t="n">
        <v>21</v>
      </c>
      <c r="P4348" t="n">
        <v>56</v>
      </c>
      <c r="Q4348" t="n">
        <v>14</v>
      </c>
    </row>
    <row r="4349">
      <c r="J4349" t="inlineStr">
        <is>
          <t>M</t>
        </is>
      </c>
      <c r="K4349" t="n">
        <v>2025</v>
      </c>
      <c r="L4349" t="n">
        <v>11</v>
      </c>
      <c r="M4349" t="inlineStr">
        <is>
          <t>Chocolate em pó 50% 1 kg</t>
        </is>
      </c>
      <c r="N4349" t="inlineStr">
        <is>
          <t>Outros</t>
        </is>
      </c>
      <c r="O4349" t="n">
        <v>2</v>
      </c>
      <c r="P4349" t="n">
        <v>2</v>
      </c>
      <c r="Q4349" t="n">
        <v>0</v>
      </c>
    </row>
    <row r="4350">
      <c r="J4350" t="inlineStr">
        <is>
          <t>A</t>
        </is>
      </c>
      <c r="K4350" t="n">
        <v>2025</v>
      </c>
      <c r="L4350" t="n">
        <v>12</v>
      </c>
      <c r="M4350" t="inlineStr">
        <is>
          <t>Chocolate em pó 50% 1 kg</t>
        </is>
      </c>
      <c r="N4350" t="inlineStr">
        <is>
          <t>Outros</t>
        </is>
      </c>
      <c r="O4350" t="n">
        <v>22</v>
      </c>
      <c r="P4350" t="n">
        <v>62</v>
      </c>
      <c r="Q4350" t="n">
        <v>15</v>
      </c>
    </row>
    <row r="4351">
      <c r="J4351" t="inlineStr">
        <is>
          <t>M</t>
        </is>
      </c>
      <c r="K4351" t="n">
        <v>2025</v>
      </c>
      <c r="L4351" t="n">
        <v>12</v>
      </c>
      <c r="M4351" t="inlineStr">
        <is>
          <t>Chocolate em pó 50% 1 kg</t>
        </is>
      </c>
      <c r="N4351" t="inlineStr">
        <is>
          <t>Outros</t>
        </is>
      </c>
      <c r="O4351" t="n">
        <v>4</v>
      </c>
      <c r="P4351" t="n">
        <v>6</v>
      </c>
      <c r="Q4351" t="n">
        <v>0</v>
      </c>
    </row>
    <row r="4352">
      <c r="J4352" t="inlineStr">
        <is>
          <t>A</t>
        </is>
      </c>
      <c r="K4352" t="n">
        <v>2025</v>
      </c>
      <c r="L4352" t="n">
        <v>2</v>
      </c>
      <c r="M4352" t="inlineStr">
        <is>
          <t>Chocolate em pó 50% 1 kg</t>
        </is>
      </c>
      <c r="N4352" t="inlineStr">
        <is>
          <t>Pessoa Física</t>
        </is>
      </c>
      <c r="O4352" t="n">
        <v>1</v>
      </c>
      <c r="P4352" t="n">
        <v>1</v>
      </c>
      <c r="Q4352" t="n">
        <v>0</v>
      </c>
    </row>
    <row r="4353">
      <c r="J4353" t="inlineStr">
        <is>
          <t>M</t>
        </is>
      </c>
      <c r="K4353" t="n">
        <v>2025</v>
      </c>
      <c r="L4353" t="n">
        <v>2</v>
      </c>
      <c r="M4353" t="inlineStr">
        <is>
          <t>Chocolate em pó 50% 1 kg</t>
        </is>
      </c>
      <c r="N4353" t="inlineStr">
        <is>
          <t>Pessoa Física</t>
        </is>
      </c>
      <c r="O4353" t="n">
        <v>1</v>
      </c>
      <c r="P4353" t="n">
        <v>1</v>
      </c>
      <c r="Q4353" t="n">
        <v>0</v>
      </c>
    </row>
    <row r="4354">
      <c r="J4354" t="inlineStr">
        <is>
          <t>A</t>
        </is>
      </c>
      <c r="K4354" t="n">
        <v>2025</v>
      </c>
      <c r="L4354" t="n">
        <v>3</v>
      </c>
      <c r="M4354" t="inlineStr">
        <is>
          <t>Chocolate em pó 50% 1 kg</t>
        </is>
      </c>
      <c r="N4354" t="inlineStr">
        <is>
          <t>Pessoa Física</t>
        </is>
      </c>
      <c r="O4354" t="n">
        <v>1</v>
      </c>
      <c r="P4354" t="n">
        <v>1</v>
      </c>
      <c r="Q4354" t="n">
        <v>0</v>
      </c>
    </row>
    <row r="4355">
      <c r="J4355" t="inlineStr">
        <is>
          <t>A</t>
        </is>
      </c>
      <c r="K4355" t="n">
        <v>2025</v>
      </c>
      <c r="L4355" t="n">
        <v>4</v>
      </c>
      <c r="M4355" t="inlineStr">
        <is>
          <t>Chocolate em pó 50% 1 kg</t>
        </is>
      </c>
      <c r="N4355" t="inlineStr">
        <is>
          <t>Pessoa Física</t>
        </is>
      </c>
      <c r="O4355" t="n">
        <v>1</v>
      </c>
      <c r="P4355" t="n">
        <v>1</v>
      </c>
      <c r="Q4355" t="n">
        <v>0</v>
      </c>
    </row>
    <row r="4356">
      <c r="J4356" t="inlineStr">
        <is>
          <t>A</t>
        </is>
      </c>
      <c r="K4356" t="n">
        <v>2025</v>
      </c>
      <c r="L4356" t="n">
        <v>5</v>
      </c>
      <c r="M4356" t="inlineStr">
        <is>
          <t>Chocolate em pó 50% 1 kg</t>
        </is>
      </c>
      <c r="N4356" t="inlineStr">
        <is>
          <t>Pessoa Física</t>
        </is>
      </c>
      <c r="O4356" t="n">
        <v>2</v>
      </c>
      <c r="P4356" t="n">
        <v>2</v>
      </c>
      <c r="Q4356" t="n">
        <v>1</v>
      </c>
    </row>
    <row r="4357">
      <c r="J4357" t="inlineStr">
        <is>
          <t>M</t>
        </is>
      </c>
      <c r="K4357" t="n">
        <v>2025</v>
      </c>
      <c r="L4357" t="n">
        <v>5</v>
      </c>
      <c r="M4357" t="inlineStr">
        <is>
          <t>Chocolate em pó 50% 1 kg</t>
        </is>
      </c>
      <c r="N4357" t="inlineStr">
        <is>
          <t>Pessoa Física</t>
        </is>
      </c>
      <c r="O4357" t="n">
        <v>1</v>
      </c>
      <c r="P4357" t="n">
        <v>1</v>
      </c>
      <c r="Q4357" t="n">
        <v>0</v>
      </c>
    </row>
    <row r="4358">
      <c r="J4358" t="inlineStr">
        <is>
          <t>A</t>
        </is>
      </c>
      <c r="K4358" t="n">
        <v>2025</v>
      </c>
      <c r="L4358" t="n">
        <v>6</v>
      </c>
      <c r="M4358" t="inlineStr">
        <is>
          <t>Chocolate em pó 50% 1 kg</t>
        </is>
      </c>
      <c r="N4358" t="inlineStr">
        <is>
          <t>Pessoa Física</t>
        </is>
      </c>
      <c r="O4358" t="n">
        <v>3</v>
      </c>
      <c r="P4358" t="n">
        <v>3</v>
      </c>
      <c r="Q4358" t="n">
        <v>2</v>
      </c>
    </row>
    <row r="4359">
      <c r="J4359" t="inlineStr">
        <is>
          <t>M</t>
        </is>
      </c>
      <c r="K4359" t="n">
        <v>2025</v>
      </c>
      <c r="L4359" t="n">
        <v>6</v>
      </c>
      <c r="M4359" t="inlineStr">
        <is>
          <t>Chocolate em pó 50% 1 kg</t>
        </is>
      </c>
      <c r="N4359" t="inlineStr">
        <is>
          <t>Pessoa Física</t>
        </is>
      </c>
      <c r="O4359" t="n">
        <v>1</v>
      </c>
      <c r="P4359" t="n">
        <v>1</v>
      </c>
      <c r="Q4359" t="n">
        <v>0</v>
      </c>
    </row>
    <row r="4360">
      <c r="J4360" t="inlineStr">
        <is>
          <t>A</t>
        </is>
      </c>
      <c r="K4360" t="n">
        <v>2025</v>
      </c>
      <c r="L4360" t="n">
        <v>7</v>
      </c>
      <c r="M4360" t="inlineStr">
        <is>
          <t>Chocolate em pó 50% 1 kg</t>
        </is>
      </c>
      <c r="N4360" t="inlineStr">
        <is>
          <t>Pessoa Física</t>
        </is>
      </c>
      <c r="O4360" t="n">
        <v>3</v>
      </c>
      <c r="P4360" t="n">
        <v>3</v>
      </c>
      <c r="Q4360" t="n">
        <v>2</v>
      </c>
    </row>
    <row r="4361">
      <c r="J4361" t="inlineStr">
        <is>
          <t>A</t>
        </is>
      </c>
      <c r="K4361" t="n">
        <v>2025</v>
      </c>
      <c r="L4361" t="n">
        <v>8</v>
      </c>
      <c r="M4361" t="inlineStr">
        <is>
          <t>Chocolate em pó 50% 1 kg</t>
        </is>
      </c>
      <c r="N4361" t="inlineStr">
        <is>
          <t>Pessoa Física</t>
        </is>
      </c>
      <c r="O4361" t="n">
        <v>3</v>
      </c>
      <c r="P4361" t="n">
        <v>4</v>
      </c>
      <c r="Q4361" t="n">
        <v>2</v>
      </c>
    </row>
    <row r="4362">
      <c r="J4362" t="inlineStr">
        <is>
          <t>M</t>
        </is>
      </c>
      <c r="K4362" t="n">
        <v>2025</v>
      </c>
      <c r="L4362" t="n">
        <v>8</v>
      </c>
      <c r="M4362" t="inlineStr">
        <is>
          <t>Chocolate em pó 50% 1 kg</t>
        </is>
      </c>
      <c r="N4362" t="inlineStr">
        <is>
          <t>Pessoa Física</t>
        </is>
      </c>
      <c r="O4362" t="n">
        <v>1</v>
      </c>
      <c r="P4362" t="n">
        <v>1</v>
      </c>
      <c r="Q4362" t="n">
        <v>0</v>
      </c>
    </row>
    <row r="4363">
      <c r="J4363" t="inlineStr">
        <is>
          <t>A</t>
        </is>
      </c>
      <c r="K4363" t="n">
        <v>2025</v>
      </c>
      <c r="L4363" t="n">
        <v>9</v>
      </c>
      <c r="M4363" t="inlineStr">
        <is>
          <t>Chocolate em pó 50% 1 kg</t>
        </is>
      </c>
      <c r="N4363" t="inlineStr">
        <is>
          <t>Pessoa Física</t>
        </is>
      </c>
      <c r="O4363" t="n">
        <v>4</v>
      </c>
      <c r="P4363" t="n">
        <v>6</v>
      </c>
      <c r="Q4363" t="n">
        <v>3</v>
      </c>
    </row>
    <row r="4364">
      <c r="J4364" t="inlineStr">
        <is>
          <t>M</t>
        </is>
      </c>
      <c r="K4364" t="n">
        <v>2025</v>
      </c>
      <c r="L4364" t="n">
        <v>9</v>
      </c>
      <c r="M4364" t="inlineStr">
        <is>
          <t>Chocolate em pó 50% 1 kg</t>
        </is>
      </c>
      <c r="N4364" t="inlineStr">
        <is>
          <t>Pessoa Física</t>
        </is>
      </c>
      <c r="O4364" t="n">
        <v>2</v>
      </c>
      <c r="P4364" t="n">
        <v>2</v>
      </c>
      <c r="Q4364" t="n">
        <v>0</v>
      </c>
    </row>
    <row r="4365">
      <c r="J4365" t="inlineStr">
        <is>
          <t>A</t>
        </is>
      </c>
      <c r="K4365" t="n">
        <v>2025</v>
      </c>
      <c r="L4365" t="n">
        <v>10</v>
      </c>
      <c r="M4365" t="inlineStr">
        <is>
          <t>Chocolate em pó 50% 1 kg</t>
        </is>
      </c>
      <c r="N4365" t="inlineStr">
        <is>
          <t>Pessoa Física</t>
        </is>
      </c>
      <c r="O4365" t="n">
        <v>5</v>
      </c>
      <c r="P4365" t="n">
        <v>8</v>
      </c>
      <c r="Q4365" t="n">
        <v>4</v>
      </c>
    </row>
    <row r="4366">
      <c r="J4366" t="inlineStr">
        <is>
          <t>M</t>
        </is>
      </c>
      <c r="K4366" t="n">
        <v>2025</v>
      </c>
      <c r="L4366" t="n">
        <v>10</v>
      </c>
      <c r="M4366" t="inlineStr">
        <is>
          <t>Chocolate em pó 50% 1 kg</t>
        </is>
      </c>
      <c r="N4366" t="inlineStr">
        <is>
          <t>Pessoa Física</t>
        </is>
      </c>
      <c r="O4366" t="n">
        <v>2</v>
      </c>
      <c r="P4366" t="n">
        <v>2</v>
      </c>
      <c r="Q4366" t="n">
        <v>0</v>
      </c>
    </row>
    <row r="4367">
      <c r="J4367" t="inlineStr">
        <is>
          <t>A</t>
        </is>
      </c>
      <c r="K4367" t="n">
        <v>2025</v>
      </c>
      <c r="L4367" t="n">
        <v>11</v>
      </c>
      <c r="M4367" t="inlineStr">
        <is>
          <t>Chocolate em pó 50% 1 kg</t>
        </is>
      </c>
      <c r="N4367" t="inlineStr">
        <is>
          <t>Pessoa Física</t>
        </is>
      </c>
      <c r="O4367" t="n">
        <v>5</v>
      </c>
      <c r="P4367" t="n">
        <v>8</v>
      </c>
      <c r="Q4367" t="n">
        <v>4</v>
      </c>
    </row>
    <row r="4368">
      <c r="J4368" t="inlineStr">
        <is>
          <t>A</t>
        </is>
      </c>
      <c r="K4368" t="n">
        <v>2025</v>
      </c>
      <c r="L4368" t="n">
        <v>12</v>
      </c>
      <c r="M4368" t="inlineStr">
        <is>
          <t>Chocolate em pó 50% 1 kg</t>
        </is>
      </c>
      <c r="N4368" t="inlineStr">
        <is>
          <t>Pessoa Física</t>
        </is>
      </c>
      <c r="O4368" t="n">
        <v>5</v>
      </c>
      <c r="P4368" t="n">
        <v>9</v>
      </c>
      <c r="Q4368" t="n">
        <v>4</v>
      </c>
    </row>
    <row r="4369">
      <c r="J4369" t="inlineStr">
        <is>
          <t>M</t>
        </is>
      </c>
      <c r="K4369" t="n">
        <v>2025</v>
      </c>
      <c r="L4369" t="n">
        <v>12</v>
      </c>
      <c r="M4369" t="inlineStr">
        <is>
          <t>Chocolate em pó 50% 1 kg</t>
        </is>
      </c>
      <c r="N4369" t="inlineStr">
        <is>
          <t>Pessoa Física</t>
        </is>
      </c>
      <c r="O4369" t="n">
        <v>1</v>
      </c>
      <c r="P4369" t="n">
        <v>1</v>
      </c>
      <c r="Q4369" t="n">
        <v>0</v>
      </c>
    </row>
    <row r="4370">
      <c r="J4370" t="inlineStr">
        <is>
          <t>A</t>
        </is>
      </c>
      <c r="K4370" t="n">
        <v>2025</v>
      </c>
      <c r="L4370" t="n">
        <v>7</v>
      </c>
      <c r="M4370" t="inlineStr">
        <is>
          <t>Chocolate em pó 50% 1 kg</t>
        </is>
      </c>
      <c r="N4370" t="inlineStr">
        <is>
          <t>Pastelaria</t>
        </is>
      </c>
      <c r="O4370" t="n">
        <v>1</v>
      </c>
      <c r="P4370" t="n">
        <v>1</v>
      </c>
      <c r="Q4370" t="n">
        <v>1</v>
      </c>
    </row>
    <row r="4371">
      <c r="J4371" t="inlineStr">
        <is>
          <t>M</t>
        </is>
      </c>
      <c r="K4371" t="n">
        <v>2025</v>
      </c>
      <c r="L4371" t="n">
        <v>7</v>
      </c>
      <c r="M4371" t="inlineStr">
        <is>
          <t>Chocolate em pó 50% 1 kg</t>
        </is>
      </c>
      <c r="N4371" t="inlineStr">
        <is>
          <t>Pastelaria</t>
        </is>
      </c>
      <c r="O4371" t="n">
        <v>1</v>
      </c>
      <c r="P4371" t="n">
        <v>1</v>
      </c>
      <c r="Q4371" t="n">
        <v>0</v>
      </c>
    </row>
    <row r="4372">
      <c r="J4372" t="inlineStr">
        <is>
          <t>A</t>
        </is>
      </c>
      <c r="K4372" t="n">
        <v>2025</v>
      </c>
      <c r="L4372" t="n">
        <v>8</v>
      </c>
      <c r="M4372" t="inlineStr">
        <is>
          <t>Chocolate em pó 50% 1 kg</t>
        </is>
      </c>
      <c r="N4372" t="inlineStr">
        <is>
          <t>Pastelaria</t>
        </is>
      </c>
      <c r="O4372" t="n">
        <v>1</v>
      </c>
      <c r="P4372" t="n">
        <v>1</v>
      </c>
      <c r="Q4372" t="n">
        <v>1</v>
      </c>
    </row>
    <row r="4373">
      <c r="J4373" t="inlineStr">
        <is>
          <t>A</t>
        </is>
      </c>
      <c r="K4373" t="n">
        <v>2025</v>
      </c>
      <c r="L4373" t="n">
        <v>9</v>
      </c>
      <c r="M4373" t="inlineStr">
        <is>
          <t>Chocolate em pó 50% 1 kg</t>
        </is>
      </c>
      <c r="N4373" t="inlineStr">
        <is>
          <t>Pastelaria</t>
        </is>
      </c>
      <c r="O4373" t="n">
        <v>1</v>
      </c>
      <c r="P4373" t="n">
        <v>1</v>
      </c>
      <c r="Q4373" t="n">
        <v>1</v>
      </c>
    </row>
    <row r="4374">
      <c r="J4374" t="inlineStr">
        <is>
          <t>A</t>
        </is>
      </c>
      <c r="K4374" t="n">
        <v>2025</v>
      </c>
      <c r="L4374" t="n">
        <v>10</v>
      </c>
      <c r="M4374" t="inlineStr">
        <is>
          <t>Chocolate em pó 50% 1 kg</t>
        </is>
      </c>
      <c r="N4374" t="inlineStr">
        <is>
          <t>Pastelaria</t>
        </is>
      </c>
      <c r="O4374" t="n">
        <v>1</v>
      </c>
      <c r="P4374" t="n">
        <v>1</v>
      </c>
      <c r="Q4374" t="n">
        <v>1</v>
      </c>
    </row>
    <row r="4375">
      <c r="J4375" t="inlineStr">
        <is>
          <t>A</t>
        </is>
      </c>
      <c r="K4375" t="n">
        <v>2025</v>
      </c>
      <c r="L4375" t="n">
        <v>11</v>
      </c>
      <c r="M4375" t="inlineStr">
        <is>
          <t>Chocolate em pó 50% 1 kg</t>
        </is>
      </c>
      <c r="N4375" t="inlineStr">
        <is>
          <t>Pastelaria</t>
        </is>
      </c>
      <c r="O4375" t="n">
        <v>1</v>
      </c>
      <c r="P4375" t="n">
        <v>1</v>
      </c>
      <c r="Q4375" t="n">
        <v>1</v>
      </c>
    </row>
    <row r="4376">
      <c r="J4376" t="inlineStr">
        <is>
          <t>A</t>
        </is>
      </c>
      <c r="K4376" t="n">
        <v>2025</v>
      </c>
      <c r="L4376" t="n">
        <v>12</v>
      </c>
      <c r="M4376" t="inlineStr">
        <is>
          <t>Chocolate em pó 50% 1 kg</t>
        </is>
      </c>
      <c r="N4376" t="inlineStr">
        <is>
          <t>Pastelaria</t>
        </is>
      </c>
      <c r="O4376" t="n">
        <v>1</v>
      </c>
      <c r="P4376" t="n">
        <v>1</v>
      </c>
      <c r="Q4376" t="n">
        <v>1</v>
      </c>
    </row>
    <row r="4377">
      <c r="J4377" t="inlineStr">
        <is>
          <t>A</t>
        </is>
      </c>
      <c r="K4377" t="n">
        <v>2025</v>
      </c>
      <c r="L4377" t="n">
        <v>5</v>
      </c>
      <c r="M4377" t="inlineStr">
        <is>
          <t>Chocolate em pó 50% 1 kg</t>
        </is>
      </c>
      <c r="N4377" t="inlineStr">
        <is>
          <t>Esfiharia</t>
        </is>
      </c>
      <c r="O4377" t="n">
        <v>1</v>
      </c>
      <c r="P4377" t="n">
        <v>2</v>
      </c>
      <c r="Q4377" t="n">
        <v>1</v>
      </c>
    </row>
    <row r="4378">
      <c r="J4378" t="inlineStr">
        <is>
          <t>M</t>
        </is>
      </c>
      <c r="K4378" t="n">
        <v>2025</v>
      </c>
      <c r="L4378" t="n">
        <v>5</v>
      </c>
      <c r="M4378" t="inlineStr">
        <is>
          <t>Chocolate em pó 50% 1 kg</t>
        </is>
      </c>
      <c r="N4378" t="inlineStr">
        <is>
          <t>Esfiharia</t>
        </is>
      </c>
      <c r="O4378" t="n">
        <v>1</v>
      </c>
      <c r="P4378" t="n">
        <v>2</v>
      </c>
      <c r="Q4378" t="n">
        <v>0</v>
      </c>
    </row>
    <row r="4379">
      <c r="J4379" t="inlineStr">
        <is>
          <t>A</t>
        </is>
      </c>
      <c r="K4379" t="n">
        <v>2025</v>
      </c>
      <c r="L4379" t="n">
        <v>6</v>
      </c>
      <c r="M4379" t="inlineStr">
        <is>
          <t>Chocolate em pó 50% 1 kg</t>
        </is>
      </c>
      <c r="N4379" t="inlineStr">
        <is>
          <t>Esfiharia</t>
        </is>
      </c>
      <c r="O4379" t="n">
        <v>1</v>
      </c>
      <c r="P4379" t="n">
        <v>2</v>
      </c>
      <c r="Q4379" t="n">
        <v>1</v>
      </c>
    </row>
    <row r="4380">
      <c r="J4380" t="inlineStr">
        <is>
          <t>A</t>
        </is>
      </c>
      <c r="K4380" t="n">
        <v>2025</v>
      </c>
      <c r="L4380" t="n">
        <v>7</v>
      </c>
      <c r="M4380" t="inlineStr">
        <is>
          <t>Chocolate em pó 50% 1 kg</t>
        </is>
      </c>
      <c r="N4380" t="inlineStr">
        <is>
          <t>Esfiharia</t>
        </is>
      </c>
      <c r="O4380" t="n">
        <v>1</v>
      </c>
      <c r="P4380" t="n">
        <v>2</v>
      </c>
      <c r="Q4380" t="n">
        <v>1</v>
      </c>
    </row>
    <row r="4381">
      <c r="J4381" t="inlineStr">
        <is>
          <t>A</t>
        </is>
      </c>
      <c r="K4381" t="n">
        <v>2025</v>
      </c>
      <c r="L4381" t="n">
        <v>8</v>
      </c>
      <c r="M4381" t="inlineStr">
        <is>
          <t>Chocolate em pó 50% 1 kg</t>
        </is>
      </c>
      <c r="N4381" t="inlineStr">
        <is>
          <t>Esfiharia</t>
        </is>
      </c>
      <c r="O4381" t="n">
        <v>2</v>
      </c>
      <c r="P4381" t="n">
        <v>4</v>
      </c>
      <c r="Q4381" t="n">
        <v>2</v>
      </c>
    </row>
    <row r="4382">
      <c r="J4382" t="inlineStr">
        <is>
          <t>M</t>
        </is>
      </c>
      <c r="K4382" t="n">
        <v>2025</v>
      </c>
      <c r="L4382" t="n">
        <v>8</v>
      </c>
      <c r="M4382" t="inlineStr">
        <is>
          <t>Chocolate em pó 50% 1 kg</t>
        </is>
      </c>
      <c r="N4382" t="inlineStr">
        <is>
          <t>Esfiharia</t>
        </is>
      </c>
      <c r="O4382" t="n">
        <v>1</v>
      </c>
      <c r="P4382" t="n">
        <v>2</v>
      </c>
      <c r="Q4382" t="n">
        <v>0</v>
      </c>
    </row>
    <row r="4383">
      <c r="J4383" t="inlineStr">
        <is>
          <t>A</t>
        </is>
      </c>
      <c r="K4383" t="n">
        <v>2025</v>
      </c>
      <c r="L4383" t="n">
        <v>9</v>
      </c>
      <c r="M4383" t="inlineStr">
        <is>
          <t>Chocolate em pó 50% 1 kg</t>
        </is>
      </c>
      <c r="N4383" t="inlineStr">
        <is>
          <t>Esfiharia</t>
        </is>
      </c>
      <c r="O4383" t="n">
        <v>3</v>
      </c>
      <c r="P4383" t="n">
        <v>5</v>
      </c>
      <c r="Q4383" t="n">
        <v>3</v>
      </c>
    </row>
    <row r="4384">
      <c r="J4384" t="inlineStr">
        <is>
          <t>M</t>
        </is>
      </c>
      <c r="K4384" t="n">
        <v>2025</v>
      </c>
      <c r="L4384" t="n">
        <v>9</v>
      </c>
      <c r="M4384" t="inlineStr">
        <is>
          <t>Chocolate em pó 50% 1 kg</t>
        </is>
      </c>
      <c r="N4384" t="inlineStr">
        <is>
          <t>Esfiharia</t>
        </is>
      </c>
      <c r="O4384" t="n">
        <v>1</v>
      </c>
      <c r="P4384" t="n">
        <v>1</v>
      </c>
      <c r="Q4384" t="n">
        <v>0</v>
      </c>
    </row>
    <row r="4385">
      <c r="J4385" t="inlineStr">
        <is>
          <t>A</t>
        </is>
      </c>
      <c r="K4385" t="n">
        <v>2025</v>
      </c>
      <c r="L4385" t="n">
        <v>10</v>
      </c>
      <c r="M4385" t="inlineStr">
        <is>
          <t>Chocolate em pó 50% 1 kg</t>
        </is>
      </c>
      <c r="N4385" t="inlineStr">
        <is>
          <t>Esfiharia</t>
        </is>
      </c>
      <c r="O4385" t="n">
        <v>3</v>
      </c>
      <c r="P4385" t="n">
        <v>6</v>
      </c>
      <c r="Q4385" t="n">
        <v>3</v>
      </c>
    </row>
    <row r="4386">
      <c r="J4386" t="inlineStr">
        <is>
          <t>M</t>
        </is>
      </c>
      <c r="K4386" t="n">
        <v>2025</v>
      </c>
      <c r="L4386" t="n">
        <v>10</v>
      </c>
      <c r="M4386" t="inlineStr">
        <is>
          <t>Chocolate em pó 50% 1 kg</t>
        </is>
      </c>
      <c r="N4386" t="inlineStr">
        <is>
          <t>Esfiharia</t>
        </is>
      </c>
      <c r="O4386" t="n">
        <v>1</v>
      </c>
      <c r="P4386" t="n">
        <v>1</v>
      </c>
      <c r="Q4386" t="n">
        <v>0</v>
      </c>
    </row>
    <row r="4387">
      <c r="J4387" t="inlineStr">
        <is>
          <t>A</t>
        </is>
      </c>
      <c r="K4387" t="n">
        <v>2025</v>
      </c>
      <c r="L4387" t="n">
        <v>11</v>
      </c>
      <c r="M4387" t="inlineStr">
        <is>
          <t>Chocolate em pó 50% 1 kg</t>
        </is>
      </c>
      <c r="N4387" t="inlineStr">
        <is>
          <t>Esfiharia</t>
        </is>
      </c>
      <c r="O4387" t="n">
        <v>3</v>
      </c>
      <c r="P4387" t="n">
        <v>6</v>
      </c>
      <c r="Q4387" t="n">
        <v>3</v>
      </c>
    </row>
    <row r="4388">
      <c r="J4388" t="inlineStr">
        <is>
          <t>A</t>
        </is>
      </c>
      <c r="K4388" t="n">
        <v>2025</v>
      </c>
      <c r="L4388" t="n">
        <v>12</v>
      </c>
      <c r="M4388" t="inlineStr">
        <is>
          <t>Chocolate em pó 50% 1 kg</t>
        </is>
      </c>
      <c r="N4388" t="inlineStr">
        <is>
          <t>Esfiharia</t>
        </is>
      </c>
      <c r="O4388" t="n">
        <v>3</v>
      </c>
      <c r="P4388" t="n">
        <v>6</v>
      </c>
      <c r="Q4388" t="n">
        <v>3</v>
      </c>
    </row>
    <row r="4389">
      <c r="J4389" t="inlineStr">
        <is>
          <t>A</t>
        </is>
      </c>
      <c r="K4389" t="n">
        <v>2025</v>
      </c>
      <c r="L4389" t="n">
        <v>1</v>
      </c>
      <c r="M4389" t="inlineStr">
        <is>
          <t>Chocolate em pó 50% 1 kg</t>
        </is>
      </c>
      <c r="N4389" t="inlineStr">
        <is>
          <t>Lanchonete / Cafeteria</t>
        </is>
      </c>
      <c r="O4389" t="n">
        <v>2</v>
      </c>
      <c r="P4389" t="n">
        <v>2</v>
      </c>
      <c r="Q4389" t="n">
        <v>0</v>
      </c>
    </row>
    <row r="4390">
      <c r="J4390" t="inlineStr">
        <is>
          <t>M</t>
        </is>
      </c>
      <c r="K4390" t="n">
        <v>2025</v>
      </c>
      <c r="L4390" t="n">
        <v>1</v>
      </c>
      <c r="M4390" t="inlineStr">
        <is>
          <t>Chocolate em pó 50% 1 kg</t>
        </is>
      </c>
      <c r="N4390" t="inlineStr">
        <is>
          <t>Lanchonete / Cafeteria</t>
        </is>
      </c>
      <c r="O4390" t="n">
        <v>2</v>
      </c>
      <c r="P4390" t="n">
        <v>2</v>
      </c>
      <c r="Q4390" t="n">
        <v>0</v>
      </c>
    </row>
    <row r="4391">
      <c r="J4391" t="inlineStr">
        <is>
          <t>A</t>
        </is>
      </c>
      <c r="K4391" t="n">
        <v>2025</v>
      </c>
      <c r="L4391" t="n">
        <v>2</v>
      </c>
      <c r="M4391" t="inlineStr">
        <is>
          <t>Chocolate em pó 50% 1 kg</t>
        </is>
      </c>
      <c r="N4391" t="inlineStr">
        <is>
          <t>Lanchonete / Cafeteria</t>
        </is>
      </c>
      <c r="O4391" t="n">
        <v>4</v>
      </c>
      <c r="P4391" t="n">
        <v>4</v>
      </c>
      <c r="Q4391" t="n">
        <v>1</v>
      </c>
    </row>
    <row r="4392">
      <c r="J4392" t="inlineStr">
        <is>
          <t>M</t>
        </is>
      </c>
      <c r="K4392" t="n">
        <v>2025</v>
      </c>
      <c r="L4392" t="n">
        <v>2</v>
      </c>
      <c r="M4392" t="inlineStr">
        <is>
          <t>Chocolate em pó 50% 1 kg</t>
        </is>
      </c>
      <c r="N4392" t="inlineStr">
        <is>
          <t>Lanchonete / Cafeteria</t>
        </is>
      </c>
      <c r="O4392" t="n">
        <v>2</v>
      </c>
      <c r="P4392" t="n">
        <v>2</v>
      </c>
      <c r="Q4392" t="n">
        <v>0</v>
      </c>
    </row>
    <row r="4393">
      <c r="J4393" t="inlineStr">
        <is>
          <t>A</t>
        </is>
      </c>
      <c r="K4393" t="n">
        <v>2025</v>
      </c>
      <c r="L4393" t="n">
        <v>3</v>
      </c>
      <c r="M4393" t="inlineStr">
        <is>
          <t>Chocolate em pó 50% 1 kg</t>
        </is>
      </c>
      <c r="N4393" t="inlineStr">
        <is>
          <t>Lanchonete / Cafeteria</t>
        </is>
      </c>
      <c r="O4393" t="n">
        <v>5</v>
      </c>
      <c r="P4393" t="n">
        <v>7</v>
      </c>
      <c r="Q4393" t="n">
        <v>2</v>
      </c>
    </row>
    <row r="4394">
      <c r="J4394" t="inlineStr">
        <is>
          <t>M</t>
        </is>
      </c>
      <c r="K4394" t="n">
        <v>2025</v>
      </c>
      <c r="L4394" t="n">
        <v>3</v>
      </c>
      <c r="M4394" t="inlineStr">
        <is>
          <t>Chocolate em pó 50% 1 kg</t>
        </is>
      </c>
      <c r="N4394" t="inlineStr">
        <is>
          <t>Lanchonete / Cafeteria</t>
        </is>
      </c>
      <c r="O4394" t="n">
        <v>2</v>
      </c>
      <c r="P4394" t="n">
        <v>3</v>
      </c>
      <c r="Q4394" t="n">
        <v>0</v>
      </c>
    </row>
    <row r="4395">
      <c r="J4395" t="inlineStr">
        <is>
          <t>A</t>
        </is>
      </c>
      <c r="K4395" t="n">
        <v>2025</v>
      </c>
      <c r="L4395" t="n">
        <v>4</v>
      </c>
      <c r="M4395" t="inlineStr">
        <is>
          <t>Chocolate em pó 50% 1 kg</t>
        </is>
      </c>
      <c r="N4395" t="inlineStr">
        <is>
          <t>Lanchonete / Cafeteria</t>
        </is>
      </c>
      <c r="O4395" t="n">
        <v>5</v>
      </c>
      <c r="P4395" t="n">
        <v>7</v>
      </c>
      <c r="Q4395" t="n">
        <v>2</v>
      </c>
    </row>
    <row r="4396">
      <c r="J4396" t="inlineStr">
        <is>
          <t>A</t>
        </is>
      </c>
      <c r="K4396" t="n">
        <v>2025</v>
      </c>
      <c r="L4396" t="n">
        <v>5</v>
      </c>
      <c r="M4396" t="inlineStr">
        <is>
          <t>Chocolate em pó 50% 1 kg</t>
        </is>
      </c>
      <c r="N4396" t="inlineStr">
        <is>
          <t>Lanchonete / Cafeteria</t>
        </is>
      </c>
      <c r="O4396" t="n">
        <v>7</v>
      </c>
      <c r="P4396" t="n">
        <v>11</v>
      </c>
      <c r="Q4396" t="n">
        <v>3</v>
      </c>
    </row>
    <row r="4397">
      <c r="J4397" t="inlineStr">
        <is>
          <t>M</t>
        </is>
      </c>
      <c r="K4397" t="n">
        <v>2025</v>
      </c>
      <c r="L4397" t="n">
        <v>5</v>
      </c>
      <c r="M4397" t="inlineStr">
        <is>
          <t>Chocolate em pó 50% 1 kg</t>
        </is>
      </c>
      <c r="N4397" t="inlineStr">
        <is>
          <t>Lanchonete / Cafeteria</t>
        </is>
      </c>
      <c r="O4397" t="n">
        <v>3</v>
      </c>
      <c r="P4397" t="n">
        <v>4</v>
      </c>
      <c r="Q4397" t="n">
        <v>0</v>
      </c>
    </row>
    <row r="4398">
      <c r="J4398" t="inlineStr">
        <is>
          <t>A</t>
        </is>
      </c>
      <c r="K4398" t="n">
        <v>2025</v>
      </c>
      <c r="L4398" t="n">
        <v>6</v>
      </c>
      <c r="M4398" t="inlineStr">
        <is>
          <t>Chocolate em pó 50% 1 kg</t>
        </is>
      </c>
      <c r="N4398" t="inlineStr">
        <is>
          <t>Lanchonete / Cafeteria</t>
        </is>
      </c>
      <c r="O4398" t="n">
        <v>8</v>
      </c>
      <c r="P4398" t="n">
        <v>15</v>
      </c>
      <c r="Q4398" t="n">
        <v>4</v>
      </c>
    </row>
    <row r="4399">
      <c r="J4399" t="inlineStr">
        <is>
          <t>M</t>
        </is>
      </c>
      <c r="K4399" t="n">
        <v>2025</v>
      </c>
      <c r="L4399" t="n">
        <v>6</v>
      </c>
      <c r="M4399" t="inlineStr">
        <is>
          <t>Chocolate em pó 50% 1 kg</t>
        </is>
      </c>
      <c r="N4399" t="inlineStr">
        <is>
          <t>Lanchonete / Cafeteria</t>
        </is>
      </c>
      <c r="O4399" t="n">
        <v>3</v>
      </c>
      <c r="P4399" t="n">
        <v>4</v>
      </c>
      <c r="Q4399" t="n">
        <v>0</v>
      </c>
    </row>
    <row r="4400">
      <c r="J4400" t="inlineStr">
        <is>
          <t>A</t>
        </is>
      </c>
      <c r="K4400" t="n">
        <v>2025</v>
      </c>
      <c r="L4400" t="n">
        <v>7</v>
      </c>
      <c r="M4400" t="inlineStr">
        <is>
          <t>Chocolate em pó 50% 1 kg</t>
        </is>
      </c>
      <c r="N4400" t="inlineStr">
        <is>
          <t>Lanchonete / Cafeteria</t>
        </is>
      </c>
      <c r="O4400" t="n">
        <v>10</v>
      </c>
      <c r="P4400" t="n">
        <v>24</v>
      </c>
      <c r="Q4400" t="n">
        <v>6</v>
      </c>
    </row>
    <row r="4401">
      <c r="J4401" t="inlineStr">
        <is>
          <t>M</t>
        </is>
      </c>
      <c r="K4401" t="n">
        <v>2025</v>
      </c>
      <c r="L4401" t="n">
        <v>7</v>
      </c>
      <c r="M4401" t="inlineStr">
        <is>
          <t>Chocolate em pó 50% 1 kg</t>
        </is>
      </c>
      <c r="N4401" t="inlineStr">
        <is>
          <t>Lanchonete / Cafeteria</t>
        </is>
      </c>
      <c r="O4401" t="n">
        <v>6</v>
      </c>
      <c r="P4401" t="n">
        <v>9</v>
      </c>
      <c r="Q4401" t="n">
        <v>0</v>
      </c>
    </row>
    <row r="4402">
      <c r="J4402" t="inlineStr">
        <is>
          <t>A</t>
        </is>
      </c>
      <c r="K4402" t="n">
        <v>2025</v>
      </c>
      <c r="L4402" t="n">
        <v>8</v>
      </c>
      <c r="M4402" t="inlineStr">
        <is>
          <t>Chocolate em pó 50% 1 kg</t>
        </is>
      </c>
      <c r="N4402" t="inlineStr">
        <is>
          <t>Lanchonete / Cafeteria</t>
        </is>
      </c>
      <c r="O4402" t="n">
        <v>11</v>
      </c>
      <c r="P4402" t="n">
        <v>26</v>
      </c>
      <c r="Q4402" t="n">
        <v>7</v>
      </c>
    </row>
    <row r="4403">
      <c r="J4403" t="inlineStr">
        <is>
          <t>M</t>
        </is>
      </c>
      <c r="K4403" t="n">
        <v>2025</v>
      </c>
      <c r="L4403" t="n">
        <v>8</v>
      </c>
      <c r="M4403" t="inlineStr">
        <is>
          <t>Chocolate em pó 50% 1 kg</t>
        </is>
      </c>
      <c r="N4403" t="inlineStr">
        <is>
          <t>Lanchonete / Cafeteria</t>
        </is>
      </c>
      <c r="O4403" t="n">
        <v>2</v>
      </c>
      <c r="P4403" t="n">
        <v>2</v>
      </c>
      <c r="Q4403" t="n">
        <v>0</v>
      </c>
    </row>
    <row r="4404">
      <c r="J4404" t="inlineStr">
        <is>
          <t>A</t>
        </is>
      </c>
      <c r="K4404" t="n">
        <v>2025</v>
      </c>
      <c r="L4404" t="n">
        <v>9</v>
      </c>
      <c r="M4404" t="inlineStr">
        <is>
          <t>Chocolate em pó 50% 1 kg</t>
        </is>
      </c>
      <c r="N4404" t="inlineStr">
        <is>
          <t>Lanchonete / Cafeteria</t>
        </is>
      </c>
      <c r="O4404" t="n">
        <v>14</v>
      </c>
      <c r="P4404" t="n">
        <v>35</v>
      </c>
      <c r="Q4404" t="n">
        <v>10</v>
      </c>
    </row>
    <row r="4405">
      <c r="J4405" t="inlineStr">
        <is>
          <t>M</t>
        </is>
      </c>
      <c r="K4405" t="n">
        <v>2025</v>
      </c>
      <c r="L4405" t="n">
        <v>9</v>
      </c>
      <c r="M4405" t="inlineStr">
        <is>
          <t>Chocolate em pó 50% 1 kg</t>
        </is>
      </c>
      <c r="N4405" t="inlineStr">
        <is>
          <t>Lanchonete / Cafeteria</t>
        </is>
      </c>
      <c r="O4405" t="n">
        <v>6</v>
      </c>
      <c r="P4405" t="n">
        <v>9</v>
      </c>
      <c r="Q4405" t="n">
        <v>0</v>
      </c>
    </row>
    <row r="4406">
      <c r="J4406" t="inlineStr">
        <is>
          <t>A</t>
        </is>
      </c>
      <c r="K4406" t="n">
        <v>2025</v>
      </c>
      <c r="L4406" t="n">
        <v>10</v>
      </c>
      <c r="M4406" t="inlineStr">
        <is>
          <t>Chocolate em pó 50% 1 kg</t>
        </is>
      </c>
      <c r="N4406" t="inlineStr">
        <is>
          <t>Lanchonete / Cafeteria</t>
        </is>
      </c>
      <c r="O4406" t="n">
        <v>15</v>
      </c>
      <c r="P4406" t="n">
        <v>49</v>
      </c>
      <c r="Q4406" t="n">
        <v>10</v>
      </c>
    </row>
    <row r="4407">
      <c r="J4407" t="inlineStr">
        <is>
          <t>M</t>
        </is>
      </c>
      <c r="K4407" t="n">
        <v>2025</v>
      </c>
      <c r="L4407" t="n">
        <v>10</v>
      </c>
      <c r="M4407" t="inlineStr">
        <is>
          <t>Chocolate em pó 50% 1 kg</t>
        </is>
      </c>
      <c r="N4407" t="inlineStr">
        <is>
          <t>Lanchonete / Cafeteria</t>
        </is>
      </c>
      <c r="O4407" t="n">
        <v>7</v>
      </c>
      <c r="P4407" t="n">
        <v>14</v>
      </c>
      <c r="Q4407" t="n">
        <v>0</v>
      </c>
    </row>
    <row r="4408">
      <c r="J4408" t="inlineStr">
        <is>
          <t>A</t>
        </is>
      </c>
      <c r="K4408" t="n">
        <v>2025</v>
      </c>
      <c r="L4408" t="n">
        <v>11</v>
      </c>
      <c r="M4408" t="inlineStr">
        <is>
          <t>Chocolate em pó 50% 1 kg</t>
        </is>
      </c>
      <c r="N4408" t="inlineStr">
        <is>
          <t>Lanchonete / Cafeteria</t>
        </is>
      </c>
      <c r="O4408" t="n">
        <v>17</v>
      </c>
      <c r="P4408" t="n">
        <v>52</v>
      </c>
      <c r="Q4408" t="n">
        <v>12</v>
      </c>
    </row>
    <row r="4409">
      <c r="J4409" t="inlineStr">
        <is>
          <t>M</t>
        </is>
      </c>
      <c r="K4409" t="n">
        <v>2025</v>
      </c>
      <c r="L4409" t="n">
        <v>11</v>
      </c>
      <c r="M4409" t="inlineStr">
        <is>
          <t>Chocolate em pó 50% 1 kg</t>
        </is>
      </c>
      <c r="N4409" t="inlineStr">
        <is>
          <t>Lanchonete / Cafeteria</t>
        </is>
      </c>
      <c r="O4409" t="n">
        <v>3</v>
      </c>
      <c r="P4409" t="n">
        <v>3</v>
      </c>
      <c r="Q4409" t="n">
        <v>0</v>
      </c>
    </row>
    <row r="4410">
      <c r="J4410" t="inlineStr">
        <is>
          <t>A</t>
        </is>
      </c>
      <c r="K4410" t="n">
        <v>2025</v>
      </c>
      <c r="L4410" t="n">
        <v>12</v>
      </c>
      <c r="M4410" t="inlineStr">
        <is>
          <t>Chocolate em pó 50% 1 kg</t>
        </is>
      </c>
      <c r="N4410" t="inlineStr">
        <is>
          <t>Lanchonete / Cafeteria</t>
        </is>
      </c>
      <c r="O4410" t="n">
        <v>18</v>
      </c>
      <c r="P4410" t="n">
        <v>62</v>
      </c>
      <c r="Q4410" t="n">
        <v>13</v>
      </c>
    </row>
    <row r="4411">
      <c r="J4411" t="inlineStr">
        <is>
          <t>M</t>
        </is>
      </c>
      <c r="K4411" t="n">
        <v>2025</v>
      </c>
      <c r="L4411" t="n">
        <v>12</v>
      </c>
      <c r="M4411" t="inlineStr">
        <is>
          <t>Chocolate em pó 50% 1 kg</t>
        </is>
      </c>
      <c r="N4411" t="inlineStr">
        <is>
          <t>Lanchonete / Cafeteria</t>
        </is>
      </c>
      <c r="O4411" t="n">
        <v>8</v>
      </c>
      <c r="P4411" t="n">
        <v>10</v>
      </c>
      <c r="Q4411" t="n">
        <v>0</v>
      </c>
    </row>
    <row r="4412">
      <c r="J4412" t="inlineStr">
        <is>
          <t>A</t>
        </is>
      </c>
      <c r="K4412" t="n">
        <v>2025</v>
      </c>
      <c r="L4412" t="n">
        <v>1</v>
      </c>
      <c r="M4412" t="inlineStr">
        <is>
          <t>Chocolate em pó 50% 1 kg</t>
        </is>
      </c>
      <c r="N4412" t="inlineStr">
        <is>
          <t>Padaria</t>
        </is>
      </c>
      <c r="O4412" t="n">
        <v>2</v>
      </c>
      <c r="P4412" t="n">
        <v>3</v>
      </c>
      <c r="Q4412" t="n">
        <v>0</v>
      </c>
    </row>
    <row r="4413">
      <c r="J4413" t="inlineStr">
        <is>
          <t>M</t>
        </is>
      </c>
      <c r="K4413" t="n">
        <v>2025</v>
      </c>
      <c r="L4413" t="n">
        <v>1</v>
      </c>
      <c r="M4413" t="inlineStr">
        <is>
          <t>Chocolate em pó 50% 1 kg</t>
        </is>
      </c>
      <c r="N4413" t="inlineStr">
        <is>
          <t>Padaria</t>
        </is>
      </c>
      <c r="O4413" t="n">
        <v>2</v>
      </c>
      <c r="P4413" t="n">
        <v>3</v>
      </c>
      <c r="Q4413" t="n">
        <v>0</v>
      </c>
    </row>
    <row r="4414">
      <c r="J4414" t="inlineStr">
        <is>
          <t>A</t>
        </is>
      </c>
      <c r="K4414" t="n">
        <v>2025</v>
      </c>
      <c r="L4414" t="n">
        <v>2</v>
      </c>
      <c r="M4414" t="inlineStr">
        <is>
          <t>Chocolate em pó 50% 1 kg</t>
        </is>
      </c>
      <c r="N4414" t="inlineStr">
        <is>
          <t>Padaria</t>
        </is>
      </c>
      <c r="O4414" t="n">
        <v>2</v>
      </c>
      <c r="P4414" t="n">
        <v>6</v>
      </c>
      <c r="Q4414" t="n">
        <v>0</v>
      </c>
    </row>
    <row r="4415">
      <c r="J4415" t="inlineStr">
        <is>
          <t>M</t>
        </is>
      </c>
      <c r="K4415" t="n">
        <v>2025</v>
      </c>
      <c r="L4415" t="n">
        <v>2</v>
      </c>
      <c r="M4415" t="inlineStr">
        <is>
          <t>Chocolate em pó 50% 1 kg</t>
        </is>
      </c>
      <c r="N4415" t="inlineStr">
        <is>
          <t>Padaria</t>
        </is>
      </c>
      <c r="O4415" t="n">
        <v>2</v>
      </c>
      <c r="P4415" t="n">
        <v>3</v>
      </c>
      <c r="Q4415" t="n">
        <v>0</v>
      </c>
    </row>
    <row r="4416">
      <c r="J4416" t="inlineStr">
        <is>
          <t>A</t>
        </is>
      </c>
      <c r="K4416" t="n">
        <v>2025</v>
      </c>
      <c r="L4416" t="n">
        <v>3</v>
      </c>
      <c r="M4416" t="inlineStr">
        <is>
          <t>Chocolate em pó 50% 1 kg</t>
        </is>
      </c>
      <c r="N4416" t="inlineStr">
        <is>
          <t>Padaria</t>
        </is>
      </c>
      <c r="O4416" t="n">
        <v>2</v>
      </c>
      <c r="P4416" t="n">
        <v>7</v>
      </c>
      <c r="Q4416" t="n">
        <v>0</v>
      </c>
    </row>
    <row r="4417">
      <c r="J4417" t="inlineStr">
        <is>
          <t>M</t>
        </is>
      </c>
      <c r="K4417" t="n">
        <v>2025</v>
      </c>
      <c r="L4417" t="n">
        <v>3</v>
      </c>
      <c r="M4417" t="inlineStr">
        <is>
          <t>Chocolate em pó 50% 1 kg</t>
        </is>
      </c>
      <c r="N4417" t="inlineStr">
        <is>
          <t>Padaria</t>
        </is>
      </c>
      <c r="O4417" t="n">
        <v>1</v>
      </c>
      <c r="P4417" t="n">
        <v>1</v>
      </c>
      <c r="Q4417" t="n">
        <v>0</v>
      </c>
    </row>
    <row r="4418">
      <c r="J4418" t="inlineStr">
        <is>
          <t>A</t>
        </is>
      </c>
      <c r="K4418" t="n">
        <v>2025</v>
      </c>
      <c r="L4418" t="n">
        <v>4</v>
      </c>
      <c r="M4418" t="inlineStr">
        <is>
          <t>Chocolate em pó 50% 1 kg</t>
        </is>
      </c>
      <c r="N4418" t="inlineStr">
        <is>
          <t>Padaria</t>
        </is>
      </c>
      <c r="O4418" t="n">
        <v>3</v>
      </c>
      <c r="P4418" t="n">
        <v>9</v>
      </c>
      <c r="Q4418" t="n">
        <v>1</v>
      </c>
    </row>
    <row r="4419">
      <c r="J4419" t="inlineStr">
        <is>
          <t>M</t>
        </is>
      </c>
      <c r="K4419" t="n">
        <v>2025</v>
      </c>
      <c r="L4419" t="n">
        <v>4</v>
      </c>
      <c r="M4419" t="inlineStr">
        <is>
          <t>Chocolate em pó 50% 1 kg</t>
        </is>
      </c>
      <c r="N4419" t="inlineStr">
        <is>
          <t>Padaria</t>
        </is>
      </c>
      <c r="O4419" t="n">
        <v>2</v>
      </c>
      <c r="P4419" t="n">
        <v>2</v>
      </c>
      <c r="Q4419" t="n">
        <v>0</v>
      </c>
    </row>
    <row r="4420">
      <c r="J4420" t="inlineStr">
        <is>
          <t>A</t>
        </is>
      </c>
      <c r="K4420" t="n">
        <v>2025</v>
      </c>
      <c r="L4420" t="n">
        <v>5</v>
      </c>
      <c r="M4420" t="inlineStr">
        <is>
          <t>Chocolate em pó 50% 1 kg</t>
        </is>
      </c>
      <c r="N4420" t="inlineStr">
        <is>
          <t>Padaria</t>
        </is>
      </c>
      <c r="O4420" t="n">
        <v>3</v>
      </c>
      <c r="P4420" t="n">
        <v>12</v>
      </c>
      <c r="Q4420" t="n">
        <v>1</v>
      </c>
    </row>
    <row r="4421">
      <c r="J4421" t="inlineStr">
        <is>
          <t>M</t>
        </is>
      </c>
      <c r="K4421" t="n">
        <v>2025</v>
      </c>
      <c r="L4421" t="n">
        <v>5</v>
      </c>
      <c r="M4421" t="inlineStr">
        <is>
          <t>Chocolate em pó 50% 1 kg</t>
        </is>
      </c>
      <c r="N4421" t="inlineStr">
        <is>
          <t>Padaria</t>
        </is>
      </c>
      <c r="O4421" t="n">
        <v>2</v>
      </c>
      <c r="P4421" t="n">
        <v>3</v>
      </c>
      <c r="Q4421" t="n">
        <v>0</v>
      </c>
    </row>
    <row r="4422">
      <c r="J4422" t="inlineStr">
        <is>
          <t>A</t>
        </is>
      </c>
      <c r="K4422" t="n">
        <v>2025</v>
      </c>
      <c r="L4422" t="n">
        <v>6</v>
      </c>
      <c r="M4422" t="inlineStr">
        <is>
          <t>Chocolate em pó 50% 1 kg</t>
        </is>
      </c>
      <c r="N4422" t="inlineStr">
        <is>
          <t>Padaria</t>
        </is>
      </c>
      <c r="O4422" t="n">
        <v>5</v>
      </c>
      <c r="P4422" t="n">
        <v>15</v>
      </c>
      <c r="Q4422" t="n">
        <v>2</v>
      </c>
    </row>
    <row r="4423">
      <c r="J4423" t="inlineStr">
        <is>
          <t>M</t>
        </is>
      </c>
      <c r="K4423" t="n">
        <v>2025</v>
      </c>
      <c r="L4423" t="n">
        <v>6</v>
      </c>
      <c r="M4423" t="inlineStr">
        <is>
          <t>Chocolate em pó 50% 1 kg</t>
        </is>
      </c>
      <c r="N4423" t="inlineStr">
        <is>
          <t>Padaria</t>
        </is>
      </c>
      <c r="O4423" t="n">
        <v>3</v>
      </c>
      <c r="P4423" t="n">
        <v>3</v>
      </c>
      <c r="Q4423" t="n">
        <v>0</v>
      </c>
    </row>
    <row r="4424">
      <c r="J4424" t="inlineStr">
        <is>
          <t>A</t>
        </is>
      </c>
      <c r="K4424" t="n">
        <v>2025</v>
      </c>
      <c r="L4424" t="n">
        <v>7</v>
      </c>
      <c r="M4424" t="inlineStr">
        <is>
          <t>Chocolate em pó 50% 1 kg</t>
        </is>
      </c>
      <c r="N4424" t="inlineStr">
        <is>
          <t>Padaria</t>
        </is>
      </c>
      <c r="O4424" t="n">
        <v>8</v>
      </c>
      <c r="P4424" t="n">
        <v>22</v>
      </c>
      <c r="Q4424" t="n">
        <v>4</v>
      </c>
    </row>
    <row r="4425">
      <c r="J4425" t="inlineStr">
        <is>
          <t>M</t>
        </is>
      </c>
      <c r="K4425" t="n">
        <v>2025</v>
      </c>
      <c r="L4425" t="n">
        <v>7</v>
      </c>
      <c r="M4425" t="inlineStr">
        <is>
          <t>Chocolate em pó 50% 1 kg</t>
        </is>
      </c>
      <c r="N4425" t="inlineStr">
        <is>
          <t>Padaria</t>
        </is>
      </c>
      <c r="O4425" t="n">
        <v>4</v>
      </c>
      <c r="P4425" t="n">
        <v>7</v>
      </c>
      <c r="Q4425" t="n">
        <v>0</v>
      </c>
    </row>
    <row r="4426">
      <c r="J4426" t="inlineStr">
        <is>
          <t>A</t>
        </is>
      </c>
      <c r="K4426" t="n">
        <v>2025</v>
      </c>
      <c r="L4426" t="n">
        <v>8</v>
      </c>
      <c r="M4426" t="inlineStr">
        <is>
          <t>Chocolate em pó 50% 1 kg</t>
        </is>
      </c>
      <c r="N4426" t="inlineStr">
        <is>
          <t>Padaria</t>
        </is>
      </c>
      <c r="O4426" t="n">
        <v>9</v>
      </c>
      <c r="P4426" t="n">
        <v>29</v>
      </c>
      <c r="Q4426" t="n">
        <v>5</v>
      </c>
    </row>
    <row r="4427">
      <c r="J4427" t="inlineStr">
        <is>
          <t>M</t>
        </is>
      </c>
      <c r="K4427" t="n">
        <v>2025</v>
      </c>
      <c r="L4427" t="n">
        <v>8</v>
      </c>
      <c r="M4427" t="inlineStr">
        <is>
          <t>Chocolate em pó 50% 1 kg</t>
        </is>
      </c>
      <c r="N4427" t="inlineStr">
        <is>
          <t>Padaria</t>
        </is>
      </c>
      <c r="O4427" t="n">
        <v>5</v>
      </c>
      <c r="P4427" t="n">
        <v>7</v>
      </c>
      <c r="Q4427" t="n">
        <v>0</v>
      </c>
    </row>
    <row r="4428">
      <c r="J4428" t="inlineStr">
        <is>
          <t>A</t>
        </is>
      </c>
      <c r="K4428" t="n">
        <v>2025</v>
      </c>
      <c r="L4428" t="n">
        <v>9</v>
      </c>
      <c r="M4428" t="inlineStr">
        <is>
          <t>Chocolate em pó 50% 1 kg</t>
        </is>
      </c>
      <c r="N4428" t="inlineStr">
        <is>
          <t>Padaria</t>
        </is>
      </c>
      <c r="O4428" t="n">
        <v>10</v>
      </c>
      <c r="P4428" t="n">
        <v>38</v>
      </c>
      <c r="Q4428" t="n">
        <v>6</v>
      </c>
    </row>
    <row r="4429">
      <c r="J4429" t="inlineStr">
        <is>
          <t>M</t>
        </is>
      </c>
      <c r="K4429" t="n">
        <v>2025</v>
      </c>
      <c r="L4429" t="n">
        <v>9</v>
      </c>
      <c r="M4429" t="inlineStr">
        <is>
          <t>Chocolate em pó 50% 1 kg</t>
        </is>
      </c>
      <c r="N4429" t="inlineStr">
        <is>
          <t>Padaria</t>
        </is>
      </c>
      <c r="O4429" t="n">
        <v>5</v>
      </c>
      <c r="P4429" t="n">
        <v>9</v>
      </c>
      <c r="Q4429" t="n">
        <v>0</v>
      </c>
    </row>
    <row r="4430">
      <c r="J4430" t="inlineStr">
        <is>
          <t>A</t>
        </is>
      </c>
      <c r="K4430" t="n">
        <v>2025</v>
      </c>
      <c r="L4430" t="n">
        <v>10</v>
      </c>
      <c r="M4430" t="inlineStr">
        <is>
          <t>Chocolate em pó 50% 1 kg</t>
        </is>
      </c>
      <c r="N4430" t="inlineStr">
        <is>
          <t>Padaria</t>
        </is>
      </c>
      <c r="O4430" t="n">
        <v>10</v>
      </c>
      <c r="P4430" t="n">
        <v>46</v>
      </c>
      <c r="Q4430" t="n">
        <v>6</v>
      </c>
    </row>
    <row r="4431">
      <c r="J4431" t="inlineStr">
        <is>
          <t>M</t>
        </is>
      </c>
      <c r="K4431" t="n">
        <v>2025</v>
      </c>
      <c r="L4431" t="n">
        <v>10</v>
      </c>
      <c r="M4431" t="inlineStr">
        <is>
          <t>Chocolate em pó 50% 1 kg</t>
        </is>
      </c>
      <c r="N4431" t="inlineStr">
        <is>
          <t>Padaria</t>
        </is>
      </c>
      <c r="O4431" t="n">
        <v>3</v>
      </c>
      <c r="P4431" t="n">
        <v>8</v>
      </c>
      <c r="Q4431" t="n">
        <v>0</v>
      </c>
    </row>
    <row r="4432">
      <c r="J4432" t="inlineStr">
        <is>
          <t>A</t>
        </is>
      </c>
      <c r="K4432" t="n">
        <v>2025</v>
      </c>
      <c r="L4432" t="n">
        <v>11</v>
      </c>
      <c r="M4432" t="inlineStr">
        <is>
          <t>Chocolate em pó 50% 1 kg</t>
        </is>
      </c>
      <c r="N4432" t="inlineStr">
        <is>
          <t>Padaria</t>
        </is>
      </c>
      <c r="O4432" t="n">
        <v>10</v>
      </c>
      <c r="P4432" t="n">
        <v>52</v>
      </c>
      <c r="Q4432" t="n">
        <v>6</v>
      </c>
    </row>
    <row r="4433">
      <c r="J4433" t="inlineStr">
        <is>
          <t>M</t>
        </is>
      </c>
      <c r="K4433" t="n">
        <v>2025</v>
      </c>
      <c r="L4433" t="n">
        <v>11</v>
      </c>
      <c r="M4433" t="inlineStr">
        <is>
          <t>Chocolate em pó 50% 1 kg</t>
        </is>
      </c>
      <c r="N4433" t="inlineStr">
        <is>
          <t>Padaria</t>
        </is>
      </c>
      <c r="O4433" t="n">
        <v>3</v>
      </c>
      <c r="P4433" t="n">
        <v>6</v>
      </c>
      <c r="Q4433" t="n">
        <v>0</v>
      </c>
    </row>
    <row r="4434">
      <c r="J4434" t="inlineStr">
        <is>
          <t>A</t>
        </is>
      </c>
      <c r="K4434" t="n">
        <v>2025</v>
      </c>
      <c r="L4434" t="n">
        <v>12</v>
      </c>
      <c r="M4434" t="inlineStr">
        <is>
          <t>Chocolate em pó 50% 1 kg</t>
        </is>
      </c>
      <c r="N4434" t="inlineStr">
        <is>
          <t>Padaria</t>
        </is>
      </c>
      <c r="O4434" t="n">
        <v>11</v>
      </c>
      <c r="P4434" t="n">
        <v>58</v>
      </c>
      <c r="Q4434" t="n">
        <v>7</v>
      </c>
    </row>
    <row r="4435">
      <c r="J4435" t="inlineStr">
        <is>
          <t>M</t>
        </is>
      </c>
      <c r="K4435" t="n">
        <v>2025</v>
      </c>
      <c r="L4435" t="n">
        <v>12</v>
      </c>
      <c r="M4435" t="inlineStr">
        <is>
          <t>Chocolate em pó 50% 1 kg</t>
        </is>
      </c>
      <c r="N4435" t="inlineStr">
        <is>
          <t>Padaria</t>
        </is>
      </c>
      <c r="O4435" t="n">
        <v>5</v>
      </c>
      <c r="P4435" t="n">
        <v>6</v>
      </c>
      <c r="Q4435" t="n">
        <v>0</v>
      </c>
    </row>
    <row r="4436">
      <c r="J4436" t="inlineStr">
        <is>
          <t>A</t>
        </is>
      </c>
      <c r="K4436" t="n">
        <v>2025</v>
      </c>
      <c r="L4436" t="n">
        <v>9</v>
      </c>
      <c r="M4436" t="inlineStr">
        <is>
          <t>Chocolate em pó 50% 1 kg</t>
        </is>
      </c>
      <c r="N4436" t="inlineStr">
        <is>
          <t>Supermercado</t>
        </is>
      </c>
      <c r="O4436" t="n">
        <v>1</v>
      </c>
      <c r="P4436" t="n">
        <v>1</v>
      </c>
      <c r="Q4436" t="n">
        <v>0</v>
      </c>
    </row>
    <row r="4437">
      <c r="J4437" t="inlineStr">
        <is>
          <t>M</t>
        </is>
      </c>
      <c r="K4437" t="n">
        <v>2025</v>
      </c>
      <c r="L4437" t="n">
        <v>9</v>
      </c>
      <c r="M4437" t="inlineStr">
        <is>
          <t>Chocolate em pó 50% 1 kg</t>
        </is>
      </c>
      <c r="N4437" t="inlineStr">
        <is>
          <t>Supermercado</t>
        </is>
      </c>
      <c r="O4437" t="n">
        <v>1</v>
      </c>
      <c r="P4437" t="n">
        <v>1</v>
      </c>
      <c r="Q4437" t="n">
        <v>0</v>
      </c>
    </row>
    <row r="4438">
      <c r="J4438" t="inlineStr">
        <is>
          <t>A</t>
        </is>
      </c>
      <c r="K4438" t="n">
        <v>2025</v>
      </c>
      <c r="L4438" t="n">
        <v>10</v>
      </c>
      <c r="M4438" t="inlineStr">
        <is>
          <t>Chocolate em pó 50% 1 kg</t>
        </is>
      </c>
      <c r="N4438" t="inlineStr">
        <is>
          <t>Supermercado</t>
        </is>
      </c>
      <c r="O4438" t="n">
        <v>1</v>
      </c>
      <c r="P4438" t="n">
        <v>1</v>
      </c>
      <c r="Q4438" t="n">
        <v>0</v>
      </c>
    </row>
    <row r="4439">
      <c r="J4439" t="inlineStr">
        <is>
          <t>A</t>
        </is>
      </c>
      <c r="K4439" t="n">
        <v>2025</v>
      </c>
      <c r="L4439" t="n">
        <v>11</v>
      </c>
      <c r="M4439" t="inlineStr">
        <is>
          <t>Chocolate em pó 50% 1 kg</t>
        </is>
      </c>
      <c r="N4439" t="inlineStr">
        <is>
          <t>Supermercado</t>
        </is>
      </c>
      <c r="O4439" t="n">
        <v>1</v>
      </c>
      <c r="P4439" t="n">
        <v>1</v>
      </c>
      <c r="Q4439" t="n">
        <v>0</v>
      </c>
    </row>
    <row r="4440">
      <c r="J4440" t="inlineStr">
        <is>
          <t>A</t>
        </is>
      </c>
      <c r="K4440" t="n">
        <v>2025</v>
      </c>
      <c r="L4440" t="n">
        <v>12</v>
      </c>
      <c r="M4440" t="inlineStr">
        <is>
          <t>Chocolate em pó 50% 1 kg</t>
        </is>
      </c>
      <c r="N4440" t="inlineStr">
        <is>
          <t>Supermercado</t>
        </is>
      </c>
      <c r="O4440" t="n">
        <v>1</v>
      </c>
      <c r="P4440" t="n">
        <v>1</v>
      </c>
      <c r="Q4440" t="n">
        <v>0</v>
      </c>
    </row>
    <row r="4441">
      <c r="J4441" t="inlineStr">
        <is>
          <t>A</t>
        </is>
      </c>
      <c r="K4441" t="n">
        <v>2025</v>
      </c>
      <c r="L4441" t="n">
        <v>5</v>
      </c>
      <c r="M4441" t="inlineStr">
        <is>
          <t>Chocolate em pó 50% 1 kg</t>
        </is>
      </c>
      <c r="N4441" t="inlineStr">
        <is>
          <t>Mercearia / Sacolão</t>
        </is>
      </c>
      <c r="O4441" t="n">
        <v>1</v>
      </c>
      <c r="P4441" t="n">
        <v>1</v>
      </c>
      <c r="Q4441" t="n">
        <v>1</v>
      </c>
    </row>
    <row r="4442">
      <c r="J4442" t="inlineStr">
        <is>
          <t>M</t>
        </is>
      </c>
      <c r="K4442" t="n">
        <v>2025</v>
      </c>
      <c r="L4442" t="n">
        <v>5</v>
      </c>
      <c r="M4442" t="inlineStr">
        <is>
          <t>Chocolate em pó 50% 1 kg</t>
        </is>
      </c>
      <c r="N4442" t="inlineStr">
        <is>
          <t>Mercearia / Sacolão</t>
        </is>
      </c>
      <c r="O4442" t="n">
        <v>1</v>
      </c>
      <c r="P4442" t="n">
        <v>1</v>
      </c>
      <c r="Q4442" t="n">
        <v>0</v>
      </c>
    </row>
    <row r="4443">
      <c r="J4443" t="inlineStr">
        <is>
          <t>A</t>
        </is>
      </c>
      <c r="K4443" t="n">
        <v>2025</v>
      </c>
      <c r="L4443" t="n">
        <v>6</v>
      </c>
      <c r="M4443" t="inlineStr">
        <is>
          <t>Chocolate em pó 50% 1 kg</t>
        </is>
      </c>
      <c r="N4443" t="inlineStr">
        <is>
          <t>Mercearia / Sacolão</t>
        </is>
      </c>
      <c r="O4443" t="n">
        <v>1</v>
      </c>
      <c r="P4443" t="n">
        <v>1</v>
      </c>
      <c r="Q4443" t="n">
        <v>1</v>
      </c>
    </row>
    <row r="4444">
      <c r="J4444" t="inlineStr">
        <is>
          <t>A</t>
        </is>
      </c>
      <c r="K4444" t="n">
        <v>2025</v>
      </c>
      <c r="L4444" t="n">
        <v>7</v>
      </c>
      <c r="M4444" t="inlineStr">
        <is>
          <t>Chocolate em pó 50% 1 kg</t>
        </is>
      </c>
      <c r="N4444" t="inlineStr">
        <is>
          <t>Mercearia / Sacolão</t>
        </is>
      </c>
      <c r="O4444" t="n">
        <v>1</v>
      </c>
      <c r="P4444" t="n">
        <v>2</v>
      </c>
      <c r="Q4444" t="n">
        <v>1</v>
      </c>
    </row>
    <row r="4445">
      <c r="J4445" t="inlineStr">
        <is>
          <t>M</t>
        </is>
      </c>
      <c r="K4445" t="n">
        <v>2025</v>
      </c>
      <c r="L4445" t="n">
        <v>7</v>
      </c>
      <c r="M4445" t="inlineStr">
        <is>
          <t>Chocolate em pó 50% 1 kg</t>
        </is>
      </c>
      <c r="N4445" t="inlineStr">
        <is>
          <t>Mercearia / Sacolão</t>
        </is>
      </c>
      <c r="O4445" t="n">
        <v>1</v>
      </c>
      <c r="P4445" t="n">
        <v>1</v>
      </c>
      <c r="Q4445" t="n">
        <v>0</v>
      </c>
    </row>
    <row r="4446">
      <c r="J4446" t="inlineStr">
        <is>
          <t>A</t>
        </is>
      </c>
      <c r="K4446" t="n">
        <v>2025</v>
      </c>
      <c r="L4446" t="n">
        <v>8</v>
      </c>
      <c r="M4446" t="inlineStr">
        <is>
          <t>Chocolate em pó 50% 1 kg</t>
        </is>
      </c>
      <c r="N4446" t="inlineStr">
        <is>
          <t>Mercearia / Sacolão</t>
        </is>
      </c>
      <c r="O4446" t="n">
        <v>1</v>
      </c>
      <c r="P4446" t="n">
        <v>2</v>
      </c>
      <c r="Q4446" t="n">
        <v>1</v>
      </c>
    </row>
    <row r="4447">
      <c r="J4447" t="inlineStr">
        <is>
          <t>A</t>
        </is>
      </c>
      <c r="K4447" t="n">
        <v>2025</v>
      </c>
      <c r="L4447" t="n">
        <v>9</v>
      </c>
      <c r="M4447" t="inlineStr">
        <is>
          <t>Chocolate em pó 50% 1 kg</t>
        </is>
      </c>
      <c r="N4447" t="inlineStr">
        <is>
          <t>Mercearia / Sacolão</t>
        </is>
      </c>
      <c r="O4447" t="n">
        <v>1</v>
      </c>
      <c r="P4447" t="n">
        <v>3</v>
      </c>
      <c r="Q4447" t="n">
        <v>1</v>
      </c>
    </row>
    <row r="4448">
      <c r="J4448" t="inlineStr">
        <is>
          <t>M</t>
        </is>
      </c>
      <c r="K4448" t="n">
        <v>2025</v>
      </c>
      <c r="L4448" t="n">
        <v>9</v>
      </c>
      <c r="M4448" t="inlineStr">
        <is>
          <t>Chocolate em pó 50% 1 kg</t>
        </is>
      </c>
      <c r="N4448" t="inlineStr">
        <is>
          <t>Mercearia / Sacolão</t>
        </is>
      </c>
      <c r="O4448" t="n">
        <v>1</v>
      </c>
      <c r="P4448" t="n">
        <v>1</v>
      </c>
      <c r="Q4448" t="n">
        <v>0</v>
      </c>
    </row>
    <row r="4449">
      <c r="J4449" t="inlineStr">
        <is>
          <t>A</t>
        </is>
      </c>
      <c r="K4449" t="n">
        <v>2025</v>
      </c>
      <c r="L4449" t="n">
        <v>10</v>
      </c>
      <c r="M4449" t="inlineStr">
        <is>
          <t>Chocolate em pó 50% 1 kg</t>
        </is>
      </c>
      <c r="N4449" t="inlineStr">
        <is>
          <t>Mercearia / Sacolão</t>
        </is>
      </c>
      <c r="O4449" t="n">
        <v>1</v>
      </c>
      <c r="P4449" t="n">
        <v>3</v>
      </c>
      <c r="Q4449" t="n">
        <v>1</v>
      </c>
    </row>
    <row r="4450">
      <c r="J4450" t="inlineStr">
        <is>
          <t>A</t>
        </is>
      </c>
      <c r="K4450" t="n">
        <v>2025</v>
      </c>
      <c r="L4450" t="n">
        <v>11</v>
      </c>
      <c r="M4450" t="inlineStr">
        <is>
          <t>Chocolate em pó 50% 1 kg</t>
        </is>
      </c>
      <c r="N4450" t="inlineStr">
        <is>
          <t>Mercearia / Sacolão</t>
        </is>
      </c>
      <c r="O4450" t="n">
        <v>1</v>
      </c>
      <c r="P4450" t="n">
        <v>3</v>
      </c>
      <c r="Q4450" t="n">
        <v>1</v>
      </c>
    </row>
    <row r="4451">
      <c r="J4451" t="inlineStr">
        <is>
          <t>A</t>
        </is>
      </c>
      <c r="K4451" t="n">
        <v>2025</v>
      </c>
      <c r="L4451" t="n">
        <v>12</v>
      </c>
      <c r="M4451" t="inlineStr">
        <is>
          <t>Chocolate em pó 50% 1 kg</t>
        </is>
      </c>
      <c r="N4451" t="inlineStr">
        <is>
          <t>Mercearia / Sacolão</t>
        </is>
      </c>
      <c r="O4451" t="n">
        <v>1</v>
      </c>
      <c r="P4451" t="n">
        <v>3</v>
      </c>
      <c r="Q4451" t="n">
        <v>1</v>
      </c>
    </row>
    <row r="4452">
      <c r="J4452" t="inlineStr">
        <is>
          <t>A</t>
        </is>
      </c>
      <c r="K4452" t="n">
        <v>2025</v>
      </c>
      <c r="L4452" t="n">
        <v>1</v>
      </c>
      <c r="M4452" t="inlineStr">
        <is>
          <t>Chocolate em pó 50% 1 kg</t>
        </is>
      </c>
      <c r="N4452" t="inlineStr">
        <is>
          <t>Buffet</t>
        </is>
      </c>
      <c r="O4452" t="n">
        <v>1</v>
      </c>
      <c r="P4452" t="n">
        <v>1</v>
      </c>
      <c r="Q4452" t="n">
        <v>0</v>
      </c>
    </row>
    <row r="4453">
      <c r="J4453" t="inlineStr">
        <is>
          <t>M</t>
        </is>
      </c>
      <c r="K4453" t="n">
        <v>2025</v>
      </c>
      <c r="L4453" t="n">
        <v>1</v>
      </c>
      <c r="M4453" t="inlineStr">
        <is>
          <t>Chocolate em pó 50% 1 kg</t>
        </is>
      </c>
      <c r="N4453" t="inlineStr">
        <is>
          <t>Buffet</t>
        </is>
      </c>
      <c r="O4453" t="n">
        <v>1</v>
      </c>
      <c r="P4453" t="n">
        <v>1</v>
      </c>
      <c r="Q4453" t="n">
        <v>0</v>
      </c>
    </row>
    <row r="4454">
      <c r="J4454" t="inlineStr">
        <is>
          <t>A</t>
        </is>
      </c>
      <c r="K4454" t="n">
        <v>2025</v>
      </c>
      <c r="L4454" t="n">
        <v>2</v>
      </c>
      <c r="M4454" t="inlineStr">
        <is>
          <t>Chocolate em pó 50% 1 kg</t>
        </is>
      </c>
      <c r="N4454" t="inlineStr">
        <is>
          <t>Buffet</t>
        </is>
      </c>
      <c r="O4454" t="n">
        <v>1</v>
      </c>
      <c r="P4454" t="n">
        <v>1</v>
      </c>
      <c r="Q4454" t="n">
        <v>0</v>
      </c>
    </row>
    <row r="4455">
      <c r="J4455" t="inlineStr">
        <is>
          <t>A</t>
        </is>
      </c>
      <c r="K4455" t="n">
        <v>2025</v>
      </c>
      <c r="L4455" t="n">
        <v>3</v>
      </c>
      <c r="M4455" t="inlineStr">
        <is>
          <t>Chocolate em pó 50% 1 kg</t>
        </is>
      </c>
      <c r="N4455" t="inlineStr">
        <is>
          <t>Buffet</t>
        </is>
      </c>
      <c r="O4455" t="n">
        <v>1</v>
      </c>
      <c r="P4455" t="n">
        <v>1</v>
      </c>
      <c r="Q4455" t="n">
        <v>0</v>
      </c>
    </row>
    <row r="4456">
      <c r="J4456" t="inlineStr">
        <is>
          <t>A</t>
        </is>
      </c>
      <c r="K4456" t="n">
        <v>2025</v>
      </c>
      <c r="L4456" t="n">
        <v>4</v>
      </c>
      <c r="M4456" t="inlineStr">
        <is>
          <t>Chocolate em pó 50% 1 kg</t>
        </is>
      </c>
      <c r="N4456" t="inlineStr">
        <is>
          <t>Buffet</t>
        </is>
      </c>
      <c r="O4456" t="n">
        <v>1</v>
      </c>
      <c r="P4456" t="n">
        <v>1</v>
      </c>
      <c r="Q4456" t="n">
        <v>0</v>
      </c>
    </row>
    <row r="4457">
      <c r="J4457" t="inlineStr">
        <is>
          <t>A</t>
        </is>
      </c>
      <c r="K4457" t="n">
        <v>2025</v>
      </c>
      <c r="L4457" t="n">
        <v>5</v>
      </c>
      <c r="M4457" t="inlineStr">
        <is>
          <t>Chocolate em pó 50% 1 kg</t>
        </is>
      </c>
      <c r="N4457" t="inlineStr">
        <is>
          <t>Buffet</t>
        </is>
      </c>
      <c r="O4457" t="n">
        <v>2</v>
      </c>
      <c r="P4457" t="n">
        <v>2</v>
      </c>
      <c r="Q4457" t="n">
        <v>1</v>
      </c>
    </row>
    <row r="4458">
      <c r="J4458" t="inlineStr">
        <is>
          <t>M</t>
        </is>
      </c>
      <c r="K4458" t="n">
        <v>2025</v>
      </c>
      <c r="L4458" t="n">
        <v>5</v>
      </c>
      <c r="M4458" t="inlineStr">
        <is>
          <t>Chocolate em pó 50% 1 kg</t>
        </is>
      </c>
      <c r="N4458" t="inlineStr">
        <is>
          <t>Buffet</t>
        </is>
      </c>
      <c r="O4458" t="n">
        <v>1</v>
      </c>
      <c r="P4458" t="n">
        <v>1</v>
      </c>
      <c r="Q4458" t="n">
        <v>0</v>
      </c>
    </row>
    <row r="4459">
      <c r="J4459" t="inlineStr">
        <is>
          <t>A</t>
        </is>
      </c>
      <c r="K4459" t="n">
        <v>2025</v>
      </c>
      <c r="L4459" t="n">
        <v>6</v>
      </c>
      <c r="M4459" t="inlineStr">
        <is>
          <t>Chocolate em pó 50% 1 kg</t>
        </is>
      </c>
      <c r="N4459" t="inlineStr">
        <is>
          <t>Buffet</t>
        </is>
      </c>
      <c r="O4459" t="n">
        <v>2</v>
      </c>
      <c r="P4459" t="n">
        <v>2</v>
      </c>
      <c r="Q4459" t="n">
        <v>1</v>
      </c>
    </row>
    <row r="4460">
      <c r="J4460" t="inlineStr">
        <is>
          <t>A</t>
        </is>
      </c>
      <c r="K4460" t="n">
        <v>2025</v>
      </c>
      <c r="L4460" t="n">
        <v>7</v>
      </c>
      <c r="M4460" t="inlineStr">
        <is>
          <t>Chocolate em pó 50% 1 kg</t>
        </is>
      </c>
      <c r="N4460" t="inlineStr">
        <is>
          <t>Buffet</t>
        </is>
      </c>
      <c r="O4460" t="n">
        <v>3</v>
      </c>
      <c r="P4460" t="n">
        <v>4</v>
      </c>
      <c r="Q4460" t="n">
        <v>1</v>
      </c>
    </row>
    <row r="4461">
      <c r="J4461" t="inlineStr">
        <is>
          <t>M</t>
        </is>
      </c>
      <c r="K4461" t="n">
        <v>2025</v>
      </c>
      <c r="L4461" t="n">
        <v>7</v>
      </c>
      <c r="M4461" t="inlineStr">
        <is>
          <t>Chocolate em pó 50% 1 kg</t>
        </is>
      </c>
      <c r="N4461" t="inlineStr">
        <is>
          <t>Buffet</t>
        </is>
      </c>
      <c r="O4461" t="n">
        <v>2</v>
      </c>
      <c r="P4461" t="n">
        <v>2</v>
      </c>
      <c r="Q4461" t="n">
        <v>0</v>
      </c>
    </row>
    <row r="4462">
      <c r="J4462" t="inlineStr">
        <is>
          <t>A</t>
        </is>
      </c>
      <c r="K4462" t="n">
        <v>2025</v>
      </c>
      <c r="L4462" t="n">
        <v>8</v>
      </c>
      <c r="M4462" t="inlineStr">
        <is>
          <t>Chocolate em pó 50% 1 kg</t>
        </is>
      </c>
      <c r="N4462" t="inlineStr">
        <is>
          <t>Buffet</t>
        </is>
      </c>
      <c r="O4462" t="n">
        <v>3</v>
      </c>
      <c r="P4462" t="n">
        <v>6</v>
      </c>
      <c r="Q4462" t="n">
        <v>1</v>
      </c>
    </row>
    <row r="4463">
      <c r="J4463" t="inlineStr">
        <is>
          <t>M</t>
        </is>
      </c>
      <c r="K4463" t="n">
        <v>2025</v>
      </c>
      <c r="L4463" t="n">
        <v>8</v>
      </c>
      <c r="M4463" t="inlineStr">
        <is>
          <t>Chocolate em pó 50% 1 kg</t>
        </is>
      </c>
      <c r="N4463" t="inlineStr">
        <is>
          <t>Buffet</t>
        </is>
      </c>
      <c r="O4463" t="n">
        <v>1</v>
      </c>
      <c r="P4463" t="n">
        <v>2</v>
      </c>
      <c r="Q4463" t="n">
        <v>0</v>
      </c>
    </row>
    <row r="4464">
      <c r="J4464" t="inlineStr">
        <is>
          <t>A</t>
        </is>
      </c>
      <c r="K4464" t="n">
        <v>2025</v>
      </c>
      <c r="L4464" t="n">
        <v>9</v>
      </c>
      <c r="M4464" t="inlineStr">
        <is>
          <t>Chocolate em pó 50% 1 kg</t>
        </is>
      </c>
      <c r="N4464" t="inlineStr">
        <is>
          <t>Buffet</t>
        </is>
      </c>
      <c r="O4464" t="n">
        <v>4</v>
      </c>
      <c r="P4464" t="n">
        <v>7</v>
      </c>
      <c r="Q4464" t="n">
        <v>2</v>
      </c>
    </row>
    <row r="4465">
      <c r="J4465" t="inlineStr">
        <is>
          <t>M</t>
        </is>
      </c>
      <c r="K4465" t="n">
        <v>2025</v>
      </c>
      <c r="L4465" t="n">
        <v>9</v>
      </c>
      <c r="M4465" t="inlineStr">
        <is>
          <t>Chocolate em pó 50% 1 kg</t>
        </is>
      </c>
      <c r="N4465" t="inlineStr">
        <is>
          <t>Buffet</t>
        </is>
      </c>
      <c r="O4465" t="n">
        <v>1</v>
      </c>
      <c r="P4465" t="n">
        <v>1</v>
      </c>
      <c r="Q4465" t="n">
        <v>0</v>
      </c>
    </row>
    <row r="4466">
      <c r="J4466" t="inlineStr">
        <is>
          <t>A</t>
        </is>
      </c>
      <c r="K4466" t="n">
        <v>2025</v>
      </c>
      <c r="L4466" t="n">
        <v>10</v>
      </c>
      <c r="M4466" t="inlineStr">
        <is>
          <t>Chocolate em pó 50% 1 kg</t>
        </is>
      </c>
      <c r="N4466" t="inlineStr">
        <is>
          <t>Buffet</t>
        </is>
      </c>
      <c r="O4466" t="n">
        <v>4</v>
      </c>
      <c r="P4466" t="n">
        <v>7</v>
      </c>
      <c r="Q4466" t="n">
        <v>2</v>
      </c>
    </row>
    <row r="4467">
      <c r="J4467" t="inlineStr">
        <is>
          <t>A</t>
        </is>
      </c>
      <c r="K4467" t="n">
        <v>2025</v>
      </c>
      <c r="L4467" t="n">
        <v>11</v>
      </c>
      <c r="M4467" t="inlineStr">
        <is>
          <t>Chocolate em pó 50% 1 kg</t>
        </is>
      </c>
      <c r="N4467" t="inlineStr">
        <is>
          <t>Buffet</t>
        </is>
      </c>
      <c r="O4467" t="n">
        <v>4</v>
      </c>
      <c r="P4467" t="n">
        <v>8</v>
      </c>
      <c r="Q4467" t="n">
        <v>2</v>
      </c>
    </row>
    <row r="4468">
      <c r="J4468" t="inlineStr">
        <is>
          <t>M</t>
        </is>
      </c>
      <c r="K4468" t="n">
        <v>2025</v>
      </c>
      <c r="L4468" t="n">
        <v>11</v>
      </c>
      <c r="M4468" t="inlineStr">
        <is>
          <t>Chocolate em pó 50% 1 kg</t>
        </is>
      </c>
      <c r="N4468" t="inlineStr">
        <is>
          <t>Buffet</t>
        </is>
      </c>
      <c r="O4468" t="n">
        <v>1</v>
      </c>
      <c r="P4468" t="n">
        <v>1</v>
      </c>
      <c r="Q4468" t="n">
        <v>0</v>
      </c>
    </row>
    <row r="4469">
      <c r="J4469" t="inlineStr">
        <is>
          <t>A</t>
        </is>
      </c>
      <c r="K4469" t="n">
        <v>2025</v>
      </c>
      <c r="L4469" t="n">
        <v>12</v>
      </c>
      <c r="M4469" t="inlineStr">
        <is>
          <t>Chocolate em pó 50% 1 kg</t>
        </is>
      </c>
      <c r="N4469" t="inlineStr">
        <is>
          <t>Buffet</t>
        </is>
      </c>
      <c r="O4469" t="n">
        <v>7</v>
      </c>
      <c r="P4469" t="n">
        <v>12</v>
      </c>
      <c r="Q4469" t="n">
        <v>5</v>
      </c>
    </row>
    <row r="4470">
      <c r="J4470" t="inlineStr">
        <is>
          <t>M</t>
        </is>
      </c>
      <c r="K4470" t="n">
        <v>2025</v>
      </c>
      <c r="L4470" t="n">
        <v>12</v>
      </c>
      <c r="M4470" t="inlineStr">
        <is>
          <t>Chocolate em pó 50% 1 kg</t>
        </is>
      </c>
      <c r="N4470" t="inlineStr">
        <is>
          <t>Buffet</t>
        </is>
      </c>
      <c r="O4470" t="n">
        <v>4</v>
      </c>
      <c r="P4470" t="n">
        <v>4</v>
      </c>
      <c r="Q4470" t="n">
        <v>0</v>
      </c>
    </row>
    <row r="4471">
      <c r="J4471" t="inlineStr">
        <is>
          <t>A</t>
        </is>
      </c>
      <c r="K4471" t="n">
        <v>2025</v>
      </c>
      <c r="L4471" t="n">
        <v>1</v>
      </c>
      <c r="M4471" t="inlineStr">
        <is>
          <t>Chocolate em pó 50% 1 kg</t>
        </is>
      </c>
      <c r="N4471" t="inlineStr">
        <is>
          <t>Hotel / Motel / Pousada</t>
        </is>
      </c>
      <c r="O4471" t="n">
        <v>7</v>
      </c>
      <c r="P4471" t="n">
        <v>10</v>
      </c>
      <c r="Q4471" t="n">
        <v>1</v>
      </c>
    </row>
    <row r="4472">
      <c r="J4472" t="inlineStr">
        <is>
          <t>M</t>
        </is>
      </c>
      <c r="K4472" t="n">
        <v>2025</v>
      </c>
      <c r="L4472" t="n">
        <v>1</v>
      </c>
      <c r="M4472" t="inlineStr">
        <is>
          <t>Chocolate em pó 50% 1 kg</t>
        </is>
      </c>
      <c r="N4472" t="inlineStr">
        <is>
          <t>Hotel / Motel / Pousada</t>
        </is>
      </c>
      <c r="O4472" t="n">
        <v>7</v>
      </c>
      <c r="P4472" t="n">
        <v>10</v>
      </c>
      <c r="Q4472" t="n">
        <v>0</v>
      </c>
    </row>
    <row r="4473">
      <c r="J4473" t="inlineStr">
        <is>
          <t>A</t>
        </is>
      </c>
      <c r="K4473" t="n">
        <v>2025</v>
      </c>
      <c r="L4473" t="n">
        <v>2</v>
      </c>
      <c r="M4473" t="inlineStr">
        <is>
          <t>Chocolate em pó 50% 1 kg</t>
        </is>
      </c>
      <c r="N4473" t="inlineStr">
        <is>
          <t>Hotel / Motel / Pousada</t>
        </is>
      </c>
      <c r="O4473" t="n">
        <v>8</v>
      </c>
      <c r="P4473" t="n">
        <v>13</v>
      </c>
      <c r="Q4473" t="n">
        <v>2</v>
      </c>
    </row>
    <row r="4474">
      <c r="J4474" t="inlineStr">
        <is>
          <t>M</t>
        </is>
      </c>
      <c r="K4474" t="n">
        <v>2025</v>
      </c>
      <c r="L4474" t="n">
        <v>2</v>
      </c>
      <c r="M4474" t="inlineStr">
        <is>
          <t>Chocolate em pó 50% 1 kg</t>
        </is>
      </c>
      <c r="N4474" t="inlineStr">
        <is>
          <t>Hotel / Motel / Pousada</t>
        </is>
      </c>
      <c r="O4474" t="n">
        <v>3</v>
      </c>
      <c r="P4474" t="n">
        <v>3</v>
      </c>
      <c r="Q4474" t="n">
        <v>0</v>
      </c>
    </row>
    <row r="4475">
      <c r="J4475" t="inlineStr">
        <is>
          <t>A</t>
        </is>
      </c>
      <c r="K4475" t="n">
        <v>2025</v>
      </c>
      <c r="L4475" t="n">
        <v>3</v>
      </c>
      <c r="M4475" t="inlineStr">
        <is>
          <t>Chocolate em pó 50% 1 kg</t>
        </is>
      </c>
      <c r="N4475" t="inlineStr">
        <is>
          <t>Hotel / Motel / Pousada</t>
        </is>
      </c>
      <c r="O4475" t="n">
        <v>12</v>
      </c>
      <c r="P4475" t="n">
        <v>21</v>
      </c>
      <c r="Q4475" t="n">
        <v>4</v>
      </c>
    </row>
    <row r="4476">
      <c r="J4476" t="inlineStr">
        <is>
          <t>M</t>
        </is>
      </c>
      <c r="K4476" t="n">
        <v>2025</v>
      </c>
      <c r="L4476" t="n">
        <v>3</v>
      </c>
      <c r="M4476" t="inlineStr">
        <is>
          <t>Chocolate em pó 50% 1 kg</t>
        </is>
      </c>
      <c r="N4476" t="inlineStr">
        <is>
          <t>Hotel / Motel / Pousada</t>
        </is>
      </c>
      <c r="O4476" t="n">
        <v>7</v>
      </c>
      <c r="P4476" t="n">
        <v>8</v>
      </c>
      <c r="Q4476" t="n">
        <v>0</v>
      </c>
    </row>
    <row r="4477">
      <c r="J4477" t="inlineStr">
        <is>
          <t>A</t>
        </is>
      </c>
      <c r="K4477" t="n">
        <v>2025</v>
      </c>
      <c r="L4477" t="n">
        <v>4</v>
      </c>
      <c r="M4477" t="inlineStr">
        <is>
          <t>Chocolate em pó 50% 1 kg</t>
        </is>
      </c>
      <c r="N4477" t="inlineStr">
        <is>
          <t>Hotel / Motel / Pousada</t>
        </is>
      </c>
      <c r="O4477" t="n">
        <v>14</v>
      </c>
      <c r="P4477" t="n">
        <v>26</v>
      </c>
      <c r="Q4477" t="n">
        <v>4</v>
      </c>
    </row>
    <row r="4478">
      <c r="J4478" t="inlineStr">
        <is>
          <t>M</t>
        </is>
      </c>
      <c r="K4478" t="n">
        <v>2025</v>
      </c>
      <c r="L4478" t="n">
        <v>4</v>
      </c>
      <c r="M4478" t="inlineStr">
        <is>
          <t>Chocolate em pó 50% 1 kg</t>
        </is>
      </c>
      <c r="N4478" t="inlineStr">
        <is>
          <t>Hotel / Motel / Pousada</t>
        </is>
      </c>
      <c r="O4478" t="n">
        <v>4</v>
      </c>
      <c r="P4478" t="n">
        <v>5</v>
      </c>
      <c r="Q4478" t="n">
        <v>0</v>
      </c>
    </row>
    <row r="4479">
      <c r="J4479" t="inlineStr">
        <is>
          <t>A</t>
        </is>
      </c>
      <c r="K4479" t="n">
        <v>2025</v>
      </c>
      <c r="L4479" t="n">
        <v>5</v>
      </c>
      <c r="M4479" t="inlineStr">
        <is>
          <t>Chocolate em pó 50% 1 kg</t>
        </is>
      </c>
      <c r="N4479" t="inlineStr">
        <is>
          <t>Hotel / Motel / Pousada</t>
        </is>
      </c>
      <c r="O4479" t="n">
        <v>17</v>
      </c>
      <c r="P4479" t="n">
        <v>32</v>
      </c>
      <c r="Q4479" t="n">
        <v>6</v>
      </c>
    </row>
    <row r="4480">
      <c r="J4480" t="inlineStr">
        <is>
          <t>M</t>
        </is>
      </c>
      <c r="K4480" t="n">
        <v>2025</v>
      </c>
      <c r="L4480" t="n">
        <v>5</v>
      </c>
      <c r="M4480" t="inlineStr">
        <is>
          <t>Chocolate em pó 50% 1 kg</t>
        </is>
      </c>
      <c r="N4480" t="inlineStr">
        <is>
          <t>Hotel / Motel / Pousada</t>
        </is>
      </c>
      <c r="O4480" t="n">
        <v>6</v>
      </c>
      <c r="P4480" t="n">
        <v>6</v>
      </c>
      <c r="Q4480" t="n">
        <v>0</v>
      </c>
    </row>
    <row r="4481">
      <c r="J4481" t="inlineStr">
        <is>
          <t>A</t>
        </is>
      </c>
      <c r="K4481" t="n">
        <v>2025</v>
      </c>
      <c r="L4481" t="n">
        <v>6</v>
      </c>
      <c r="M4481" t="inlineStr">
        <is>
          <t>Chocolate em pó 50% 1 kg</t>
        </is>
      </c>
      <c r="N4481" t="inlineStr">
        <is>
          <t>Hotel / Motel / Pousada</t>
        </is>
      </c>
      <c r="O4481" t="n">
        <v>19</v>
      </c>
      <c r="P4481" t="n">
        <v>36</v>
      </c>
      <c r="Q4481" t="n">
        <v>7</v>
      </c>
    </row>
    <row r="4482">
      <c r="J4482" t="inlineStr">
        <is>
          <t>M</t>
        </is>
      </c>
      <c r="K4482" t="n">
        <v>2025</v>
      </c>
      <c r="L4482" t="n">
        <v>6</v>
      </c>
      <c r="M4482" t="inlineStr">
        <is>
          <t>Chocolate em pó 50% 1 kg</t>
        </is>
      </c>
      <c r="N4482" t="inlineStr">
        <is>
          <t>Hotel / Motel / Pousada</t>
        </is>
      </c>
      <c r="O4482" t="n">
        <v>3</v>
      </c>
      <c r="P4482" t="n">
        <v>4</v>
      </c>
      <c r="Q4482" t="n">
        <v>0</v>
      </c>
    </row>
    <row r="4483">
      <c r="J4483" t="inlineStr">
        <is>
          <t>A</t>
        </is>
      </c>
      <c r="K4483" t="n">
        <v>2025</v>
      </c>
      <c r="L4483" t="n">
        <v>7</v>
      </c>
      <c r="M4483" t="inlineStr">
        <is>
          <t>Chocolate em pó 50% 1 kg</t>
        </is>
      </c>
      <c r="N4483" t="inlineStr">
        <is>
          <t>Hotel / Motel / Pousada</t>
        </is>
      </c>
      <c r="O4483" t="n">
        <v>22</v>
      </c>
      <c r="P4483" t="n">
        <v>44</v>
      </c>
      <c r="Q4483" t="n">
        <v>9</v>
      </c>
    </row>
    <row r="4484">
      <c r="J4484" t="inlineStr">
        <is>
          <t>M</t>
        </is>
      </c>
      <c r="K4484" t="n">
        <v>2025</v>
      </c>
      <c r="L4484" t="n">
        <v>7</v>
      </c>
      <c r="M4484" t="inlineStr">
        <is>
          <t>Chocolate em pó 50% 1 kg</t>
        </is>
      </c>
      <c r="N4484" t="inlineStr">
        <is>
          <t>Hotel / Motel / Pousada</t>
        </is>
      </c>
      <c r="O4484" t="n">
        <v>8</v>
      </c>
      <c r="P4484" t="n">
        <v>8</v>
      </c>
      <c r="Q4484" t="n">
        <v>0</v>
      </c>
    </row>
    <row r="4485">
      <c r="J4485" t="inlineStr">
        <is>
          <t>A</t>
        </is>
      </c>
      <c r="K4485" t="n">
        <v>2025</v>
      </c>
      <c r="L4485" t="n">
        <v>8</v>
      </c>
      <c r="M4485" t="inlineStr">
        <is>
          <t>Chocolate em pó 50% 1 kg</t>
        </is>
      </c>
      <c r="N4485" t="inlineStr">
        <is>
          <t>Hotel / Motel / Pousada</t>
        </is>
      </c>
      <c r="O4485" t="n">
        <v>28</v>
      </c>
      <c r="P4485" t="n">
        <v>56</v>
      </c>
      <c r="Q4485" t="n">
        <v>14</v>
      </c>
    </row>
    <row r="4486">
      <c r="J4486" t="inlineStr">
        <is>
          <t>M</t>
        </is>
      </c>
      <c r="K4486" t="n">
        <v>2025</v>
      </c>
      <c r="L4486" t="n">
        <v>8</v>
      </c>
      <c r="M4486" t="inlineStr">
        <is>
          <t>Chocolate em pó 50% 1 kg</t>
        </is>
      </c>
      <c r="N4486" t="inlineStr">
        <is>
          <t>Hotel / Motel / Pousada</t>
        </is>
      </c>
      <c r="O4486" t="n">
        <v>11</v>
      </c>
      <c r="P4486" t="n">
        <v>12</v>
      </c>
      <c r="Q4486" t="n">
        <v>0</v>
      </c>
    </row>
    <row r="4487">
      <c r="J4487" t="inlineStr">
        <is>
          <t>A</t>
        </is>
      </c>
      <c r="K4487" t="n">
        <v>2025</v>
      </c>
      <c r="L4487" t="n">
        <v>9</v>
      </c>
      <c r="M4487" t="inlineStr">
        <is>
          <t>Chocolate em pó 50% 1 kg</t>
        </is>
      </c>
      <c r="N4487" t="inlineStr">
        <is>
          <t>Hotel / Motel / Pousada</t>
        </is>
      </c>
      <c r="O4487" t="n">
        <v>31</v>
      </c>
      <c r="P4487" t="n">
        <v>69</v>
      </c>
      <c r="Q4487" t="n">
        <v>17</v>
      </c>
    </row>
    <row r="4488">
      <c r="J4488" t="inlineStr">
        <is>
          <t>M</t>
        </is>
      </c>
      <c r="K4488" t="n">
        <v>2025</v>
      </c>
      <c r="L4488" t="n">
        <v>9</v>
      </c>
      <c r="M4488" t="inlineStr">
        <is>
          <t>Chocolate em pó 50% 1 kg</t>
        </is>
      </c>
      <c r="N4488" t="inlineStr">
        <is>
          <t>Hotel / Motel / Pousada</t>
        </is>
      </c>
      <c r="O4488" t="n">
        <v>10</v>
      </c>
      <c r="P4488" t="n">
        <v>13</v>
      </c>
      <c r="Q4488" t="n">
        <v>0</v>
      </c>
    </row>
    <row r="4489">
      <c r="J4489" t="inlineStr">
        <is>
          <t>A</t>
        </is>
      </c>
      <c r="K4489" t="n">
        <v>2025</v>
      </c>
      <c r="L4489" t="n">
        <v>10</v>
      </c>
      <c r="M4489" t="inlineStr">
        <is>
          <t>Chocolate em pó 50% 1 kg</t>
        </is>
      </c>
      <c r="N4489" t="inlineStr">
        <is>
          <t>Hotel / Motel / Pousada</t>
        </is>
      </c>
      <c r="O4489" t="n">
        <v>34</v>
      </c>
      <c r="P4489" t="n">
        <v>82</v>
      </c>
      <c r="Q4489" t="n">
        <v>19</v>
      </c>
    </row>
    <row r="4490">
      <c r="J4490" t="inlineStr">
        <is>
          <t>M</t>
        </is>
      </c>
      <c r="K4490" t="n">
        <v>2025</v>
      </c>
      <c r="L4490" t="n">
        <v>10</v>
      </c>
      <c r="M4490" t="inlineStr">
        <is>
          <t>Chocolate em pó 50% 1 kg</t>
        </is>
      </c>
      <c r="N4490" t="inlineStr">
        <is>
          <t>Hotel / Motel / Pousada</t>
        </is>
      </c>
      <c r="O4490" t="n">
        <v>10</v>
      </c>
      <c r="P4490" t="n">
        <v>13</v>
      </c>
      <c r="Q4490" t="n">
        <v>0</v>
      </c>
    </row>
    <row r="4491">
      <c r="J4491" t="inlineStr">
        <is>
          <t>A</t>
        </is>
      </c>
      <c r="K4491" t="n">
        <v>2025</v>
      </c>
      <c r="L4491" t="n">
        <v>11</v>
      </c>
      <c r="M4491" t="inlineStr">
        <is>
          <t>Chocolate em pó 50% 1 kg</t>
        </is>
      </c>
      <c r="N4491" t="inlineStr">
        <is>
          <t>Hotel / Motel / Pousada</t>
        </is>
      </c>
      <c r="O4491" t="n">
        <v>35</v>
      </c>
      <c r="P4491" t="n">
        <v>85</v>
      </c>
      <c r="Q4491" t="n">
        <v>20</v>
      </c>
    </row>
    <row r="4492">
      <c r="J4492" t="inlineStr">
        <is>
          <t>M</t>
        </is>
      </c>
      <c r="K4492" t="n">
        <v>2025</v>
      </c>
      <c r="L4492" t="n">
        <v>11</v>
      </c>
      <c r="M4492" t="inlineStr">
        <is>
          <t>Chocolate em pó 50% 1 kg</t>
        </is>
      </c>
      <c r="N4492" t="inlineStr">
        <is>
          <t>Hotel / Motel / Pousada</t>
        </is>
      </c>
      <c r="O4492" t="n">
        <v>3</v>
      </c>
      <c r="P4492" t="n">
        <v>3</v>
      </c>
      <c r="Q4492" t="n">
        <v>0</v>
      </c>
    </row>
    <row r="4493">
      <c r="J4493" t="inlineStr">
        <is>
          <t>A</t>
        </is>
      </c>
      <c r="K4493" t="n">
        <v>2025</v>
      </c>
      <c r="L4493" t="n">
        <v>12</v>
      </c>
      <c r="M4493" t="inlineStr">
        <is>
          <t>Chocolate em pó 50% 1 kg</t>
        </is>
      </c>
      <c r="N4493" t="inlineStr">
        <is>
          <t>Hotel / Motel / Pousada</t>
        </is>
      </c>
      <c r="O4493" t="n">
        <v>39</v>
      </c>
      <c r="P4493" t="n">
        <v>101</v>
      </c>
      <c r="Q4493" t="n">
        <v>24</v>
      </c>
    </row>
    <row r="4494">
      <c r="J4494" t="inlineStr">
        <is>
          <t>M</t>
        </is>
      </c>
      <c r="K4494" t="n">
        <v>2025</v>
      </c>
      <c r="L4494" t="n">
        <v>12</v>
      </c>
      <c r="M4494" t="inlineStr">
        <is>
          <t>Chocolate em pó 50% 1 kg</t>
        </is>
      </c>
      <c r="N4494" t="inlineStr">
        <is>
          <t>Hotel / Motel / Pousada</t>
        </is>
      </c>
      <c r="O4494" t="n">
        <v>13</v>
      </c>
      <c r="P4494" t="n">
        <v>16</v>
      </c>
      <c r="Q4494" t="n">
        <v>0</v>
      </c>
    </row>
    <row r="4495">
      <c r="J4495" t="inlineStr">
        <is>
          <t>A</t>
        </is>
      </c>
      <c r="K4495" t="n">
        <v>2025</v>
      </c>
      <c r="L4495" t="n">
        <v>4</v>
      </c>
      <c r="M4495" t="inlineStr">
        <is>
          <t>Chocolate em pó 50% 1 kg</t>
        </is>
      </c>
      <c r="N4495" t="inlineStr">
        <is>
          <t>Hamburgueria</t>
        </is>
      </c>
      <c r="O4495" t="n">
        <v>1</v>
      </c>
      <c r="P4495" t="n">
        <v>2</v>
      </c>
      <c r="Q4495" t="n">
        <v>1</v>
      </c>
    </row>
    <row r="4496">
      <c r="J4496" t="inlineStr">
        <is>
          <t>M</t>
        </is>
      </c>
      <c r="K4496" t="n">
        <v>2025</v>
      </c>
      <c r="L4496" t="n">
        <v>4</v>
      </c>
      <c r="M4496" t="inlineStr">
        <is>
          <t>Chocolate em pó 50% 1 kg</t>
        </is>
      </c>
      <c r="N4496" t="inlineStr">
        <is>
          <t>Hamburgueria</t>
        </is>
      </c>
      <c r="O4496" t="n">
        <v>1</v>
      </c>
      <c r="P4496" t="n">
        <v>2</v>
      </c>
      <c r="Q4496" t="n">
        <v>0</v>
      </c>
    </row>
    <row r="4497">
      <c r="J4497" t="inlineStr">
        <is>
          <t>A</t>
        </is>
      </c>
      <c r="K4497" t="n">
        <v>2025</v>
      </c>
      <c r="L4497" t="n">
        <v>5</v>
      </c>
      <c r="M4497" t="inlineStr">
        <is>
          <t>Chocolate em pó 50% 1 kg</t>
        </is>
      </c>
      <c r="N4497" t="inlineStr">
        <is>
          <t>Hamburgueria</t>
        </is>
      </c>
      <c r="O4497" t="n">
        <v>1</v>
      </c>
      <c r="P4497" t="n">
        <v>2</v>
      </c>
      <c r="Q4497" t="n">
        <v>1</v>
      </c>
    </row>
    <row r="4498">
      <c r="J4498" t="inlineStr">
        <is>
          <t>A</t>
        </is>
      </c>
      <c r="K4498" t="n">
        <v>2025</v>
      </c>
      <c r="L4498" t="n">
        <v>6</v>
      </c>
      <c r="M4498" t="inlineStr">
        <is>
          <t>Chocolate em pó 50% 1 kg</t>
        </is>
      </c>
      <c r="N4498" t="inlineStr">
        <is>
          <t>Hamburgueria</t>
        </is>
      </c>
      <c r="O4498" t="n">
        <v>1</v>
      </c>
      <c r="P4498" t="n">
        <v>2</v>
      </c>
      <c r="Q4498" t="n">
        <v>1</v>
      </c>
    </row>
    <row r="4499">
      <c r="J4499" t="inlineStr">
        <is>
          <t>A</t>
        </is>
      </c>
      <c r="K4499" t="n">
        <v>2025</v>
      </c>
      <c r="L4499" t="n">
        <v>7</v>
      </c>
      <c r="M4499" t="inlineStr">
        <is>
          <t>Chocolate em pó 50% 1 kg</t>
        </is>
      </c>
      <c r="N4499" t="inlineStr">
        <is>
          <t>Hamburgueria</t>
        </is>
      </c>
      <c r="O4499" t="n">
        <v>3</v>
      </c>
      <c r="P4499" t="n">
        <v>4</v>
      </c>
      <c r="Q4499" t="n">
        <v>3</v>
      </c>
    </row>
    <row r="4500">
      <c r="J4500" t="inlineStr">
        <is>
          <t>M</t>
        </is>
      </c>
      <c r="K4500" t="n">
        <v>2025</v>
      </c>
      <c r="L4500" t="n">
        <v>7</v>
      </c>
      <c r="M4500" t="inlineStr">
        <is>
          <t>Chocolate em pó 50% 1 kg</t>
        </is>
      </c>
      <c r="N4500" t="inlineStr">
        <is>
          <t>Hamburgueria</t>
        </is>
      </c>
      <c r="O4500" t="n">
        <v>2</v>
      </c>
      <c r="P4500" t="n">
        <v>2</v>
      </c>
      <c r="Q4500" t="n">
        <v>0</v>
      </c>
    </row>
    <row r="4501">
      <c r="J4501" t="inlineStr">
        <is>
          <t>A</t>
        </is>
      </c>
      <c r="K4501" t="n">
        <v>2025</v>
      </c>
      <c r="L4501" t="n">
        <v>8</v>
      </c>
      <c r="M4501" t="inlineStr">
        <is>
          <t>Chocolate em pó 50% 1 kg</t>
        </is>
      </c>
      <c r="N4501" t="inlineStr">
        <is>
          <t>Hamburgueria</t>
        </is>
      </c>
      <c r="O4501" t="n">
        <v>3</v>
      </c>
      <c r="P4501" t="n">
        <v>4</v>
      </c>
      <c r="Q4501" t="n">
        <v>3</v>
      </c>
    </row>
    <row r="4502">
      <c r="J4502" t="inlineStr">
        <is>
          <t>A</t>
        </is>
      </c>
      <c r="K4502" t="n">
        <v>2025</v>
      </c>
      <c r="L4502" t="n">
        <v>9</v>
      </c>
      <c r="M4502" t="inlineStr">
        <is>
          <t>Chocolate em pó 50% 1 kg</t>
        </is>
      </c>
      <c r="N4502" t="inlineStr">
        <is>
          <t>Hamburgueria</t>
        </is>
      </c>
      <c r="O4502" t="n">
        <v>3</v>
      </c>
      <c r="P4502" t="n">
        <v>4</v>
      </c>
      <c r="Q4502" t="n">
        <v>3</v>
      </c>
    </row>
    <row r="4503">
      <c r="J4503" t="inlineStr">
        <is>
          <t>A</t>
        </is>
      </c>
      <c r="K4503" t="n">
        <v>2025</v>
      </c>
      <c r="L4503" t="n">
        <v>10</v>
      </c>
      <c r="M4503" t="inlineStr">
        <is>
          <t>Chocolate em pó 50% 1 kg</t>
        </is>
      </c>
      <c r="N4503" t="inlineStr">
        <is>
          <t>Hamburgueria</t>
        </is>
      </c>
      <c r="O4503" t="n">
        <v>3</v>
      </c>
      <c r="P4503" t="n">
        <v>4</v>
      </c>
      <c r="Q4503" t="n">
        <v>3</v>
      </c>
    </row>
    <row r="4504">
      <c r="J4504" t="inlineStr">
        <is>
          <t>A</t>
        </is>
      </c>
      <c r="K4504" t="n">
        <v>2025</v>
      </c>
      <c r="L4504" t="n">
        <v>11</v>
      </c>
      <c r="M4504" t="inlineStr">
        <is>
          <t>Chocolate em pó 50% 1 kg</t>
        </is>
      </c>
      <c r="N4504" t="inlineStr">
        <is>
          <t>Hamburgueria</t>
        </is>
      </c>
      <c r="O4504" t="n">
        <v>3</v>
      </c>
      <c r="P4504" t="n">
        <v>4</v>
      </c>
      <c r="Q4504" t="n">
        <v>3</v>
      </c>
    </row>
    <row r="4505">
      <c r="J4505" t="inlineStr">
        <is>
          <t>A</t>
        </is>
      </c>
      <c r="K4505" t="n">
        <v>2025</v>
      </c>
      <c r="L4505" t="n">
        <v>12</v>
      </c>
      <c r="M4505" t="inlineStr">
        <is>
          <t>Chocolate em pó 50% 1 kg</t>
        </is>
      </c>
      <c r="N4505" t="inlineStr">
        <is>
          <t>Hamburgueria</t>
        </is>
      </c>
      <c r="O4505" t="n">
        <v>3</v>
      </c>
      <c r="P4505" t="n">
        <v>4</v>
      </c>
      <c r="Q4505" t="n">
        <v>3</v>
      </c>
    </row>
    <row r="4506">
      <c r="J4506" t="inlineStr">
        <is>
          <t>A</t>
        </is>
      </c>
      <c r="K4506" t="n">
        <v>2025</v>
      </c>
      <c r="L4506" t="n">
        <v>1</v>
      </c>
      <c r="M4506" t="inlineStr">
        <is>
          <t>Chocolate em pó 50% 1 kg</t>
        </is>
      </c>
      <c r="N4506" t="inlineStr">
        <is>
          <t>Laticínios / Distribuidor</t>
        </is>
      </c>
      <c r="O4506" t="n">
        <v>1</v>
      </c>
      <c r="P4506" t="n">
        <v>1</v>
      </c>
      <c r="Q4506" t="n">
        <v>1</v>
      </c>
    </row>
    <row r="4507">
      <c r="J4507" t="inlineStr">
        <is>
          <t>M</t>
        </is>
      </c>
      <c r="K4507" t="n">
        <v>2025</v>
      </c>
      <c r="L4507" t="n">
        <v>1</v>
      </c>
      <c r="M4507" t="inlineStr">
        <is>
          <t>Chocolate em pó 50% 1 kg</t>
        </is>
      </c>
      <c r="N4507" t="inlineStr">
        <is>
          <t>Laticínios / Distribuidor</t>
        </is>
      </c>
      <c r="O4507" t="n">
        <v>1</v>
      </c>
      <c r="P4507" t="n">
        <v>1</v>
      </c>
      <c r="Q4507" t="n">
        <v>0</v>
      </c>
    </row>
    <row r="4508">
      <c r="J4508" t="inlineStr">
        <is>
          <t>A</t>
        </is>
      </c>
      <c r="K4508" t="n">
        <v>2025</v>
      </c>
      <c r="L4508" t="n">
        <v>2</v>
      </c>
      <c r="M4508" t="inlineStr">
        <is>
          <t>Chocolate em pó 50% 1 kg</t>
        </is>
      </c>
      <c r="N4508" t="inlineStr">
        <is>
          <t>Laticínios / Distribuidor</t>
        </is>
      </c>
      <c r="O4508" t="n">
        <v>1</v>
      </c>
      <c r="P4508" t="n">
        <v>1</v>
      </c>
      <c r="Q4508" t="n">
        <v>1</v>
      </c>
    </row>
    <row r="4509">
      <c r="J4509" t="inlineStr">
        <is>
          <t>A</t>
        </is>
      </c>
      <c r="K4509" t="n">
        <v>2025</v>
      </c>
      <c r="L4509" t="n">
        <v>3</v>
      </c>
      <c r="M4509" t="inlineStr">
        <is>
          <t>Chocolate em pó 50% 1 kg</t>
        </is>
      </c>
      <c r="N4509" t="inlineStr">
        <is>
          <t>Laticínios / Distribuidor</t>
        </is>
      </c>
      <c r="O4509" t="n">
        <v>1</v>
      </c>
      <c r="P4509" t="n">
        <v>1</v>
      </c>
      <c r="Q4509" t="n">
        <v>1</v>
      </c>
    </row>
    <row r="4510">
      <c r="J4510" t="inlineStr">
        <is>
          <t>A</t>
        </is>
      </c>
      <c r="K4510" t="n">
        <v>2025</v>
      </c>
      <c r="L4510" t="n">
        <v>4</v>
      </c>
      <c r="M4510" t="inlineStr">
        <is>
          <t>Chocolate em pó 50% 1 kg</t>
        </is>
      </c>
      <c r="N4510" t="inlineStr">
        <is>
          <t>Laticínios / Distribuidor</t>
        </is>
      </c>
      <c r="O4510" t="n">
        <v>1</v>
      </c>
      <c r="P4510" t="n">
        <v>1</v>
      </c>
      <c r="Q4510" t="n">
        <v>1</v>
      </c>
    </row>
    <row r="4511">
      <c r="J4511" t="inlineStr">
        <is>
          <t>A</t>
        </is>
      </c>
      <c r="K4511" t="n">
        <v>2025</v>
      </c>
      <c r="L4511" t="n">
        <v>5</v>
      </c>
      <c r="M4511" t="inlineStr">
        <is>
          <t>Chocolate em pó 50% 1 kg</t>
        </is>
      </c>
      <c r="N4511" t="inlineStr">
        <is>
          <t>Laticínios / Distribuidor</t>
        </is>
      </c>
      <c r="O4511" t="n">
        <v>1</v>
      </c>
      <c r="P4511" t="n">
        <v>2</v>
      </c>
      <c r="Q4511" t="n">
        <v>1</v>
      </c>
    </row>
    <row r="4512">
      <c r="J4512" t="inlineStr">
        <is>
          <t>M</t>
        </is>
      </c>
      <c r="K4512" t="n">
        <v>2025</v>
      </c>
      <c r="L4512" t="n">
        <v>5</v>
      </c>
      <c r="M4512" t="inlineStr">
        <is>
          <t>Chocolate em pó 50% 1 kg</t>
        </is>
      </c>
      <c r="N4512" t="inlineStr">
        <is>
          <t>Laticínios / Distribuidor</t>
        </is>
      </c>
      <c r="O4512" t="n">
        <v>1</v>
      </c>
      <c r="P4512" t="n">
        <v>1</v>
      </c>
      <c r="Q4512" t="n">
        <v>0</v>
      </c>
    </row>
    <row r="4513">
      <c r="J4513" t="inlineStr">
        <is>
          <t>A</t>
        </is>
      </c>
      <c r="K4513" t="n">
        <v>2025</v>
      </c>
      <c r="L4513" t="n">
        <v>6</v>
      </c>
      <c r="M4513" t="inlineStr">
        <is>
          <t>Chocolate em pó 50% 1 kg</t>
        </is>
      </c>
      <c r="N4513" t="inlineStr">
        <is>
          <t>Laticínios / Distribuidor</t>
        </is>
      </c>
      <c r="O4513" t="n">
        <v>1</v>
      </c>
      <c r="P4513" t="n">
        <v>2</v>
      </c>
      <c r="Q4513" t="n">
        <v>1</v>
      </c>
    </row>
    <row r="4514">
      <c r="J4514" t="inlineStr">
        <is>
          <t>A</t>
        </is>
      </c>
      <c r="K4514" t="n">
        <v>2025</v>
      </c>
      <c r="L4514" t="n">
        <v>7</v>
      </c>
      <c r="M4514" t="inlineStr">
        <is>
          <t>Chocolate em pó 50% 1 kg</t>
        </is>
      </c>
      <c r="N4514" t="inlineStr">
        <is>
          <t>Laticínios / Distribuidor</t>
        </is>
      </c>
      <c r="O4514" t="n">
        <v>1</v>
      </c>
      <c r="P4514" t="n">
        <v>3</v>
      </c>
      <c r="Q4514" t="n">
        <v>1</v>
      </c>
    </row>
    <row r="4515">
      <c r="J4515" t="inlineStr">
        <is>
          <t>M</t>
        </is>
      </c>
      <c r="K4515" t="n">
        <v>2025</v>
      </c>
      <c r="L4515" t="n">
        <v>7</v>
      </c>
      <c r="M4515" t="inlineStr">
        <is>
          <t>Chocolate em pó 50% 1 kg</t>
        </is>
      </c>
      <c r="N4515" t="inlineStr">
        <is>
          <t>Laticínios / Distribuidor</t>
        </is>
      </c>
      <c r="O4515" t="n">
        <v>1</v>
      </c>
      <c r="P4515" t="n">
        <v>1</v>
      </c>
      <c r="Q4515" t="n">
        <v>0</v>
      </c>
    </row>
    <row r="4516">
      <c r="J4516" t="inlineStr">
        <is>
          <t>A</t>
        </is>
      </c>
      <c r="K4516" t="n">
        <v>2025</v>
      </c>
      <c r="L4516" t="n">
        <v>8</v>
      </c>
      <c r="M4516" t="inlineStr">
        <is>
          <t>Chocolate em pó 50% 1 kg</t>
        </is>
      </c>
      <c r="N4516" t="inlineStr">
        <is>
          <t>Laticínios / Distribuidor</t>
        </is>
      </c>
      <c r="O4516" t="n">
        <v>1</v>
      </c>
      <c r="P4516" t="n">
        <v>3</v>
      </c>
      <c r="Q4516" t="n">
        <v>1</v>
      </c>
    </row>
    <row r="4517">
      <c r="J4517" t="inlineStr">
        <is>
          <t>A</t>
        </is>
      </c>
      <c r="K4517" t="n">
        <v>2025</v>
      </c>
      <c r="L4517" t="n">
        <v>9</v>
      </c>
      <c r="M4517" t="inlineStr">
        <is>
          <t>Chocolate em pó 50% 1 kg</t>
        </is>
      </c>
      <c r="N4517" t="inlineStr">
        <is>
          <t>Laticínios / Distribuidor</t>
        </is>
      </c>
      <c r="O4517" t="n">
        <v>1</v>
      </c>
      <c r="P4517" t="n">
        <v>4</v>
      </c>
      <c r="Q4517" t="n">
        <v>1</v>
      </c>
    </row>
    <row r="4518">
      <c r="J4518" t="inlineStr">
        <is>
          <t>M</t>
        </is>
      </c>
      <c r="K4518" t="n">
        <v>2025</v>
      </c>
      <c r="L4518" t="n">
        <v>9</v>
      </c>
      <c r="M4518" t="inlineStr">
        <is>
          <t>Chocolate em pó 50% 1 kg</t>
        </is>
      </c>
      <c r="N4518" t="inlineStr">
        <is>
          <t>Laticínios / Distribuidor</t>
        </is>
      </c>
      <c r="O4518" t="n">
        <v>1</v>
      </c>
      <c r="P4518" t="n">
        <v>1</v>
      </c>
      <c r="Q4518" t="n">
        <v>0</v>
      </c>
    </row>
    <row r="4519">
      <c r="J4519" t="inlineStr">
        <is>
          <t>A</t>
        </is>
      </c>
      <c r="K4519" t="n">
        <v>2025</v>
      </c>
      <c r="L4519" t="n">
        <v>10</v>
      </c>
      <c r="M4519" t="inlineStr">
        <is>
          <t>Chocolate em pó 50% 1 kg</t>
        </is>
      </c>
      <c r="N4519" t="inlineStr">
        <is>
          <t>Laticínios / Distribuidor</t>
        </is>
      </c>
      <c r="O4519" t="n">
        <v>1</v>
      </c>
      <c r="P4519" t="n">
        <v>4</v>
      </c>
      <c r="Q4519" t="n">
        <v>1</v>
      </c>
    </row>
    <row r="4520">
      <c r="J4520" t="inlineStr">
        <is>
          <t>A</t>
        </is>
      </c>
      <c r="K4520" t="n">
        <v>2025</v>
      </c>
      <c r="L4520" t="n">
        <v>11</v>
      </c>
      <c r="M4520" t="inlineStr">
        <is>
          <t>Chocolate em pó 50% 1 kg</t>
        </is>
      </c>
      <c r="N4520" t="inlineStr">
        <is>
          <t>Laticínios / Distribuidor</t>
        </is>
      </c>
      <c r="O4520" t="n">
        <v>1</v>
      </c>
      <c r="P4520" t="n">
        <v>4</v>
      </c>
      <c r="Q4520" t="n">
        <v>1</v>
      </c>
    </row>
    <row r="4521">
      <c r="J4521" t="inlineStr">
        <is>
          <t>A</t>
        </is>
      </c>
      <c r="K4521" t="n">
        <v>2025</v>
      </c>
      <c r="L4521" t="n">
        <v>12</v>
      </c>
      <c r="M4521" t="inlineStr">
        <is>
          <t>Chocolate em pó 50% 1 kg</t>
        </is>
      </c>
      <c r="N4521" t="inlineStr">
        <is>
          <t>Laticínios / Distribuidor</t>
        </is>
      </c>
      <c r="O4521" t="n">
        <v>1</v>
      </c>
      <c r="P4521" t="n">
        <v>4</v>
      </c>
      <c r="Q4521" t="n">
        <v>1</v>
      </c>
    </row>
    <row r="4522">
      <c r="J4522" t="inlineStr">
        <is>
          <t>A</t>
        </is>
      </c>
      <c r="K4522" t="n">
        <v>2025</v>
      </c>
      <c r="L4522" t="n">
        <v>5</v>
      </c>
      <c r="M4522" t="inlineStr">
        <is>
          <t>Chocolate em pó 50% 1 kg</t>
        </is>
      </c>
      <c r="N4522" t="inlineStr">
        <is>
          <t>Cozinha Oriental</t>
        </is>
      </c>
      <c r="O4522" t="n">
        <v>1</v>
      </c>
      <c r="P4522" t="n">
        <v>1</v>
      </c>
      <c r="Q4522" t="n">
        <v>0</v>
      </c>
    </row>
    <row r="4523">
      <c r="J4523" t="inlineStr">
        <is>
          <t>M</t>
        </is>
      </c>
      <c r="K4523" t="n">
        <v>2025</v>
      </c>
      <c r="L4523" t="n">
        <v>5</v>
      </c>
      <c r="M4523" t="inlineStr">
        <is>
          <t>Chocolate em pó 50% 1 kg</t>
        </is>
      </c>
      <c r="N4523" t="inlineStr">
        <is>
          <t>Cozinha Oriental</t>
        </is>
      </c>
      <c r="O4523" t="n">
        <v>1</v>
      </c>
      <c r="P4523" t="n">
        <v>1</v>
      </c>
      <c r="Q4523" t="n">
        <v>0</v>
      </c>
    </row>
    <row r="4524">
      <c r="J4524" t="inlineStr">
        <is>
          <t>A</t>
        </is>
      </c>
      <c r="K4524" t="n">
        <v>2025</v>
      </c>
      <c r="L4524" t="n">
        <v>6</v>
      </c>
      <c r="M4524" t="inlineStr">
        <is>
          <t>Chocolate em pó 50% 1 kg</t>
        </is>
      </c>
      <c r="N4524" t="inlineStr">
        <is>
          <t>Cozinha Oriental</t>
        </is>
      </c>
      <c r="O4524" t="n">
        <v>1</v>
      </c>
      <c r="P4524" t="n">
        <v>1</v>
      </c>
      <c r="Q4524" t="n">
        <v>0</v>
      </c>
    </row>
    <row r="4525">
      <c r="J4525" t="inlineStr">
        <is>
          <t>A</t>
        </is>
      </c>
      <c r="K4525" t="n">
        <v>2025</v>
      </c>
      <c r="L4525" t="n">
        <v>7</v>
      </c>
      <c r="M4525" t="inlineStr">
        <is>
          <t>Chocolate em pó 50% 1 kg</t>
        </is>
      </c>
      <c r="N4525" t="inlineStr">
        <is>
          <t>Cozinha Oriental</t>
        </is>
      </c>
      <c r="O4525" t="n">
        <v>1</v>
      </c>
      <c r="P4525" t="n">
        <v>1</v>
      </c>
      <c r="Q4525" t="n">
        <v>0</v>
      </c>
    </row>
    <row r="4526">
      <c r="J4526" t="inlineStr">
        <is>
          <t>A</t>
        </is>
      </c>
      <c r="K4526" t="n">
        <v>2025</v>
      </c>
      <c r="L4526" t="n">
        <v>8</v>
      </c>
      <c r="M4526" t="inlineStr">
        <is>
          <t>Chocolate em pó 50% 1 kg</t>
        </is>
      </c>
      <c r="N4526" t="inlineStr">
        <is>
          <t>Cozinha Oriental</t>
        </is>
      </c>
      <c r="O4526" t="n">
        <v>1</v>
      </c>
      <c r="P4526" t="n">
        <v>1</v>
      </c>
      <c r="Q4526" t="n">
        <v>0</v>
      </c>
    </row>
    <row r="4527">
      <c r="J4527" t="inlineStr">
        <is>
          <t>A</t>
        </is>
      </c>
      <c r="K4527" t="n">
        <v>2025</v>
      </c>
      <c r="L4527" t="n">
        <v>9</v>
      </c>
      <c r="M4527" t="inlineStr">
        <is>
          <t>Chocolate em pó 50% 1 kg</t>
        </is>
      </c>
      <c r="N4527" t="inlineStr">
        <is>
          <t>Cozinha Oriental</t>
        </is>
      </c>
      <c r="O4527" t="n">
        <v>1</v>
      </c>
      <c r="P4527" t="n">
        <v>1</v>
      </c>
      <c r="Q4527" t="n">
        <v>0</v>
      </c>
    </row>
    <row r="4528">
      <c r="J4528" t="inlineStr">
        <is>
          <t>A</t>
        </is>
      </c>
      <c r="K4528" t="n">
        <v>2025</v>
      </c>
      <c r="L4528" t="n">
        <v>10</v>
      </c>
      <c r="M4528" t="inlineStr">
        <is>
          <t>Chocolate em pó 50% 1 kg</t>
        </is>
      </c>
      <c r="N4528" t="inlineStr">
        <is>
          <t>Cozinha Oriental</t>
        </is>
      </c>
      <c r="O4528" t="n">
        <v>1</v>
      </c>
      <c r="P4528" t="n">
        <v>1</v>
      </c>
      <c r="Q4528" t="n">
        <v>0</v>
      </c>
    </row>
    <row r="4529">
      <c r="J4529" t="inlineStr">
        <is>
          <t>A</t>
        </is>
      </c>
      <c r="K4529" t="n">
        <v>2025</v>
      </c>
      <c r="L4529" t="n">
        <v>11</v>
      </c>
      <c r="M4529" t="inlineStr">
        <is>
          <t>Chocolate em pó 50% 1 kg</t>
        </is>
      </c>
      <c r="N4529" t="inlineStr">
        <is>
          <t>Cozinha Oriental</t>
        </is>
      </c>
      <c r="O4529" t="n">
        <v>1</v>
      </c>
      <c r="P4529" t="n">
        <v>1</v>
      </c>
      <c r="Q4529" t="n">
        <v>0</v>
      </c>
    </row>
    <row r="4530">
      <c r="J4530" t="inlineStr">
        <is>
          <t>A</t>
        </is>
      </c>
      <c r="K4530" t="n">
        <v>2025</v>
      </c>
      <c r="L4530" t="n">
        <v>12</v>
      </c>
      <c r="M4530" t="inlineStr">
        <is>
          <t>Chocolate em pó 50% 1 kg</t>
        </is>
      </c>
      <c r="N4530" t="inlineStr">
        <is>
          <t>Cozinha Oriental</t>
        </is>
      </c>
      <c r="O4530" t="n">
        <v>1</v>
      </c>
      <c r="P4530" t="n">
        <v>1</v>
      </c>
      <c r="Q4530" t="n">
        <v>0</v>
      </c>
    </row>
    <row r="4531">
      <c r="J4531" t="inlineStr">
        <is>
          <t>A</t>
        </is>
      </c>
      <c r="K4531" t="n">
        <v>2025</v>
      </c>
      <c r="L4531" t="n">
        <v>5</v>
      </c>
      <c r="M4531" t="inlineStr">
        <is>
          <t>Chocolate em pó 50% 1 kg</t>
        </is>
      </c>
      <c r="N4531" t="inlineStr">
        <is>
          <t>Bar / Chopperia</t>
        </is>
      </c>
      <c r="O4531" t="n">
        <v>1</v>
      </c>
      <c r="P4531" t="n">
        <v>1</v>
      </c>
      <c r="Q4531" t="n">
        <v>1</v>
      </c>
    </row>
    <row r="4532">
      <c r="J4532" t="inlineStr">
        <is>
          <t>M</t>
        </is>
      </c>
      <c r="K4532" t="n">
        <v>2025</v>
      </c>
      <c r="L4532" t="n">
        <v>5</v>
      </c>
      <c r="M4532" t="inlineStr">
        <is>
          <t>Chocolate em pó 50% 1 kg</t>
        </is>
      </c>
      <c r="N4532" t="inlineStr">
        <is>
          <t>Bar / Chopperia</t>
        </is>
      </c>
      <c r="O4532" t="n">
        <v>1</v>
      </c>
      <c r="P4532" t="n">
        <v>1</v>
      </c>
      <c r="Q4532" t="n">
        <v>0</v>
      </c>
    </row>
    <row r="4533">
      <c r="J4533" t="inlineStr">
        <is>
          <t>A</t>
        </is>
      </c>
      <c r="K4533" t="n">
        <v>2025</v>
      </c>
      <c r="L4533" t="n">
        <v>6</v>
      </c>
      <c r="M4533" t="inlineStr">
        <is>
          <t>Chocolate em pó 50% 1 kg</t>
        </is>
      </c>
      <c r="N4533" t="inlineStr">
        <is>
          <t>Bar / Chopperia</t>
        </is>
      </c>
      <c r="O4533" t="n">
        <v>1</v>
      </c>
      <c r="P4533" t="n">
        <v>1</v>
      </c>
      <c r="Q4533" t="n">
        <v>1</v>
      </c>
    </row>
    <row r="4534">
      <c r="J4534" t="inlineStr">
        <is>
          <t>A</t>
        </is>
      </c>
      <c r="K4534" t="n">
        <v>2025</v>
      </c>
      <c r="L4534" t="n">
        <v>7</v>
      </c>
      <c r="M4534" t="inlineStr">
        <is>
          <t>Chocolate em pó 50% 1 kg</t>
        </is>
      </c>
      <c r="N4534" t="inlineStr">
        <is>
          <t>Bar / Chopperia</t>
        </is>
      </c>
      <c r="O4534" t="n">
        <v>1</v>
      </c>
      <c r="P4534" t="n">
        <v>1</v>
      </c>
      <c r="Q4534" t="n">
        <v>1</v>
      </c>
    </row>
    <row r="4535">
      <c r="J4535" t="inlineStr">
        <is>
          <t>A</t>
        </is>
      </c>
      <c r="K4535" t="n">
        <v>2025</v>
      </c>
      <c r="L4535" t="n">
        <v>8</v>
      </c>
      <c r="M4535" t="inlineStr">
        <is>
          <t>Chocolate em pó 50% 1 kg</t>
        </is>
      </c>
      <c r="N4535" t="inlineStr">
        <is>
          <t>Bar / Chopperia</t>
        </is>
      </c>
      <c r="O4535" t="n">
        <v>1</v>
      </c>
      <c r="P4535" t="n">
        <v>1</v>
      </c>
      <c r="Q4535" t="n">
        <v>1</v>
      </c>
    </row>
    <row r="4536">
      <c r="J4536" t="inlineStr">
        <is>
          <t>A</t>
        </is>
      </c>
      <c r="K4536" t="n">
        <v>2025</v>
      </c>
      <c r="L4536" t="n">
        <v>9</v>
      </c>
      <c r="M4536" t="inlineStr">
        <is>
          <t>Chocolate em pó 50% 1 kg</t>
        </is>
      </c>
      <c r="N4536" t="inlineStr">
        <is>
          <t>Bar / Chopperia</t>
        </is>
      </c>
      <c r="O4536" t="n">
        <v>1</v>
      </c>
      <c r="P4536" t="n">
        <v>1</v>
      </c>
      <c r="Q4536" t="n">
        <v>1</v>
      </c>
    </row>
    <row r="4537">
      <c r="J4537" t="inlineStr">
        <is>
          <t>A</t>
        </is>
      </c>
      <c r="K4537" t="n">
        <v>2025</v>
      </c>
      <c r="L4537" t="n">
        <v>10</v>
      </c>
      <c r="M4537" t="inlineStr">
        <is>
          <t>Chocolate em pó 50% 1 kg</t>
        </is>
      </c>
      <c r="N4537" t="inlineStr">
        <is>
          <t>Bar / Chopperia</t>
        </is>
      </c>
      <c r="O4537" t="n">
        <v>2</v>
      </c>
      <c r="P4537" t="n">
        <v>2</v>
      </c>
      <c r="Q4537" t="n">
        <v>2</v>
      </c>
    </row>
    <row r="4538">
      <c r="J4538" t="inlineStr">
        <is>
          <t>M</t>
        </is>
      </c>
      <c r="K4538" t="n">
        <v>2025</v>
      </c>
      <c r="L4538" t="n">
        <v>10</v>
      </c>
      <c r="M4538" t="inlineStr">
        <is>
          <t>Chocolate em pó 50% 1 kg</t>
        </is>
      </c>
      <c r="N4538" t="inlineStr">
        <is>
          <t>Bar / Chopperia</t>
        </is>
      </c>
      <c r="O4538" t="n">
        <v>1</v>
      </c>
      <c r="P4538" t="n">
        <v>1</v>
      </c>
      <c r="Q4538" t="n">
        <v>0</v>
      </c>
    </row>
    <row r="4539">
      <c r="J4539" t="inlineStr">
        <is>
          <t>A</t>
        </is>
      </c>
      <c r="K4539" t="n">
        <v>2025</v>
      </c>
      <c r="L4539" t="n">
        <v>11</v>
      </c>
      <c r="M4539" t="inlineStr">
        <is>
          <t>Chocolate em pó 50% 1 kg</t>
        </is>
      </c>
      <c r="N4539" t="inlineStr">
        <is>
          <t>Bar / Chopperia</t>
        </is>
      </c>
      <c r="O4539" t="n">
        <v>4</v>
      </c>
      <c r="P4539" t="n">
        <v>4</v>
      </c>
      <c r="Q4539" t="n">
        <v>4</v>
      </c>
    </row>
    <row r="4540">
      <c r="J4540" t="inlineStr">
        <is>
          <t>M</t>
        </is>
      </c>
      <c r="K4540" t="n">
        <v>2025</v>
      </c>
      <c r="L4540" t="n">
        <v>11</v>
      </c>
      <c r="M4540" t="inlineStr">
        <is>
          <t>Chocolate em pó 50% 1 kg</t>
        </is>
      </c>
      <c r="N4540" t="inlineStr">
        <is>
          <t>Bar / Chopperia</t>
        </is>
      </c>
      <c r="O4540" t="n">
        <v>2</v>
      </c>
      <c r="P4540" t="n">
        <v>2</v>
      </c>
      <c r="Q4540" t="n">
        <v>0</v>
      </c>
    </row>
    <row r="4541">
      <c r="J4541" t="inlineStr">
        <is>
          <t>A</t>
        </is>
      </c>
      <c r="K4541" t="n">
        <v>2025</v>
      </c>
      <c r="L4541" t="n">
        <v>12</v>
      </c>
      <c r="M4541" t="inlineStr">
        <is>
          <t>Chocolate em pó 50% 1 kg</t>
        </is>
      </c>
      <c r="N4541" t="inlineStr">
        <is>
          <t>Bar / Chopperia</t>
        </is>
      </c>
      <c r="O4541" t="n">
        <v>4</v>
      </c>
      <c r="P4541" t="n">
        <v>4</v>
      </c>
      <c r="Q4541" t="n">
        <v>4</v>
      </c>
    </row>
    <row r="4542">
      <c r="J4542" t="inlineStr">
        <is>
          <t>A</t>
        </is>
      </c>
      <c r="K4542" t="n">
        <v>2025</v>
      </c>
      <c r="L4542" t="n">
        <v>3</v>
      </c>
      <c r="M4542" t="inlineStr">
        <is>
          <t>Chocolate em pó 50% 1 kg</t>
        </is>
      </c>
      <c r="N4542" t="inlineStr">
        <is>
          <t>Confeitaria</t>
        </is>
      </c>
      <c r="O4542" t="n">
        <v>1</v>
      </c>
      <c r="P4542" t="n">
        <v>1</v>
      </c>
      <c r="Q4542" t="n">
        <v>1</v>
      </c>
    </row>
    <row r="4543">
      <c r="J4543" t="inlineStr">
        <is>
          <t>M</t>
        </is>
      </c>
      <c r="K4543" t="n">
        <v>2025</v>
      </c>
      <c r="L4543" t="n">
        <v>3</v>
      </c>
      <c r="M4543" t="inlineStr">
        <is>
          <t>Chocolate em pó 50% 1 kg</t>
        </is>
      </c>
      <c r="N4543" t="inlineStr">
        <is>
          <t>Confeitaria</t>
        </is>
      </c>
      <c r="O4543" t="n">
        <v>1</v>
      </c>
      <c r="P4543" t="n">
        <v>1</v>
      </c>
      <c r="Q4543" t="n">
        <v>0</v>
      </c>
    </row>
    <row r="4544">
      <c r="J4544" t="inlineStr">
        <is>
          <t>A</t>
        </is>
      </c>
      <c r="K4544" t="n">
        <v>2025</v>
      </c>
      <c r="L4544" t="n">
        <v>4</v>
      </c>
      <c r="M4544" t="inlineStr">
        <is>
          <t>Chocolate em pó 50% 1 kg</t>
        </is>
      </c>
      <c r="N4544" t="inlineStr">
        <is>
          <t>Confeitaria</t>
        </is>
      </c>
      <c r="O4544" t="n">
        <v>1</v>
      </c>
      <c r="P4544" t="n">
        <v>1</v>
      </c>
      <c r="Q4544" t="n">
        <v>1</v>
      </c>
    </row>
    <row r="4545">
      <c r="J4545" t="inlineStr">
        <is>
          <t>A</t>
        </is>
      </c>
      <c r="K4545" t="n">
        <v>2025</v>
      </c>
      <c r="L4545" t="n">
        <v>5</v>
      </c>
      <c r="M4545" t="inlineStr">
        <is>
          <t>Chocolate em pó 50% 1 kg</t>
        </is>
      </c>
      <c r="N4545" t="inlineStr">
        <is>
          <t>Confeitaria</t>
        </is>
      </c>
      <c r="O4545" t="n">
        <v>1</v>
      </c>
      <c r="P4545" t="n">
        <v>1</v>
      </c>
      <c r="Q4545" t="n">
        <v>1</v>
      </c>
    </row>
    <row r="4546">
      <c r="J4546" t="inlineStr">
        <is>
          <t>A</t>
        </is>
      </c>
      <c r="K4546" t="n">
        <v>2025</v>
      </c>
      <c r="L4546" t="n">
        <v>6</v>
      </c>
      <c r="M4546" t="inlineStr">
        <is>
          <t>Chocolate em pó 50% 1 kg</t>
        </is>
      </c>
      <c r="N4546" t="inlineStr">
        <is>
          <t>Confeitaria</t>
        </is>
      </c>
      <c r="O4546" t="n">
        <v>1</v>
      </c>
      <c r="P4546" t="n">
        <v>1</v>
      </c>
      <c r="Q4546" t="n">
        <v>1</v>
      </c>
    </row>
    <row r="4547">
      <c r="J4547" t="inlineStr">
        <is>
          <t>A</t>
        </is>
      </c>
      <c r="K4547" t="n">
        <v>2025</v>
      </c>
      <c r="L4547" t="n">
        <v>7</v>
      </c>
      <c r="M4547" t="inlineStr">
        <is>
          <t>Chocolate em pó 50% 1 kg</t>
        </is>
      </c>
      <c r="N4547" t="inlineStr">
        <is>
          <t>Confeitaria</t>
        </is>
      </c>
      <c r="O4547" t="n">
        <v>2</v>
      </c>
      <c r="P4547" t="n">
        <v>2</v>
      </c>
      <c r="Q4547" t="n">
        <v>2</v>
      </c>
    </row>
    <row r="4548">
      <c r="J4548" t="inlineStr">
        <is>
          <t>M</t>
        </is>
      </c>
      <c r="K4548" t="n">
        <v>2025</v>
      </c>
      <c r="L4548" t="n">
        <v>7</v>
      </c>
      <c r="M4548" t="inlineStr">
        <is>
          <t>Chocolate em pó 50% 1 kg</t>
        </is>
      </c>
      <c r="N4548" t="inlineStr">
        <is>
          <t>Confeitaria</t>
        </is>
      </c>
      <c r="O4548" t="n">
        <v>1</v>
      </c>
      <c r="P4548" t="n">
        <v>1</v>
      </c>
      <c r="Q4548" t="n">
        <v>0</v>
      </c>
    </row>
    <row r="4549">
      <c r="J4549" t="inlineStr">
        <is>
          <t>A</t>
        </is>
      </c>
      <c r="K4549" t="n">
        <v>2025</v>
      </c>
      <c r="L4549" t="n">
        <v>8</v>
      </c>
      <c r="M4549" t="inlineStr">
        <is>
          <t>Chocolate em pó 50% 1 kg</t>
        </is>
      </c>
      <c r="N4549" t="inlineStr">
        <is>
          <t>Confeitaria</t>
        </is>
      </c>
      <c r="O4549" t="n">
        <v>2</v>
      </c>
      <c r="P4549" t="n">
        <v>4</v>
      </c>
      <c r="Q4549" t="n">
        <v>2</v>
      </c>
    </row>
    <row r="4550">
      <c r="J4550" t="inlineStr">
        <is>
          <t>M</t>
        </is>
      </c>
      <c r="K4550" t="n">
        <v>2025</v>
      </c>
      <c r="L4550" t="n">
        <v>8</v>
      </c>
      <c r="M4550" t="inlineStr">
        <is>
          <t>Chocolate em pó 50% 1 kg</t>
        </is>
      </c>
      <c r="N4550" t="inlineStr">
        <is>
          <t>Confeitaria</t>
        </is>
      </c>
      <c r="O4550" t="n">
        <v>2</v>
      </c>
      <c r="P4550" t="n">
        <v>2</v>
      </c>
      <c r="Q4550" t="n">
        <v>0</v>
      </c>
    </row>
    <row r="4551">
      <c r="J4551" t="inlineStr">
        <is>
          <t>A</t>
        </is>
      </c>
      <c r="K4551" t="n">
        <v>2025</v>
      </c>
      <c r="L4551" t="n">
        <v>9</v>
      </c>
      <c r="M4551" t="inlineStr">
        <is>
          <t>Chocolate em pó 50% 1 kg</t>
        </is>
      </c>
      <c r="N4551" t="inlineStr">
        <is>
          <t>Confeitaria</t>
        </is>
      </c>
      <c r="O4551" t="n">
        <v>4</v>
      </c>
      <c r="P4551" t="n">
        <v>7</v>
      </c>
      <c r="Q4551" t="n">
        <v>4</v>
      </c>
    </row>
    <row r="4552">
      <c r="J4552" t="inlineStr">
        <is>
          <t>M</t>
        </is>
      </c>
      <c r="K4552" t="n">
        <v>2025</v>
      </c>
      <c r="L4552" t="n">
        <v>9</v>
      </c>
      <c r="M4552" t="inlineStr">
        <is>
          <t>Chocolate em pó 50% 1 kg</t>
        </is>
      </c>
      <c r="N4552" t="inlineStr">
        <is>
          <t>Confeitaria</t>
        </is>
      </c>
      <c r="O4552" t="n">
        <v>3</v>
      </c>
      <c r="P4552" t="n">
        <v>3</v>
      </c>
      <c r="Q4552" t="n">
        <v>0</v>
      </c>
    </row>
    <row r="4553">
      <c r="J4553" t="inlineStr">
        <is>
          <t>A</t>
        </is>
      </c>
      <c r="K4553" t="n">
        <v>2025</v>
      </c>
      <c r="L4553" t="n">
        <v>10</v>
      </c>
      <c r="M4553" t="inlineStr">
        <is>
          <t>Chocolate em pó 50% 1 kg</t>
        </is>
      </c>
      <c r="N4553" t="inlineStr">
        <is>
          <t>Confeitaria</t>
        </is>
      </c>
      <c r="O4553" t="n">
        <v>4</v>
      </c>
      <c r="P4553" t="n">
        <v>9</v>
      </c>
      <c r="Q4553" t="n">
        <v>4</v>
      </c>
    </row>
    <row r="4554">
      <c r="J4554" t="inlineStr">
        <is>
          <t>M</t>
        </is>
      </c>
      <c r="K4554" t="n">
        <v>2025</v>
      </c>
      <c r="L4554" t="n">
        <v>10</v>
      </c>
      <c r="M4554" t="inlineStr">
        <is>
          <t>Chocolate em pó 50% 1 kg</t>
        </is>
      </c>
      <c r="N4554" t="inlineStr">
        <is>
          <t>Confeitaria</t>
        </is>
      </c>
      <c r="O4554" t="n">
        <v>2</v>
      </c>
      <c r="P4554" t="n">
        <v>2</v>
      </c>
      <c r="Q4554" t="n">
        <v>0</v>
      </c>
    </row>
    <row r="4555">
      <c r="J4555" t="inlineStr">
        <is>
          <t>A</t>
        </is>
      </c>
      <c r="K4555" t="n">
        <v>2025</v>
      </c>
      <c r="L4555" t="n">
        <v>11</v>
      </c>
      <c r="M4555" t="inlineStr">
        <is>
          <t>Chocolate em pó 50% 1 kg</t>
        </is>
      </c>
      <c r="N4555" t="inlineStr">
        <is>
          <t>Confeitaria</t>
        </is>
      </c>
      <c r="O4555" t="n">
        <v>5</v>
      </c>
      <c r="P4555" t="n">
        <v>11</v>
      </c>
      <c r="Q4555" t="n">
        <v>5</v>
      </c>
    </row>
    <row r="4556">
      <c r="J4556" t="inlineStr">
        <is>
          <t>M</t>
        </is>
      </c>
      <c r="K4556" t="n">
        <v>2025</v>
      </c>
      <c r="L4556" t="n">
        <v>11</v>
      </c>
      <c r="M4556" t="inlineStr">
        <is>
          <t>Chocolate em pó 50% 1 kg</t>
        </is>
      </c>
      <c r="N4556" t="inlineStr">
        <is>
          <t>Confeitaria</t>
        </is>
      </c>
      <c r="O4556" t="n">
        <v>2</v>
      </c>
      <c r="P4556" t="n">
        <v>2</v>
      </c>
      <c r="Q4556" t="n">
        <v>0</v>
      </c>
    </row>
    <row r="4557">
      <c r="J4557" t="inlineStr">
        <is>
          <t>A</t>
        </is>
      </c>
      <c r="K4557" t="n">
        <v>2025</v>
      </c>
      <c r="L4557" t="n">
        <v>12</v>
      </c>
      <c r="M4557" t="inlineStr">
        <is>
          <t>Chocolate em pó 50% 1 kg</t>
        </is>
      </c>
      <c r="N4557" t="inlineStr">
        <is>
          <t>Confeitaria</t>
        </is>
      </c>
      <c r="O4557" t="n">
        <v>5</v>
      </c>
      <c r="P4557" t="n">
        <v>12</v>
      </c>
      <c r="Q4557" t="n">
        <v>5</v>
      </c>
    </row>
    <row r="4558">
      <c r="J4558" t="inlineStr">
        <is>
          <t>M</t>
        </is>
      </c>
      <c r="K4558" t="n">
        <v>2025</v>
      </c>
      <c r="L4558" t="n">
        <v>12</v>
      </c>
      <c r="M4558" t="inlineStr">
        <is>
          <t>Chocolate em pó 50% 1 kg</t>
        </is>
      </c>
      <c r="N4558" t="inlineStr">
        <is>
          <t>Confeitaria</t>
        </is>
      </c>
      <c r="O4558" t="n">
        <v>1</v>
      </c>
      <c r="P4558" t="n">
        <v>1</v>
      </c>
      <c r="Q4558" t="n">
        <v>0</v>
      </c>
    </row>
    <row r="4559">
      <c r="J4559" t="inlineStr">
        <is>
          <t>A</t>
        </is>
      </c>
      <c r="K4559" t="n">
        <v>2025</v>
      </c>
      <c r="L4559" t="n">
        <v>1</v>
      </c>
      <c r="M4559" t="inlineStr">
        <is>
          <t>Chocolate em pó 50% 1 kg</t>
        </is>
      </c>
      <c r="N4559" t="inlineStr">
        <is>
          <t>Churrascaria</t>
        </is>
      </c>
      <c r="O4559" t="n">
        <v>1</v>
      </c>
      <c r="P4559" t="n">
        <v>1</v>
      </c>
      <c r="Q4559" t="n">
        <v>0</v>
      </c>
    </row>
    <row r="4560">
      <c r="J4560" t="inlineStr">
        <is>
          <t>M</t>
        </is>
      </c>
      <c r="K4560" t="n">
        <v>2025</v>
      </c>
      <c r="L4560" t="n">
        <v>1</v>
      </c>
      <c r="M4560" t="inlineStr">
        <is>
          <t>Chocolate em pó 50% 1 kg</t>
        </is>
      </c>
      <c r="N4560" t="inlineStr">
        <is>
          <t>Churrascaria</t>
        </is>
      </c>
      <c r="O4560" t="n">
        <v>1</v>
      </c>
      <c r="P4560" t="n">
        <v>1</v>
      </c>
      <c r="Q4560" t="n">
        <v>0</v>
      </c>
    </row>
    <row r="4561">
      <c r="J4561" t="inlineStr">
        <is>
          <t>A</t>
        </is>
      </c>
      <c r="K4561" t="n">
        <v>2025</v>
      </c>
      <c r="L4561" t="n">
        <v>2</v>
      </c>
      <c r="M4561" t="inlineStr">
        <is>
          <t>Chocolate em pó 50% 1 kg</t>
        </is>
      </c>
      <c r="N4561" t="inlineStr">
        <is>
          <t>Churrascaria</t>
        </is>
      </c>
      <c r="O4561" t="n">
        <v>1</v>
      </c>
      <c r="P4561" t="n">
        <v>1</v>
      </c>
      <c r="Q4561" t="n">
        <v>0</v>
      </c>
    </row>
    <row r="4562">
      <c r="J4562" t="inlineStr">
        <is>
          <t>A</t>
        </is>
      </c>
      <c r="K4562" t="n">
        <v>2025</v>
      </c>
      <c r="L4562" t="n">
        <v>3</v>
      </c>
      <c r="M4562" t="inlineStr">
        <is>
          <t>Chocolate em pó 50% 1 kg</t>
        </is>
      </c>
      <c r="N4562" t="inlineStr">
        <is>
          <t>Churrascaria</t>
        </is>
      </c>
      <c r="O4562" t="n">
        <v>1</v>
      </c>
      <c r="P4562" t="n">
        <v>1</v>
      </c>
      <c r="Q4562" t="n">
        <v>0</v>
      </c>
    </row>
    <row r="4563">
      <c r="J4563" t="inlineStr">
        <is>
          <t>A</t>
        </is>
      </c>
      <c r="K4563" t="n">
        <v>2025</v>
      </c>
      <c r="L4563" t="n">
        <v>4</v>
      </c>
      <c r="M4563" t="inlineStr">
        <is>
          <t>Chocolate em pó 50% 1 kg</t>
        </is>
      </c>
      <c r="N4563" t="inlineStr">
        <is>
          <t>Churrascaria</t>
        </is>
      </c>
      <c r="O4563" t="n">
        <v>1</v>
      </c>
      <c r="P4563" t="n">
        <v>1</v>
      </c>
      <c r="Q4563" t="n">
        <v>0</v>
      </c>
    </row>
    <row r="4564">
      <c r="J4564" t="inlineStr">
        <is>
          <t>A</t>
        </is>
      </c>
      <c r="K4564" t="n">
        <v>2025</v>
      </c>
      <c r="L4564" t="n">
        <v>5</v>
      </c>
      <c r="M4564" t="inlineStr">
        <is>
          <t>Chocolate em pó 50% 1 kg</t>
        </is>
      </c>
      <c r="N4564" t="inlineStr">
        <is>
          <t>Churrascaria</t>
        </is>
      </c>
      <c r="O4564" t="n">
        <v>2</v>
      </c>
      <c r="P4564" t="n">
        <v>2</v>
      </c>
      <c r="Q4564" t="n">
        <v>0</v>
      </c>
    </row>
    <row r="4565">
      <c r="J4565" t="inlineStr">
        <is>
          <t>M</t>
        </is>
      </c>
      <c r="K4565" t="n">
        <v>2025</v>
      </c>
      <c r="L4565" t="n">
        <v>5</v>
      </c>
      <c r="M4565" t="inlineStr">
        <is>
          <t>Chocolate em pó 50% 1 kg</t>
        </is>
      </c>
      <c r="N4565" t="inlineStr">
        <is>
          <t>Churrascaria</t>
        </is>
      </c>
      <c r="O4565" t="n">
        <v>1</v>
      </c>
      <c r="P4565" t="n">
        <v>1</v>
      </c>
      <c r="Q4565" t="n">
        <v>0</v>
      </c>
    </row>
    <row r="4566">
      <c r="J4566" t="inlineStr">
        <is>
          <t>A</t>
        </is>
      </c>
      <c r="K4566" t="n">
        <v>2025</v>
      </c>
      <c r="L4566" t="n">
        <v>6</v>
      </c>
      <c r="M4566" t="inlineStr">
        <is>
          <t>Chocolate em pó 50% 1 kg</t>
        </is>
      </c>
      <c r="N4566" t="inlineStr">
        <is>
          <t>Churrascaria</t>
        </is>
      </c>
      <c r="O4566" t="n">
        <v>2</v>
      </c>
      <c r="P4566" t="n">
        <v>2</v>
      </c>
      <c r="Q4566" t="n">
        <v>0</v>
      </c>
    </row>
    <row r="4567">
      <c r="J4567" t="inlineStr">
        <is>
          <t>A</t>
        </is>
      </c>
      <c r="K4567" t="n">
        <v>2025</v>
      </c>
      <c r="L4567" t="n">
        <v>7</v>
      </c>
      <c r="M4567" t="inlineStr">
        <is>
          <t>Chocolate em pó 50% 1 kg</t>
        </is>
      </c>
      <c r="N4567" t="inlineStr">
        <is>
          <t>Churrascaria</t>
        </is>
      </c>
      <c r="O4567" t="n">
        <v>3</v>
      </c>
      <c r="P4567" t="n">
        <v>6</v>
      </c>
      <c r="Q4567" t="n">
        <v>1</v>
      </c>
    </row>
    <row r="4568">
      <c r="J4568" t="inlineStr">
        <is>
          <t>M</t>
        </is>
      </c>
      <c r="K4568" t="n">
        <v>2025</v>
      </c>
      <c r="L4568" t="n">
        <v>7</v>
      </c>
      <c r="M4568" t="inlineStr">
        <is>
          <t>Chocolate em pó 50% 1 kg</t>
        </is>
      </c>
      <c r="N4568" t="inlineStr">
        <is>
          <t>Churrascaria</t>
        </is>
      </c>
      <c r="O4568" t="n">
        <v>2</v>
      </c>
      <c r="P4568" t="n">
        <v>4</v>
      </c>
      <c r="Q4568" t="n">
        <v>0</v>
      </c>
    </row>
    <row r="4569">
      <c r="J4569" t="inlineStr">
        <is>
          <t>A</t>
        </is>
      </c>
      <c r="K4569" t="n">
        <v>2025</v>
      </c>
      <c r="L4569" t="n">
        <v>8</v>
      </c>
      <c r="M4569" t="inlineStr">
        <is>
          <t>Chocolate em pó 50% 1 kg</t>
        </is>
      </c>
      <c r="N4569" t="inlineStr">
        <is>
          <t>Churrascaria</t>
        </is>
      </c>
      <c r="O4569" t="n">
        <v>4</v>
      </c>
      <c r="P4569" t="n">
        <v>9</v>
      </c>
      <c r="Q4569" t="n">
        <v>1</v>
      </c>
    </row>
    <row r="4570">
      <c r="J4570" t="inlineStr">
        <is>
          <t>M</t>
        </is>
      </c>
      <c r="K4570" t="n">
        <v>2025</v>
      </c>
      <c r="L4570" t="n">
        <v>8</v>
      </c>
      <c r="M4570" t="inlineStr">
        <is>
          <t>Chocolate em pó 50% 1 kg</t>
        </is>
      </c>
      <c r="N4570" t="inlineStr">
        <is>
          <t>Churrascaria</t>
        </is>
      </c>
      <c r="O4570" t="n">
        <v>3</v>
      </c>
      <c r="P4570" t="n">
        <v>3</v>
      </c>
      <c r="Q4570" t="n">
        <v>0</v>
      </c>
    </row>
    <row r="4571">
      <c r="J4571" t="inlineStr">
        <is>
          <t>A</t>
        </is>
      </c>
      <c r="K4571" t="n">
        <v>2025</v>
      </c>
      <c r="L4571" t="n">
        <v>9</v>
      </c>
      <c r="M4571" t="inlineStr">
        <is>
          <t>Chocolate em pó 50% 1 kg</t>
        </is>
      </c>
      <c r="N4571" t="inlineStr">
        <is>
          <t>Churrascaria</t>
        </is>
      </c>
      <c r="O4571" t="n">
        <v>4</v>
      </c>
      <c r="P4571" t="n">
        <v>13</v>
      </c>
      <c r="Q4571" t="n">
        <v>1</v>
      </c>
    </row>
    <row r="4572">
      <c r="J4572" t="inlineStr">
        <is>
          <t>M</t>
        </is>
      </c>
      <c r="K4572" t="n">
        <v>2025</v>
      </c>
      <c r="L4572" t="n">
        <v>9</v>
      </c>
      <c r="M4572" t="inlineStr">
        <is>
          <t>Chocolate em pó 50% 1 kg</t>
        </is>
      </c>
      <c r="N4572" t="inlineStr">
        <is>
          <t>Churrascaria</t>
        </is>
      </c>
      <c r="O4572" t="n">
        <v>3</v>
      </c>
      <c r="P4572" t="n">
        <v>4</v>
      </c>
      <c r="Q4572" t="n">
        <v>0</v>
      </c>
    </row>
    <row r="4573">
      <c r="J4573" t="inlineStr">
        <is>
          <t>A</t>
        </is>
      </c>
      <c r="K4573" t="n">
        <v>2025</v>
      </c>
      <c r="L4573" t="n">
        <v>10</v>
      </c>
      <c r="M4573" t="inlineStr">
        <is>
          <t>Chocolate em pó 50% 1 kg</t>
        </is>
      </c>
      <c r="N4573" t="inlineStr">
        <is>
          <t>Churrascaria</t>
        </is>
      </c>
      <c r="O4573" t="n">
        <v>4</v>
      </c>
      <c r="P4573" t="n">
        <v>15</v>
      </c>
      <c r="Q4573" t="n">
        <v>1</v>
      </c>
    </row>
    <row r="4574">
      <c r="J4574" t="inlineStr">
        <is>
          <t>M</t>
        </is>
      </c>
      <c r="K4574" t="n">
        <v>2025</v>
      </c>
      <c r="L4574" t="n">
        <v>10</v>
      </c>
      <c r="M4574" t="inlineStr">
        <is>
          <t>Chocolate em pó 50% 1 kg</t>
        </is>
      </c>
      <c r="N4574" t="inlineStr">
        <is>
          <t>Churrascaria</t>
        </is>
      </c>
      <c r="O4574" t="n">
        <v>2</v>
      </c>
      <c r="P4574" t="n">
        <v>2</v>
      </c>
      <c r="Q4574" t="n">
        <v>0</v>
      </c>
    </row>
    <row r="4575">
      <c r="J4575" t="inlineStr">
        <is>
          <t>A</t>
        </is>
      </c>
      <c r="K4575" t="n">
        <v>2025</v>
      </c>
      <c r="L4575" t="n">
        <v>11</v>
      </c>
      <c r="M4575" t="inlineStr">
        <is>
          <t>Chocolate em pó 50% 1 kg</t>
        </is>
      </c>
      <c r="N4575" t="inlineStr">
        <is>
          <t>Churrascaria</t>
        </is>
      </c>
      <c r="O4575" t="n">
        <v>4</v>
      </c>
      <c r="P4575" t="n">
        <v>18</v>
      </c>
      <c r="Q4575" t="n">
        <v>1</v>
      </c>
    </row>
    <row r="4576">
      <c r="J4576" t="inlineStr">
        <is>
          <t>M</t>
        </is>
      </c>
      <c r="K4576" t="n">
        <v>2025</v>
      </c>
      <c r="L4576" t="n">
        <v>11</v>
      </c>
      <c r="M4576" t="inlineStr">
        <is>
          <t>Chocolate em pó 50% 1 kg</t>
        </is>
      </c>
      <c r="N4576" t="inlineStr">
        <is>
          <t>Churrascaria</t>
        </is>
      </c>
      <c r="O4576" t="n">
        <v>3</v>
      </c>
      <c r="P4576" t="n">
        <v>3</v>
      </c>
      <c r="Q4576" t="n">
        <v>0</v>
      </c>
    </row>
    <row r="4577">
      <c r="J4577" t="inlineStr">
        <is>
          <t>A</t>
        </is>
      </c>
      <c r="K4577" t="n">
        <v>2025</v>
      </c>
      <c r="L4577" t="n">
        <v>12</v>
      </c>
      <c r="M4577" t="inlineStr">
        <is>
          <t>Chocolate em pó 50% 1 kg</t>
        </is>
      </c>
      <c r="N4577" t="inlineStr">
        <is>
          <t>Churrascaria</t>
        </is>
      </c>
      <c r="O4577" t="n">
        <v>4</v>
      </c>
      <c r="P4577" t="n">
        <v>21</v>
      </c>
      <c r="Q4577" t="n">
        <v>1</v>
      </c>
    </row>
    <row r="4578">
      <c r="J4578" t="inlineStr">
        <is>
          <t>M</t>
        </is>
      </c>
      <c r="K4578" t="n">
        <v>2025</v>
      </c>
      <c r="L4578" t="n">
        <v>12</v>
      </c>
      <c r="M4578" t="inlineStr">
        <is>
          <t>Chocolate em pó 50% 1 kg</t>
        </is>
      </c>
      <c r="N4578" t="inlineStr">
        <is>
          <t>Churrascaria</t>
        </is>
      </c>
      <c r="O4578" t="n">
        <v>2</v>
      </c>
      <c r="P4578" t="n">
        <v>3</v>
      </c>
      <c r="Q4578" t="n">
        <v>0</v>
      </c>
    </row>
    <row r="4579">
      <c r="J4579" t="inlineStr">
        <is>
          <t>A</t>
        </is>
      </c>
      <c r="K4579" t="n">
        <v>2025</v>
      </c>
      <c r="L4579" t="n">
        <v>10</v>
      </c>
      <c r="M4579" t="inlineStr">
        <is>
          <t>Chocolate em pó 50% 1 kg</t>
        </is>
      </c>
      <c r="N4579" t="inlineStr">
        <is>
          <t>Não Selecionado</t>
        </is>
      </c>
      <c r="O4579" t="n">
        <v>1</v>
      </c>
      <c r="P4579" t="n">
        <v>1</v>
      </c>
      <c r="Q4579" t="n">
        <v>1</v>
      </c>
    </row>
    <row r="4580">
      <c r="J4580" t="inlineStr">
        <is>
          <t>M</t>
        </is>
      </c>
      <c r="K4580" t="n">
        <v>2025</v>
      </c>
      <c r="L4580" t="n">
        <v>10</v>
      </c>
      <c r="M4580" t="inlineStr">
        <is>
          <t>Chocolate em pó 50% 1 kg</t>
        </is>
      </c>
      <c r="N4580" t="inlineStr">
        <is>
          <t>Não Selecionado</t>
        </is>
      </c>
      <c r="O4580" t="n">
        <v>1</v>
      </c>
      <c r="P4580" t="n">
        <v>1</v>
      </c>
      <c r="Q4580" t="n">
        <v>0</v>
      </c>
    </row>
    <row r="4581">
      <c r="J4581" t="inlineStr">
        <is>
          <t>A</t>
        </is>
      </c>
      <c r="K4581" t="n">
        <v>2025</v>
      </c>
      <c r="L4581" t="n">
        <v>11</v>
      </c>
      <c r="M4581" t="inlineStr">
        <is>
          <t>Chocolate em pó 50% 1 kg</t>
        </is>
      </c>
      <c r="N4581" t="inlineStr">
        <is>
          <t>Não Selecionado</t>
        </is>
      </c>
      <c r="O4581" t="n">
        <v>1</v>
      </c>
      <c r="P4581" t="n">
        <v>1</v>
      </c>
      <c r="Q4581" t="n">
        <v>1</v>
      </c>
    </row>
    <row r="4582">
      <c r="J4582" t="inlineStr">
        <is>
          <t>A</t>
        </is>
      </c>
      <c r="K4582" t="n">
        <v>2025</v>
      </c>
      <c r="L4582" t="n">
        <v>12</v>
      </c>
      <c r="M4582" t="inlineStr">
        <is>
          <t>Chocolate em pó 50% 1 kg</t>
        </is>
      </c>
      <c r="N4582" t="inlineStr">
        <is>
          <t>Não Selecionado</t>
        </is>
      </c>
      <c r="O4582" t="n">
        <v>2</v>
      </c>
      <c r="P4582" t="n">
        <v>2</v>
      </c>
      <c r="Q4582" t="n">
        <v>2</v>
      </c>
    </row>
    <row r="4583">
      <c r="J4583" t="inlineStr">
        <is>
          <t>M</t>
        </is>
      </c>
      <c r="K4583" t="n">
        <v>2025</v>
      </c>
      <c r="L4583" t="n">
        <v>12</v>
      </c>
      <c r="M4583" t="inlineStr">
        <is>
          <t>Chocolate em pó 50% 1 kg</t>
        </is>
      </c>
      <c r="N4583" t="inlineStr">
        <is>
          <t>Não Selecionado</t>
        </is>
      </c>
      <c r="O4583" t="n">
        <v>1</v>
      </c>
      <c r="P4583" t="n">
        <v>1</v>
      </c>
      <c r="Q4583" t="n">
        <v>0</v>
      </c>
    </row>
    <row r="4584">
      <c r="J4584" t="inlineStr">
        <is>
          <t>A</t>
        </is>
      </c>
      <c r="K4584" t="n">
        <v>2025</v>
      </c>
      <c r="L4584" t="n">
        <v>9</v>
      </c>
      <c r="M4584" t="inlineStr">
        <is>
          <t>Chocolate em pó 50% 1 kg</t>
        </is>
      </c>
      <c r="N4584" t="inlineStr">
        <is>
          <t>Loja de Conveniência</t>
        </is>
      </c>
      <c r="O4584" t="n">
        <v>2</v>
      </c>
      <c r="P4584" t="n">
        <v>3</v>
      </c>
      <c r="Q4584" t="n">
        <v>2</v>
      </c>
    </row>
    <row r="4585">
      <c r="J4585" t="inlineStr">
        <is>
          <t>M</t>
        </is>
      </c>
      <c r="K4585" t="n">
        <v>2025</v>
      </c>
      <c r="L4585" t="n">
        <v>9</v>
      </c>
      <c r="M4585" t="inlineStr">
        <is>
          <t>Chocolate em pó 50% 1 kg</t>
        </is>
      </c>
      <c r="N4585" t="inlineStr">
        <is>
          <t>Loja de Conveniência</t>
        </is>
      </c>
      <c r="O4585" t="n">
        <v>2</v>
      </c>
      <c r="P4585" t="n">
        <v>3</v>
      </c>
      <c r="Q4585" t="n">
        <v>0</v>
      </c>
    </row>
    <row r="4586">
      <c r="J4586" t="inlineStr">
        <is>
          <t>A</t>
        </is>
      </c>
      <c r="K4586" t="n">
        <v>2025</v>
      </c>
      <c r="L4586" t="n">
        <v>10</v>
      </c>
      <c r="M4586" t="inlineStr">
        <is>
          <t>Chocolate em pó 50% 1 kg</t>
        </is>
      </c>
      <c r="N4586" t="inlineStr">
        <is>
          <t>Loja de Conveniência</t>
        </is>
      </c>
      <c r="O4586" t="n">
        <v>2</v>
      </c>
      <c r="P4586" t="n">
        <v>5</v>
      </c>
      <c r="Q4586" t="n">
        <v>2</v>
      </c>
    </row>
    <row r="4587">
      <c r="J4587" t="inlineStr">
        <is>
          <t>M</t>
        </is>
      </c>
      <c r="K4587" t="n">
        <v>2025</v>
      </c>
      <c r="L4587" t="n">
        <v>10</v>
      </c>
      <c r="M4587" t="inlineStr">
        <is>
          <t>Chocolate em pó 50% 1 kg</t>
        </is>
      </c>
      <c r="N4587" t="inlineStr">
        <is>
          <t>Loja de Conveniência</t>
        </is>
      </c>
      <c r="O4587" t="n">
        <v>1</v>
      </c>
      <c r="P4587" t="n">
        <v>2</v>
      </c>
      <c r="Q4587" t="n">
        <v>0</v>
      </c>
    </row>
    <row r="4588">
      <c r="J4588" t="inlineStr">
        <is>
          <t>A</t>
        </is>
      </c>
      <c r="K4588" t="n">
        <v>2025</v>
      </c>
      <c r="L4588" t="n">
        <v>11</v>
      </c>
      <c r="M4588" t="inlineStr">
        <is>
          <t>Chocolate em pó 50% 1 kg</t>
        </is>
      </c>
      <c r="N4588" t="inlineStr">
        <is>
          <t>Loja de Conveniência</t>
        </is>
      </c>
      <c r="O4588" t="n">
        <v>2</v>
      </c>
      <c r="P4588" t="n">
        <v>6</v>
      </c>
      <c r="Q4588" t="n">
        <v>2</v>
      </c>
    </row>
    <row r="4589">
      <c r="J4589" t="inlineStr">
        <is>
          <t>M</t>
        </is>
      </c>
      <c r="K4589" t="n">
        <v>2025</v>
      </c>
      <c r="L4589" t="n">
        <v>11</v>
      </c>
      <c r="M4589" t="inlineStr">
        <is>
          <t>Chocolate em pó 50% 1 kg</t>
        </is>
      </c>
      <c r="N4589" t="inlineStr">
        <is>
          <t>Loja de Conveniência</t>
        </is>
      </c>
      <c r="O4589" t="n">
        <v>1</v>
      </c>
      <c r="P4589" t="n">
        <v>1</v>
      </c>
      <c r="Q4589" t="n">
        <v>0</v>
      </c>
    </row>
    <row r="4590">
      <c r="J4590" t="inlineStr">
        <is>
          <t>A</t>
        </is>
      </c>
      <c r="K4590" t="n">
        <v>2025</v>
      </c>
      <c r="L4590" t="n">
        <v>12</v>
      </c>
      <c r="M4590" t="inlineStr">
        <is>
          <t>Chocolate em pó 50% 1 kg</t>
        </is>
      </c>
      <c r="N4590" t="inlineStr">
        <is>
          <t>Loja de Conveniência</t>
        </is>
      </c>
      <c r="O4590" t="n">
        <v>2</v>
      </c>
      <c r="P4590" t="n">
        <v>6</v>
      </c>
      <c r="Q4590" t="n">
        <v>2</v>
      </c>
    </row>
    <row r="4591">
      <c r="J4591" t="inlineStr">
        <is>
          <t>A</t>
        </is>
      </c>
      <c r="K4591" t="n">
        <v>2025</v>
      </c>
      <c r="L4591" t="n">
        <v>10</v>
      </c>
      <c r="M4591" t="inlineStr">
        <is>
          <t>Chocolate em pó 50% 1 kg</t>
        </is>
      </c>
      <c r="N4591" t="inlineStr">
        <is>
          <t>Clube / Associação Desportiva</t>
        </is>
      </c>
      <c r="O4591" t="n">
        <v>3</v>
      </c>
      <c r="P4591" t="n">
        <v>3</v>
      </c>
      <c r="Q4591" t="n">
        <v>3</v>
      </c>
    </row>
    <row r="4592">
      <c r="J4592" t="inlineStr">
        <is>
          <t>M</t>
        </is>
      </c>
      <c r="K4592" t="n">
        <v>2025</v>
      </c>
      <c r="L4592" t="n">
        <v>10</v>
      </c>
      <c r="M4592" t="inlineStr">
        <is>
          <t>Chocolate em pó 50% 1 kg</t>
        </is>
      </c>
      <c r="N4592" t="inlineStr">
        <is>
          <t>Clube / Associação Desportiva</t>
        </is>
      </c>
      <c r="O4592" t="n">
        <v>3</v>
      </c>
      <c r="P4592" t="n">
        <v>3</v>
      </c>
      <c r="Q4592" t="n">
        <v>0</v>
      </c>
    </row>
    <row r="4593">
      <c r="J4593" t="inlineStr">
        <is>
          <t>A</t>
        </is>
      </c>
      <c r="K4593" t="n">
        <v>2025</v>
      </c>
      <c r="L4593" t="n">
        <v>11</v>
      </c>
      <c r="M4593" t="inlineStr">
        <is>
          <t>Chocolate em pó 50% 1 kg</t>
        </is>
      </c>
      <c r="N4593" t="inlineStr">
        <is>
          <t>Clube / Associação Desportiva</t>
        </is>
      </c>
      <c r="O4593" t="n">
        <v>3</v>
      </c>
      <c r="P4593" t="n">
        <v>3</v>
      </c>
      <c r="Q4593" t="n">
        <v>3</v>
      </c>
    </row>
    <row r="4594">
      <c r="J4594" t="inlineStr">
        <is>
          <t>A</t>
        </is>
      </c>
      <c r="K4594" t="n">
        <v>2025</v>
      </c>
      <c r="L4594" t="n">
        <v>12</v>
      </c>
      <c r="M4594" t="inlineStr">
        <is>
          <t>Chocolate em pó 50% 1 kg</t>
        </is>
      </c>
      <c r="N4594" t="inlineStr">
        <is>
          <t>Clube / Associação Desportiva</t>
        </is>
      </c>
      <c r="O4594" t="n">
        <v>4</v>
      </c>
      <c r="P4594" t="n">
        <v>4</v>
      </c>
      <c r="Q4594" t="n">
        <v>4</v>
      </c>
    </row>
    <row r="4595">
      <c r="J4595" t="inlineStr">
        <is>
          <t>M</t>
        </is>
      </c>
      <c r="K4595" t="n">
        <v>2025</v>
      </c>
      <c r="L4595" t="n">
        <v>12</v>
      </c>
      <c r="M4595" t="inlineStr">
        <is>
          <t>Chocolate em pó 50% 1 kg</t>
        </is>
      </c>
      <c r="N4595" t="inlineStr">
        <is>
          <t>Clube / Associação Desportiva</t>
        </is>
      </c>
      <c r="O4595" t="n">
        <v>1</v>
      </c>
      <c r="P4595" t="n">
        <v>1</v>
      </c>
      <c r="Q4595" t="n">
        <v>0</v>
      </c>
    </row>
    <row r="4596">
      <c r="J4596" t="inlineStr">
        <is>
          <t>A</t>
        </is>
      </c>
      <c r="K4596" t="n">
        <v>2025</v>
      </c>
      <c r="L4596" t="n">
        <v>2</v>
      </c>
      <c r="M4596" t="inlineStr">
        <is>
          <t>Chocolate em pó 50% 1 kg</t>
        </is>
      </c>
      <c r="N4596" t="inlineStr">
        <is>
          <t>Casa Noturna</t>
        </is>
      </c>
      <c r="O4596" t="n">
        <v>1</v>
      </c>
      <c r="P4596" t="n">
        <v>1</v>
      </c>
      <c r="Q4596" t="n">
        <v>1</v>
      </c>
    </row>
    <row r="4597">
      <c r="J4597" t="inlineStr">
        <is>
          <t>M</t>
        </is>
      </c>
      <c r="K4597" t="n">
        <v>2025</v>
      </c>
      <c r="L4597" t="n">
        <v>2</v>
      </c>
      <c r="M4597" t="inlineStr">
        <is>
          <t>Chocolate em pó 50% 1 kg</t>
        </is>
      </c>
      <c r="N4597" t="inlineStr">
        <is>
          <t>Casa Noturna</t>
        </is>
      </c>
      <c r="O4597" t="n">
        <v>1</v>
      </c>
      <c r="P4597" t="n">
        <v>1</v>
      </c>
      <c r="Q4597" t="n">
        <v>0</v>
      </c>
    </row>
    <row r="4598">
      <c r="J4598" t="inlineStr">
        <is>
          <t>A</t>
        </is>
      </c>
      <c r="K4598" t="n">
        <v>2025</v>
      </c>
      <c r="L4598" t="n">
        <v>3</v>
      </c>
      <c r="M4598" t="inlineStr">
        <is>
          <t>Chocolate em pó 50% 1 kg</t>
        </is>
      </c>
      <c r="N4598" t="inlineStr">
        <is>
          <t>Casa Noturna</t>
        </is>
      </c>
      <c r="O4598" t="n">
        <v>1</v>
      </c>
      <c r="P4598" t="n">
        <v>1</v>
      </c>
      <c r="Q4598" t="n">
        <v>1</v>
      </c>
    </row>
    <row r="4599">
      <c r="J4599" t="inlineStr">
        <is>
          <t>A</t>
        </is>
      </c>
      <c r="K4599" t="n">
        <v>2025</v>
      </c>
      <c r="L4599" t="n">
        <v>4</v>
      </c>
      <c r="M4599" t="inlineStr">
        <is>
          <t>Chocolate em pó 50% 1 kg</t>
        </is>
      </c>
      <c r="N4599" t="inlineStr">
        <is>
          <t>Casa Noturna</t>
        </is>
      </c>
      <c r="O4599" t="n">
        <v>1</v>
      </c>
      <c r="P4599" t="n">
        <v>1</v>
      </c>
      <c r="Q4599" t="n">
        <v>1</v>
      </c>
    </row>
    <row r="4600">
      <c r="J4600" t="inlineStr">
        <is>
          <t>A</t>
        </is>
      </c>
      <c r="K4600" t="n">
        <v>2025</v>
      </c>
      <c r="L4600" t="n">
        <v>5</v>
      </c>
      <c r="M4600" t="inlineStr">
        <is>
          <t>Chocolate em pó 50% 1 kg</t>
        </is>
      </c>
      <c r="N4600" t="inlineStr">
        <is>
          <t>Casa Noturna</t>
        </is>
      </c>
      <c r="O4600" t="n">
        <v>1</v>
      </c>
      <c r="P4600" t="n">
        <v>1</v>
      </c>
      <c r="Q4600" t="n">
        <v>1</v>
      </c>
    </row>
    <row r="4601">
      <c r="J4601" t="inlineStr">
        <is>
          <t>A</t>
        </is>
      </c>
      <c r="K4601" t="n">
        <v>2025</v>
      </c>
      <c r="L4601" t="n">
        <v>6</v>
      </c>
      <c r="M4601" t="inlineStr">
        <is>
          <t>Chocolate em pó 50% 1 kg</t>
        </is>
      </c>
      <c r="N4601" t="inlineStr">
        <is>
          <t>Casa Noturna</t>
        </is>
      </c>
      <c r="O4601" t="n">
        <v>1</v>
      </c>
      <c r="P4601" t="n">
        <v>1</v>
      </c>
      <c r="Q4601" t="n">
        <v>1</v>
      </c>
    </row>
    <row r="4602">
      <c r="J4602" t="inlineStr">
        <is>
          <t>A</t>
        </is>
      </c>
      <c r="K4602" t="n">
        <v>2025</v>
      </c>
      <c r="L4602" t="n">
        <v>7</v>
      </c>
      <c r="M4602" t="inlineStr">
        <is>
          <t>Chocolate em pó 50% 1 kg</t>
        </is>
      </c>
      <c r="N4602" t="inlineStr">
        <is>
          <t>Casa Noturna</t>
        </is>
      </c>
      <c r="O4602" t="n">
        <v>2</v>
      </c>
      <c r="P4602" t="n">
        <v>2</v>
      </c>
      <c r="Q4602" t="n">
        <v>2</v>
      </c>
    </row>
    <row r="4603">
      <c r="J4603" t="inlineStr">
        <is>
          <t>M</t>
        </is>
      </c>
      <c r="K4603" t="n">
        <v>2025</v>
      </c>
      <c r="L4603" t="n">
        <v>7</v>
      </c>
      <c r="M4603" t="inlineStr">
        <is>
          <t>Chocolate em pó 50% 1 kg</t>
        </is>
      </c>
      <c r="N4603" t="inlineStr">
        <is>
          <t>Casa Noturna</t>
        </is>
      </c>
      <c r="O4603" t="n">
        <v>1</v>
      </c>
      <c r="P4603" t="n">
        <v>1</v>
      </c>
      <c r="Q4603" t="n">
        <v>0</v>
      </c>
    </row>
    <row r="4604">
      <c r="J4604" t="inlineStr">
        <is>
          <t>A</t>
        </is>
      </c>
      <c r="K4604" t="n">
        <v>2025</v>
      </c>
      <c r="L4604" t="n">
        <v>8</v>
      </c>
      <c r="M4604" t="inlineStr">
        <is>
          <t>Chocolate em pó 50% 1 kg</t>
        </is>
      </c>
      <c r="N4604" t="inlineStr">
        <is>
          <t>Casa Noturna</t>
        </is>
      </c>
      <c r="O4604" t="n">
        <v>2</v>
      </c>
      <c r="P4604" t="n">
        <v>2</v>
      </c>
      <c r="Q4604" t="n">
        <v>2</v>
      </c>
    </row>
    <row r="4605">
      <c r="J4605" t="inlineStr">
        <is>
          <t>A</t>
        </is>
      </c>
      <c r="K4605" t="n">
        <v>2025</v>
      </c>
      <c r="L4605" t="n">
        <v>9</v>
      </c>
      <c r="M4605" t="inlineStr">
        <is>
          <t>Chocolate em pó 50% 1 kg</t>
        </is>
      </c>
      <c r="N4605" t="inlineStr">
        <is>
          <t>Casa Noturna</t>
        </is>
      </c>
      <c r="O4605" t="n">
        <v>2</v>
      </c>
      <c r="P4605" t="n">
        <v>2</v>
      </c>
      <c r="Q4605" t="n">
        <v>2</v>
      </c>
    </row>
    <row r="4606">
      <c r="J4606" t="inlineStr">
        <is>
          <t>A</t>
        </is>
      </c>
      <c r="K4606" t="n">
        <v>2025</v>
      </c>
      <c r="L4606" t="n">
        <v>10</v>
      </c>
      <c r="M4606" t="inlineStr">
        <is>
          <t>Chocolate em pó 50% 1 kg</t>
        </is>
      </c>
      <c r="N4606" t="inlineStr">
        <is>
          <t>Casa Noturna</t>
        </is>
      </c>
      <c r="O4606" t="n">
        <v>2</v>
      </c>
      <c r="P4606" t="n">
        <v>2</v>
      </c>
      <c r="Q4606" t="n">
        <v>2</v>
      </c>
    </row>
    <row r="4607">
      <c r="J4607" t="inlineStr">
        <is>
          <t>A</t>
        </is>
      </c>
      <c r="K4607" t="n">
        <v>2025</v>
      </c>
      <c r="L4607" t="n">
        <v>11</v>
      </c>
      <c r="M4607" t="inlineStr">
        <is>
          <t>Chocolate em pó 50% 1 kg</t>
        </is>
      </c>
      <c r="N4607" t="inlineStr">
        <is>
          <t>Casa Noturna</t>
        </is>
      </c>
      <c r="O4607" t="n">
        <v>3</v>
      </c>
      <c r="P4607" t="n">
        <v>3</v>
      </c>
      <c r="Q4607" t="n">
        <v>3</v>
      </c>
    </row>
    <row r="4608">
      <c r="J4608" t="inlineStr">
        <is>
          <t>M</t>
        </is>
      </c>
      <c r="K4608" t="n">
        <v>2025</v>
      </c>
      <c r="L4608" t="n">
        <v>11</v>
      </c>
      <c r="M4608" t="inlineStr">
        <is>
          <t>Chocolate em pó 50% 1 kg</t>
        </is>
      </c>
      <c r="N4608" t="inlineStr">
        <is>
          <t>Casa Noturna</t>
        </is>
      </c>
      <c r="O4608" t="n">
        <v>1</v>
      </c>
      <c r="P4608" t="n">
        <v>1</v>
      </c>
      <c r="Q4608" t="n">
        <v>0</v>
      </c>
    </row>
    <row r="4609">
      <c r="J4609" t="inlineStr">
        <is>
          <t>A</t>
        </is>
      </c>
      <c r="K4609" t="n">
        <v>2025</v>
      </c>
      <c r="L4609" t="n">
        <v>12</v>
      </c>
      <c r="M4609" t="inlineStr">
        <is>
          <t>Chocolate em pó 50% 1 kg</t>
        </is>
      </c>
      <c r="N4609" t="inlineStr">
        <is>
          <t>Casa Noturna</t>
        </is>
      </c>
      <c r="O4609" t="n">
        <v>3</v>
      </c>
      <c r="P4609" t="n">
        <v>3</v>
      </c>
      <c r="Q4609" t="n">
        <v>3</v>
      </c>
    </row>
    <row r="4610">
      <c r="J4610" t="inlineStr">
        <is>
          <t>A</t>
        </is>
      </c>
      <c r="K4610" t="n">
        <v>2025</v>
      </c>
      <c r="L4610" t="n">
        <v>4</v>
      </c>
      <c r="M4610" t="inlineStr">
        <is>
          <t>Chocolate em pó 50% 1 kg</t>
        </is>
      </c>
      <c r="N4610" t="inlineStr">
        <is>
          <t>Colaborador</t>
        </is>
      </c>
      <c r="O4610" t="n">
        <v>1</v>
      </c>
      <c r="P4610" t="n">
        <v>1</v>
      </c>
      <c r="Q4610" t="n">
        <v>0</v>
      </c>
    </row>
    <row r="4611">
      <c r="J4611" t="inlineStr">
        <is>
          <t>M</t>
        </is>
      </c>
      <c r="K4611" t="n">
        <v>2025</v>
      </c>
      <c r="L4611" t="n">
        <v>4</v>
      </c>
      <c r="M4611" t="inlineStr">
        <is>
          <t>Chocolate em pó 50% 1 kg</t>
        </is>
      </c>
      <c r="N4611" t="inlineStr">
        <is>
          <t>Colaborador</t>
        </is>
      </c>
      <c r="O4611" t="n">
        <v>1</v>
      </c>
      <c r="P4611" t="n">
        <v>1</v>
      </c>
      <c r="Q4611" t="n">
        <v>0</v>
      </c>
    </row>
    <row r="4612">
      <c r="J4612" t="inlineStr">
        <is>
          <t>A</t>
        </is>
      </c>
      <c r="K4612" t="n">
        <v>2025</v>
      </c>
      <c r="L4612" t="n">
        <v>5</v>
      </c>
      <c r="M4612" t="inlineStr">
        <is>
          <t>Chocolate em pó 50% 1 kg</t>
        </is>
      </c>
      <c r="N4612" t="inlineStr">
        <is>
          <t>Colaborador</t>
        </is>
      </c>
      <c r="O4612" t="n">
        <v>2</v>
      </c>
      <c r="P4612" t="n">
        <v>2</v>
      </c>
      <c r="Q4612" t="n">
        <v>0</v>
      </c>
    </row>
    <row r="4613">
      <c r="J4613" t="inlineStr">
        <is>
          <t>M</t>
        </is>
      </c>
      <c r="K4613" t="n">
        <v>2025</v>
      </c>
      <c r="L4613" t="n">
        <v>5</v>
      </c>
      <c r="M4613" t="inlineStr">
        <is>
          <t>Chocolate em pó 50% 1 kg</t>
        </is>
      </c>
      <c r="N4613" t="inlineStr">
        <is>
          <t>Colaborador</t>
        </is>
      </c>
      <c r="O4613" t="n">
        <v>1</v>
      </c>
      <c r="P4613" t="n">
        <v>1</v>
      </c>
      <c r="Q4613" t="n">
        <v>0</v>
      </c>
    </row>
    <row r="4614">
      <c r="J4614" t="inlineStr">
        <is>
          <t>A</t>
        </is>
      </c>
      <c r="K4614" t="n">
        <v>2025</v>
      </c>
      <c r="L4614" t="n">
        <v>6</v>
      </c>
      <c r="M4614" t="inlineStr">
        <is>
          <t>Chocolate em pó 50% 1 kg</t>
        </is>
      </c>
      <c r="N4614" t="inlineStr">
        <is>
          <t>Colaborador</t>
        </is>
      </c>
      <c r="O4614" t="n">
        <v>2</v>
      </c>
      <c r="P4614" t="n">
        <v>2</v>
      </c>
      <c r="Q4614" t="n">
        <v>0</v>
      </c>
    </row>
    <row r="4615">
      <c r="J4615" t="inlineStr">
        <is>
          <t>A</t>
        </is>
      </c>
      <c r="K4615" t="n">
        <v>2025</v>
      </c>
      <c r="L4615" t="n">
        <v>7</v>
      </c>
      <c r="M4615" t="inlineStr">
        <is>
          <t>Chocolate em pó 50% 1 kg</t>
        </is>
      </c>
      <c r="N4615" t="inlineStr">
        <is>
          <t>Colaborador</t>
        </is>
      </c>
      <c r="O4615" t="n">
        <v>2</v>
      </c>
      <c r="P4615" t="n">
        <v>2</v>
      </c>
      <c r="Q4615" t="n">
        <v>0</v>
      </c>
    </row>
    <row r="4616">
      <c r="J4616" t="inlineStr">
        <is>
          <t>A</t>
        </is>
      </c>
      <c r="K4616" t="n">
        <v>2025</v>
      </c>
      <c r="L4616" t="n">
        <v>8</v>
      </c>
      <c r="M4616" t="inlineStr">
        <is>
          <t>Chocolate em pó 50% 1 kg</t>
        </is>
      </c>
      <c r="N4616" t="inlineStr">
        <is>
          <t>Colaborador</t>
        </is>
      </c>
      <c r="O4616" t="n">
        <v>2</v>
      </c>
      <c r="P4616" t="n">
        <v>2</v>
      </c>
      <c r="Q4616" t="n">
        <v>0</v>
      </c>
    </row>
    <row r="4617">
      <c r="J4617" t="inlineStr">
        <is>
          <t>A</t>
        </is>
      </c>
      <c r="K4617" t="n">
        <v>2025</v>
      </c>
      <c r="L4617" t="n">
        <v>9</v>
      </c>
      <c r="M4617" t="inlineStr">
        <is>
          <t>Chocolate em pó 50% 1 kg</t>
        </is>
      </c>
      <c r="N4617" t="inlineStr">
        <is>
          <t>Colaborador</t>
        </is>
      </c>
      <c r="O4617" t="n">
        <v>2</v>
      </c>
      <c r="P4617" t="n">
        <v>2</v>
      </c>
      <c r="Q4617" t="n">
        <v>0</v>
      </c>
    </row>
    <row r="4618">
      <c r="J4618" t="inlineStr">
        <is>
          <t>A</t>
        </is>
      </c>
      <c r="K4618" t="n">
        <v>2025</v>
      </c>
      <c r="L4618" t="n">
        <v>10</v>
      </c>
      <c r="M4618" t="inlineStr">
        <is>
          <t>Chocolate em pó 50% 1 kg</t>
        </is>
      </c>
      <c r="N4618" t="inlineStr">
        <is>
          <t>Colaborador</t>
        </is>
      </c>
      <c r="O4618" t="n">
        <v>2</v>
      </c>
      <c r="P4618" t="n">
        <v>2</v>
      </c>
      <c r="Q4618" t="n">
        <v>0</v>
      </c>
    </row>
    <row r="4619">
      <c r="J4619" t="inlineStr">
        <is>
          <t>A</t>
        </is>
      </c>
      <c r="K4619" t="n">
        <v>2025</v>
      </c>
      <c r="L4619" t="n">
        <v>11</v>
      </c>
      <c r="M4619" t="inlineStr">
        <is>
          <t>Chocolate em pó 50% 1 kg</t>
        </is>
      </c>
      <c r="N4619" t="inlineStr">
        <is>
          <t>Colaborador</t>
        </is>
      </c>
      <c r="O4619" t="n">
        <v>2</v>
      </c>
      <c r="P4619" t="n">
        <v>2</v>
      </c>
      <c r="Q4619" t="n">
        <v>0</v>
      </c>
    </row>
    <row r="4620">
      <c r="J4620" t="inlineStr">
        <is>
          <t>A</t>
        </is>
      </c>
      <c r="K4620" t="n">
        <v>2025</v>
      </c>
      <c r="L4620" t="n">
        <v>12</v>
      </c>
      <c r="M4620" t="inlineStr">
        <is>
          <t>Chocolate em pó 50% 1 kg</t>
        </is>
      </c>
      <c r="N4620" t="inlineStr">
        <is>
          <t>Colaborador</t>
        </is>
      </c>
      <c r="O4620" t="n">
        <v>2</v>
      </c>
      <c r="P4620" t="n">
        <v>2</v>
      </c>
      <c r="Q4620" t="n">
        <v>0</v>
      </c>
    </row>
    <row r="4621">
      <c r="J4621" t="inlineStr">
        <is>
          <t>A</t>
        </is>
      </c>
      <c r="K4621" t="n">
        <v>2025</v>
      </c>
      <c r="L4621" t="n">
        <v>1</v>
      </c>
      <c r="M4621" t="inlineStr">
        <is>
          <t>Chocolate em pó 50% 1 kg</t>
        </is>
      </c>
      <c r="N4621" t="inlineStr">
        <is>
          <t>Instituição Religiosa</t>
        </is>
      </c>
      <c r="O4621" t="n">
        <v>1</v>
      </c>
      <c r="P4621" t="n">
        <v>1</v>
      </c>
      <c r="Q4621" t="n">
        <v>0</v>
      </c>
    </row>
    <row r="4622">
      <c r="J4622" t="inlineStr">
        <is>
          <t>M</t>
        </is>
      </c>
      <c r="K4622" t="n">
        <v>2025</v>
      </c>
      <c r="L4622" t="n">
        <v>1</v>
      </c>
      <c r="M4622" t="inlineStr">
        <is>
          <t>Chocolate em pó 50% 1 kg</t>
        </is>
      </c>
      <c r="N4622" t="inlineStr">
        <is>
          <t>Instituição Religiosa</t>
        </is>
      </c>
      <c r="O4622" t="n">
        <v>1</v>
      </c>
      <c r="P4622" t="n">
        <v>1</v>
      </c>
      <c r="Q4622" t="n">
        <v>0</v>
      </c>
    </row>
    <row r="4623">
      <c r="J4623" t="inlineStr">
        <is>
          <t>A</t>
        </is>
      </c>
      <c r="K4623" t="n">
        <v>2025</v>
      </c>
      <c r="L4623" t="n">
        <v>2</v>
      </c>
      <c r="M4623" t="inlineStr">
        <is>
          <t>Chocolate em pó 50% 1 kg</t>
        </is>
      </c>
      <c r="N4623" t="inlineStr">
        <is>
          <t>Instituição Religiosa</t>
        </is>
      </c>
      <c r="O4623" t="n">
        <v>1</v>
      </c>
      <c r="P4623" t="n">
        <v>1</v>
      </c>
      <c r="Q4623" t="n">
        <v>0</v>
      </c>
    </row>
    <row r="4624">
      <c r="J4624" t="inlineStr">
        <is>
          <t>A</t>
        </is>
      </c>
      <c r="K4624" t="n">
        <v>2025</v>
      </c>
      <c r="L4624" t="n">
        <v>3</v>
      </c>
      <c r="M4624" t="inlineStr">
        <is>
          <t>Chocolate em pó 50% 1 kg</t>
        </is>
      </c>
      <c r="N4624" t="inlineStr">
        <is>
          <t>Instituição Religiosa</t>
        </is>
      </c>
      <c r="O4624" t="n">
        <v>1</v>
      </c>
      <c r="P4624" t="n">
        <v>1</v>
      </c>
      <c r="Q4624" t="n">
        <v>0</v>
      </c>
    </row>
    <row r="4625">
      <c r="J4625" t="inlineStr">
        <is>
          <t>A</t>
        </is>
      </c>
      <c r="K4625" t="n">
        <v>2025</v>
      </c>
      <c r="L4625" t="n">
        <v>4</v>
      </c>
      <c r="M4625" t="inlineStr">
        <is>
          <t>Chocolate em pó 50% 1 kg</t>
        </is>
      </c>
      <c r="N4625" t="inlineStr">
        <is>
          <t>Instituição Religiosa</t>
        </is>
      </c>
      <c r="O4625" t="n">
        <v>1</v>
      </c>
      <c r="P4625" t="n">
        <v>1</v>
      </c>
      <c r="Q4625" t="n">
        <v>0</v>
      </c>
    </row>
    <row r="4626">
      <c r="J4626" t="inlineStr">
        <is>
          <t>A</t>
        </is>
      </c>
      <c r="K4626" t="n">
        <v>2025</v>
      </c>
      <c r="L4626" t="n">
        <v>5</v>
      </c>
      <c r="M4626" t="inlineStr">
        <is>
          <t>Chocolate em pó 50% 1 kg</t>
        </is>
      </c>
      <c r="N4626" t="inlineStr">
        <is>
          <t>Instituição Religiosa</t>
        </is>
      </c>
      <c r="O4626" t="n">
        <v>1</v>
      </c>
      <c r="P4626" t="n">
        <v>1</v>
      </c>
      <c r="Q4626" t="n">
        <v>0</v>
      </c>
    </row>
    <row r="4627">
      <c r="J4627" t="inlineStr">
        <is>
          <t>A</t>
        </is>
      </c>
      <c r="K4627" t="n">
        <v>2025</v>
      </c>
      <c r="L4627" t="n">
        <v>6</v>
      </c>
      <c r="M4627" t="inlineStr">
        <is>
          <t>Chocolate em pó 50% 1 kg</t>
        </is>
      </c>
      <c r="N4627" t="inlineStr">
        <is>
          <t>Instituição Religiosa</t>
        </is>
      </c>
      <c r="O4627" t="n">
        <v>1</v>
      </c>
      <c r="P4627" t="n">
        <v>1</v>
      </c>
      <c r="Q4627" t="n">
        <v>0</v>
      </c>
    </row>
    <row r="4628">
      <c r="J4628" t="inlineStr">
        <is>
          <t>A</t>
        </is>
      </c>
      <c r="K4628" t="n">
        <v>2025</v>
      </c>
      <c r="L4628" t="n">
        <v>7</v>
      </c>
      <c r="M4628" t="inlineStr">
        <is>
          <t>Chocolate em pó 50% 1 kg</t>
        </is>
      </c>
      <c r="N4628" t="inlineStr">
        <is>
          <t>Instituição Religiosa</t>
        </is>
      </c>
      <c r="O4628" t="n">
        <v>1</v>
      </c>
      <c r="P4628" t="n">
        <v>1</v>
      </c>
      <c r="Q4628" t="n">
        <v>0</v>
      </c>
    </row>
    <row r="4629">
      <c r="J4629" t="inlineStr">
        <is>
          <t>A</t>
        </is>
      </c>
      <c r="K4629" t="n">
        <v>2025</v>
      </c>
      <c r="L4629" t="n">
        <v>8</v>
      </c>
      <c r="M4629" t="inlineStr">
        <is>
          <t>Chocolate em pó 50% 1 kg</t>
        </is>
      </c>
      <c r="N4629" t="inlineStr">
        <is>
          <t>Instituição Religiosa</t>
        </is>
      </c>
      <c r="O4629" t="n">
        <v>1</v>
      </c>
      <c r="P4629" t="n">
        <v>1</v>
      </c>
      <c r="Q4629" t="n">
        <v>0</v>
      </c>
    </row>
    <row r="4630">
      <c r="J4630" t="inlineStr">
        <is>
          <t>A</t>
        </is>
      </c>
      <c r="K4630" t="n">
        <v>2025</v>
      </c>
      <c r="L4630" t="n">
        <v>9</v>
      </c>
      <c r="M4630" t="inlineStr">
        <is>
          <t>Chocolate em pó 50% 1 kg</t>
        </is>
      </c>
      <c r="N4630" t="inlineStr">
        <is>
          <t>Instituição Religiosa</t>
        </is>
      </c>
      <c r="O4630" t="n">
        <v>1</v>
      </c>
      <c r="P4630" t="n">
        <v>1</v>
      </c>
      <c r="Q4630" t="n">
        <v>0</v>
      </c>
    </row>
    <row r="4631">
      <c r="J4631" t="inlineStr">
        <is>
          <t>A</t>
        </is>
      </c>
      <c r="K4631" t="n">
        <v>2025</v>
      </c>
      <c r="L4631" t="n">
        <v>10</v>
      </c>
      <c r="M4631" t="inlineStr">
        <is>
          <t>Chocolate em pó 50% 1 kg</t>
        </is>
      </c>
      <c r="N4631" t="inlineStr">
        <is>
          <t>Instituição Religiosa</t>
        </is>
      </c>
      <c r="O4631" t="n">
        <v>1</v>
      </c>
      <c r="P4631" t="n">
        <v>1</v>
      </c>
      <c r="Q4631" t="n">
        <v>0</v>
      </c>
    </row>
    <row r="4632">
      <c r="J4632" t="inlineStr">
        <is>
          <t>A</t>
        </is>
      </c>
      <c r="K4632" t="n">
        <v>2025</v>
      </c>
      <c r="L4632" t="n">
        <v>11</v>
      </c>
      <c r="M4632" t="inlineStr">
        <is>
          <t>Chocolate em pó 50% 1 kg</t>
        </is>
      </c>
      <c r="N4632" t="inlineStr">
        <is>
          <t>Instituição Religiosa</t>
        </is>
      </c>
      <c r="O4632" t="n">
        <v>1</v>
      </c>
      <c r="P4632" t="n">
        <v>1</v>
      </c>
      <c r="Q4632" t="n">
        <v>0</v>
      </c>
    </row>
    <row r="4633">
      <c r="J4633" t="inlineStr">
        <is>
          <t>A</t>
        </is>
      </c>
      <c r="K4633" t="n">
        <v>2025</v>
      </c>
      <c r="L4633" t="n">
        <v>12</v>
      </c>
      <c r="M4633" t="inlineStr">
        <is>
          <t>Chocolate em pó 50% 1 kg</t>
        </is>
      </c>
      <c r="N4633" t="inlineStr">
        <is>
          <t>Instituição Religiosa</t>
        </is>
      </c>
      <c r="O4633" t="n">
        <v>1</v>
      </c>
      <c r="P4633" t="n">
        <v>1</v>
      </c>
      <c r="Q4633" t="n">
        <v>0</v>
      </c>
    </row>
    <row r="4634">
      <c r="J4634" t="inlineStr">
        <is>
          <t>A</t>
        </is>
      </c>
      <c r="K4634" t="n">
        <v>2025</v>
      </c>
      <c r="L4634" t="n">
        <v>1</v>
      </c>
      <c r="M4634" t="inlineStr">
        <is>
          <t>Composto lácteo Alibralac 1 kg</t>
        </is>
      </c>
      <c r="N4634" t="inlineStr">
        <is>
          <t>Todos</t>
        </is>
      </c>
      <c r="O4634" t="n">
        <v>6</v>
      </c>
      <c r="P4634" t="n">
        <v>9</v>
      </c>
      <c r="Q4634" t="n">
        <v>3</v>
      </c>
    </row>
    <row r="4635">
      <c r="J4635" t="inlineStr">
        <is>
          <t>M</t>
        </is>
      </c>
      <c r="K4635" t="n">
        <v>2025</v>
      </c>
      <c r="L4635" t="n">
        <v>1</v>
      </c>
      <c r="M4635" t="inlineStr">
        <is>
          <t>Composto lácteo Alibralac 1 kg</t>
        </is>
      </c>
      <c r="N4635" t="inlineStr">
        <is>
          <t>Todos</t>
        </is>
      </c>
      <c r="O4635" t="n">
        <v>6</v>
      </c>
      <c r="P4635" t="n">
        <v>9</v>
      </c>
      <c r="Q4635" t="n">
        <v>0</v>
      </c>
    </row>
    <row r="4636">
      <c r="J4636" t="inlineStr">
        <is>
          <t>A</t>
        </is>
      </c>
      <c r="K4636" t="n">
        <v>2025</v>
      </c>
      <c r="L4636" t="n">
        <v>2</v>
      </c>
      <c r="M4636" t="inlineStr">
        <is>
          <t>Composto lácteo Alibralac 1 kg</t>
        </is>
      </c>
      <c r="N4636" t="inlineStr">
        <is>
          <t>Todos</t>
        </is>
      </c>
      <c r="O4636" t="n">
        <v>12</v>
      </c>
      <c r="P4636" t="n">
        <v>24</v>
      </c>
      <c r="Q4636" t="n">
        <v>4</v>
      </c>
    </row>
    <row r="4637">
      <c r="J4637" t="inlineStr">
        <is>
          <t>M</t>
        </is>
      </c>
      <c r="K4637" t="n">
        <v>2025</v>
      </c>
      <c r="L4637" t="n">
        <v>2</v>
      </c>
      <c r="M4637" t="inlineStr">
        <is>
          <t>Composto lácteo Alibralac 1 kg</t>
        </is>
      </c>
      <c r="N4637" t="inlineStr">
        <is>
          <t>Todos</t>
        </is>
      </c>
      <c r="O4637" t="n">
        <v>10</v>
      </c>
      <c r="P4637" t="n">
        <v>15</v>
      </c>
      <c r="Q4637" t="n">
        <v>0</v>
      </c>
    </row>
    <row r="4638">
      <c r="J4638" t="inlineStr">
        <is>
          <t>A</t>
        </is>
      </c>
      <c r="K4638" t="n">
        <v>2025</v>
      </c>
      <c r="L4638" t="n">
        <v>3</v>
      </c>
      <c r="M4638" t="inlineStr">
        <is>
          <t>Composto lácteo Alibralac 1 kg</t>
        </is>
      </c>
      <c r="N4638" t="inlineStr">
        <is>
          <t>Todos</t>
        </is>
      </c>
      <c r="O4638" t="n">
        <v>15</v>
      </c>
      <c r="P4638" t="n">
        <v>30</v>
      </c>
      <c r="Q4638" t="n">
        <v>7</v>
      </c>
    </row>
    <row r="4639">
      <c r="J4639" t="inlineStr">
        <is>
          <t>M</t>
        </is>
      </c>
      <c r="K4639" t="n">
        <v>2025</v>
      </c>
      <c r="L4639" t="n">
        <v>3</v>
      </c>
      <c r="M4639" t="inlineStr">
        <is>
          <t>Composto lácteo Alibralac 1 kg</t>
        </is>
      </c>
      <c r="N4639" t="inlineStr">
        <is>
          <t>Todos</t>
        </is>
      </c>
      <c r="O4639" t="n">
        <v>6</v>
      </c>
      <c r="P4639" t="n">
        <v>6</v>
      </c>
      <c r="Q4639" t="n">
        <v>0</v>
      </c>
    </row>
    <row r="4640">
      <c r="J4640" t="inlineStr">
        <is>
          <t>A</t>
        </is>
      </c>
      <c r="K4640" t="n">
        <v>2025</v>
      </c>
      <c r="L4640" t="n">
        <v>4</v>
      </c>
      <c r="M4640" t="inlineStr">
        <is>
          <t>Composto lácteo Alibralac 1 kg</t>
        </is>
      </c>
      <c r="N4640" t="inlineStr">
        <is>
          <t>Todos</t>
        </is>
      </c>
      <c r="O4640" t="n">
        <v>18</v>
      </c>
      <c r="P4640" t="n">
        <v>36</v>
      </c>
      <c r="Q4640" t="n">
        <v>9</v>
      </c>
    </row>
    <row r="4641">
      <c r="J4641" t="inlineStr">
        <is>
          <t>M</t>
        </is>
      </c>
      <c r="K4641" t="n">
        <v>2025</v>
      </c>
      <c r="L4641" t="n">
        <v>4</v>
      </c>
      <c r="M4641" t="inlineStr">
        <is>
          <t>Composto lácteo Alibralac 1 kg</t>
        </is>
      </c>
      <c r="N4641" t="inlineStr">
        <is>
          <t>Todos</t>
        </is>
      </c>
      <c r="O4641" t="n">
        <v>5</v>
      </c>
      <c r="P4641" t="n">
        <v>6</v>
      </c>
      <c r="Q4641" t="n">
        <v>0</v>
      </c>
    </row>
    <row r="4642">
      <c r="J4642" t="inlineStr">
        <is>
          <t>A</t>
        </is>
      </c>
      <c r="K4642" t="n">
        <v>2025</v>
      </c>
      <c r="L4642" t="n">
        <v>5</v>
      </c>
      <c r="M4642" t="inlineStr">
        <is>
          <t>Composto lácteo Alibralac 1 kg</t>
        </is>
      </c>
      <c r="N4642" t="inlineStr">
        <is>
          <t>Todos</t>
        </is>
      </c>
      <c r="O4642" t="n">
        <v>19</v>
      </c>
      <c r="P4642" t="n">
        <v>42</v>
      </c>
      <c r="Q4642" t="n">
        <v>9</v>
      </c>
    </row>
    <row r="4643">
      <c r="J4643" t="inlineStr">
        <is>
          <t>M</t>
        </is>
      </c>
      <c r="K4643" t="n">
        <v>2025</v>
      </c>
      <c r="L4643" t="n">
        <v>5</v>
      </c>
      <c r="M4643" t="inlineStr">
        <is>
          <t>Composto lácteo Alibralac 1 kg</t>
        </is>
      </c>
      <c r="N4643" t="inlineStr">
        <is>
          <t>Todos</t>
        </is>
      </c>
      <c r="O4643" t="n">
        <v>5</v>
      </c>
      <c r="P4643" t="n">
        <v>6</v>
      </c>
      <c r="Q4643" t="n">
        <v>0</v>
      </c>
    </row>
    <row r="4644">
      <c r="J4644" t="inlineStr">
        <is>
          <t>A</t>
        </is>
      </c>
      <c r="K4644" t="n">
        <v>2025</v>
      </c>
      <c r="L4644" t="n">
        <v>6</v>
      </c>
      <c r="M4644" t="inlineStr">
        <is>
          <t>Composto lácteo Alibralac 1 kg</t>
        </is>
      </c>
      <c r="N4644" t="inlineStr">
        <is>
          <t>Todos</t>
        </is>
      </c>
      <c r="O4644" t="n">
        <v>22</v>
      </c>
      <c r="P4644" t="n">
        <v>53</v>
      </c>
      <c r="Q4644" t="n">
        <v>11</v>
      </c>
    </row>
    <row r="4645">
      <c r="J4645" t="inlineStr">
        <is>
          <t>M</t>
        </is>
      </c>
      <c r="K4645" t="n">
        <v>2025</v>
      </c>
      <c r="L4645" t="n">
        <v>6</v>
      </c>
      <c r="M4645" t="inlineStr">
        <is>
          <t>Composto lácteo Alibralac 1 kg</t>
        </is>
      </c>
      <c r="N4645" t="inlineStr">
        <is>
          <t>Todos</t>
        </is>
      </c>
      <c r="O4645" t="n">
        <v>8</v>
      </c>
      <c r="P4645" t="n">
        <v>11</v>
      </c>
      <c r="Q4645" t="n">
        <v>0</v>
      </c>
    </row>
    <row r="4646">
      <c r="J4646" t="inlineStr">
        <is>
          <t>A</t>
        </is>
      </c>
      <c r="K4646" t="n">
        <v>2025</v>
      </c>
      <c r="L4646" t="n">
        <v>7</v>
      </c>
      <c r="M4646" t="inlineStr">
        <is>
          <t>Composto lácteo Alibralac 1 kg</t>
        </is>
      </c>
      <c r="N4646" t="inlineStr">
        <is>
          <t>Todos</t>
        </is>
      </c>
      <c r="O4646" t="n">
        <v>27</v>
      </c>
      <c r="P4646" t="n">
        <v>63</v>
      </c>
      <c r="Q4646" t="n">
        <v>15</v>
      </c>
    </row>
    <row r="4647">
      <c r="J4647" t="inlineStr">
        <is>
          <t>M</t>
        </is>
      </c>
      <c r="K4647" t="n">
        <v>2025</v>
      </c>
      <c r="L4647" t="n">
        <v>7</v>
      </c>
      <c r="M4647" t="inlineStr">
        <is>
          <t>Composto lácteo Alibralac 1 kg</t>
        </is>
      </c>
      <c r="N4647" t="inlineStr">
        <is>
          <t>Todos</t>
        </is>
      </c>
      <c r="O4647" t="n">
        <v>7</v>
      </c>
      <c r="P4647" t="n">
        <v>10</v>
      </c>
      <c r="Q4647" t="n">
        <v>0</v>
      </c>
    </row>
    <row r="4648">
      <c r="J4648" t="inlineStr">
        <is>
          <t>A</t>
        </is>
      </c>
      <c r="K4648" t="n">
        <v>2025</v>
      </c>
      <c r="L4648" t="n">
        <v>8</v>
      </c>
      <c r="M4648" t="inlineStr">
        <is>
          <t>Composto lácteo Alibralac 1 kg</t>
        </is>
      </c>
      <c r="N4648" t="inlineStr">
        <is>
          <t>Todos</t>
        </is>
      </c>
      <c r="O4648" t="n">
        <v>31</v>
      </c>
      <c r="P4648" t="n">
        <v>70</v>
      </c>
      <c r="Q4648" t="n">
        <v>19</v>
      </c>
    </row>
    <row r="4649">
      <c r="J4649" t="inlineStr">
        <is>
          <t>M</t>
        </is>
      </c>
      <c r="K4649" t="n">
        <v>2025</v>
      </c>
      <c r="L4649" t="n">
        <v>8</v>
      </c>
      <c r="M4649" t="inlineStr">
        <is>
          <t>Composto lácteo Alibralac 1 kg</t>
        </is>
      </c>
      <c r="N4649" t="inlineStr">
        <is>
          <t>Todos</t>
        </is>
      </c>
      <c r="O4649" t="n">
        <v>6</v>
      </c>
      <c r="P4649" t="n">
        <v>7</v>
      </c>
      <c r="Q4649" t="n">
        <v>0</v>
      </c>
    </row>
    <row r="4650">
      <c r="J4650" t="inlineStr">
        <is>
          <t>A</t>
        </is>
      </c>
      <c r="K4650" t="n">
        <v>2025</v>
      </c>
      <c r="L4650" t="n">
        <v>9</v>
      </c>
      <c r="M4650" t="inlineStr">
        <is>
          <t>Composto lácteo Alibralac 1 kg</t>
        </is>
      </c>
      <c r="N4650" t="inlineStr">
        <is>
          <t>Todos</t>
        </is>
      </c>
      <c r="O4650" t="n">
        <v>31</v>
      </c>
      <c r="P4650" t="n">
        <v>85</v>
      </c>
      <c r="Q4650" t="n">
        <v>19</v>
      </c>
    </row>
    <row r="4651">
      <c r="J4651" t="inlineStr">
        <is>
          <t>M</t>
        </is>
      </c>
      <c r="K4651" t="n">
        <v>2025</v>
      </c>
      <c r="L4651" t="n">
        <v>9</v>
      </c>
      <c r="M4651" t="inlineStr">
        <is>
          <t>Composto lácteo Alibralac 1 kg</t>
        </is>
      </c>
      <c r="N4651" t="inlineStr">
        <is>
          <t>Todos</t>
        </is>
      </c>
      <c r="O4651" t="n">
        <v>5</v>
      </c>
      <c r="P4651" t="n">
        <v>15</v>
      </c>
      <c r="Q4651" t="n">
        <v>0</v>
      </c>
    </row>
    <row r="4652">
      <c r="J4652" t="inlineStr">
        <is>
          <t>A</t>
        </is>
      </c>
      <c r="K4652" t="n">
        <v>2025</v>
      </c>
      <c r="L4652" t="n">
        <v>10</v>
      </c>
      <c r="M4652" t="inlineStr">
        <is>
          <t>Composto lácteo Alibralac 1 kg</t>
        </is>
      </c>
      <c r="N4652" t="inlineStr">
        <is>
          <t>Todos</t>
        </is>
      </c>
      <c r="O4652" t="n">
        <v>31</v>
      </c>
      <c r="P4652" t="n">
        <v>100</v>
      </c>
      <c r="Q4652" t="n">
        <v>19</v>
      </c>
    </row>
    <row r="4653">
      <c r="J4653" t="inlineStr">
        <is>
          <t>M</t>
        </is>
      </c>
      <c r="K4653" t="n">
        <v>2025</v>
      </c>
      <c r="L4653" t="n">
        <v>10</v>
      </c>
      <c r="M4653" t="inlineStr">
        <is>
          <t>Composto lácteo Alibralac 1 kg</t>
        </is>
      </c>
      <c r="N4653" t="inlineStr">
        <is>
          <t>Todos</t>
        </is>
      </c>
      <c r="O4653" t="n">
        <v>9</v>
      </c>
      <c r="P4653" t="n">
        <v>15</v>
      </c>
      <c r="Q4653" t="n">
        <v>0</v>
      </c>
    </row>
    <row r="4654">
      <c r="J4654" t="inlineStr">
        <is>
          <t>A</t>
        </is>
      </c>
      <c r="K4654" t="n">
        <v>2025</v>
      </c>
      <c r="L4654" t="n">
        <v>11</v>
      </c>
      <c r="M4654" t="inlineStr">
        <is>
          <t>Composto lácteo Alibralac 1 kg</t>
        </is>
      </c>
      <c r="N4654" t="inlineStr">
        <is>
          <t>Todos</t>
        </is>
      </c>
      <c r="O4654" t="n">
        <v>36</v>
      </c>
      <c r="P4654" t="n">
        <v>112</v>
      </c>
      <c r="Q4654" t="n">
        <v>23</v>
      </c>
    </row>
    <row r="4655">
      <c r="J4655" t="inlineStr">
        <is>
          <t>M</t>
        </is>
      </c>
      <c r="K4655" t="n">
        <v>2025</v>
      </c>
      <c r="L4655" t="n">
        <v>11</v>
      </c>
      <c r="M4655" t="inlineStr">
        <is>
          <t>Composto lácteo Alibralac 1 kg</t>
        </is>
      </c>
      <c r="N4655" t="inlineStr">
        <is>
          <t>Todos</t>
        </is>
      </c>
      <c r="O4655" t="n">
        <v>8</v>
      </c>
      <c r="P4655" t="n">
        <v>12</v>
      </c>
      <c r="Q4655" t="n">
        <v>0</v>
      </c>
    </row>
    <row r="4656">
      <c r="J4656" t="inlineStr">
        <is>
          <t>A</t>
        </is>
      </c>
      <c r="K4656" t="n">
        <v>2025</v>
      </c>
      <c r="L4656" t="n">
        <v>12</v>
      </c>
      <c r="M4656" t="inlineStr">
        <is>
          <t>Composto lácteo Alibralac 1 kg</t>
        </is>
      </c>
      <c r="N4656" t="inlineStr">
        <is>
          <t>Todos</t>
        </is>
      </c>
      <c r="O4656" t="n">
        <v>36</v>
      </c>
      <c r="P4656" t="n">
        <v>120</v>
      </c>
      <c r="Q4656" t="n">
        <v>23</v>
      </c>
    </row>
    <row r="4657">
      <c r="J4657" t="inlineStr">
        <is>
          <t>M</t>
        </is>
      </c>
      <c r="K4657" t="n">
        <v>2025</v>
      </c>
      <c r="L4657" t="n">
        <v>12</v>
      </c>
      <c r="M4657" t="inlineStr">
        <is>
          <t>Composto lácteo Alibralac 1 kg</t>
        </is>
      </c>
      <c r="N4657" t="inlineStr">
        <is>
          <t>Todos</t>
        </is>
      </c>
      <c r="O4657" t="n">
        <v>6</v>
      </c>
      <c r="P4657" t="n">
        <v>8</v>
      </c>
      <c r="Q4657" t="n">
        <v>0</v>
      </c>
    </row>
    <row r="4658">
      <c r="J4658" t="inlineStr">
        <is>
          <t>A</t>
        </is>
      </c>
      <c r="K4658" t="n">
        <v>2025</v>
      </c>
      <c r="L4658" t="n">
        <v>1</v>
      </c>
      <c r="M4658" t="inlineStr">
        <is>
          <t>Composto lácteo Alibralac 1 kg</t>
        </is>
      </c>
      <c r="N4658" t="inlineStr">
        <is>
          <t>Pizzaria</t>
        </is>
      </c>
      <c r="O4658" t="n">
        <v>1</v>
      </c>
      <c r="P4658" t="n">
        <v>2</v>
      </c>
      <c r="Q4658" t="n">
        <v>0</v>
      </c>
    </row>
    <row r="4659">
      <c r="J4659" t="inlineStr">
        <is>
          <t>M</t>
        </is>
      </c>
      <c r="K4659" t="n">
        <v>2025</v>
      </c>
      <c r="L4659" t="n">
        <v>1</v>
      </c>
      <c r="M4659" t="inlineStr">
        <is>
          <t>Composto lácteo Alibralac 1 kg</t>
        </is>
      </c>
      <c r="N4659" t="inlineStr">
        <is>
          <t>Pizzaria</t>
        </is>
      </c>
      <c r="O4659" t="n">
        <v>1</v>
      </c>
      <c r="P4659" t="n">
        <v>2</v>
      </c>
      <c r="Q4659" t="n">
        <v>0</v>
      </c>
    </row>
    <row r="4660">
      <c r="J4660" t="inlineStr">
        <is>
          <t>A</t>
        </is>
      </c>
      <c r="K4660" t="n">
        <v>2025</v>
      </c>
      <c r="L4660" t="n">
        <v>2</v>
      </c>
      <c r="M4660" t="inlineStr">
        <is>
          <t>Composto lácteo Alibralac 1 kg</t>
        </is>
      </c>
      <c r="N4660" t="inlineStr">
        <is>
          <t>Pizzaria</t>
        </is>
      </c>
      <c r="O4660" t="n">
        <v>3</v>
      </c>
      <c r="P4660" t="n">
        <v>4</v>
      </c>
      <c r="Q4660" t="n">
        <v>0</v>
      </c>
    </row>
    <row r="4661">
      <c r="J4661" t="inlineStr">
        <is>
          <t>M</t>
        </is>
      </c>
      <c r="K4661" t="n">
        <v>2025</v>
      </c>
      <c r="L4661" t="n">
        <v>2</v>
      </c>
      <c r="M4661" t="inlineStr">
        <is>
          <t>Composto lácteo Alibralac 1 kg</t>
        </is>
      </c>
      <c r="N4661" t="inlineStr">
        <is>
          <t>Pizzaria</t>
        </is>
      </c>
      <c r="O4661" t="n">
        <v>2</v>
      </c>
      <c r="P4661" t="n">
        <v>2</v>
      </c>
      <c r="Q4661" t="n">
        <v>0</v>
      </c>
    </row>
    <row r="4662">
      <c r="J4662" t="inlineStr">
        <is>
          <t>A</t>
        </is>
      </c>
      <c r="K4662" t="n">
        <v>2025</v>
      </c>
      <c r="L4662" t="n">
        <v>3</v>
      </c>
      <c r="M4662" t="inlineStr">
        <is>
          <t>Composto lácteo Alibralac 1 kg</t>
        </is>
      </c>
      <c r="N4662" t="inlineStr">
        <is>
          <t>Pizzaria</t>
        </is>
      </c>
      <c r="O4662" t="n">
        <v>3</v>
      </c>
      <c r="P4662" t="n">
        <v>6</v>
      </c>
      <c r="Q4662" t="n">
        <v>0</v>
      </c>
    </row>
    <row r="4663">
      <c r="J4663" t="inlineStr">
        <is>
          <t>M</t>
        </is>
      </c>
      <c r="K4663" t="n">
        <v>2025</v>
      </c>
      <c r="L4663" t="n">
        <v>3</v>
      </c>
      <c r="M4663" t="inlineStr">
        <is>
          <t>Composto lácteo Alibralac 1 kg</t>
        </is>
      </c>
      <c r="N4663" t="inlineStr">
        <is>
          <t>Pizzaria</t>
        </is>
      </c>
      <c r="O4663" t="n">
        <v>2</v>
      </c>
      <c r="P4663" t="n">
        <v>2</v>
      </c>
      <c r="Q4663" t="n">
        <v>0</v>
      </c>
    </row>
    <row r="4664">
      <c r="J4664" t="inlineStr">
        <is>
          <t>A</t>
        </is>
      </c>
      <c r="K4664" t="n">
        <v>2025</v>
      </c>
      <c r="L4664" t="n">
        <v>4</v>
      </c>
      <c r="M4664" t="inlineStr">
        <is>
          <t>Composto lácteo Alibralac 1 kg</t>
        </is>
      </c>
      <c r="N4664" t="inlineStr">
        <is>
          <t>Pizzaria</t>
        </is>
      </c>
      <c r="O4664" t="n">
        <v>3</v>
      </c>
      <c r="P4664" t="n">
        <v>8</v>
      </c>
      <c r="Q4664" t="n">
        <v>0</v>
      </c>
    </row>
    <row r="4665">
      <c r="J4665" t="inlineStr">
        <is>
          <t>M</t>
        </is>
      </c>
      <c r="K4665" t="n">
        <v>2025</v>
      </c>
      <c r="L4665" t="n">
        <v>4</v>
      </c>
      <c r="M4665" t="inlineStr">
        <is>
          <t>Composto lácteo Alibralac 1 kg</t>
        </is>
      </c>
      <c r="N4665" t="inlineStr">
        <is>
          <t>Pizzaria</t>
        </is>
      </c>
      <c r="O4665" t="n">
        <v>1</v>
      </c>
      <c r="P4665" t="n">
        <v>2</v>
      </c>
      <c r="Q4665" t="n">
        <v>0</v>
      </c>
    </row>
    <row r="4666">
      <c r="J4666" t="inlineStr">
        <is>
          <t>A</t>
        </is>
      </c>
      <c r="K4666" t="n">
        <v>2025</v>
      </c>
      <c r="L4666" t="n">
        <v>5</v>
      </c>
      <c r="M4666" t="inlineStr">
        <is>
          <t>Composto lácteo Alibralac 1 kg</t>
        </is>
      </c>
      <c r="N4666" t="inlineStr">
        <is>
          <t>Pizzaria</t>
        </is>
      </c>
      <c r="O4666" t="n">
        <v>3</v>
      </c>
      <c r="P4666" t="n">
        <v>10</v>
      </c>
      <c r="Q4666" t="n">
        <v>0</v>
      </c>
    </row>
    <row r="4667">
      <c r="J4667" t="inlineStr">
        <is>
          <t>M</t>
        </is>
      </c>
      <c r="K4667" t="n">
        <v>2025</v>
      </c>
      <c r="L4667" t="n">
        <v>5</v>
      </c>
      <c r="M4667" t="inlineStr">
        <is>
          <t>Composto lácteo Alibralac 1 kg</t>
        </is>
      </c>
      <c r="N4667" t="inlineStr">
        <is>
          <t>Pizzaria</t>
        </is>
      </c>
      <c r="O4667" t="n">
        <v>2</v>
      </c>
      <c r="P4667" t="n">
        <v>2</v>
      </c>
      <c r="Q4667" t="n">
        <v>0</v>
      </c>
    </row>
    <row r="4668">
      <c r="J4668" t="inlineStr">
        <is>
          <t>A</t>
        </is>
      </c>
      <c r="K4668" t="n">
        <v>2025</v>
      </c>
      <c r="L4668" t="n">
        <v>6</v>
      </c>
      <c r="M4668" t="inlineStr">
        <is>
          <t>Composto lácteo Alibralac 1 kg</t>
        </is>
      </c>
      <c r="N4668" t="inlineStr">
        <is>
          <t>Pizzaria</t>
        </is>
      </c>
      <c r="O4668" t="n">
        <v>3</v>
      </c>
      <c r="P4668" t="n">
        <v>11</v>
      </c>
      <c r="Q4668" t="n">
        <v>0</v>
      </c>
    </row>
    <row r="4669">
      <c r="J4669" t="inlineStr">
        <is>
          <t>M</t>
        </is>
      </c>
      <c r="K4669" t="n">
        <v>2025</v>
      </c>
      <c r="L4669" t="n">
        <v>6</v>
      </c>
      <c r="M4669" t="inlineStr">
        <is>
          <t>Composto lácteo Alibralac 1 kg</t>
        </is>
      </c>
      <c r="N4669" t="inlineStr">
        <is>
          <t>Pizzaria</t>
        </is>
      </c>
      <c r="O4669" t="n">
        <v>1</v>
      </c>
      <c r="P4669" t="n">
        <v>1</v>
      </c>
      <c r="Q4669" t="n">
        <v>0</v>
      </c>
    </row>
    <row r="4670">
      <c r="J4670" t="inlineStr">
        <is>
          <t>A</t>
        </is>
      </c>
      <c r="K4670" t="n">
        <v>2025</v>
      </c>
      <c r="L4670" t="n">
        <v>7</v>
      </c>
      <c r="M4670" t="inlineStr">
        <is>
          <t>Composto lácteo Alibralac 1 kg</t>
        </is>
      </c>
      <c r="N4670" t="inlineStr">
        <is>
          <t>Pizzaria</t>
        </is>
      </c>
      <c r="O4670" t="n">
        <v>5</v>
      </c>
      <c r="P4670" t="n">
        <v>15</v>
      </c>
      <c r="Q4670" t="n">
        <v>2</v>
      </c>
    </row>
    <row r="4671">
      <c r="J4671" t="inlineStr">
        <is>
          <t>M</t>
        </is>
      </c>
      <c r="K4671" t="n">
        <v>2025</v>
      </c>
      <c r="L4671" t="n">
        <v>7</v>
      </c>
      <c r="M4671" t="inlineStr">
        <is>
          <t>Composto lácteo Alibralac 1 kg</t>
        </is>
      </c>
      <c r="N4671" t="inlineStr">
        <is>
          <t>Pizzaria</t>
        </is>
      </c>
      <c r="O4671" t="n">
        <v>3</v>
      </c>
      <c r="P4671" t="n">
        <v>4</v>
      </c>
      <c r="Q4671" t="n">
        <v>0</v>
      </c>
    </row>
    <row r="4672">
      <c r="J4672" t="inlineStr">
        <is>
          <t>A</t>
        </is>
      </c>
      <c r="K4672" t="n">
        <v>2025</v>
      </c>
      <c r="L4672" t="n">
        <v>8</v>
      </c>
      <c r="M4672" t="inlineStr">
        <is>
          <t>Composto lácteo Alibralac 1 kg</t>
        </is>
      </c>
      <c r="N4672" t="inlineStr">
        <is>
          <t>Pizzaria</t>
        </is>
      </c>
      <c r="O4672" t="n">
        <v>6</v>
      </c>
      <c r="P4672" t="n">
        <v>16</v>
      </c>
      <c r="Q4672" t="n">
        <v>3</v>
      </c>
    </row>
    <row r="4673">
      <c r="J4673" t="inlineStr">
        <is>
          <t>M</t>
        </is>
      </c>
      <c r="K4673" t="n">
        <v>2025</v>
      </c>
      <c r="L4673" t="n">
        <v>8</v>
      </c>
      <c r="M4673" t="inlineStr">
        <is>
          <t>Composto lácteo Alibralac 1 kg</t>
        </is>
      </c>
      <c r="N4673" t="inlineStr">
        <is>
          <t>Pizzaria</t>
        </is>
      </c>
      <c r="O4673" t="n">
        <v>1</v>
      </c>
      <c r="P4673" t="n">
        <v>1</v>
      </c>
      <c r="Q4673" t="n">
        <v>0</v>
      </c>
    </row>
    <row r="4674">
      <c r="J4674" t="inlineStr">
        <is>
          <t>A</t>
        </is>
      </c>
      <c r="K4674" t="n">
        <v>2025</v>
      </c>
      <c r="L4674" t="n">
        <v>9</v>
      </c>
      <c r="M4674" t="inlineStr">
        <is>
          <t>Composto lácteo Alibralac 1 kg</t>
        </is>
      </c>
      <c r="N4674" t="inlineStr">
        <is>
          <t>Pizzaria</t>
        </is>
      </c>
      <c r="O4674" t="n">
        <v>6</v>
      </c>
      <c r="P4674" t="n">
        <v>16</v>
      </c>
      <c r="Q4674" t="n">
        <v>3</v>
      </c>
    </row>
    <row r="4675">
      <c r="J4675" t="inlineStr">
        <is>
          <t>A</t>
        </is>
      </c>
      <c r="K4675" t="n">
        <v>2025</v>
      </c>
      <c r="L4675" t="n">
        <v>10</v>
      </c>
      <c r="M4675" t="inlineStr">
        <is>
          <t>Composto lácteo Alibralac 1 kg</t>
        </is>
      </c>
      <c r="N4675" t="inlineStr">
        <is>
          <t>Pizzaria</t>
        </is>
      </c>
      <c r="O4675" t="n">
        <v>6</v>
      </c>
      <c r="P4675" t="n">
        <v>20</v>
      </c>
      <c r="Q4675" t="n">
        <v>3</v>
      </c>
    </row>
    <row r="4676">
      <c r="J4676" t="inlineStr">
        <is>
          <t>M</t>
        </is>
      </c>
      <c r="K4676" t="n">
        <v>2025</v>
      </c>
      <c r="L4676" t="n">
        <v>10</v>
      </c>
      <c r="M4676" t="inlineStr">
        <is>
          <t>Composto lácteo Alibralac 1 kg</t>
        </is>
      </c>
      <c r="N4676" t="inlineStr">
        <is>
          <t>Pizzaria</t>
        </is>
      </c>
      <c r="O4676" t="n">
        <v>4</v>
      </c>
      <c r="P4676" t="n">
        <v>4</v>
      </c>
      <c r="Q4676" t="n">
        <v>0</v>
      </c>
    </row>
    <row r="4677">
      <c r="J4677" t="inlineStr">
        <is>
          <t>A</t>
        </is>
      </c>
      <c r="K4677" t="n">
        <v>2025</v>
      </c>
      <c r="L4677" t="n">
        <v>11</v>
      </c>
      <c r="M4677" t="inlineStr">
        <is>
          <t>Composto lácteo Alibralac 1 kg</t>
        </is>
      </c>
      <c r="N4677" t="inlineStr">
        <is>
          <t>Pizzaria</t>
        </is>
      </c>
      <c r="O4677" t="n">
        <v>7</v>
      </c>
      <c r="P4677" t="n">
        <v>23</v>
      </c>
      <c r="Q4677" t="n">
        <v>4</v>
      </c>
    </row>
    <row r="4678">
      <c r="J4678" t="inlineStr">
        <is>
          <t>M</t>
        </is>
      </c>
      <c r="K4678" t="n">
        <v>2025</v>
      </c>
      <c r="L4678" t="n">
        <v>11</v>
      </c>
      <c r="M4678" t="inlineStr">
        <is>
          <t>Composto lácteo Alibralac 1 kg</t>
        </is>
      </c>
      <c r="N4678" t="inlineStr">
        <is>
          <t>Pizzaria</t>
        </is>
      </c>
      <c r="O4678" t="n">
        <v>3</v>
      </c>
      <c r="P4678" t="n">
        <v>3</v>
      </c>
      <c r="Q4678" t="n">
        <v>0</v>
      </c>
    </row>
    <row r="4679">
      <c r="J4679" t="inlineStr">
        <is>
          <t>A</t>
        </is>
      </c>
      <c r="K4679" t="n">
        <v>2025</v>
      </c>
      <c r="L4679" t="n">
        <v>12</v>
      </c>
      <c r="M4679" t="inlineStr">
        <is>
          <t>Composto lácteo Alibralac 1 kg</t>
        </is>
      </c>
      <c r="N4679" t="inlineStr">
        <is>
          <t>Pizzaria</t>
        </is>
      </c>
      <c r="O4679" t="n">
        <v>7</v>
      </c>
      <c r="P4679" t="n">
        <v>25</v>
      </c>
      <c r="Q4679" t="n">
        <v>4</v>
      </c>
    </row>
    <row r="4680">
      <c r="J4680" t="inlineStr">
        <is>
          <t>M</t>
        </is>
      </c>
      <c r="K4680" t="n">
        <v>2025</v>
      </c>
      <c r="L4680" t="n">
        <v>12</v>
      </c>
      <c r="M4680" t="inlineStr">
        <is>
          <t>Composto lácteo Alibralac 1 kg</t>
        </is>
      </c>
      <c r="N4680" t="inlineStr">
        <is>
          <t>Pizzaria</t>
        </is>
      </c>
      <c r="O4680" t="n">
        <v>2</v>
      </c>
      <c r="P4680" t="n">
        <v>2</v>
      </c>
      <c r="Q4680" t="n">
        <v>0</v>
      </c>
    </row>
    <row r="4681">
      <c r="J4681" t="inlineStr">
        <is>
          <t>A</t>
        </is>
      </c>
      <c r="K4681" t="n">
        <v>2025</v>
      </c>
      <c r="L4681" t="n">
        <v>1</v>
      </c>
      <c r="M4681" t="inlineStr">
        <is>
          <t>Composto lácteo Alibralac 1 kg</t>
        </is>
      </c>
      <c r="N4681" t="inlineStr">
        <is>
          <t>Restaurante / Cantina</t>
        </is>
      </c>
      <c r="O4681" t="n">
        <v>1</v>
      </c>
      <c r="P4681" t="n">
        <v>2</v>
      </c>
      <c r="Q4681" t="n">
        <v>1</v>
      </c>
    </row>
    <row r="4682">
      <c r="J4682" t="inlineStr">
        <is>
          <t>M</t>
        </is>
      </c>
      <c r="K4682" t="n">
        <v>2025</v>
      </c>
      <c r="L4682" t="n">
        <v>1</v>
      </c>
      <c r="M4682" t="inlineStr">
        <is>
          <t>Composto lácteo Alibralac 1 kg</t>
        </is>
      </c>
      <c r="N4682" t="inlineStr">
        <is>
          <t>Restaurante / Cantina</t>
        </is>
      </c>
      <c r="O4682" t="n">
        <v>1</v>
      </c>
      <c r="P4682" t="n">
        <v>2</v>
      </c>
      <c r="Q4682" t="n">
        <v>0</v>
      </c>
    </row>
    <row r="4683">
      <c r="J4683" t="inlineStr">
        <is>
          <t>A</t>
        </is>
      </c>
      <c r="K4683" t="n">
        <v>2025</v>
      </c>
      <c r="L4683" t="n">
        <v>2</v>
      </c>
      <c r="M4683" t="inlineStr">
        <is>
          <t>Composto lácteo Alibralac 1 kg</t>
        </is>
      </c>
      <c r="N4683" t="inlineStr">
        <is>
          <t>Restaurante / Cantina</t>
        </is>
      </c>
      <c r="O4683" t="n">
        <v>1</v>
      </c>
      <c r="P4683" t="n">
        <v>2</v>
      </c>
      <c r="Q4683" t="n">
        <v>1</v>
      </c>
    </row>
    <row r="4684">
      <c r="J4684" t="inlineStr">
        <is>
          <t>A</t>
        </is>
      </c>
      <c r="K4684" t="n">
        <v>2025</v>
      </c>
      <c r="L4684" t="n">
        <v>3</v>
      </c>
      <c r="M4684" t="inlineStr">
        <is>
          <t>Composto lácteo Alibralac 1 kg</t>
        </is>
      </c>
      <c r="N4684" t="inlineStr">
        <is>
          <t>Restaurante / Cantina</t>
        </is>
      </c>
      <c r="O4684" t="n">
        <v>1</v>
      </c>
      <c r="P4684" t="n">
        <v>3</v>
      </c>
      <c r="Q4684" t="n">
        <v>1</v>
      </c>
    </row>
    <row r="4685">
      <c r="J4685" t="inlineStr">
        <is>
          <t>M</t>
        </is>
      </c>
      <c r="K4685" t="n">
        <v>2025</v>
      </c>
      <c r="L4685" t="n">
        <v>3</v>
      </c>
      <c r="M4685" t="inlineStr">
        <is>
          <t>Composto lácteo Alibralac 1 kg</t>
        </is>
      </c>
      <c r="N4685" t="inlineStr">
        <is>
          <t>Restaurante / Cantina</t>
        </is>
      </c>
      <c r="O4685" t="n">
        <v>1</v>
      </c>
      <c r="P4685" t="n">
        <v>1</v>
      </c>
      <c r="Q4685" t="n">
        <v>0</v>
      </c>
    </row>
    <row r="4686">
      <c r="J4686" t="inlineStr">
        <is>
          <t>A</t>
        </is>
      </c>
      <c r="K4686" t="n">
        <v>2025</v>
      </c>
      <c r="L4686" t="n">
        <v>4</v>
      </c>
      <c r="M4686" t="inlineStr">
        <is>
          <t>Composto lácteo Alibralac 1 kg</t>
        </is>
      </c>
      <c r="N4686" t="inlineStr">
        <is>
          <t>Restaurante / Cantina</t>
        </is>
      </c>
      <c r="O4686" t="n">
        <v>2</v>
      </c>
      <c r="P4686" t="n">
        <v>4</v>
      </c>
      <c r="Q4686" t="n">
        <v>2</v>
      </c>
    </row>
    <row r="4687">
      <c r="J4687" t="inlineStr">
        <is>
          <t>M</t>
        </is>
      </c>
      <c r="K4687" t="n">
        <v>2025</v>
      </c>
      <c r="L4687" t="n">
        <v>4</v>
      </c>
      <c r="M4687" t="inlineStr">
        <is>
          <t>Composto lácteo Alibralac 1 kg</t>
        </is>
      </c>
      <c r="N4687" t="inlineStr">
        <is>
          <t>Restaurante / Cantina</t>
        </is>
      </c>
      <c r="O4687" t="n">
        <v>1</v>
      </c>
      <c r="P4687" t="n">
        <v>1</v>
      </c>
      <c r="Q4687" t="n">
        <v>0</v>
      </c>
    </row>
    <row r="4688">
      <c r="J4688" t="inlineStr">
        <is>
          <t>A</t>
        </is>
      </c>
      <c r="K4688" t="n">
        <v>2025</v>
      </c>
      <c r="L4688" t="n">
        <v>5</v>
      </c>
      <c r="M4688" t="inlineStr">
        <is>
          <t>Composto lácteo Alibralac 1 kg</t>
        </is>
      </c>
      <c r="N4688" t="inlineStr">
        <is>
          <t>Restaurante / Cantina</t>
        </is>
      </c>
      <c r="O4688" t="n">
        <v>3</v>
      </c>
      <c r="P4688" t="n">
        <v>7</v>
      </c>
      <c r="Q4688" t="n">
        <v>2</v>
      </c>
    </row>
    <row r="4689">
      <c r="J4689" t="inlineStr">
        <is>
          <t>M</t>
        </is>
      </c>
      <c r="K4689" t="n">
        <v>2025</v>
      </c>
      <c r="L4689" t="n">
        <v>5</v>
      </c>
      <c r="M4689" t="inlineStr">
        <is>
          <t>Composto lácteo Alibralac 1 kg</t>
        </is>
      </c>
      <c r="N4689" t="inlineStr">
        <is>
          <t>Restaurante / Cantina</t>
        </is>
      </c>
      <c r="O4689" t="n">
        <v>2</v>
      </c>
      <c r="P4689" t="n">
        <v>3</v>
      </c>
      <c r="Q4689" t="n">
        <v>0</v>
      </c>
    </row>
    <row r="4690">
      <c r="J4690" t="inlineStr">
        <is>
          <t>A</t>
        </is>
      </c>
      <c r="K4690" t="n">
        <v>2025</v>
      </c>
      <c r="L4690" t="n">
        <v>6</v>
      </c>
      <c r="M4690" t="inlineStr">
        <is>
          <t>Composto lácteo Alibralac 1 kg</t>
        </is>
      </c>
      <c r="N4690" t="inlineStr">
        <is>
          <t>Restaurante / Cantina</t>
        </is>
      </c>
      <c r="O4690" t="n">
        <v>3</v>
      </c>
      <c r="P4690" t="n">
        <v>10</v>
      </c>
      <c r="Q4690" t="n">
        <v>2</v>
      </c>
    </row>
    <row r="4691">
      <c r="J4691" t="inlineStr">
        <is>
          <t>M</t>
        </is>
      </c>
      <c r="K4691" t="n">
        <v>2025</v>
      </c>
      <c r="L4691" t="n">
        <v>6</v>
      </c>
      <c r="M4691" t="inlineStr">
        <is>
          <t>Composto lácteo Alibralac 1 kg</t>
        </is>
      </c>
      <c r="N4691" t="inlineStr">
        <is>
          <t>Restaurante / Cantina</t>
        </is>
      </c>
      <c r="O4691" t="n">
        <v>2</v>
      </c>
      <c r="P4691" t="n">
        <v>3</v>
      </c>
      <c r="Q4691" t="n">
        <v>0</v>
      </c>
    </row>
    <row r="4692">
      <c r="J4692" t="inlineStr">
        <is>
          <t>A</t>
        </is>
      </c>
      <c r="K4692" t="n">
        <v>2025</v>
      </c>
      <c r="L4692" t="n">
        <v>7</v>
      </c>
      <c r="M4692" t="inlineStr">
        <is>
          <t>Composto lácteo Alibralac 1 kg</t>
        </is>
      </c>
      <c r="N4692" t="inlineStr">
        <is>
          <t>Restaurante / Cantina</t>
        </is>
      </c>
      <c r="O4692" t="n">
        <v>3</v>
      </c>
      <c r="P4692" t="n">
        <v>10</v>
      </c>
      <c r="Q4692" t="n">
        <v>2</v>
      </c>
    </row>
    <row r="4693">
      <c r="J4693" t="inlineStr">
        <is>
          <t>A</t>
        </is>
      </c>
      <c r="K4693" t="n">
        <v>2025</v>
      </c>
      <c r="L4693" t="n">
        <v>8</v>
      </c>
      <c r="M4693" t="inlineStr">
        <is>
          <t>Composto lácteo Alibralac 1 kg</t>
        </is>
      </c>
      <c r="N4693" t="inlineStr">
        <is>
          <t>Restaurante / Cantina</t>
        </is>
      </c>
      <c r="O4693" t="n">
        <v>3</v>
      </c>
      <c r="P4693" t="n">
        <v>12</v>
      </c>
      <c r="Q4693" t="n">
        <v>2</v>
      </c>
    </row>
    <row r="4694">
      <c r="J4694" t="inlineStr">
        <is>
          <t>M</t>
        </is>
      </c>
      <c r="K4694" t="n">
        <v>2025</v>
      </c>
      <c r="L4694" t="n">
        <v>8</v>
      </c>
      <c r="M4694" t="inlineStr">
        <is>
          <t>Composto lácteo Alibralac 1 kg</t>
        </is>
      </c>
      <c r="N4694" t="inlineStr">
        <is>
          <t>Restaurante / Cantina</t>
        </is>
      </c>
      <c r="O4694" t="n">
        <v>1</v>
      </c>
      <c r="P4694" t="n">
        <v>2</v>
      </c>
      <c r="Q4694" t="n">
        <v>0</v>
      </c>
    </row>
    <row r="4695">
      <c r="J4695" t="inlineStr">
        <is>
          <t>A</t>
        </is>
      </c>
      <c r="K4695" t="n">
        <v>2025</v>
      </c>
      <c r="L4695" t="n">
        <v>9</v>
      </c>
      <c r="M4695" t="inlineStr">
        <is>
          <t>Composto lácteo Alibralac 1 kg</t>
        </is>
      </c>
      <c r="N4695" t="inlineStr">
        <is>
          <t>Restaurante / Cantina</t>
        </is>
      </c>
      <c r="O4695" t="n">
        <v>3</v>
      </c>
      <c r="P4695" t="n">
        <v>13</v>
      </c>
      <c r="Q4695" t="n">
        <v>2</v>
      </c>
    </row>
    <row r="4696">
      <c r="J4696" t="inlineStr">
        <is>
          <t>M</t>
        </is>
      </c>
      <c r="K4696" t="n">
        <v>2025</v>
      </c>
      <c r="L4696" t="n">
        <v>9</v>
      </c>
      <c r="M4696" t="inlineStr">
        <is>
          <t>Composto lácteo Alibralac 1 kg</t>
        </is>
      </c>
      <c r="N4696" t="inlineStr">
        <is>
          <t>Restaurante / Cantina</t>
        </is>
      </c>
      <c r="O4696" t="n">
        <v>1</v>
      </c>
      <c r="P4696" t="n">
        <v>1</v>
      </c>
      <c r="Q4696" t="n">
        <v>0</v>
      </c>
    </row>
    <row r="4697">
      <c r="J4697" t="inlineStr">
        <is>
          <t>A</t>
        </is>
      </c>
      <c r="K4697" t="n">
        <v>2025</v>
      </c>
      <c r="L4697" t="n">
        <v>10</v>
      </c>
      <c r="M4697" t="inlineStr">
        <is>
          <t>Composto lácteo Alibralac 1 kg</t>
        </is>
      </c>
      <c r="N4697" t="inlineStr">
        <is>
          <t>Restaurante / Cantina</t>
        </is>
      </c>
      <c r="O4697" t="n">
        <v>3</v>
      </c>
      <c r="P4697" t="n">
        <v>14</v>
      </c>
      <c r="Q4697" t="n">
        <v>2</v>
      </c>
    </row>
    <row r="4698">
      <c r="J4698" t="inlineStr">
        <is>
          <t>M</t>
        </is>
      </c>
      <c r="K4698" t="n">
        <v>2025</v>
      </c>
      <c r="L4698" t="n">
        <v>10</v>
      </c>
      <c r="M4698" t="inlineStr">
        <is>
          <t>Composto lácteo Alibralac 1 kg</t>
        </is>
      </c>
      <c r="N4698" t="inlineStr">
        <is>
          <t>Restaurante / Cantina</t>
        </is>
      </c>
      <c r="O4698" t="n">
        <v>1</v>
      </c>
      <c r="P4698" t="n">
        <v>1</v>
      </c>
      <c r="Q4698" t="n">
        <v>0</v>
      </c>
    </row>
    <row r="4699">
      <c r="J4699" t="inlineStr">
        <is>
          <t>A</t>
        </is>
      </c>
      <c r="K4699" t="n">
        <v>2025</v>
      </c>
      <c r="L4699" t="n">
        <v>11</v>
      </c>
      <c r="M4699" t="inlineStr">
        <is>
          <t>Composto lácteo Alibralac 1 kg</t>
        </is>
      </c>
      <c r="N4699" t="inlineStr">
        <is>
          <t>Restaurante / Cantina</t>
        </is>
      </c>
      <c r="O4699" t="n">
        <v>4</v>
      </c>
      <c r="P4699" t="n">
        <v>15</v>
      </c>
      <c r="Q4699" t="n">
        <v>3</v>
      </c>
    </row>
    <row r="4700">
      <c r="J4700" t="inlineStr">
        <is>
          <t>M</t>
        </is>
      </c>
      <c r="K4700" t="n">
        <v>2025</v>
      </c>
      <c r="L4700" t="n">
        <v>11</v>
      </c>
      <c r="M4700" t="inlineStr">
        <is>
          <t>Composto lácteo Alibralac 1 kg</t>
        </is>
      </c>
      <c r="N4700" t="inlineStr">
        <is>
          <t>Restaurante / Cantina</t>
        </is>
      </c>
      <c r="O4700" t="n">
        <v>1</v>
      </c>
      <c r="P4700" t="n">
        <v>1</v>
      </c>
      <c r="Q4700" t="n">
        <v>0</v>
      </c>
    </row>
    <row r="4701">
      <c r="J4701" t="inlineStr">
        <is>
          <t>A</t>
        </is>
      </c>
      <c r="K4701" t="n">
        <v>2025</v>
      </c>
      <c r="L4701" t="n">
        <v>12</v>
      </c>
      <c r="M4701" t="inlineStr">
        <is>
          <t>Composto lácteo Alibralac 1 kg</t>
        </is>
      </c>
      <c r="N4701" t="inlineStr">
        <is>
          <t>Restaurante / Cantina</t>
        </is>
      </c>
      <c r="O4701" t="n">
        <v>4</v>
      </c>
      <c r="P4701" t="n">
        <v>19</v>
      </c>
      <c r="Q4701" t="n">
        <v>3</v>
      </c>
    </row>
    <row r="4702">
      <c r="J4702" t="inlineStr">
        <is>
          <t>M</t>
        </is>
      </c>
      <c r="K4702" t="n">
        <v>2025</v>
      </c>
      <c r="L4702" t="n">
        <v>12</v>
      </c>
      <c r="M4702" t="inlineStr">
        <is>
          <t>Composto lácteo Alibralac 1 kg</t>
        </is>
      </c>
      <c r="N4702" t="inlineStr">
        <is>
          <t>Restaurante / Cantina</t>
        </is>
      </c>
      <c r="O4702" t="n">
        <v>2</v>
      </c>
      <c r="P4702" t="n">
        <v>4</v>
      </c>
      <c r="Q4702" t="n">
        <v>0</v>
      </c>
    </row>
    <row r="4703">
      <c r="J4703" t="inlineStr">
        <is>
          <t>A</t>
        </is>
      </c>
      <c r="K4703" t="n">
        <v>2025</v>
      </c>
      <c r="L4703" t="n">
        <v>1</v>
      </c>
      <c r="M4703" t="inlineStr">
        <is>
          <t>Composto lácteo Alibralac 1 kg</t>
        </is>
      </c>
      <c r="N4703" t="inlineStr">
        <is>
          <t>Cozinha Industrial</t>
        </is>
      </c>
      <c r="O4703" t="n">
        <v>2</v>
      </c>
      <c r="P4703" t="n">
        <v>2</v>
      </c>
      <c r="Q4703" t="n">
        <v>2</v>
      </c>
    </row>
    <row r="4704">
      <c r="J4704" t="inlineStr">
        <is>
          <t>M</t>
        </is>
      </c>
      <c r="K4704" t="n">
        <v>2025</v>
      </c>
      <c r="L4704" t="n">
        <v>1</v>
      </c>
      <c r="M4704" t="inlineStr">
        <is>
          <t>Composto lácteo Alibralac 1 kg</t>
        </is>
      </c>
      <c r="N4704" t="inlineStr">
        <is>
          <t>Cozinha Industrial</t>
        </is>
      </c>
      <c r="O4704" t="n">
        <v>2</v>
      </c>
      <c r="P4704" t="n">
        <v>2</v>
      </c>
      <c r="Q4704" t="n">
        <v>0</v>
      </c>
    </row>
    <row r="4705">
      <c r="J4705" t="inlineStr">
        <is>
          <t>A</t>
        </is>
      </c>
      <c r="K4705" t="n">
        <v>2025</v>
      </c>
      <c r="L4705" t="n">
        <v>2</v>
      </c>
      <c r="M4705" t="inlineStr">
        <is>
          <t>Composto lácteo Alibralac 1 kg</t>
        </is>
      </c>
      <c r="N4705" t="inlineStr">
        <is>
          <t>Cozinha Industrial</t>
        </is>
      </c>
      <c r="O4705" t="n">
        <v>3</v>
      </c>
      <c r="P4705" t="n">
        <v>7</v>
      </c>
      <c r="Q4705" t="n">
        <v>2</v>
      </c>
    </row>
    <row r="4706">
      <c r="J4706" t="inlineStr">
        <is>
          <t>M</t>
        </is>
      </c>
      <c r="K4706" t="n">
        <v>2025</v>
      </c>
      <c r="L4706" t="n">
        <v>2</v>
      </c>
      <c r="M4706" t="inlineStr">
        <is>
          <t>Composto lácteo Alibralac 1 kg</t>
        </is>
      </c>
      <c r="N4706" t="inlineStr">
        <is>
          <t>Cozinha Industrial</t>
        </is>
      </c>
      <c r="O4706" t="n">
        <v>3</v>
      </c>
      <c r="P4706" t="n">
        <v>5</v>
      </c>
      <c r="Q4706" t="n">
        <v>0</v>
      </c>
    </row>
    <row r="4707">
      <c r="J4707" t="inlineStr">
        <is>
          <t>A</t>
        </is>
      </c>
      <c r="K4707" t="n">
        <v>2025</v>
      </c>
      <c r="L4707" t="n">
        <v>3</v>
      </c>
      <c r="M4707" t="inlineStr">
        <is>
          <t>Composto lácteo Alibralac 1 kg</t>
        </is>
      </c>
      <c r="N4707" t="inlineStr">
        <is>
          <t>Cozinha Industrial</t>
        </is>
      </c>
      <c r="O4707" t="n">
        <v>4</v>
      </c>
      <c r="P4707" t="n">
        <v>8</v>
      </c>
      <c r="Q4707" t="n">
        <v>3</v>
      </c>
    </row>
    <row r="4708">
      <c r="J4708" t="inlineStr">
        <is>
          <t>M</t>
        </is>
      </c>
      <c r="K4708" t="n">
        <v>2025</v>
      </c>
      <c r="L4708" t="n">
        <v>3</v>
      </c>
      <c r="M4708" t="inlineStr">
        <is>
          <t>Composto lácteo Alibralac 1 kg</t>
        </is>
      </c>
      <c r="N4708" t="inlineStr">
        <is>
          <t>Cozinha Industrial</t>
        </is>
      </c>
      <c r="O4708" t="n">
        <v>1</v>
      </c>
      <c r="P4708" t="n">
        <v>1</v>
      </c>
      <c r="Q4708" t="n">
        <v>0</v>
      </c>
    </row>
    <row r="4709">
      <c r="J4709" t="inlineStr">
        <is>
          <t>A</t>
        </is>
      </c>
      <c r="K4709" t="n">
        <v>2025</v>
      </c>
      <c r="L4709" t="n">
        <v>4</v>
      </c>
      <c r="M4709" t="inlineStr">
        <is>
          <t>Composto lácteo Alibralac 1 kg</t>
        </is>
      </c>
      <c r="N4709" t="inlineStr">
        <is>
          <t>Cozinha Industrial</t>
        </is>
      </c>
      <c r="O4709" t="n">
        <v>4</v>
      </c>
      <c r="P4709" t="n">
        <v>9</v>
      </c>
      <c r="Q4709" t="n">
        <v>3</v>
      </c>
    </row>
    <row r="4710">
      <c r="J4710" t="inlineStr">
        <is>
          <t>M</t>
        </is>
      </c>
      <c r="K4710" t="n">
        <v>2025</v>
      </c>
      <c r="L4710" t="n">
        <v>4</v>
      </c>
      <c r="M4710" t="inlineStr">
        <is>
          <t>Composto lácteo Alibralac 1 kg</t>
        </is>
      </c>
      <c r="N4710" t="inlineStr">
        <is>
          <t>Cozinha Industrial</t>
        </is>
      </c>
      <c r="O4710" t="n">
        <v>1</v>
      </c>
      <c r="P4710" t="n">
        <v>1</v>
      </c>
      <c r="Q4710" t="n">
        <v>0</v>
      </c>
    </row>
    <row r="4711">
      <c r="J4711" t="inlineStr">
        <is>
          <t>A</t>
        </is>
      </c>
      <c r="K4711" t="n">
        <v>2025</v>
      </c>
      <c r="L4711" t="n">
        <v>5</v>
      </c>
      <c r="M4711" t="inlineStr">
        <is>
          <t>Composto lácteo Alibralac 1 kg</t>
        </is>
      </c>
      <c r="N4711" t="inlineStr">
        <is>
          <t>Cozinha Industrial</t>
        </is>
      </c>
      <c r="O4711" t="n">
        <v>4</v>
      </c>
      <c r="P4711" t="n">
        <v>9</v>
      </c>
      <c r="Q4711" t="n">
        <v>3</v>
      </c>
    </row>
    <row r="4712">
      <c r="J4712" t="inlineStr">
        <is>
          <t>A</t>
        </is>
      </c>
      <c r="K4712" t="n">
        <v>2025</v>
      </c>
      <c r="L4712" t="n">
        <v>6</v>
      </c>
      <c r="M4712" t="inlineStr">
        <is>
          <t>Composto lácteo Alibralac 1 kg</t>
        </is>
      </c>
      <c r="N4712" t="inlineStr">
        <is>
          <t>Cozinha Industrial</t>
        </is>
      </c>
      <c r="O4712" t="n">
        <v>6</v>
      </c>
      <c r="P4712" t="n">
        <v>11</v>
      </c>
      <c r="Q4712" t="n">
        <v>5</v>
      </c>
    </row>
    <row r="4713">
      <c r="J4713" t="inlineStr">
        <is>
          <t>M</t>
        </is>
      </c>
      <c r="K4713" t="n">
        <v>2025</v>
      </c>
      <c r="L4713" t="n">
        <v>6</v>
      </c>
      <c r="M4713" t="inlineStr">
        <is>
          <t>Composto lácteo Alibralac 1 kg</t>
        </is>
      </c>
      <c r="N4713" t="inlineStr">
        <is>
          <t>Cozinha Industrial</t>
        </is>
      </c>
      <c r="O4713" t="n">
        <v>2</v>
      </c>
      <c r="P4713" t="n">
        <v>2</v>
      </c>
      <c r="Q4713" t="n">
        <v>0</v>
      </c>
    </row>
    <row r="4714">
      <c r="J4714" t="inlineStr">
        <is>
          <t>A</t>
        </is>
      </c>
      <c r="K4714" t="n">
        <v>2025</v>
      </c>
      <c r="L4714" t="n">
        <v>7</v>
      </c>
      <c r="M4714" t="inlineStr">
        <is>
          <t>Composto lácteo Alibralac 1 kg</t>
        </is>
      </c>
      <c r="N4714" t="inlineStr">
        <is>
          <t>Cozinha Industrial</t>
        </is>
      </c>
      <c r="O4714" t="n">
        <v>6</v>
      </c>
      <c r="P4714" t="n">
        <v>11</v>
      </c>
      <c r="Q4714" t="n">
        <v>5</v>
      </c>
    </row>
    <row r="4715">
      <c r="J4715" t="inlineStr">
        <is>
          <t>A</t>
        </is>
      </c>
      <c r="K4715" t="n">
        <v>2025</v>
      </c>
      <c r="L4715" t="n">
        <v>8</v>
      </c>
      <c r="M4715" t="inlineStr">
        <is>
          <t>Composto lácteo Alibralac 1 kg</t>
        </is>
      </c>
      <c r="N4715" t="inlineStr">
        <is>
          <t>Cozinha Industrial</t>
        </is>
      </c>
      <c r="O4715" t="n">
        <v>7</v>
      </c>
      <c r="P4715" t="n">
        <v>12</v>
      </c>
      <c r="Q4715" t="n">
        <v>6</v>
      </c>
    </row>
    <row r="4716">
      <c r="J4716" t="inlineStr">
        <is>
          <t>M</t>
        </is>
      </c>
      <c r="K4716" t="n">
        <v>2025</v>
      </c>
      <c r="L4716" t="n">
        <v>8</v>
      </c>
      <c r="M4716" t="inlineStr">
        <is>
          <t>Composto lácteo Alibralac 1 kg</t>
        </is>
      </c>
      <c r="N4716" t="inlineStr">
        <is>
          <t>Cozinha Industrial</t>
        </is>
      </c>
      <c r="O4716" t="n">
        <v>1</v>
      </c>
      <c r="P4716" t="n">
        <v>1</v>
      </c>
      <c r="Q4716" t="n">
        <v>0</v>
      </c>
    </row>
    <row r="4717">
      <c r="J4717" t="inlineStr">
        <is>
          <t>A</t>
        </is>
      </c>
      <c r="K4717" t="n">
        <v>2025</v>
      </c>
      <c r="L4717" t="n">
        <v>9</v>
      </c>
      <c r="M4717" t="inlineStr">
        <is>
          <t>Composto lácteo Alibralac 1 kg</t>
        </is>
      </c>
      <c r="N4717" t="inlineStr">
        <is>
          <t>Cozinha Industrial</t>
        </is>
      </c>
      <c r="O4717" t="n">
        <v>7</v>
      </c>
      <c r="P4717" t="n">
        <v>22</v>
      </c>
      <c r="Q4717" t="n">
        <v>6</v>
      </c>
    </row>
    <row r="4718">
      <c r="J4718" t="inlineStr">
        <is>
          <t>M</t>
        </is>
      </c>
      <c r="K4718" t="n">
        <v>2025</v>
      </c>
      <c r="L4718" t="n">
        <v>9</v>
      </c>
      <c r="M4718" t="inlineStr">
        <is>
          <t>Composto lácteo Alibralac 1 kg</t>
        </is>
      </c>
      <c r="N4718" t="inlineStr">
        <is>
          <t>Cozinha Industrial</t>
        </is>
      </c>
      <c r="O4718" t="n">
        <v>1</v>
      </c>
      <c r="P4718" t="n">
        <v>10</v>
      </c>
      <c r="Q4718" t="n">
        <v>0</v>
      </c>
    </row>
    <row r="4719">
      <c r="J4719" t="inlineStr">
        <is>
          <t>A</t>
        </is>
      </c>
      <c r="K4719" t="n">
        <v>2025</v>
      </c>
      <c r="L4719" t="n">
        <v>10</v>
      </c>
      <c r="M4719" t="inlineStr">
        <is>
          <t>Composto lácteo Alibralac 1 kg</t>
        </is>
      </c>
      <c r="N4719" t="inlineStr">
        <is>
          <t>Cozinha Industrial</t>
        </is>
      </c>
      <c r="O4719" t="n">
        <v>7</v>
      </c>
      <c r="P4719" t="n">
        <v>30</v>
      </c>
      <c r="Q4719" t="n">
        <v>6</v>
      </c>
    </row>
    <row r="4720">
      <c r="J4720" t="inlineStr">
        <is>
          <t>M</t>
        </is>
      </c>
      <c r="K4720" t="n">
        <v>2025</v>
      </c>
      <c r="L4720" t="n">
        <v>10</v>
      </c>
      <c r="M4720" t="inlineStr">
        <is>
          <t>Composto lácteo Alibralac 1 kg</t>
        </is>
      </c>
      <c r="N4720" t="inlineStr">
        <is>
          <t>Cozinha Industrial</t>
        </is>
      </c>
      <c r="O4720" t="n">
        <v>2</v>
      </c>
      <c r="P4720" t="n">
        <v>8</v>
      </c>
      <c r="Q4720" t="n">
        <v>0</v>
      </c>
    </row>
    <row r="4721">
      <c r="J4721" t="inlineStr">
        <is>
          <t>A</t>
        </is>
      </c>
      <c r="K4721" t="n">
        <v>2025</v>
      </c>
      <c r="L4721" t="n">
        <v>11</v>
      </c>
      <c r="M4721" t="inlineStr">
        <is>
          <t>Composto lácteo Alibralac 1 kg</t>
        </is>
      </c>
      <c r="N4721" t="inlineStr">
        <is>
          <t>Cozinha Industrial</t>
        </is>
      </c>
      <c r="O4721" t="n">
        <v>8</v>
      </c>
      <c r="P4721" t="n">
        <v>33</v>
      </c>
      <c r="Q4721" t="n">
        <v>7</v>
      </c>
    </row>
    <row r="4722">
      <c r="J4722" t="inlineStr">
        <is>
          <t>M</t>
        </is>
      </c>
      <c r="K4722" t="n">
        <v>2025</v>
      </c>
      <c r="L4722" t="n">
        <v>11</v>
      </c>
      <c r="M4722" t="inlineStr">
        <is>
          <t>Composto lácteo Alibralac 1 kg</t>
        </is>
      </c>
      <c r="N4722" t="inlineStr">
        <is>
          <t>Cozinha Industrial</t>
        </is>
      </c>
      <c r="O4722" t="n">
        <v>1</v>
      </c>
      <c r="P4722" t="n">
        <v>3</v>
      </c>
      <c r="Q4722" t="n">
        <v>0</v>
      </c>
    </row>
    <row r="4723">
      <c r="J4723" t="inlineStr">
        <is>
          <t>A</t>
        </is>
      </c>
      <c r="K4723" t="n">
        <v>2025</v>
      </c>
      <c r="L4723" t="n">
        <v>12</v>
      </c>
      <c r="M4723" t="inlineStr">
        <is>
          <t>Composto lácteo Alibralac 1 kg</t>
        </is>
      </c>
      <c r="N4723" t="inlineStr">
        <is>
          <t>Cozinha Industrial</t>
        </is>
      </c>
      <c r="O4723" t="n">
        <v>8</v>
      </c>
      <c r="P4723" t="n">
        <v>33</v>
      </c>
      <c r="Q4723" t="n">
        <v>7</v>
      </c>
    </row>
    <row r="4724">
      <c r="J4724" t="inlineStr">
        <is>
          <t>A</t>
        </is>
      </c>
      <c r="K4724" t="n">
        <v>2025</v>
      </c>
      <c r="L4724" t="n">
        <v>6</v>
      </c>
      <c r="M4724" t="inlineStr">
        <is>
          <t>Composto lácteo Alibralac 1 kg</t>
        </is>
      </c>
      <c r="N4724" t="inlineStr">
        <is>
          <t>Fábrica de Massas</t>
        </is>
      </c>
      <c r="O4724" t="n">
        <v>1</v>
      </c>
      <c r="P4724" t="n">
        <v>1</v>
      </c>
      <c r="Q4724" t="n">
        <v>0</v>
      </c>
    </row>
    <row r="4725">
      <c r="J4725" t="inlineStr">
        <is>
          <t>M</t>
        </is>
      </c>
      <c r="K4725" t="n">
        <v>2025</v>
      </c>
      <c r="L4725" t="n">
        <v>6</v>
      </c>
      <c r="M4725" t="inlineStr">
        <is>
          <t>Composto lácteo Alibralac 1 kg</t>
        </is>
      </c>
      <c r="N4725" t="inlineStr">
        <is>
          <t>Fábrica de Massas</t>
        </is>
      </c>
      <c r="O4725" t="n">
        <v>1</v>
      </c>
      <c r="P4725" t="n">
        <v>1</v>
      </c>
      <c r="Q4725" t="n">
        <v>0</v>
      </c>
    </row>
    <row r="4726">
      <c r="J4726" t="inlineStr">
        <is>
          <t>A</t>
        </is>
      </c>
      <c r="K4726" t="n">
        <v>2025</v>
      </c>
      <c r="L4726" t="n">
        <v>7</v>
      </c>
      <c r="M4726" t="inlineStr">
        <is>
          <t>Composto lácteo Alibralac 1 kg</t>
        </is>
      </c>
      <c r="N4726" t="inlineStr">
        <is>
          <t>Fábrica de Massas</t>
        </is>
      </c>
      <c r="O4726" t="n">
        <v>1</v>
      </c>
      <c r="P4726" t="n">
        <v>1</v>
      </c>
      <c r="Q4726" t="n">
        <v>0</v>
      </c>
    </row>
    <row r="4727">
      <c r="J4727" t="inlineStr">
        <is>
          <t>A</t>
        </is>
      </c>
      <c r="K4727" t="n">
        <v>2025</v>
      </c>
      <c r="L4727" t="n">
        <v>8</v>
      </c>
      <c r="M4727" t="inlineStr">
        <is>
          <t>Composto lácteo Alibralac 1 kg</t>
        </is>
      </c>
      <c r="N4727" t="inlineStr">
        <is>
          <t>Fábrica de Massas</t>
        </is>
      </c>
      <c r="O4727" t="n">
        <v>1</v>
      </c>
      <c r="P4727" t="n">
        <v>1</v>
      </c>
      <c r="Q4727" t="n">
        <v>0</v>
      </c>
    </row>
    <row r="4728">
      <c r="J4728" t="inlineStr">
        <is>
          <t>A</t>
        </is>
      </c>
      <c r="K4728" t="n">
        <v>2025</v>
      </c>
      <c r="L4728" t="n">
        <v>9</v>
      </c>
      <c r="M4728" t="inlineStr">
        <is>
          <t>Composto lácteo Alibralac 1 kg</t>
        </is>
      </c>
      <c r="N4728" t="inlineStr">
        <is>
          <t>Fábrica de Massas</t>
        </is>
      </c>
      <c r="O4728" t="n">
        <v>1</v>
      </c>
      <c r="P4728" t="n">
        <v>2</v>
      </c>
      <c r="Q4728" t="n">
        <v>0</v>
      </c>
    </row>
    <row r="4729">
      <c r="J4729" t="inlineStr">
        <is>
          <t>M</t>
        </is>
      </c>
      <c r="K4729" t="n">
        <v>2025</v>
      </c>
      <c r="L4729" t="n">
        <v>9</v>
      </c>
      <c r="M4729" t="inlineStr">
        <is>
          <t>Composto lácteo Alibralac 1 kg</t>
        </is>
      </c>
      <c r="N4729" t="inlineStr">
        <is>
          <t>Fábrica de Massas</t>
        </is>
      </c>
      <c r="O4729" t="n">
        <v>1</v>
      </c>
      <c r="P4729" t="n">
        <v>1</v>
      </c>
      <c r="Q4729" t="n">
        <v>0</v>
      </c>
    </row>
    <row r="4730">
      <c r="J4730" t="inlineStr">
        <is>
          <t>A</t>
        </is>
      </c>
      <c r="K4730" t="n">
        <v>2025</v>
      </c>
      <c r="L4730" t="n">
        <v>10</v>
      </c>
      <c r="M4730" t="inlineStr">
        <is>
          <t>Composto lácteo Alibralac 1 kg</t>
        </is>
      </c>
      <c r="N4730" t="inlineStr">
        <is>
          <t>Fábrica de Massas</t>
        </is>
      </c>
      <c r="O4730" t="n">
        <v>1</v>
      </c>
      <c r="P4730" t="n">
        <v>3</v>
      </c>
      <c r="Q4730" t="n">
        <v>0</v>
      </c>
    </row>
    <row r="4731">
      <c r="J4731" t="inlineStr">
        <is>
          <t>M</t>
        </is>
      </c>
      <c r="K4731" t="n">
        <v>2025</v>
      </c>
      <c r="L4731" t="n">
        <v>10</v>
      </c>
      <c r="M4731" t="inlineStr">
        <is>
          <t>Composto lácteo Alibralac 1 kg</t>
        </is>
      </c>
      <c r="N4731" t="inlineStr">
        <is>
          <t>Fábrica de Massas</t>
        </is>
      </c>
      <c r="O4731" t="n">
        <v>1</v>
      </c>
      <c r="P4731" t="n">
        <v>1</v>
      </c>
      <c r="Q4731" t="n">
        <v>0</v>
      </c>
    </row>
    <row r="4732">
      <c r="J4732" t="inlineStr">
        <is>
          <t>A</t>
        </is>
      </c>
      <c r="K4732" t="n">
        <v>2025</v>
      </c>
      <c r="L4732" t="n">
        <v>11</v>
      </c>
      <c r="M4732" t="inlineStr">
        <is>
          <t>Composto lácteo Alibralac 1 kg</t>
        </is>
      </c>
      <c r="N4732" t="inlineStr">
        <is>
          <t>Fábrica de Massas</t>
        </is>
      </c>
      <c r="O4732" t="n">
        <v>1</v>
      </c>
      <c r="P4732" t="n">
        <v>3</v>
      </c>
      <c r="Q4732" t="n">
        <v>0</v>
      </c>
    </row>
    <row r="4733">
      <c r="J4733" t="inlineStr">
        <is>
          <t>A</t>
        </is>
      </c>
      <c r="K4733" t="n">
        <v>2025</v>
      </c>
      <c r="L4733" t="n">
        <v>12</v>
      </c>
      <c r="M4733" t="inlineStr">
        <is>
          <t>Composto lácteo Alibralac 1 kg</t>
        </is>
      </c>
      <c r="N4733" t="inlineStr">
        <is>
          <t>Fábrica de Massas</t>
        </is>
      </c>
      <c r="O4733" t="n">
        <v>1</v>
      </c>
      <c r="P4733" t="n">
        <v>3</v>
      </c>
      <c r="Q4733" t="n">
        <v>0</v>
      </c>
    </row>
    <row r="4734">
      <c r="J4734" t="inlineStr">
        <is>
          <t>A</t>
        </is>
      </c>
      <c r="K4734" t="n">
        <v>2025</v>
      </c>
      <c r="L4734" t="n">
        <v>3</v>
      </c>
      <c r="M4734" t="inlineStr">
        <is>
          <t>Composto lácteo Alibralac 1 kg</t>
        </is>
      </c>
      <c r="N4734" t="inlineStr">
        <is>
          <t>Outros</t>
        </is>
      </c>
      <c r="O4734" t="n">
        <v>1</v>
      </c>
      <c r="P4734" t="n">
        <v>1</v>
      </c>
      <c r="Q4734" t="n">
        <v>1</v>
      </c>
    </row>
    <row r="4735">
      <c r="J4735" t="inlineStr">
        <is>
          <t>M</t>
        </is>
      </c>
      <c r="K4735" t="n">
        <v>2025</v>
      </c>
      <c r="L4735" t="n">
        <v>3</v>
      </c>
      <c r="M4735" t="inlineStr">
        <is>
          <t>Composto lácteo Alibralac 1 kg</t>
        </is>
      </c>
      <c r="N4735" t="inlineStr">
        <is>
          <t>Outros</t>
        </is>
      </c>
      <c r="O4735" t="n">
        <v>1</v>
      </c>
      <c r="P4735" t="n">
        <v>1</v>
      </c>
      <c r="Q4735" t="n">
        <v>0</v>
      </c>
    </row>
    <row r="4736">
      <c r="J4736" t="inlineStr">
        <is>
          <t>A</t>
        </is>
      </c>
      <c r="K4736" t="n">
        <v>2025</v>
      </c>
      <c r="L4736" t="n">
        <v>4</v>
      </c>
      <c r="M4736" t="inlineStr">
        <is>
          <t>Composto lácteo Alibralac 1 kg</t>
        </is>
      </c>
      <c r="N4736" t="inlineStr">
        <is>
          <t>Outros</t>
        </is>
      </c>
      <c r="O4736" t="n">
        <v>1</v>
      </c>
      <c r="P4736" t="n">
        <v>1</v>
      </c>
      <c r="Q4736" t="n">
        <v>1</v>
      </c>
    </row>
    <row r="4737">
      <c r="J4737" t="inlineStr">
        <is>
          <t>A</t>
        </is>
      </c>
      <c r="K4737" t="n">
        <v>2025</v>
      </c>
      <c r="L4737" t="n">
        <v>5</v>
      </c>
      <c r="M4737" t="inlineStr">
        <is>
          <t>Composto lácteo Alibralac 1 kg</t>
        </is>
      </c>
      <c r="N4737" t="inlineStr">
        <is>
          <t>Outros</t>
        </is>
      </c>
      <c r="O4737" t="n">
        <v>1</v>
      </c>
      <c r="P4737" t="n">
        <v>1</v>
      </c>
      <c r="Q4737" t="n">
        <v>1</v>
      </c>
    </row>
    <row r="4738">
      <c r="J4738" t="inlineStr">
        <is>
          <t>A</t>
        </is>
      </c>
      <c r="K4738" t="n">
        <v>2025</v>
      </c>
      <c r="L4738" t="n">
        <v>6</v>
      </c>
      <c r="M4738" t="inlineStr">
        <is>
          <t>Composto lácteo Alibralac 1 kg</t>
        </is>
      </c>
      <c r="N4738" t="inlineStr">
        <is>
          <t>Outros</t>
        </is>
      </c>
      <c r="O4738" t="n">
        <v>1</v>
      </c>
      <c r="P4738" t="n">
        <v>1</v>
      </c>
      <c r="Q4738" t="n">
        <v>1</v>
      </c>
    </row>
    <row r="4739">
      <c r="J4739" t="inlineStr">
        <is>
          <t>A</t>
        </is>
      </c>
      <c r="K4739" t="n">
        <v>2025</v>
      </c>
      <c r="L4739" t="n">
        <v>7</v>
      </c>
      <c r="M4739" t="inlineStr">
        <is>
          <t>Composto lácteo Alibralac 1 kg</t>
        </is>
      </c>
      <c r="N4739" t="inlineStr">
        <is>
          <t>Outros</t>
        </is>
      </c>
      <c r="O4739" t="n">
        <v>3</v>
      </c>
      <c r="P4739" t="n">
        <v>3</v>
      </c>
      <c r="Q4739" t="n">
        <v>3</v>
      </c>
    </row>
    <row r="4740">
      <c r="J4740" t="inlineStr">
        <is>
          <t>M</t>
        </is>
      </c>
      <c r="K4740" t="n">
        <v>2025</v>
      </c>
      <c r="L4740" t="n">
        <v>7</v>
      </c>
      <c r="M4740" t="inlineStr">
        <is>
          <t>Composto lácteo Alibralac 1 kg</t>
        </is>
      </c>
      <c r="N4740" t="inlineStr">
        <is>
          <t>Outros</t>
        </is>
      </c>
      <c r="O4740" t="n">
        <v>2</v>
      </c>
      <c r="P4740" t="n">
        <v>2</v>
      </c>
      <c r="Q4740" t="n">
        <v>0</v>
      </c>
    </row>
    <row r="4741">
      <c r="J4741" t="inlineStr">
        <is>
          <t>A</t>
        </is>
      </c>
      <c r="K4741" t="n">
        <v>2025</v>
      </c>
      <c r="L4741" t="n">
        <v>8</v>
      </c>
      <c r="M4741" t="inlineStr">
        <is>
          <t>Composto lácteo Alibralac 1 kg</t>
        </is>
      </c>
      <c r="N4741" t="inlineStr">
        <is>
          <t>Outros</t>
        </is>
      </c>
      <c r="O4741" t="n">
        <v>3</v>
      </c>
      <c r="P4741" t="n">
        <v>3</v>
      </c>
      <c r="Q4741" t="n">
        <v>3</v>
      </c>
    </row>
    <row r="4742">
      <c r="J4742" t="inlineStr">
        <is>
          <t>A</t>
        </is>
      </c>
      <c r="K4742" t="n">
        <v>2025</v>
      </c>
      <c r="L4742" t="n">
        <v>9</v>
      </c>
      <c r="M4742" t="inlineStr">
        <is>
          <t>Composto lácteo Alibralac 1 kg</t>
        </is>
      </c>
      <c r="N4742" t="inlineStr">
        <is>
          <t>Outros</t>
        </is>
      </c>
      <c r="O4742" t="n">
        <v>3</v>
      </c>
      <c r="P4742" t="n">
        <v>3</v>
      </c>
      <c r="Q4742" t="n">
        <v>3</v>
      </c>
    </row>
    <row r="4743">
      <c r="J4743" t="inlineStr">
        <is>
          <t>A</t>
        </is>
      </c>
      <c r="K4743" t="n">
        <v>2025</v>
      </c>
      <c r="L4743" t="n">
        <v>10</v>
      </c>
      <c r="M4743" t="inlineStr">
        <is>
          <t>Composto lácteo Alibralac 1 kg</t>
        </is>
      </c>
      <c r="N4743" t="inlineStr">
        <is>
          <t>Outros</t>
        </is>
      </c>
      <c r="O4743" t="n">
        <v>3</v>
      </c>
      <c r="P4743" t="n">
        <v>3</v>
      </c>
      <c r="Q4743" t="n">
        <v>3</v>
      </c>
    </row>
    <row r="4744">
      <c r="J4744" t="inlineStr">
        <is>
          <t>A</t>
        </is>
      </c>
      <c r="K4744" t="n">
        <v>2025</v>
      </c>
      <c r="L4744" t="n">
        <v>11</v>
      </c>
      <c r="M4744" t="inlineStr">
        <is>
          <t>Composto lácteo Alibralac 1 kg</t>
        </is>
      </c>
      <c r="N4744" t="inlineStr">
        <is>
          <t>Outros</t>
        </is>
      </c>
      <c r="O4744" t="n">
        <v>3</v>
      </c>
      <c r="P4744" t="n">
        <v>3</v>
      </c>
      <c r="Q4744" t="n">
        <v>3</v>
      </c>
    </row>
    <row r="4745">
      <c r="J4745" t="inlineStr">
        <is>
          <t>A</t>
        </is>
      </c>
      <c r="K4745" t="n">
        <v>2025</v>
      </c>
      <c r="L4745" t="n">
        <v>12</v>
      </c>
      <c r="M4745" t="inlineStr">
        <is>
          <t>Composto lácteo Alibralac 1 kg</t>
        </is>
      </c>
      <c r="N4745" t="inlineStr">
        <is>
          <t>Outros</t>
        </is>
      </c>
      <c r="O4745" t="n">
        <v>3</v>
      </c>
      <c r="P4745" t="n">
        <v>3</v>
      </c>
      <c r="Q4745" t="n">
        <v>3</v>
      </c>
    </row>
    <row r="4746">
      <c r="J4746" t="inlineStr">
        <is>
          <t>A</t>
        </is>
      </c>
      <c r="K4746" t="n">
        <v>2025</v>
      </c>
      <c r="L4746" t="n">
        <v>4</v>
      </c>
      <c r="M4746" t="inlineStr">
        <is>
          <t>Composto lácteo Alibralac 1 kg</t>
        </is>
      </c>
      <c r="N4746" t="inlineStr">
        <is>
          <t>Pastelaria</t>
        </is>
      </c>
      <c r="O4746" t="n">
        <v>1</v>
      </c>
      <c r="P4746" t="n">
        <v>1</v>
      </c>
      <c r="Q4746" t="n">
        <v>1</v>
      </c>
    </row>
    <row r="4747">
      <c r="J4747" t="inlineStr">
        <is>
          <t>M</t>
        </is>
      </c>
      <c r="K4747" t="n">
        <v>2025</v>
      </c>
      <c r="L4747" t="n">
        <v>4</v>
      </c>
      <c r="M4747" t="inlineStr">
        <is>
          <t>Composto lácteo Alibralac 1 kg</t>
        </is>
      </c>
      <c r="N4747" t="inlineStr">
        <is>
          <t>Pastelaria</t>
        </is>
      </c>
      <c r="O4747" t="n">
        <v>1</v>
      </c>
      <c r="P4747" t="n">
        <v>1</v>
      </c>
      <c r="Q4747" t="n">
        <v>0</v>
      </c>
    </row>
    <row r="4748">
      <c r="J4748" t="inlineStr">
        <is>
          <t>A</t>
        </is>
      </c>
      <c r="K4748" t="n">
        <v>2025</v>
      </c>
      <c r="L4748" t="n">
        <v>5</v>
      </c>
      <c r="M4748" t="inlineStr">
        <is>
          <t>Composto lácteo Alibralac 1 kg</t>
        </is>
      </c>
      <c r="N4748" t="inlineStr">
        <is>
          <t>Pastelaria</t>
        </is>
      </c>
      <c r="O4748" t="n">
        <v>1</v>
      </c>
      <c r="P4748" t="n">
        <v>1</v>
      </c>
      <c r="Q4748" t="n">
        <v>1</v>
      </c>
    </row>
    <row r="4749">
      <c r="J4749" t="inlineStr">
        <is>
          <t>A</t>
        </is>
      </c>
      <c r="K4749" t="n">
        <v>2025</v>
      </c>
      <c r="L4749" t="n">
        <v>6</v>
      </c>
      <c r="M4749" t="inlineStr">
        <is>
          <t>Composto lácteo Alibralac 1 kg</t>
        </is>
      </c>
      <c r="N4749" t="inlineStr">
        <is>
          <t>Pastelaria</t>
        </is>
      </c>
      <c r="O4749" t="n">
        <v>1</v>
      </c>
      <c r="P4749" t="n">
        <v>1</v>
      </c>
      <c r="Q4749" t="n">
        <v>1</v>
      </c>
    </row>
    <row r="4750">
      <c r="J4750" t="inlineStr">
        <is>
          <t>A</t>
        </is>
      </c>
      <c r="K4750" t="n">
        <v>2025</v>
      </c>
      <c r="L4750" t="n">
        <v>7</v>
      </c>
      <c r="M4750" t="inlineStr">
        <is>
          <t>Composto lácteo Alibralac 1 kg</t>
        </is>
      </c>
      <c r="N4750" t="inlineStr">
        <is>
          <t>Pastelaria</t>
        </is>
      </c>
      <c r="O4750" t="n">
        <v>1</v>
      </c>
      <c r="P4750" t="n">
        <v>1</v>
      </c>
      <c r="Q4750" t="n">
        <v>1</v>
      </c>
    </row>
    <row r="4751">
      <c r="J4751" t="inlineStr">
        <is>
          <t>A</t>
        </is>
      </c>
      <c r="K4751" t="n">
        <v>2025</v>
      </c>
      <c r="L4751" t="n">
        <v>8</v>
      </c>
      <c r="M4751" t="inlineStr">
        <is>
          <t>Composto lácteo Alibralac 1 kg</t>
        </is>
      </c>
      <c r="N4751" t="inlineStr">
        <is>
          <t>Pastelaria</t>
        </is>
      </c>
      <c r="O4751" t="n">
        <v>1</v>
      </c>
      <c r="P4751" t="n">
        <v>1</v>
      </c>
      <c r="Q4751" t="n">
        <v>1</v>
      </c>
    </row>
    <row r="4752">
      <c r="J4752" t="inlineStr">
        <is>
          <t>A</t>
        </is>
      </c>
      <c r="K4752" t="n">
        <v>2025</v>
      </c>
      <c r="L4752" t="n">
        <v>9</v>
      </c>
      <c r="M4752" t="inlineStr">
        <is>
          <t>Composto lácteo Alibralac 1 kg</t>
        </is>
      </c>
      <c r="N4752" t="inlineStr">
        <is>
          <t>Pastelaria</t>
        </is>
      </c>
      <c r="O4752" t="n">
        <v>1</v>
      </c>
      <c r="P4752" t="n">
        <v>1</v>
      </c>
      <c r="Q4752" t="n">
        <v>1</v>
      </c>
    </row>
    <row r="4753">
      <c r="J4753" t="inlineStr">
        <is>
          <t>A</t>
        </is>
      </c>
      <c r="K4753" t="n">
        <v>2025</v>
      </c>
      <c r="L4753" t="n">
        <v>10</v>
      </c>
      <c r="M4753" t="inlineStr">
        <is>
          <t>Composto lácteo Alibralac 1 kg</t>
        </is>
      </c>
      <c r="N4753" t="inlineStr">
        <is>
          <t>Pastelaria</t>
        </is>
      </c>
      <c r="O4753" t="n">
        <v>1</v>
      </c>
      <c r="P4753" t="n">
        <v>1</v>
      </c>
      <c r="Q4753" t="n">
        <v>1</v>
      </c>
    </row>
    <row r="4754">
      <c r="J4754" t="inlineStr">
        <is>
          <t>A</t>
        </is>
      </c>
      <c r="K4754" t="n">
        <v>2025</v>
      </c>
      <c r="L4754" t="n">
        <v>11</v>
      </c>
      <c r="M4754" t="inlineStr">
        <is>
          <t>Composto lácteo Alibralac 1 kg</t>
        </is>
      </c>
      <c r="N4754" t="inlineStr">
        <is>
          <t>Pastelaria</t>
        </is>
      </c>
      <c r="O4754" t="n">
        <v>1</v>
      </c>
      <c r="P4754" t="n">
        <v>1</v>
      </c>
      <c r="Q4754" t="n">
        <v>1</v>
      </c>
    </row>
    <row r="4755">
      <c r="J4755" t="inlineStr">
        <is>
          <t>A</t>
        </is>
      </c>
      <c r="K4755" t="n">
        <v>2025</v>
      </c>
      <c r="L4755" t="n">
        <v>12</v>
      </c>
      <c r="M4755" t="inlineStr">
        <is>
          <t>Composto lácteo Alibralac 1 kg</t>
        </is>
      </c>
      <c r="N4755" t="inlineStr">
        <is>
          <t>Pastelaria</t>
        </is>
      </c>
      <c r="O4755" t="n">
        <v>1</v>
      </c>
      <c r="P4755" t="n">
        <v>1</v>
      </c>
      <c r="Q4755" t="n">
        <v>1</v>
      </c>
    </row>
    <row r="4756">
      <c r="J4756" t="inlineStr">
        <is>
          <t>A</t>
        </is>
      </c>
      <c r="K4756" t="n">
        <v>2025</v>
      </c>
      <c r="L4756" t="n">
        <v>3</v>
      </c>
      <c r="M4756" t="inlineStr">
        <is>
          <t>Composto lácteo Alibralac 1 kg</t>
        </is>
      </c>
      <c r="N4756" t="inlineStr">
        <is>
          <t>Lanchonete / Cafeteria</t>
        </is>
      </c>
      <c r="O4756" t="n">
        <v>1</v>
      </c>
      <c r="P4756" t="n">
        <v>1</v>
      </c>
      <c r="Q4756" t="n">
        <v>1</v>
      </c>
    </row>
    <row r="4757">
      <c r="J4757" t="inlineStr">
        <is>
          <t>M</t>
        </is>
      </c>
      <c r="K4757" t="n">
        <v>2025</v>
      </c>
      <c r="L4757" t="n">
        <v>3</v>
      </c>
      <c r="M4757" t="inlineStr">
        <is>
          <t>Composto lácteo Alibralac 1 kg</t>
        </is>
      </c>
      <c r="N4757" t="inlineStr">
        <is>
          <t>Lanchonete / Cafeteria</t>
        </is>
      </c>
      <c r="O4757" t="n">
        <v>1</v>
      </c>
      <c r="P4757" t="n">
        <v>1</v>
      </c>
      <c r="Q4757" t="n">
        <v>0</v>
      </c>
    </row>
    <row r="4758">
      <c r="J4758" t="inlineStr">
        <is>
          <t>A</t>
        </is>
      </c>
      <c r="K4758" t="n">
        <v>2025</v>
      </c>
      <c r="L4758" t="n">
        <v>4</v>
      </c>
      <c r="M4758" t="inlineStr">
        <is>
          <t>Composto lácteo Alibralac 1 kg</t>
        </is>
      </c>
      <c r="N4758" t="inlineStr">
        <is>
          <t>Lanchonete / Cafeteria</t>
        </is>
      </c>
      <c r="O4758" t="n">
        <v>1</v>
      </c>
      <c r="P4758" t="n">
        <v>1</v>
      </c>
      <c r="Q4758" t="n">
        <v>1</v>
      </c>
    </row>
    <row r="4759">
      <c r="J4759" t="inlineStr">
        <is>
          <t>A</t>
        </is>
      </c>
      <c r="K4759" t="n">
        <v>2025</v>
      </c>
      <c r="L4759" t="n">
        <v>5</v>
      </c>
      <c r="M4759" t="inlineStr">
        <is>
          <t>Composto lácteo Alibralac 1 kg</t>
        </is>
      </c>
      <c r="N4759" t="inlineStr">
        <is>
          <t>Lanchonete / Cafeteria</t>
        </is>
      </c>
      <c r="O4759" t="n">
        <v>1</v>
      </c>
      <c r="P4759" t="n">
        <v>1</v>
      </c>
      <c r="Q4759" t="n">
        <v>1</v>
      </c>
    </row>
    <row r="4760">
      <c r="J4760" t="inlineStr">
        <is>
          <t>A</t>
        </is>
      </c>
      <c r="K4760" t="n">
        <v>2025</v>
      </c>
      <c r="L4760" t="n">
        <v>6</v>
      </c>
      <c r="M4760" t="inlineStr">
        <is>
          <t>Composto lácteo Alibralac 1 kg</t>
        </is>
      </c>
      <c r="N4760" t="inlineStr">
        <is>
          <t>Lanchonete / Cafeteria</t>
        </is>
      </c>
      <c r="O4760" t="n">
        <v>1</v>
      </c>
      <c r="P4760" t="n">
        <v>1</v>
      </c>
      <c r="Q4760" t="n">
        <v>1</v>
      </c>
    </row>
    <row r="4761">
      <c r="J4761" t="inlineStr">
        <is>
          <t>A</t>
        </is>
      </c>
      <c r="K4761" t="n">
        <v>2025</v>
      </c>
      <c r="L4761" t="n">
        <v>7</v>
      </c>
      <c r="M4761" t="inlineStr">
        <is>
          <t>Composto lácteo Alibralac 1 kg</t>
        </is>
      </c>
      <c r="N4761" t="inlineStr">
        <is>
          <t>Lanchonete / Cafeteria</t>
        </is>
      </c>
      <c r="O4761" t="n">
        <v>1</v>
      </c>
      <c r="P4761" t="n">
        <v>1</v>
      </c>
      <c r="Q4761" t="n">
        <v>1</v>
      </c>
    </row>
    <row r="4762">
      <c r="J4762" t="inlineStr">
        <is>
          <t>A</t>
        </is>
      </c>
      <c r="K4762" t="n">
        <v>2025</v>
      </c>
      <c r="L4762" t="n">
        <v>8</v>
      </c>
      <c r="M4762" t="inlineStr">
        <is>
          <t>Composto lácteo Alibralac 1 kg</t>
        </is>
      </c>
      <c r="N4762" t="inlineStr">
        <is>
          <t>Lanchonete / Cafeteria</t>
        </is>
      </c>
      <c r="O4762" t="n">
        <v>2</v>
      </c>
      <c r="P4762" t="n">
        <v>2</v>
      </c>
      <c r="Q4762" t="n">
        <v>2</v>
      </c>
    </row>
    <row r="4763">
      <c r="J4763" t="inlineStr">
        <is>
          <t>M</t>
        </is>
      </c>
      <c r="K4763" t="n">
        <v>2025</v>
      </c>
      <c r="L4763" t="n">
        <v>8</v>
      </c>
      <c r="M4763" t="inlineStr">
        <is>
          <t>Composto lácteo Alibralac 1 kg</t>
        </is>
      </c>
      <c r="N4763" t="inlineStr">
        <is>
          <t>Lanchonete / Cafeteria</t>
        </is>
      </c>
      <c r="O4763" t="n">
        <v>1</v>
      </c>
      <c r="P4763" t="n">
        <v>1</v>
      </c>
      <c r="Q4763" t="n">
        <v>0</v>
      </c>
    </row>
    <row r="4764">
      <c r="J4764" t="inlineStr">
        <is>
          <t>A</t>
        </is>
      </c>
      <c r="K4764" t="n">
        <v>2025</v>
      </c>
      <c r="L4764" t="n">
        <v>9</v>
      </c>
      <c r="M4764" t="inlineStr">
        <is>
          <t>Composto lácteo Alibralac 1 kg</t>
        </is>
      </c>
      <c r="N4764" t="inlineStr">
        <is>
          <t>Lanchonete / Cafeteria</t>
        </is>
      </c>
      <c r="O4764" t="n">
        <v>2</v>
      </c>
      <c r="P4764" t="n">
        <v>2</v>
      </c>
      <c r="Q4764" t="n">
        <v>2</v>
      </c>
    </row>
    <row r="4765">
      <c r="J4765" t="inlineStr">
        <is>
          <t>A</t>
        </is>
      </c>
      <c r="K4765" t="n">
        <v>2025</v>
      </c>
      <c r="L4765" t="n">
        <v>10</v>
      </c>
      <c r="M4765" t="inlineStr">
        <is>
          <t>Composto lácteo Alibralac 1 kg</t>
        </is>
      </c>
      <c r="N4765" t="inlineStr">
        <is>
          <t>Lanchonete / Cafeteria</t>
        </is>
      </c>
      <c r="O4765" t="n">
        <v>2</v>
      </c>
      <c r="P4765" t="n">
        <v>2</v>
      </c>
      <c r="Q4765" t="n">
        <v>2</v>
      </c>
    </row>
    <row r="4766">
      <c r="J4766" t="inlineStr">
        <is>
          <t>A</t>
        </is>
      </c>
      <c r="K4766" t="n">
        <v>2025</v>
      </c>
      <c r="L4766" t="n">
        <v>11</v>
      </c>
      <c r="M4766" t="inlineStr">
        <is>
          <t>Composto lácteo Alibralac 1 kg</t>
        </is>
      </c>
      <c r="N4766" t="inlineStr">
        <is>
          <t>Lanchonete / Cafeteria</t>
        </is>
      </c>
      <c r="O4766" t="n">
        <v>3</v>
      </c>
      <c r="P4766" t="n">
        <v>4</v>
      </c>
      <c r="Q4766" t="n">
        <v>2</v>
      </c>
    </row>
    <row r="4767">
      <c r="J4767" t="inlineStr">
        <is>
          <t>M</t>
        </is>
      </c>
      <c r="K4767" t="n">
        <v>2025</v>
      </c>
      <c r="L4767" t="n">
        <v>11</v>
      </c>
      <c r="M4767" t="inlineStr">
        <is>
          <t>Composto lácteo Alibralac 1 kg</t>
        </is>
      </c>
      <c r="N4767" t="inlineStr">
        <is>
          <t>Lanchonete / Cafeteria</t>
        </is>
      </c>
      <c r="O4767" t="n">
        <v>1</v>
      </c>
      <c r="P4767" t="n">
        <v>2</v>
      </c>
      <c r="Q4767" t="n">
        <v>0</v>
      </c>
    </row>
    <row r="4768">
      <c r="J4768" t="inlineStr">
        <is>
          <t>A</t>
        </is>
      </c>
      <c r="K4768" t="n">
        <v>2025</v>
      </c>
      <c r="L4768" t="n">
        <v>12</v>
      </c>
      <c r="M4768" t="inlineStr">
        <is>
          <t>Composto lácteo Alibralac 1 kg</t>
        </is>
      </c>
      <c r="N4768" t="inlineStr">
        <is>
          <t>Lanchonete / Cafeteria</t>
        </is>
      </c>
      <c r="O4768" t="n">
        <v>3</v>
      </c>
      <c r="P4768" t="n">
        <v>4</v>
      </c>
      <c r="Q4768" t="n">
        <v>2</v>
      </c>
    </row>
    <row r="4769">
      <c r="J4769" t="inlineStr">
        <is>
          <t>A</t>
        </is>
      </c>
      <c r="K4769" t="n">
        <v>2025</v>
      </c>
      <c r="L4769" t="n">
        <v>1</v>
      </c>
      <c r="M4769" t="inlineStr">
        <is>
          <t>Composto lácteo Alibralac 1 kg</t>
        </is>
      </c>
      <c r="N4769" t="inlineStr">
        <is>
          <t>Padaria</t>
        </is>
      </c>
      <c r="O4769" t="n">
        <v>1</v>
      </c>
      <c r="P4769" t="n">
        <v>1</v>
      </c>
      <c r="Q4769" t="n">
        <v>0</v>
      </c>
    </row>
    <row r="4770">
      <c r="J4770" t="inlineStr">
        <is>
          <t>M</t>
        </is>
      </c>
      <c r="K4770" t="n">
        <v>2025</v>
      </c>
      <c r="L4770" t="n">
        <v>1</v>
      </c>
      <c r="M4770" t="inlineStr">
        <is>
          <t>Composto lácteo Alibralac 1 kg</t>
        </is>
      </c>
      <c r="N4770" t="inlineStr">
        <is>
          <t>Padaria</t>
        </is>
      </c>
      <c r="O4770" t="n">
        <v>1</v>
      </c>
      <c r="P4770" t="n">
        <v>1</v>
      </c>
      <c r="Q4770" t="n">
        <v>0</v>
      </c>
    </row>
    <row r="4771">
      <c r="J4771" t="inlineStr">
        <is>
          <t>A</t>
        </is>
      </c>
      <c r="K4771" t="n">
        <v>2025</v>
      </c>
      <c r="L4771" t="n">
        <v>2</v>
      </c>
      <c r="M4771" t="inlineStr">
        <is>
          <t>Composto lácteo Alibralac 1 kg</t>
        </is>
      </c>
      <c r="N4771" t="inlineStr">
        <is>
          <t>Padaria</t>
        </is>
      </c>
      <c r="O4771" t="n">
        <v>1</v>
      </c>
      <c r="P4771" t="n">
        <v>3</v>
      </c>
      <c r="Q4771" t="n">
        <v>0</v>
      </c>
    </row>
    <row r="4772">
      <c r="J4772" t="inlineStr">
        <is>
          <t>M</t>
        </is>
      </c>
      <c r="K4772" t="n">
        <v>2025</v>
      </c>
      <c r="L4772" t="n">
        <v>2</v>
      </c>
      <c r="M4772" t="inlineStr">
        <is>
          <t>Composto lácteo Alibralac 1 kg</t>
        </is>
      </c>
      <c r="N4772" t="inlineStr">
        <is>
          <t>Padaria</t>
        </is>
      </c>
      <c r="O4772" t="n">
        <v>1</v>
      </c>
      <c r="P4772" t="n">
        <v>2</v>
      </c>
      <c r="Q4772" t="n">
        <v>0</v>
      </c>
    </row>
    <row r="4773">
      <c r="J4773" t="inlineStr">
        <is>
          <t>A</t>
        </is>
      </c>
      <c r="K4773" t="n">
        <v>2025</v>
      </c>
      <c r="L4773" t="n">
        <v>3</v>
      </c>
      <c r="M4773" t="inlineStr">
        <is>
          <t>Composto lácteo Alibralac 1 kg</t>
        </is>
      </c>
      <c r="N4773" t="inlineStr">
        <is>
          <t>Padaria</t>
        </is>
      </c>
      <c r="O4773" t="n">
        <v>1</v>
      </c>
      <c r="P4773" t="n">
        <v>3</v>
      </c>
      <c r="Q4773" t="n">
        <v>0</v>
      </c>
    </row>
    <row r="4774">
      <c r="J4774" t="inlineStr">
        <is>
          <t>A</t>
        </is>
      </c>
      <c r="K4774" t="n">
        <v>2025</v>
      </c>
      <c r="L4774" t="n">
        <v>4</v>
      </c>
      <c r="M4774" t="inlineStr">
        <is>
          <t>Composto lácteo Alibralac 1 kg</t>
        </is>
      </c>
      <c r="N4774" t="inlineStr">
        <is>
          <t>Padaria</t>
        </is>
      </c>
      <c r="O4774" t="n">
        <v>1</v>
      </c>
      <c r="P4774" t="n">
        <v>3</v>
      </c>
      <c r="Q4774" t="n">
        <v>0</v>
      </c>
    </row>
    <row r="4775">
      <c r="J4775" t="inlineStr">
        <is>
          <t>A</t>
        </is>
      </c>
      <c r="K4775" t="n">
        <v>2025</v>
      </c>
      <c r="L4775" t="n">
        <v>5</v>
      </c>
      <c r="M4775" t="inlineStr">
        <is>
          <t>Composto lácteo Alibralac 1 kg</t>
        </is>
      </c>
      <c r="N4775" t="inlineStr">
        <is>
          <t>Padaria</t>
        </is>
      </c>
      <c r="O4775" t="n">
        <v>1</v>
      </c>
      <c r="P4775" t="n">
        <v>3</v>
      </c>
      <c r="Q4775" t="n">
        <v>0</v>
      </c>
    </row>
    <row r="4776">
      <c r="J4776" t="inlineStr">
        <is>
          <t>A</t>
        </is>
      </c>
      <c r="K4776" t="n">
        <v>2025</v>
      </c>
      <c r="L4776" t="n">
        <v>6</v>
      </c>
      <c r="M4776" t="inlineStr">
        <is>
          <t>Composto lácteo Alibralac 1 kg</t>
        </is>
      </c>
      <c r="N4776" t="inlineStr">
        <is>
          <t>Padaria</t>
        </is>
      </c>
      <c r="O4776" t="n">
        <v>1</v>
      </c>
      <c r="P4776" t="n">
        <v>4</v>
      </c>
      <c r="Q4776" t="n">
        <v>0</v>
      </c>
    </row>
    <row r="4777">
      <c r="J4777" t="inlineStr">
        <is>
          <t>M</t>
        </is>
      </c>
      <c r="K4777" t="n">
        <v>2025</v>
      </c>
      <c r="L4777" t="n">
        <v>6</v>
      </c>
      <c r="M4777" t="inlineStr">
        <is>
          <t>Composto lácteo Alibralac 1 kg</t>
        </is>
      </c>
      <c r="N4777" t="inlineStr">
        <is>
          <t>Padaria</t>
        </is>
      </c>
      <c r="O4777" t="n">
        <v>1</v>
      </c>
      <c r="P4777" t="n">
        <v>1</v>
      </c>
      <c r="Q4777" t="n">
        <v>0</v>
      </c>
    </row>
    <row r="4778">
      <c r="J4778" t="inlineStr">
        <is>
          <t>A</t>
        </is>
      </c>
      <c r="K4778" t="n">
        <v>2025</v>
      </c>
      <c r="L4778" t="n">
        <v>7</v>
      </c>
      <c r="M4778" t="inlineStr">
        <is>
          <t>Composto lácteo Alibralac 1 kg</t>
        </is>
      </c>
      <c r="N4778" t="inlineStr">
        <is>
          <t>Padaria</t>
        </is>
      </c>
      <c r="O4778" t="n">
        <v>1</v>
      </c>
      <c r="P4778" t="n">
        <v>4</v>
      </c>
      <c r="Q4778" t="n">
        <v>0</v>
      </c>
    </row>
    <row r="4779">
      <c r="J4779" t="inlineStr">
        <is>
          <t>A</t>
        </is>
      </c>
      <c r="K4779" t="n">
        <v>2025</v>
      </c>
      <c r="L4779" t="n">
        <v>8</v>
      </c>
      <c r="M4779" t="inlineStr">
        <is>
          <t>Composto lácteo Alibralac 1 kg</t>
        </is>
      </c>
      <c r="N4779" t="inlineStr">
        <is>
          <t>Padaria</t>
        </is>
      </c>
      <c r="O4779" t="n">
        <v>2</v>
      </c>
      <c r="P4779" t="n">
        <v>5</v>
      </c>
      <c r="Q4779" t="n">
        <v>1</v>
      </c>
    </row>
    <row r="4780">
      <c r="J4780" t="inlineStr">
        <is>
          <t>M</t>
        </is>
      </c>
      <c r="K4780" t="n">
        <v>2025</v>
      </c>
      <c r="L4780" t="n">
        <v>8</v>
      </c>
      <c r="M4780" t="inlineStr">
        <is>
          <t>Composto lácteo Alibralac 1 kg</t>
        </is>
      </c>
      <c r="N4780" t="inlineStr">
        <is>
          <t>Padaria</t>
        </is>
      </c>
      <c r="O4780" t="n">
        <v>1</v>
      </c>
      <c r="P4780" t="n">
        <v>1</v>
      </c>
      <c r="Q4780" t="n">
        <v>0</v>
      </c>
    </row>
    <row r="4781">
      <c r="J4781" t="inlineStr">
        <is>
          <t>A</t>
        </is>
      </c>
      <c r="K4781" t="n">
        <v>2025</v>
      </c>
      <c r="L4781" t="n">
        <v>9</v>
      </c>
      <c r="M4781" t="inlineStr">
        <is>
          <t>Composto lácteo Alibralac 1 kg</t>
        </is>
      </c>
      <c r="N4781" t="inlineStr">
        <is>
          <t>Padaria</t>
        </is>
      </c>
      <c r="O4781" t="n">
        <v>2</v>
      </c>
      <c r="P4781" t="n">
        <v>7</v>
      </c>
      <c r="Q4781" t="n">
        <v>1</v>
      </c>
    </row>
    <row r="4782">
      <c r="J4782" t="inlineStr">
        <is>
          <t>M</t>
        </is>
      </c>
      <c r="K4782" t="n">
        <v>2025</v>
      </c>
      <c r="L4782" t="n">
        <v>9</v>
      </c>
      <c r="M4782" t="inlineStr">
        <is>
          <t>Composto lácteo Alibralac 1 kg</t>
        </is>
      </c>
      <c r="N4782" t="inlineStr">
        <is>
          <t>Padaria</t>
        </is>
      </c>
      <c r="O4782" t="n">
        <v>1</v>
      </c>
      <c r="P4782" t="n">
        <v>2</v>
      </c>
      <c r="Q4782" t="n">
        <v>0</v>
      </c>
    </row>
    <row r="4783">
      <c r="J4783" t="inlineStr">
        <is>
          <t>A</t>
        </is>
      </c>
      <c r="K4783" t="n">
        <v>2025</v>
      </c>
      <c r="L4783" t="n">
        <v>10</v>
      </c>
      <c r="M4783" t="inlineStr">
        <is>
          <t>Composto lácteo Alibralac 1 kg</t>
        </is>
      </c>
      <c r="N4783" t="inlineStr">
        <is>
          <t>Padaria</t>
        </is>
      </c>
      <c r="O4783" t="n">
        <v>2</v>
      </c>
      <c r="P4783" t="n">
        <v>8</v>
      </c>
      <c r="Q4783" t="n">
        <v>1</v>
      </c>
    </row>
    <row r="4784">
      <c r="J4784" t="inlineStr">
        <is>
          <t>M</t>
        </is>
      </c>
      <c r="K4784" t="n">
        <v>2025</v>
      </c>
      <c r="L4784" t="n">
        <v>10</v>
      </c>
      <c r="M4784" t="inlineStr">
        <is>
          <t>Composto lácteo Alibralac 1 kg</t>
        </is>
      </c>
      <c r="N4784" t="inlineStr">
        <is>
          <t>Padaria</t>
        </is>
      </c>
      <c r="O4784" t="n">
        <v>1</v>
      </c>
      <c r="P4784" t="n">
        <v>1</v>
      </c>
      <c r="Q4784" t="n">
        <v>0</v>
      </c>
    </row>
    <row r="4785">
      <c r="J4785" t="inlineStr">
        <is>
          <t>A</t>
        </is>
      </c>
      <c r="K4785" t="n">
        <v>2025</v>
      </c>
      <c r="L4785" t="n">
        <v>11</v>
      </c>
      <c r="M4785" t="inlineStr">
        <is>
          <t>Composto lácteo Alibralac 1 kg</t>
        </is>
      </c>
      <c r="N4785" t="inlineStr">
        <is>
          <t>Padaria</t>
        </is>
      </c>
      <c r="O4785" t="n">
        <v>2</v>
      </c>
      <c r="P4785" t="n">
        <v>8</v>
      </c>
      <c r="Q4785" t="n">
        <v>1</v>
      </c>
    </row>
    <row r="4786">
      <c r="J4786" t="inlineStr">
        <is>
          <t>A</t>
        </is>
      </c>
      <c r="K4786" t="n">
        <v>2025</v>
      </c>
      <c r="L4786" t="n">
        <v>12</v>
      </c>
      <c r="M4786" t="inlineStr">
        <is>
          <t>Composto lácteo Alibralac 1 kg</t>
        </is>
      </c>
      <c r="N4786" t="inlineStr">
        <is>
          <t>Padaria</t>
        </is>
      </c>
      <c r="O4786" t="n">
        <v>2</v>
      </c>
      <c r="P4786" t="n">
        <v>9</v>
      </c>
      <c r="Q4786" t="n">
        <v>1</v>
      </c>
    </row>
    <row r="4787">
      <c r="J4787" t="inlineStr">
        <is>
          <t>M</t>
        </is>
      </c>
      <c r="K4787" t="n">
        <v>2025</v>
      </c>
      <c r="L4787" t="n">
        <v>12</v>
      </c>
      <c r="M4787" t="inlineStr">
        <is>
          <t>Composto lácteo Alibralac 1 kg</t>
        </is>
      </c>
      <c r="N4787" t="inlineStr">
        <is>
          <t>Padaria</t>
        </is>
      </c>
      <c r="O4787" t="n">
        <v>1</v>
      </c>
      <c r="P4787" t="n">
        <v>1</v>
      </c>
      <c r="Q4787" t="n">
        <v>0</v>
      </c>
    </row>
    <row r="4788">
      <c r="J4788" t="inlineStr">
        <is>
          <t>A</t>
        </is>
      </c>
      <c r="K4788" t="n">
        <v>2025</v>
      </c>
      <c r="L4788" t="n">
        <v>7</v>
      </c>
      <c r="M4788" t="inlineStr">
        <is>
          <t>Composto lácteo Alibralac 1 kg</t>
        </is>
      </c>
      <c r="N4788" t="inlineStr">
        <is>
          <t>Buffet</t>
        </is>
      </c>
      <c r="O4788" t="n">
        <v>1</v>
      </c>
      <c r="P4788" t="n">
        <v>1</v>
      </c>
      <c r="Q4788" t="n">
        <v>0</v>
      </c>
    </row>
    <row r="4789">
      <c r="J4789" t="inlineStr">
        <is>
          <t>M</t>
        </is>
      </c>
      <c r="K4789" t="n">
        <v>2025</v>
      </c>
      <c r="L4789" t="n">
        <v>7</v>
      </c>
      <c r="M4789" t="inlineStr">
        <is>
          <t>Composto lácteo Alibralac 1 kg</t>
        </is>
      </c>
      <c r="N4789" t="inlineStr">
        <is>
          <t>Buffet</t>
        </is>
      </c>
      <c r="O4789" t="n">
        <v>1</v>
      </c>
      <c r="P4789" t="n">
        <v>1</v>
      </c>
      <c r="Q4789" t="n">
        <v>0</v>
      </c>
    </row>
    <row r="4790">
      <c r="J4790" t="inlineStr">
        <is>
          <t>A</t>
        </is>
      </c>
      <c r="K4790" t="n">
        <v>2025</v>
      </c>
      <c r="L4790" t="n">
        <v>8</v>
      </c>
      <c r="M4790" t="inlineStr">
        <is>
          <t>Composto lácteo Alibralac 1 kg</t>
        </is>
      </c>
      <c r="N4790" t="inlineStr">
        <is>
          <t>Buffet</t>
        </is>
      </c>
      <c r="O4790" t="n">
        <v>1</v>
      </c>
      <c r="P4790" t="n">
        <v>1</v>
      </c>
      <c r="Q4790" t="n">
        <v>0</v>
      </c>
    </row>
    <row r="4791">
      <c r="J4791" t="inlineStr">
        <is>
          <t>A</t>
        </is>
      </c>
      <c r="K4791" t="n">
        <v>2025</v>
      </c>
      <c r="L4791" t="n">
        <v>9</v>
      </c>
      <c r="M4791" t="inlineStr">
        <is>
          <t>Composto lácteo Alibralac 1 kg</t>
        </is>
      </c>
      <c r="N4791" t="inlineStr">
        <is>
          <t>Buffet</t>
        </is>
      </c>
      <c r="O4791" t="n">
        <v>1</v>
      </c>
      <c r="P4791" t="n">
        <v>1</v>
      </c>
      <c r="Q4791" t="n">
        <v>0</v>
      </c>
    </row>
    <row r="4792">
      <c r="J4792" t="inlineStr">
        <is>
          <t>A</t>
        </is>
      </c>
      <c r="K4792" t="n">
        <v>2025</v>
      </c>
      <c r="L4792" t="n">
        <v>10</v>
      </c>
      <c r="M4792" t="inlineStr">
        <is>
          <t>Composto lácteo Alibralac 1 kg</t>
        </is>
      </c>
      <c r="N4792" t="inlineStr">
        <is>
          <t>Buffet</t>
        </is>
      </c>
      <c r="O4792" t="n">
        <v>1</v>
      </c>
      <c r="P4792" t="n">
        <v>1</v>
      </c>
      <c r="Q4792" t="n">
        <v>0</v>
      </c>
    </row>
    <row r="4793">
      <c r="J4793" t="inlineStr">
        <is>
          <t>A</t>
        </is>
      </c>
      <c r="K4793" t="n">
        <v>2025</v>
      </c>
      <c r="L4793" t="n">
        <v>11</v>
      </c>
      <c r="M4793" t="inlineStr">
        <is>
          <t>Composto lácteo Alibralac 1 kg</t>
        </is>
      </c>
      <c r="N4793" t="inlineStr">
        <is>
          <t>Buffet</t>
        </is>
      </c>
      <c r="O4793" t="n">
        <v>1</v>
      </c>
      <c r="P4793" t="n">
        <v>1</v>
      </c>
      <c r="Q4793" t="n">
        <v>0</v>
      </c>
    </row>
    <row r="4794">
      <c r="J4794" t="inlineStr">
        <is>
          <t>A</t>
        </is>
      </c>
      <c r="K4794" t="n">
        <v>2025</v>
      </c>
      <c r="L4794" t="n">
        <v>12</v>
      </c>
      <c r="M4794" t="inlineStr">
        <is>
          <t>Composto lácteo Alibralac 1 kg</t>
        </is>
      </c>
      <c r="N4794" t="inlineStr">
        <is>
          <t>Buffet</t>
        </is>
      </c>
      <c r="O4794" t="n">
        <v>1</v>
      </c>
      <c r="P4794" t="n">
        <v>1</v>
      </c>
      <c r="Q4794" t="n">
        <v>0</v>
      </c>
    </row>
    <row r="4795">
      <c r="J4795" t="inlineStr">
        <is>
          <t>A</t>
        </is>
      </c>
      <c r="K4795" t="n">
        <v>2025</v>
      </c>
      <c r="L4795" t="n">
        <v>1</v>
      </c>
      <c r="M4795" t="inlineStr">
        <is>
          <t>Composto lácteo Alibralac 1 kg</t>
        </is>
      </c>
      <c r="N4795" t="inlineStr">
        <is>
          <t>Hotel / Motel / Pousada</t>
        </is>
      </c>
      <c r="O4795" t="n">
        <v>1</v>
      </c>
      <c r="P4795" t="n">
        <v>2</v>
      </c>
      <c r="Q4795" t="n">
        <v>0</v>
      </c>
    </row>
    <row r="4796">
      <c r="J4796" t="inlineStr">
        <is>
          <t>M</t>
        </is>
      </c>
      <c r="K4796" t="n">
        <v>2025</v>
      </c>
      <c r="L4796" t="n">
        <v>1</v>
      </c>
      <c r="M4796" t="inlineStr">
        <is>
          <t>Composto lácteo Alibralac 1 kg</t>
        </is>
      </c>
      <c r="N4796" t="inlineStr">
        <is>
          <t>Hotel / Motel / Pousada</t>
        </is>
      </c>
      <c r="O4796" t="n">
        <v>1</v>
      </c>
      <c r="P4796" t="n">
        <v>2</v>
      </c>
      <c r="Q4796" t="n">
        <v>0</v>
      </c>
    </row>
    <row r="4797">
      <c r="J4797" t="inlineStr">
        <is>
          <t>A</t>
        </is>
      </c>
      <c r="K4797" t="n">
        <v>2025</v>
      </c>
      <c r="L4797" t="n">
        <v>2</v>
      </c>
      <c r="M4797" t="inlineStr">
        <is>
          <t>Composto lácteo Alibralac 1 kg</t>
        </is>
      </c>
      <c r="N4797" t="inlineStr">
        <is>
          <t>Hotel / Motel / Pousada</t>
        </is>
      </c>
      <c r="O4797" t="n">
        <v>2</v>
      </c>
      <c r="P4797" t="n">
        <v>4</v>
      </c>
      <c r="Q4797" t="n">
        <v>0</v>
      </c>
    </row>
    <row r="4798">
      <c r="J4798" t="inlineStr">
        <is>
          <t>M</t>
        </is>
      </c>
      <c r="K4798" t="n">
        <v>2025</v>
      </c>
      <c r="L4798" t="n">
        <v>2</v>
      </c>
      <c r="M4798" t="inlineStr">
        <is>
          <t>Composto lácteo Alibralac 1 kg</t>
        </is>
      </c>
      <c r="N4798" t="inlineStr">
        <is>
          <t>Hotel / Motel / Pousada</t>
        </is>
      </c>
      <c r="O4798" t="n">
        <v>2</v>
      </c>
      <c r="P4798" t="n">
        <v>2</v>
      </c>
      <c r="Q4798" t="n">
        <v>0</v>
      </c>
    </row>
    <row r="4799">
      <c r="J4799" t="inlineStr">
        <is>
          <t>A</t>
        </is>
      </c>
      <c r="K4799" t="n">
        <v>2025</v>
      </c>
      <c r="L4799" t="n">
        <v>3</v>
      </c>
      <c r="M4799" t="inlineStr">
        <is>
          <t>Composto lácteo Alibralac 1 kg</t>
        </is>
      </c>
      <c r="N4799" t="inlineStr">
        <is>
          <t>Hotel / Motel / Pousada</t>
        </is>
      </c>
      <c r="O4799" t="n">
        <v>2</v>
      </c>
      <c r="P4799" t="n">
        <v>4</v>
      </c>
      <c r="Q4799" t="n">
        <v>0</v>
      </c>
    </row>
    <row r="4800">
      <c r="J4800" t="inlineStr">
        <is>
          <t>A</t>
        </is>
      </c>
      <c r="K4800" t="n">
        <v>2025</v>
      </c>
      <c r="L4800" t="n">
        <v>4</v>
      </c>
      <c r="M4800" t="inlineStr">
        <is>
          <t>Composto lácteo Alibralac 1 kg</t>
        </is>
      </c>
      <c r="N4800" t="inlineStr">
        <is>
          <t>Hotel / Motel / Pousada</t>
        </is>
      </c>
      <c r="O4800" t="n">
        <v>2</v>
      </c>
      <c r="P4800" t="n">
        <v>4</v>
      </c>
      <c r="Q4800" t="n">
        <v>0</v>
      </c>
    </row>
    <row r="4801">
      <c r="J4801" t="inlineStr">
        <is>
          <t>A</t>
        </is>
      </c>
      <c r="K4801" t="n">
        <v>2025</v>
      </c>
      <c r="L4801" t="n">
        <v>5</v>
      </c>
      <c r="M4801" t="inlineStr">
        <is>
          <t>Composto lácteo Alibralac 1 kg</t>
        </is>
      </c>
      <c r="N4801" t="inlineStr">
        <is>
          <t>Hotel / Motel / Pousada</t>
        </is>
      </c>
      <c r="O4801" t="n">
        <v>2</v>
      </c>
      <c r="P4801" t="n">
        <v>5</v>
      </c>
      <c r="Q4801" t="n">
        <v>0</v>
      </c>
    </row>
    <row r="4802">
      <c r="J4802" t="inlineStr">
        <is>
          <t>M</t>
        </is>
      </c>
      <c r="K4802" t="n">
        <v>2025</v>
      </c>
      <c r="L4802" t="n">
        <v>5</v>
      </c>
      <c r="M4802" t="inlineStr">
        <is>
          <t>Composto lácteo Alibralac 1 kg</t>
        </is>
      </c>
      <c r="N4802" t="inlineStr">
        <is>
          <t>Hotel / Motel / Pousada</t>
        </is>
      </c>
      <c r="O4802" t="n">
        <v>1</v>
      </c>
      <c r="P4802" t="n">
        <v>1</v>
      </c>
      <c r="Q4802" t="n">
        <v>0</v>
      </c>
    </row>
    <row r="4803">
      <c r="J4803" t="inlineStr">
        <is>
          <t>A</t>
        </is>
      </c>
      <c r="K4803" t="n">
        <v>2025</v>
      </c>
      <c r="L4803" t="n">
        <v>6</v>
      </c>
      <c r="M4803" t="inlineStr">
        <is>
          <t>Composto lácteo Alibralac 1 kg</t>
        </is>
      </c>
      <c r="N4803" t="inlineStr">
        <is>
          <t>Hotel / Motel / Pousada</t>
        </is>
      </c>
      <c r="O4803" t="n">
        <v>2</v>
      </c>
      <c r="P4803" t="n">
        <v>8</v>
      </c>
      <c r="Q4803" t="n">
        <v>0</v>
      </c>
    </row>
    <row r="4804">
      <c r="J4804" t="inlineStr">
        <is>
          <t>M</t>
        </is>
      </c>
      <c r="K4804" t="n">
        <v>2025</v>
      </c>
      <c r="L4804" t="n">
        <v>6</v>
      </c>
      <c r="M4804" t="inlineStr">
        <is>
          <t>Composto lácteo Alibralac 1 kg</t>
        </is>
      </c>
      <c r="N4804" t="inlineStr">
        <is>
          <t>Hotel / Motel / Pousada</t>
        </is>
      </c>
      <c r="O4804" t="n">
        <v>1</v>
      </c>
      <c r="P4804" t="n">
        <v>3</v>
      </c>
      <c r="Q4804" t="n">
        <v>0</v>
      </c>
    </row>
    <row r="4805">
      <c r="J4805" t="inlineStr">
        <is>
          <t>A</t>
        </is>
      </c>
      <c r="K4805" t="n">
        <v>2025</v>
      </c>
      <c r="L4805" t="n">
        <v>7</v>
      </c>
      <c r="M4805" t="inlineStr">
        <is>
          <t>Composto lácteo Alibralac 1 kg</t>
        </is>
      </c>
      <c r="N4805" t="inlineStr">
        <is>
          <t>Hotel / Motel / Pousada</t>
        </is>
      </c>
      <c r="O4805" t="n">
        <v>2</v>
      </c>
      <c r="P4805" t="n">
        <v>11</v>
      </c>
      <c r="Q4805" t="n">
        <v>0</v>
      </c>
    </row>
    <row r="4806">
      <c r="J4806" t="inlineStr">
        <is>
          <t>M</t>
        </is>
      </c>
      <c r="K4806" t="n">
        <v>2025</v>
      </c>
      <c r="L4806" t="n">
        <v>7</v>
      </c>
      <c r="M4806" t="inlineStr">
        <is>
          <t>Composto lácteo Alibralac 1 kg</t>
        </is>
      </c>
      <c r="N4806" t="inlineStr">
        <is>
          <t>Hotel / Motel / Pousada</t>
        </is>
      </c>
      <c r="O4806" t="n">
        <v>1</v>
      </c>
      <c r="P4806" t="n">
        <v>3</v>
      </c>
      <c r="Q4806" t="n">
        <v>0</v>
      </c>
    </row>
    <row r="4807">
      <c r="J4807" t="inlineStr">
        <is>
          <t>A</t>
        </is>
      </c>
      <c r="K4807" t="n">
        <v>2025</v>
      </c>
      <c r="L4807" t="n">
        <v>8</v>
      </c>
      <c r="M4807" t="inlineStr">
        <is>
          <t>Composto lácteo Alibralac 1 kg</t>
        </is>
      </c>
      <c r="N4807" t="inlineStr">
        <is>
          <t>Hotel / Motel / Pousada</t>
        </is>
      </c>
      <c r="O4807" t="n">
        <v>2</v>
      </c>
      <c r="P4807" t="n">
        <v>12</v>
      </c>
      <c r="Q4807" t="n">
        <v>0</v>
      </c>
    </row>
    <row r="4808">
      <c r="J4808" t="inlineStr">
        <is>
          <t>M</t>
        </is>
      </c>
      <c r="K4808" t="n">
        <v>2025</v>
      </c>
      <c r="L4808" t="n">
        <v>8</v>
      </c>
      <c r="M4808" t="inlineStr">
        <is>
          <t>Composto lácteo Alibralac 1 kg</t>
        </is>
      </c>
      <c r="N4808" t="inlineStr">
        <is>
          <t>Hotel / Motel / Pousada</t>
        </is>
      </c>
      <c r="O4808" t="n">
        <v>1</v>
      </c>
      <c r="P4808" t="n">
        <v>1</v>
      </c>
      <c r="Q4808" t="n">
        <v>0</v>
      </c>
    </row>
    <row r="4809">
      <c r="J4809" t="inlineStr">
        <is>
          <t>A</t>
        </is>
      </c>
      <c r="K4809" t="n">
        <v>2025</v>
      </c>
      <c r="L4809" t="n">
        <v>9</v>
      </c>
      <c r="M4809" t="inlineStr">
        <is>
          <t>Composto lácteo Alibralac 1 kg</t>
        </is>
      </c>
      <c r="N4809" t="inlineStr">
        <is>
          <t>Hotel / Motel / Pousada</t>
        </is>
      </c>
      <c r="O4809" t="n">
        <v>2</v>
      </c>
      <c r="P4809" t="n">
        <v>13</v>
      </c>
      <c r="Q4809" t="n">
        <v>0</v>
      </c>
    </row>
    <row r="4810">
      <c r="J4810" t="inlineStr">
        <is>
          <t>M</t>
        </is>
      </c>
      <c r="K4810" t="n">
        <v>2025</v>
      </c>
      <c r="L4810" t="n">
        <v>9</v>
      </c>
      <c r="M4810" t="inlineStr">
        <is>
          <t>Composto lácteo Alibralac 1 kg</t>
        </is>
      </c>
      <c r="N4810" t="inlineStr">
        <is>
          <t>Hotel / Motel / Pousada</t>
        </is>
      </c>
      <c r="O4810" t="n">
        <v>1</v>
      </c>
      <c r="P4810" t="n">
        <v>1</v>
      </c>
      <c r="Q4810" t="n">
        <v>0</v>
      </c>
    </row>
    <row r="4811">
      <c r="J4811" t="inlineStr">
        <is>
          <t>A</t>
        </is>
      </c>
      <c r="K4811" t="n">
        <v>2025</v>
      </c>
      <c r="L4811" t="n">
        <v>10</v>
      </c>
      <c r="M4811" t="inlineStr">
        <is>
          <t>Composto lácteo Alibralac 1 kg</t>
        </is>
      </c>
      <c r="N4811" t="inlineStr">
        <is>
          <t>Hotel / Motel / Pousada</t>
        </is>
      </c>
      <c r="O4811" t="n">
        <v>2</v>
      </c>
      <c r="P4811" t="n">
        <v>13</v>
      </c>
      <c r="Q4811" t="n">
        <v>0</v>
      </c>
    </row>
    <row r="4812">
      <c r="J4812" t="inlineStr">
        <is>
          <t>A</t>
        </is>
      </c>
      <c r="K4812" t="n">
        <v>2025</v>
      </c>
      <c r="L4812" t="n">
        <v>11</v>
      </c>
      <c r="M4812" t="inlineStr">
        <is>
          <t>Composto lácteo Alibralac 1 kg</t>
        </is>
      </c>
      <c r="N4812" t="inlineStr">
        <is>
          <t>Hotel / Motel / Pousada</t>
        </is>
      </c>
      <c r="O4812" t="n">
        <v>3</v>
      </c>
      <c r="P4812" t="n">
        <v>16</v>
      </c>
      <c r="Q4812" t="n">
        <v>1</v>
      </c>
    </row>
    <row r="4813">
      <c r="J4813" t="inlineStr">
        <is>
          <t>M</t>
        </is>
      </c>
      <c r="K4813" t="n">
        <v>2025</v>
      </c>
      <c r="L4813" t="n">
        <v>11</v>
      </c>
      <c r="M4813" t="inlineStr">
        <is>
          <t>Composto lácteo Alibralac 1 kg</t>
        </is>
      </c>
      <c r="N4813" t="inlineStr">
        <is>
          <t>Hotel / Motel / Pousada</t>
        </is>
      </c>
      <c r="O4813" t="n">
        <v>2</v>
      </c>
      <c r="P4813" t="n">
        <v>3</v>
      </c>
      <c r="Q4813" t="n">
        <v>0</v>
      </c>
    </row>
    <row r="4814">
      <c r="J4814" t="inlineStr">
        <is>
          <t>A</t>
        </is>
      </c>
      <c r="K4814" t="n">
        <v>2025</v>
      </c>
      <c r="L4814" t="n">
        <v>12</v>
      </c>
      <c r="M4814" t="inlineStr">
        <is>
          <t>Composto lácteo Alibralac 1 kg</t>
        </is>
      </c>
      <c r="N4814" t="inlineStr">
        <is>
          <t>Hotel / Motel / Pousada</t>
        </is>
      </c>
      <c r="O4814" t="n">
        <v>3</v>
      </c>
      <c r="P4814" t="n">
        <v>17</v>
      </c>
      <c r="Q4814" t="n">
        <v>1</v>
      </c>
    </row>
    <row r="4815">
      <c r="J4815" t="inlineStr">
        <is>
          <t>M</t>
        </is>
      </c>
      <c r="K4815" t="n">
        <v>2025</v>
      </c>
      <c r="L4815" t="n">
        <v>12</v>
      </c>
      <c r="M4815" t="inlineStr">
        <is>
          <t>Composto lácteo Alibralac 1 kg</t>
        </is>
      </c>
      <c r="N4815" t="inlineStr">
        <is>
          <t>Hotel / Motel / Pousada</t>
        </is>
      </c>
      <c r="O4815" t="n">
        <v>1</v>
      </c>
      <c r="P4815" t="n">
        <v>1</v>
      </c>
      <c r="Q4815" t="n">
        <v>0</v>
      </c>
    </row>
    <row r="4816">
      <c r="J4816" t="inlineStr">
        <is>
          <t>A</t>
        </is>
      </c>
      <c r="K4816" t="n">
        <v>2025</v>
      </c>
      <c r="L4816" t="n">
        <v>4</v>
      </c>
      <c r="M4816" t="inlineStr">
        <is>
          <t>Composto lácteo Alibralac 1 kg</t>
        </is>
      </c>
      <c r="N4816" t="inlineStr">
        <is>
          <t>Churrascaria</t>
        </is>
      </c>
      <c r="O4816" t="n">
        <v>1</v>
      </c>
      <c r="P4816" t="n">
        <v>1</v>
      </c>
      <c r="Q4816" t="n">
        <v>0</v>
      </c>
    </row>
    <row r="4817">
      <c r="J4817" t="inlineStr">
        <is>
          <t>M</t>
        </is>
      </c>
      <c r="K4817" t="n">
        <v>2025</v>
      </c>
      <c r="L4817" t="n">
        <v>4</v>
      </c>
      <c r="M4817" t="inlineStr">
        <is>
          <t>Composto lácteo Alibralac 1 kg</t>
        </is>
      </c>
      <c r="N4817" t="inlineStr">
        <is>
          <t>Churrascaria</t>
        </is>
      </c>
      <c r="O4817" t="n">
        <v>1</v>
      </c>
      <c r="P4817" t="n">
        <v>1</v>
      </c>
      <c r="Q4817" t="n">
        <v>0</v>
      </c>
    </row>
    <row r="4818">
      <c r="J4818" t="inlineStr">
        <is>
          <t>A</t>
        </is>
      </c>
      <c r="K4818" t="n">
        <v>2025</v>
      </c>
      <c r="L4818" t="n">
        <v>5</v>
      </c>
      <c r="M4818" t="inlineStr">
        <is>
          <t>Composto lácteo Alibralac 1 kg</t>
        </is>
      </c>
      <c r="N4818" t="inlineStr">
        <is>
          <t>Churrascaria</t>
        </is>
      </c>
      <c r="O4818" t="n">
        <v>1</v>
      </c>
      <c r="P4818" t="n">
        <v>1</v>
      </c>
      <c r="Q4818" t="n">
        <v>0</v>
      </c>
    </row>
    <row r="4819">
      <c r="J4819" t="inlineStr">
        <is>
          <t>A</t>
        </is>
      </c>
      <c r="K4819" t="n">
        <v>2025</v>
      </c>
      <c r="L4819" t="n">
        <v>6</v>
      </c>
      <c r="M4819" t="inlineStr">
        <is>
          <t>Composto lácteo Alibralac 1 kg</t>
        </is>
      </c>
      <c r="N4819" t="inlineStr">
        <is>
          <t>Churrascaria</t>
        </is>
      </c>
      <c r="O4819" t="n">
        <v>1</v>
      </c>
      <c r="P4819" t="n">
        <v>1</v>
      </c>
      <c r="Q4819" t="n">
        <v>0</v>
      </c>
    </row>
    <row r="4820">
      <c r="J4820" t="inlineStr">
        <is>
          <t>A</t>
        </is>
      </c>
      <c r="K4820" t="n">
        <v>2025</v>
      </c>
      <c r="L4820" t="n">
        <v>7</v>
      </c>
      <c r="M4820" t="inlineStr">
        <is>
          <t>Composto lácteo Alibralac 1 kg</t>
        </is>
      </c>
      <c r="N4820" t="inlineStr">
        <is>
          <t>Churrascaria</t>
        </is>
      </c>
      <c r="O4820" t="n">
        <v>1</v>
      </c>
      <c r="P4820" t="n">
        <v>1</v>
      </c>
      <c r="Q4820" t="n">
        <v>0</v>
      </c>
    </row>
    <row r="4821">
      <c r="J4821" t="inlineStr">
        <is>
          <t>A</t>
        </is>
      </c>
      <c r="K4821" t="n">
        <v>2025</v>
      </c>
      <c r="L4821" t="n">
        <v>8</v>
      </c>
      <c r="M4821" t="inlineStr">
        <is>
          <t>Composto lácteo Alibralac 1 kg</t>
        </is>
      </c>
      <c r="N4821" t="inlineStr">
        <is>
          <t>Churrascaria</t>
        </is>
      </c>
      <c r="O4821" t="n">
        <v>1</v>
      </c>
      <c r="P4821" t="n">
        <v>1</v>
      </c>
      <c r="Q4821" t="n">
        <v>0</v>
      </c>
    </row>
    <row r="4822">
      <c r="J4822" t="inlineStr">
        <is>
          <t>A</t>
        </is>
      </c>
      <c r="K4822" t="n">
        <v>2025</v>
      </c>
      <c r="L4822" t="n">
        <v>9</v>
      </c>
      <c r="M4822" t="inlineStr">
        <is>
          <t>Composto lácteo Alibralac 1 kg</t>
        </is>
      </c>
      <c r="N4822" t="inlineStr">
        <is>
          <t>Churrascaria</t>
        </is>
      </c>
      <c r="O4822" t="n">
        <v>1</v>
      </c>
      <c r="P4822" t="n">
        <v>1</v>
      </c>
      <c r="Q4822" t="n">
        <v>0</v>
      </c>
    </row>
    <row r="4823">
      <c r="J4823" t="inlineStr">
        <is>
          <t>A</t>
        </is>
      </c>
      <c r="K4823" t="n">
        <v>2025</v>
      </c>
      <c r="L4823" t="n">
        <v>10</v>
      </c>
      <c r="M4823" t="inlineStr">
        <is>
          <t>Composto lácteo Alibralac 1 kg</t>
        </is>
      </c>
      <c r="N4823" t="inlineStr">
        <is>
          <t>Churrascaria</t>
        </is>
      </c>
      <c r="O4823" t="n">
        <v>1</v>
      </c>
      <c r="P4823" t="n">
        <v>1</v>
      </c>
      <c r="Q4823" t="n">
        <v>0</v>
      </c>
    </row>
    <row r="4824">
      <c r="J4824" t="inlineStr">
        <is>
          <t>A</t>
        </is>
      </c>
      <c r="K4824" t="n">
        <v>2025</v>
      </c>
      <c r="L4824" t="n">
        <v>11</v>
      </c>
      <c r="M4824" t="inlineStr">
        <is>
          <t>Composto lácteo Alibralac 1 kg</t>
        </is>
      </c>
      <c r="N4824" t="inlineStr">
        <is>
          <t>Churrascaria</t>
        </is>
      </c>
      <c r="O4824" t="n">
        <v>1</v>
      </c>
      <c r="P4824" t="n">
        <v>1</v>
      </c>
      <c r="Q4824" t="n">
        <v>0</v>
      </c>
    </row>
    <row r="4825">
      <c r="J4825" t="inlineStr">
        <is>
          <t>A</t>
        </is>
      </c>
      <c r="K4825" t="n">
        <v>2025</v>
      </c>
      <c r="L4825" t="n">
        <v>12</v>
      </c>
      <c r="M4825" t="inlineStr">
        <is>
          <t>Composto lácteo Alibralac 1 kg</t>
        </is>
      </c>
      <c r="N4825" t="inlineStr">
        <is>
          <t>Churrascaria</t>
        </is>
      </c>
      <c r="O4825" t="n">
        <v>1</v>
      </c>
      <c r="P4825" t="n">
        <v>1</v>
      </c>
      <c r="Q4825" t="n">
        <v>0</v>
      </c>
    </row>
    <row r="4826">
      <c r="J4826" t="inlineStr">
        <is>
          <t>A</t>
        </is>
      </c>
      <c r="K4826" t="n">
        <v>2025</v>
      </c>
      <c r="L4826" t="n">
        <v>2</v>
      </c>
      <c r="M4826" t="inlineStr">
        <is>
          <t>Composto lácteo Alibralac 1 kg</t>
        </is>
      </c>
      <c r="N4826" t="inlineStr">
        <is>
          <t>Hospital / Casa de Repouso</t>
        </is>
      </c>
      <c r="O4826" t="n">
        <v>2</v>
      </c>
      <c r="P4826" t="n">
        <v>4</v>
      </c>
      <c r="Q4826" t="n">
        <v>1</v>
      </c>
    </row>
    <row r="4827">
      <c r="J4827" t="inlineStr">
        <is>
          <t>M</t>
        </is>
      </c>
      <c r="K4827" t="n">
        <v>2025</v>
      </c>
      <c r="L4827" t="n">
        <v>2</v>
      </c>
      <c r="M4827" t="inlineStr">
        <is>
          <t>Composto lácteo Alibralac 1 kg</t>
        </is>
      </c>
      <c r="N4827" t="inlineStr">
        <is>
          <t>Hospital / Casa de Repouso</t>
        </is>
      </c>
      <c r="O4827" t="n">
        <v>2</v>
      </c>
      <c r="P4827" t="n">
        <v>4</v>
      </c>
      <c r="Q4827" t="n">
        <v>0</v>
      </c>
    </row>
    <row r="4828">
      <c r="J4828" t="inlineStr">
        <is>
          <t>A</t>
        </is>
      </c>
      <c r="K4828" t="n">
        <v>2025</v>
      </c>
      <c r="L4828" t="n">
        <v>3</v>
      </c>
      <c r="M4828" t="inlineStr">
        <is>
          <t>Composto lácteo Alibralac 1 kg</t>
        </is>
      </c>
      <c r="N4828" t="inlineStr">
        <is>
          <t>Hospital / Casa de Repouso</t>
        </is>
      </c>
      <c r="O4828" t="n">
        <v>2</v>
      </c>
      <c r="P4828" t="n">
        <v>4</v>
      </c>
      <c r="Q4828" t="n">
        <v>1</v>
      </c>
    </row>
    <row r="4829">
      <c r="J4829" t="inlineStr">
        <is>
          <t>A</t>
        </is>
      </c>
      <c r="K4829" t="n">
        <v>2025</v>
      </c>
      <c r="L4829" t="n">
        <v>4</v>
      </c>
      <c r="M4829" t="inlineStr">
        <is>
          <t>Composto lácteo Alibralac 1 kg</t>
        </is>
      </c>
      <c r="N4829" t="inlineStr">
        <is>
          <t>Hospital / Casa de Repouso</t>
        </is>
      </c>
      <c r="O4829" t="n">
        <v>2</v>
      </c>
      <c r="P4829" t="n">
        <v>4</v>
      </c>
      <c r="Q4829" t="n">
        <v>1</v>
      </c>
    </row>
    <row r="4830">
      <c r="J4830" t="inlineStr">
        <is>
          <t>A</t>
        </is>
      </c>
      <c r="K4830" t="n">
        <v>2025</v>
      </c>
      <c r="L4830" t="n">
        <v>5</v>
      </c>
      <c r="M4830" t="inlineStr">
        <is>
          <t>Composto lácteo Alibralac 1 kg</t>
        </is>
      </c>
      <c r="N4830" t="inlineStr">
        <is>
          <t>Hospital / Casa de Repouso</t>
        </is>
      </c>
      <c r="O4830" t="n">
        <v>2</v>
      </c>
      <c r="P4830" t="n">
        <v>4</v>
      </c>
      <c r="Q4830" t="n">
        <v>1</v>
      </c>
    </row>
    <row r="4831">
      <c r="J4831" t="inlineStr">
        <is>
          <t>A</t>
        </is>
      </c>
      <c r="K4831" t="n">
        <v>2025</v>
      </c>
      <c r="L4831" t="n">
        <v>6</v>
      </c>
      <c r="M4831" t="inlineStr">
        <is>
          <t>Composto lácteo Alibralac 1 kg</t>
        </is>
      </c>
      <c r="N4831" t="inlineStr">
        <is>
          <t>Hospital / Casa de Repouso</t>
        </is>
      </c>
      <c r="O4831" t="n">
        <v>2</v>
      </c>
      <c r="P4831" t="n">
        <v>4</v>
      </c>
      <c r="Q4831" t="n">
        <v>1</v>
      </c>
    </row>
    <row r="4832">
      <c r="J4832" t="inlineStr">
        <is>
          <t>A</t>
        </is>
      </c>
      <c r="K4832" t="n">
        <v>2025</v>
      </c>
      <c r="L4832" t="n">
        <v>7</v>
      </c>
      <c r="M4832" t="inlineStr">
        <is>
          <t>Composto lácteo Alibralac 1 kg</t>
        </is>
      </c>
      <c r="N4832" t="inlineStr">
        <is>
          <t>Hospital / Casa de Repouso</t>
        </is>
      </c>
      <c r="O4832" t="n">
        <v>2</v>
      </c>
      <c r="P4832" t="n">
        <v>4</v>
      </c>
      <c r="Q4832" t="n">
        <v>1</v>
      </c>
    </row>
    <row r="4833">
      <c r="J4833" t="inlineStr">
        <is>
          <t>A</t>
        </is>
      </c>
      <c r="K4833" t="n">
        <v>2025</v>
      </c>
      <c r="L4833" t="n">
        <v>8</v>
      </c>
      <c r="M4833" t="inlineStr">
        <is>
          <t>Composto lácteo Alibralac 1 kg</t>
        </is>
      </c>
      <c r="N4833" t="inlineStr">
        <is>
          <t>Hospital / Casa de Repouso</t>
        </is>
      </c>
      <c r="O4833" t="n">
        <v>2</v>
      </c>
      <c r="P4833" t="n">
        <v>4</v>
      </c>
      <c r="Q4833" t="n">
        <v>1</v>
      </c>
    </row>
    <row r="4834">
      <c r="J4834" t="inlineStr">
        <is>
          <t>A</t>
        </is>
      </c>
      <c r="K4834" t="n">
        <v>2025</v>
      </c>
      <c r="L4834" t="n">
        <v>9</v>
      </c>
      <c r="M4834" t="inlineStr">
        <is>
          <t>Composto lácteo Alibralac 1 kg</t>
        </is>
      </c>
      <c r="N4834" t="inlineStr">
        <is>
          <t>Hospital / Casa de Repouso</t>
        </is>
      </c>
      <c r="O4834" t="n">
        <v>2</v>
      </c>
      <c r="P4834" t="n">
        <v>4</v>
      </c>
      <c r="Q4834" t="n">
        <v>1</v>
      </c>
    </row>
    <row r="4835">
      <c r="J4835" t="inlineStr">
        <is>
          <t>A</t>
        </is>
      </c>
      <c r="K4835" t="n">
        <v>2025</v>
      </c>
      <c r="L4835" t="n">
        <v>10</v>
      </c>
      <c r="M4835" t="inlineStr">
        <is>
          <t>Composto lácteo Alibralac 1 kg</t>
        </is>
      </c>
      <c r="N4835" t="inlineStr">
        <is>
          <t>Hospital / Casa de Repouso</t>
        </is>
      </c>
      <c r="O4835" t="n">
        <v>2</v>
      </c>
      <c r="P4835" t="n">
        <v>4</v>
      </c>
      <c r="Q4835" t="n">
        <v>1</v>
      </c>
    </row>
    <row r="4836">
      <c r="J4836" t="inlineStr">
        <is>
          <t>A</t>
        </is>
      </c>
      <c r="K4836" t="n">
        <v>2025</v>
      </c>
      <c r="L4836" t="n">
        <v>11</v>
      </c>
      <c r="M4836" t="inlineStr">
        <is>
          <t>Composto lácteo Alibralac 1 kg</t>
        </is>
      </c>
      <c r="N4836" t="inlineStr">
        <is>
          <t>Hospital / Casa de Repouso</t>
        </is>
      </c>
      <c r="O4836" t="n">
        <v>2</v>
      </c>
      <c r="P4836" t="n">
        <v>4</v>
      </c>
      <c r="Q4836" t="n">
        <v>1</v>
      </c>
    </row>
    <row r="4837">
      <c r="J4837" t="inlineStr">
        <is>
          <t>A</t>
        </is>
      </c>
      <c r="K4837" t="n">
        <v>2025</v>
      </c>
      <c r="L4837" t="n">
        <v>12</v>
      </c>
      <c r="M4837" t="inlineStr">
        <is>
          <t>Composto lácteo Alibralac 1 kg</t>
        </is>
      </c>
      <c r="N4837" t="inlineStr">
        <is>
          <t>Hospital / Casa de Repouso</t>
        </is>
      </c>
      <c r="O4837" t="n">
        <v>2</v>
      </c>
      <c r="P4837" t="n">
        <v>4</v>
      </c>
      <c r="Q4837" t="n">
        <v>1</v>
      </c>
    </row>
    <row r="4838">
      <c r="J4838" t="inlineStr">
        <is>
          <t>A</t>
        </is>
      </c>
      <c r="K4838" t="n">
        <v>2025</v>
      </c>
      <c r="L4838" t="n">
        <v>1</v>
      </c>
      <c r="M4838" t="inlineStr">
        <is>
          <t>Composto lácteo Merilú 400 g</t>
        </is>
      </c>
      <c r="N4838" t="inlineStr">
        <is>
          <t>Todos</t>
        </is>
      </c>
      <c r="O4838" t="n">
        <v>11</v>
      </c>
      <c r="P4838" t="n">
        <v>14</v>
      </c>
      <c r="Q4838" t="n">
        <v>3</v>
      </c>
    </row>
    <row r="4839">
      <c r="J4839" t="inlineStr">
        <is>
          <t>M</t>
        </is>
      </c>
      <c r="K4839" t="n">
        <v>2025</v>
      </c>
      <c r="L4839" t="n">
        <v>1</v>
      </c>
      <c r="M4839" t="inlineStr">
        <is>
          <t>Composto lácteo Merilú 400 g</t>
        </is>
      </c>
      <c r="N4839" t="inlineStr">
        <is>
          <t>Todos</t>
        </is>
      </c>
      <c r="O4839" t="n">
        <v>11</v>
      </c>
      <c r="P4839" t="n">
        <v>14</v>
      </c>
      <c r="Q4839" t="n">
        <v>0</v>
      </c>
    </row>
    <row r="4840">
      <c r="J4840" t="inlineStr">
        <is>
          <t>A</t>
        </is>
      </c>
      <c r="K4840" t="n">
        <v>2025</v>
      </c>
      <c r="L4840" t="n">
        <v>2</v>
      </c>
      <c r="M4840" t="inlineStr">
        <is>
          <t>Composto lácteo Merilú 400 g</t>
        </is>
      </c>
      <c r="N4840" t="inlineStr">
        <is>
          <t>Todos</t>
        </is>
      </c>
      <c r="O4840" t="n">
        <v>13</v>
      </c>
      <c r="P4840" t="n">
        <v>27</v>
      </c>
      <c r="Q4840" t="n">
        <v>4</v>
      </c>
    </row>
    <row r="4841">
      <c r="J4841" t="inlineStr">
        <is>
          <t>M</t>
        </is>
      </c>
      <c r="K4841" t="n">
        <v>2025</v>
      </c>
      <c r="L4841" t="n">
        <v>2</v>
      </c>
      <c r="M4841" t="inlineStr">
        <is>
          <t>Composto lácteo Merilú 400 g</t>
        </is>
      </c>
      <c r="N4841" t="inlineStr">
        <is>
          <t>Todos</t>
        </is>
      </c>
      <c r="O4841" t="n">
        <v>8</v>
      </c>
      <c r="P4841" t="n">
        <v>13</v>
      </c>
      <c r="Q4841" t="n">
        <v>0</v>
      </c>
    </row>
    <row r="4842">
      <c r="J4842" t="inlineStr">
        <is>
          <t>A</t>
        </is>
      </c>
      <c r="K4842" t="n">
        <v>2025</v>
      </c>
      <c r="L4842" t="n">
        <v>3</v>
      </c>
      <c r="M4842" t="inlineStr">
        <is>
          <t>Composto lácteo Merilú 400 g</t>
        </is>
      </c>
      <c r="N4842" t="inlineStr">
        <is>
          <t>Todos</t>
        </is>
      </c>
      <c r="O4842" t="n">
        <v>17</v>
      </c>
      <c r="P4842" t="n">
        <v>43</v>
      </c>
      <c r="Q4842" t="n">
        <v>6</v>
      </c>
    </row>
    <row r="4843">
      <c r="J4843" t="inlineStr">
        <is>
          <t>M</t>
        </is>
      </c>
      <c r="K4843" t="n">
        <v>2025</v>
      </c>
      <c r="L4843" t="n">
        <v>3</v>
      </c>
      <c r="M4843" t="inlineStr">
        <is>
          <t>Composto lácteo Merilú 400 g</t>
        </is>
      </c>
      <c r="N4843" t="inlineStr">
        <is>
          <t>Todos</t>
        </is>
      </c>
      <c r="O4843" t="n">
        <v>9</v>
      </c>
      <c r="P4843" t="n">
        <v>16</v>
      </c>
      <c r="Q4843" t="n">
        <v>0</v>
      </c>
    </row>
    <row r="4844">
      <c r="J4844" t="inlineStr">
        <is>
          <t>A</t>
        </is>
      </c>
      <c r="K4844" t="n">
        <v>2025</v>
      </c>
      <c r="L4844" t="n">
        <v>4</v>
      </c>
      <c r="M4844" t="inlineStr">
        <is>
          <t>Composto lácteo Merilú 400 g</t>
        </is>
      </c>
      <c r="N4844" t="inlineStr">
        <is>
          <t>Todos</t>
        </is>
      </c>
      <c r="O4844" t="n">
        <v>18</v>
      </c>
      <c r="P4844" t="n">
        <v>53</v>
      </c>
      <c r="Q4844" t="n">
        <v>7</v>
      </c>
    </row>
    <row r="4845">
      <c r="J4845" t="inlineStr">
        <is>
          <t>M</t>
        </is>
      </c>
      <c r="K4845" t="n">
        <v>2025</v>
      </c>
      <c r="L4845" t="n">
        <v>4</v>
      </c>
      <c r="M4845" t="inlineStr">
        <is>
          <t>Composto lácteo Merilú 400 g</t>
        </is>
      </c>
      <c r="N4845" t="inlineStr">
        <is>
          <t>Todos</t>
        </is>
      </c>
      <c r="O4845" t="n">
        <v>6</v>
      </c>
      <c r="P4845" t="n">
        <v>10</v>
      </c>
      <c r="Q4845" t="n">
        <v>0</v>
      </c>
    </row>
    <row r="4846">
      <c r="J4846" t="inlineStr">
        <is>
          <t>A</t>
        </is>
      </c>
      <c r="K4846" t="n">
        <v>2025</v>
      </c>
      <c r="L4846" t="n">
        <v>5</v>
      </c>
      <c r="M4846" t="inlineStr">
        <is>
          <t>Composto lácteo Merilú 400 g</t>
        </is>
      </c>
      <c r="N4846" t="inlineStr">
        <is>
          <t>Todos</t>
        </is>
      </c>
      <c r="O4846" t="n">
        <v>20</v>
      </c>
      <c r="P4846" t="n">
        <v>67</v>
      </c>
      <c r="Q4846" t="n">
        <v>8</v>
      </c>
    </row>
    <row r="4847">
      <c r="J4847" t="inlineStr">
        <is>
          <t>M</t>
        </is>
      </c>
      <c r="K4847" t="n">
        <v>2025</v>
      </c>
      <c r="L4847" t="n">
        <v>5</v>
      </c>
      <c r="M4847" t="inlineStr">
        <is>
          <t>Composto lácteo Merilú 400 g</t>
        </is>
      </c>
      <c r="N4847" t="inlineStr">
        <is>
          <t>Todos</t>
        </is>
      </c>
      <c r="O4847" t="n">
        <v>8</v>
      </c>
      <c r="P4847" t="n">
        <v>14</v>
      </c>
      <c r="Q4847" t="n">
        <v>0</v>
      </c>
    </row>
    <row r="4848">
      <c r="J4848" t="inlineStr">
        <is>
          <t>A</t>
        </is>
      </c>
      <c r="K4848" t="n">
        <v>2025</v>
      </c>
      <c r="L4848" t="n">
        <v>6</v>
      </c>
      <c r="M4848" t="inlineStr">
        <is>
          <t>Composto lácteo Merilú 400 g</t>
        </is>
      </c>
      <c r="N4848" t="inlineStr">
        <is>
          <t>Todos</t>
        </is>
      </c>
      <c r="O4848" t="n">
        <v>22</v>
      </c>
      <c r="P4848" t="n">
        <v>79</v>
      </c>
      <c r="Q4848" t="n">
        <v>10</v>
      </c>
    </row>
    <row r="4849">
      <c r="J4849" t="inlineStr">
        <is>
          <t>M</t>
        </is>
      </c>
      <c r="K4849" t="n">
        <v>2025</v>
      </c>
      <c r="L4849" t="n">
        <v>6</v>
      </c>
      <c r="M4849" t="inlineStr">
        <is>
          <t>Composto lácteo Merilú 400 g</t>
        </is>
      </c>
      <c r="N4849" t="inlineStr">
        <is>
          <t>Todos</t>
        </is>
      </c>
      <c r="O4849" t="n">
        <v>8</v>
      </c>
      <c r="P4849" t="n">
        <v>12</v>
      </c>
      <c r="Q4849" t="n">
        <v>0</v>
      </c>
    </row>
    <row r="4850">
      <c r="J4850" t="inlineStr">
        <is>
          <t>A</t>
        </is>
      </c>
      <c r="K4850" t="n">
        <v>2025</v>
      </c>
      <c r="L4850" t="n">
        <v>7</v>
      </c>
      <c r="M4850" t="inlineStr">
        <is>
          <t>Composto lácteo Merilú 400 g</t>
        </is>
      </c>
      <c r="N4850" t="inlineStr">
        <is>
          <t>Todos</t>
        </is>
      </c>
      <c r="O4850" t="n">
        <v>24</v>
      </c>
      <c r="P4850" t="n">
        <v>97</v>
      </c>
      <c r="Q4850" t="n">
        <v>12</v>
      </c>
    </row>
    <row r="4851">
      <c r="J4851" t="inlineStr">
        <is>
          <t>M</t>
        </is>
      </c>
      <c r="K4851" t="n">
        <v>2025</v>
      </c>
      <c r="L4851" t="n">
        <v>7</v>
      </c>
      <c r="M4851" t="inlineStr">
        <is>
          <t>Composto lácteo Merilú 400 g</t>
        </is>
      </c>
      <c r="N4851" t="inlineStr">
        <is>
          <t>Todos</t>
        </is>
      </c>
      <c r="O4851" t="n">
        <v>10</v>
      </c>
      <c r="P4851" t="n">
        <v>18</v>
      </c>
      <c r="Q4851" t="n">
        <v>0</v>
      </c>
    </row>
    <row r="4852">
      <c r="J4852" t="inlineStr">
        <is>
          <t>A</t>
        </is>
      </c>
      <c r="K4852" t="n">
        <v>2025</v>
      </c>
      <c r="L4852" t="n">
        <v>8</v>
      </c>
      <c r="M4852" t="inlineStr">
        <is>
          <t>Composto lácteo Merilú 400 g</t>
        </is>
      </c>
      <c r="N4852" t="inlineStr">
        <is>
          <t>Todos</t>
        </is>
      </c>
      <c r="O4852" t="n">
        <v>26</v>
      </c>
      <c r="P4852" t="n">
        <v>109</v>
      </c>
      <c r="Q4852" t="n">
        <v>14</v>
      </c>
    </row>
    <row r="4853">
      <c r="J4853" t="inlineStr">
        <is>
          <t>M</t>
        </is>
      </c>
      <c r="K4853" t="n">
        <v>2025</v>
      </c>
      <c r="L4853" t="n">
        <v>8</v>
      </c>
      <c r="M4853" t="inlineStr">
        <is>
          <t>Composto lácteo Merilú 400 g</t>
        </is>
      </c>
      <c r="N4853" t="inlineStr">
        <is>
          <t>Todos</t>
        </is>
      </c>
      <c r="O4853" t="n">
        <v>8</v>
      </c>
      <c r="P4853" t="n">
        <v>12</v>
      </c>
      <c r="Q4853" t="n">
        <v>0</v>
      </c>
    </row>
    <row r="4854">
      <c r="J4854" t="inlineStr">
        <is>
          <t>A</t>
        </is>
      </c>
      <c r="K4854" t="n">
        <v>2025</v>
      </c>
      <c r="L4854" t="n">
        <v>9</v>
      </c>
      <c r="M4854" t="inlineStr">
        <is>
          <t>Composto lácteo Merilú 400 g</t>
        </is>
      </c>
      <c r="N4854" t="inlineStr">
        <is>
          <t>Todos</t>
        </is>
      </c>
      <c r="O4854" t="n">
        <v>27</v>
      </c>
      <c r="P4854" t="n">
        <v>123</v>
      </c>
      <c r="Q4854" t="n">
        <v>15</v>
      </c>
    </row>
    <row r="4855">
      <c r="J4855" t="inlineStr">
        <is>
          <t>M</t>
        </is>
      </c>
      <c r="K4855" t="n">
        <v>2025</v>
      </c>
      <c r="L4855" t="n">
        <v>9</v>
      </c>
      <c r="M4855" t="inlineStr">
        <is>
          <t>Composto lácteo Merilú 400 g</t>
        </is>
      </c>
      <c r="N4855" t="inlineStr">
        <is>
          <t>Todos</t>
        </is>
      </c>
      <c r="O4855" t="n">
        <v>9</v>
      </c>
      <c r="P4855" t="n">
        <v>14</v>
      </c>
      <c r="Q4855" t="n">
        <v>0</v>
      </c>
    </row>
    <row r="4856">
      <c r="J4856" t="inlineStr">
        <is>
          <t>A</t>
        </is>
      </c>
      <c r="K4856" t="n">
        <v>2025</v>
      </c>
      <c r="L4856" t="n">
        <v>10</v>
      </c>
      <c r="M4856" t="inlineStr">
        <is>
          <t>Composto lácteo Merilú 400 g</t>
        </is>
      </c>
      <c r="N4856" t="inlineStr">
        <is>
          <t>Todos</t>
        </is>
      </c>
      <c r="O4856" t="n">
        <v>31</v>
      </c>
      <c r="P4856" t="n">
        <v>143</v>
      </c>
      <c r="Q4856" t="n">
        <v>17</v>
      </c>
    </row>
    <row r="4857">
      <c r="J4857" t="inlineStr">
        <is>
          <t>M</t>
        </is>
      </c>
      <c r="K4857" t="n">
        <v>2025</v>
      </c>
      <c r="L4857" t="n">
        <v>10</v>
      </c>
      <c r="M4857" t="inlineStr">
        <is>
          <t>Composto lácteo Merilú 400 g</t>
        </is>
      </c>
      <c r="N4857" t="inlineStr">
        <is>
          <t>Todos</t>
        </is>
      </c>
      <c r="O4857" t="n">
        <v>12</v>
      </c>
      <c r="P4857" t="n">
        <v>20</v>
      </c>
      <c r="Q4857" t="n">
        <v>0</v>
      </c>
    </row>
    <row r="4858">
      <c r="J4858" t="inlineStr">
        <is>
          <t>A</t>
        </is>
      </c>
      <c r="K4858" t="n">
        <v>2025</v>
      </c>
      <c r="L4858" t="n">
        <v>11</v>
      </c>
      <c r="M4858" t="inlineStr">
        <is>
          <t>Composto lácteo Merilú 400 g</t>
        </is>
      </c>
      <c r="N4858" t="inlineStr">
        <is>
          <t>Todos</t>
        </is>
      </c>
      <c r="O4858" t="n">
        <v>37</v>
      </c>
      <c r="P4858" t="n">
        <v>162</v>
      </c>
      <c r="Q4858" t="n">
        <v>21</v>
      </c>
    </row>
    <row r="4859">
      <c r="J4859" t="inlineStr">
        <is>
          <t>M</t>
        </is>
      </c>
      <c r="K4859" t="n">
        <v>2025</v>
      </c>
      <c r="L4859" t="n">
        <v>11</v>
      </c>
      <c r="M4859" t="inlineStr">
        <is>
          <t>Composto lácteo Merilú 400 g</t>
        </is>
      </c>
      <c r="N4859" t="inlineStr">
        <is>
          <t>Todos</t>
        </is>
      </c>
      <c r="O4859" t="n">
        <v>12</v>
      </c>
      <c r="P4859" t="n">
        <v>19</v>
      </c>
      <c r="Q4859" t="n">
        <v>0</v>
      </c>
    </row>
    <row r="4860">
      <c r="J4860" t="inlineStr">
        <is>
          <t>A</t>
        </is>
      </c>
      <c r="K4860" t="n">
        <v>2025</v>
      </c>
      <c r="L4860" t="n">
        <v>12</v>
      </c>
      <c r="M4860" t="inlineStr">
        <is>
          <t>Composto lácteo Merilú 400 g</t>
        </is>
      </c>
      <c r="N4860" t="inlineStr">
        <is>
          <t>Todos</t>
        </is>
      </c>
      <c r="O4860" t="n">
        <v>40</v>
      </c>
      <c r="P4860" t="n">
        <v>182</v>
      </c>
      <c r="Q4860" t="n">
        <v>24</v>
      </c>
    </row>
    <row r="4861">
      <c r="J4861" t="inlineStr">
        <is>
          <t>M</t>
        </is>
      </c>
      <c r="K4861" t="n">
        <v>2025</v>
      </c>
      <c r="L4861" t="n">
        <v>12</v>
      </c>
      <c r="M4861" t="inlineStr">
        <is>
          <t>Composto lácteo Merilú 400 g</t>
        </is>
      </c>
      <c r="N4861" t="inlineStr">
        <is>
          <t>Todos</t>
        </is>
      </c>
      <c r="O4861" t="n">
        <v>8</v>
      </c>
      <c r="P4861" t="n">
        <v>20</v>
      </c>
      <c r="Q4861" t="n">
        <v>0</v>
      </c>
    </row>
    <row r="4862">
      <c r="J4862" t="inlineStr">
        <is>
          <t>A</t>
        </is>
      </c>
      <c r="K4862" t="n">
        <v>2025</v>
      </c>
      <c r="L4862" t="n">
        <v>1</v>
      </c>
      <c r="M4862" t="inlineStr">
        <is>
          <t>Composto lácteo Merilú 400 g</t>
        </is>
      </c>
      <c r="N4862" t="inlineStr">
        <is>
          <t>Pizzaria</t>
        </is>
      </c>
      <c r="O4862" t="n">
        <v>2</v>
      </c>
      <c r="P4862" t="n">
        <v>2</v>
      </c>
      <c r="Q4862" t="n">
        <v>2</v>
      </c>
    </row>
    <row r="4863">
      <c r="J4863" t="inlineStr">
        <is>
          <t>M</t>
        </is>
      </c>
      <c r="K4863" t="n">
        <v>2025</v>
      </c>
      <c r="L4863" t="n">
        <v>1</v>
      </c>
      <c r="M4863" t="inlineStr">
        <is>
          <t>Composto lácteo Merilú 400 g</t>
        </is>
      </c>
      <c r="N4863" t="inlineStr">
        <is>
          <t>Pizzaria</t>
        </is>
      </c>
      <c r="O4863" t="n">
        <v>2</v>
      </c>
      <c r="P4863" t="n">
        <v>2</v>
      </c>
      <c r="Q4863" t="n">
        <v>0</v>
      </c>
    </row>
    <row r="4864">
      <c r="J4864" t="inlineStr">
        <is>
          <t>A</t>
        </is>
      </c>
      <c r="K4864" t="n">
        <v>2025</v>
      </c>
      <c r="L4864" t="n">
        <v>2</v>
      </c>
      <c r="M4864" t="inlineStr">
        <is>
          <t>Composto lácteo Merilú 400 g</t>
        </is>
      </c>
      <c r="N4864" t="inlineStr">
        <is>
          <t>Pizzaria</t>
        </is>
      </c>
      <c r="O4864" t="n">
        <v>2</v>
      </c>
      <c r="P4864" t="n">
        <v>2</v>
      </c>
      <c r="Q4864" t="n">
        <v>2</v>
      </c>
    </row>
    <row r="4865">
      <c r="J4865" t="inlineStr">
        <is>
          <t>A</t>
        </is>
      </c>
      <c r="K4865" t="n">
        <v>2025</v>
      </c>
      <c r="L4865" t="n">
        <v>3</v>
      </c>
      <c r="M4865" t="inlineStr">
        <is>
          <t>Composto lácteo Merilú 400 g</t>
        </is>
      </c>
      <c r="N4865" t="inlineStr">
        <is>
          <t>Pizzaria</t>
        </is>
      </c>
      <c r="O4865" t="n">
        <v>2</v>
      </c>
      <c r="P4865" t="n">
        <v>2</v>
      </c>
      <c r="Q4865" t="n">
        <v>2</v>
      </c>
    </row>
    <row r="4866">
      <c r="J4866" t="inlineStr">
        <is>
          <t>A</t>
        </is>
      </c>
      <c r="K4866" t="n">
        <v>2025</v>
      </c>
      <c r="L4866" t="n">
        <v>4</v>
      </c>
      <c r="M4866" t="inlineStr">
        <is>
          <t>Composto lácteo Merilú 400 g</t>
        </is>
      </c>
      <c r="N4866" t="inlineStr">
        <is>
          <t>Pizzaria</t>
        </is>
      </c>
      <c r="O4866" t="n">
        <v>2</v>
      </c>
      <c r="P4866" t="n">
        <v>3</v>
      </c>
      <c r="Q4866" t="n">
        <v>2</v>
      </c>
    </row>
    <row r="4867">
      <c r="J4867" t="inlineStr">
        <is>
          <t>M</t>
        </is>
      </c>
      <c r="K4867" t="n">
        <v>2025</v>
      </c>
      <c r="L4867" t="n">
        <v>4</v>
      </c>
      <c r="M4867" t="inlineStr">
        <is>
          <t>Composto lácteo Merilú 400 g</t>
        </is>
      </c>
      <c r="N4867" t="inlineStr">
        <is>
          <t>Pizzaria</t>
        </is>
      </c>
      <c r="O4867" t="n">
        <v>1</v>
      </c>
      <c r="P4867" t="n">
        <v>1</v>
      </c>
      <c r="Q4867" t="n">
        <v>0</v>
      </c>
    </row>
    <row r="4868">
      <c r="J4868" t="inlineStr">
        <is>
          <t>A</t>
        </is>
      </c>
      <c r="K4868" t="n">
        <v>2025</v>
      </c>
      <c r="L4868" t="n">
        <v>5</v>
      </c>
      <c r="M4868" t="inlineStr">
        <is>
          <t>Composto lácteo Merilú 400 g</t>
        </is>
      </c>
      <c r="N4868" t="inlineStr">
        <is>
          <t>Pizzaria</t>
        </is>
      </c>
      <c r="O4868" t="n">
        <v>2</v>
      </c>
      <c r="P4868" t="n">
        <v>3</v>
      </c>
      <c r="Q4868" t="n">
        <v>2</v>
      </c>
    </row>
    <row r="4869">
      <c r="J4869" t="inlineStr">
        <is>
          <t>A</t>
        </is>
      </c>
      <c r="K4869" t="n">
        <v>2025</v>
      </c>
      <c r="L4869" t="n">
        <v>6</v>
      </c>
      <c r="M4869" t="inlineStr">
        <is>
          <t>Composto lácteo Merilú 400 g</t>
        </is>
      </c>
      <c r="N4869" t="inlineStr">
        <is>
          <t>Pizzaria</t>
        </is>
      </c>
      <c r="O4869" t="n">
        <v>3</v>
      </c>
      <c r="P4869" t="n">
        <v>5</v>
      </c>
      <c r="Q4869" t="n">
        <v>3</v>
      </c>
    </row>
    <row r="4870">
      <c r="J4870" t="inlineStr">
        <is>
          <t>M</t>
        </is>
      </c>
      <c r="K4870" t="n">
        <v>2025</v>
      </c>
      <c r="L4870" t="n">
        <v>6</v>
      </c>
      <c r="M4870" t="inlineStr">
        <is>
          <t>Composto lácteo Merilú 400 g</t>
        </is>
      </c>
      <c r="N4870" t="inlineStr">
        <is>
          <t>Pizzaria</t>
        </is>
      </c>
      <c r="O4870" t="n">
        <v>2</v>
      </c>
      <c r="P4870" t="n">
        <v>2</v>
      </c>
      <c r="Q4870" t="n">
        <v>0</v>
      </c>
    </row>
    <row r="4871">
      <c r="J4871" t="inlineStr">
        <is>
          <t>A</t>
        </is>
      </c>
      <c r="K4871" t="n">
        <v>2025</v>
      </c>
      <c r="L4871" t="n">
        <v>7</v>
      </c>
      <c r="M4871" t="inlineStr">
        <is>
          <t>Composto lácteo Merilú 400 g</t>
        </is>
      </c>
      <c r="N4871" t="inlineStr">
        <is>
          <t>Pizzaria</t>
        </is>
      </c>
      <c r="O4871" t="n">
        <v>3</v>
      </c>
      <c r="P4871" t="n">
        <v>5</v>
      </c>
      <c r="Q4871" t="n">
        <v>3</v>
      </c>
    </row>
    <row r="4872">
      <c r="J4872" t="inlineStr">
        <is>
          <t>A</t>
        </is>
      </c>
      <c r="K4872" t="n">
        <v>2025</v>
      </c>
      <c r="L4872" t="n">
        <v>8</v>
      </c>
      <c r="M4872" t="inlineStr">
        <is>
          <t>Composto lácteo Merilú 400 g</t>
        </is>
      </c>
      <c r="N4872" t="inlineStr">
        <is>
          <t>Pizzaria</t>
        </is>
      </c>
      <c r="O4872" t="n">
        <v>3</v>
      </c>
      <c r="P4872" t="n">
        <v>5</v>
      </c>
      <c r="Q4872" t="n">
        <v>3</v>
      </c>
    </row>
    <row r="4873">
      <c r="J4873" t="inlineStr">
        <is>
          <t>A</t>
        </is>
      </c>
      <c r="K4873" t="n">
        <v>2025</v>
      </c>
      <c r="L4873" t="n">
        <v>9</v>
      </c>
      <c r="M4873" t="inlineStr">
        <is>
          <t>Composto lácteo Merilú 400 g</t>
        </is>
      </c>
      <c r="N4873" t="inlineStr">
        <is>
          <t>Pizzaria</t>
        </is>
      </c>
      <c r="O4873" t="n">
        <v>4</v>
      </c>
      <c r="P4873" t="n">
        <v>6</v>
      </c>
      <c r="Q4873" t="n">
        <v>4</v>
      </c>
    </row>
    <row r="4874">
      <c r="J4874" t="inlineStr">
        <is>
          <t>M</t>
        </is>
      </c>
      <c r="K4874" t="n">
        <v>2025</v>
      </c>
      <c r="L4874" t="n">
        <v>9</v>
      </c>
      <c r="M4874" t="inlineStr">
        <is>
          <t>Composto lácteo Merilú 400 g</t>
        </is>
      </c>
      <c r="N4874" t="inlineStr">
        <is>
          <t>Pizzaria</t>
        </is>
      </c>
      <c r="O4874" t="n">
        <v>1</v>
      </c>
      <c r="P4874" t="n">
        <v>1</v>
      </c>
      <c r="Q4874" t="n">
        <v>0</v>
      </c>
    </row>
    <row r="4875">
      <c r="J4875" t="inlineStr">
        <is>
          <t>A</t>
        </is>
      </c>
      <c r="K4875" t="n">
        <v>2025</v>
      </c>
      <c r="L4875" t="n">
        <v>10</v>
      </c>
      <c r="M4875" t="inlineStr">
        <is>
          <t>Composto lácteo Merilú 400 g</t>
        </is>
      </c>
      <c r="N4875" t="inlineStr">
        <is>
          <t>Pizzaria</t>
        </is>
      </c>
      <c r="O4875" t="n">
        <v>5</v>
      </c>
      <c r="P4875" t="n">
        <v>9</v>
      </c>
      <c r="Q4875" t="n">
        <v>4</v>
      </c>
    </row>
    <row r="4876">
      <c r="J4876" t="inlineStr">
        <is>
          <t>M</t>
        </is>
      </c>
      <c r="K4876" t="n">
        <v>2025</v>
      </c>
      <c r="L4876" t="n">
        <v>10</v>
      </c>
      <c r="M4876" t="inlineStr">
        <is>
          <t>Composto lácteo Merilú 400 g</t>
        </is>
      </c>
      <c r="N4876" t="inlineStr">
        <is>
          <t>Pizzaria</t>
        </is>
      </c>
      <c r="O4876" t="n">
        <v>2</v>
      </c>
      <c r="P4876" t="n">
        <v>3</v>
      </c>
      <c r="Q4876" t="n">
        <v>0</v>
      </c>
    </row>
    <row r="4877">
      <c r="J4877" t="inlineStr">
        <is>
          <t>A</t>
        </is>
      </c>
      <c r="K4877" t="n">
        <v>2025</v>
      </c>
      <c r="L4877" t="n">
        <v>11</v>
      </c>
      <c r="M4877" t="inlineStr">
        <is>
          <t>Composto lácteo Merilú 400 g</t>
        </is>
      </c>
      <c r="N4877" t="inlineStr">
        <is>
          <t>Pizzaria</t>
        </is>
      </c>
      <c r="O4877" t="n">
        <v>7</v>
      </c>
      <c r="P4877" t="n">
        <v>11</v>
      </c>
      <c r="Q4877" t="n">
        <v>4</v>
      </c>
    </row>
    <row r="4878">
      <c r="J4878" t="inlineStr">
        <is>
          <t>M</t>
        </is>
      </c>
      <c r="K4878" t="n">
        <v>2025</v>
      </c>
      <c r="L4878" t="n">
        <v>11</v>
      </c>
      <c r="M4878" t="inlineStr">
        <is>
          <t>Composto lácteo Merilú 400 g</t>
        </is>
      </c>
      <c r="N4878" t="inlineStr">
        <is>
          <t>Pizzaria</t>
        </is>
      </c>
      <c r="O4878" t="n">
        <v>2</v>
      </c>
      <c r="P4878" t="n">
        <v>2</v>
      </c>
      <c r="Q4878" t="n">
        <v>0</v>
      </c>
    </row>
    <row r="4879">
      <c r="J4879" t="inlineStr">
        <is>
          <t>A</t>
        </is>
      </c>
      <c r="K4879" t="n">
        <v>2025</v>
      </c>
      <c r="L4879" t="n">
        <v>12</v>
      </c>
      <c r="M4879" t="inlineStr">
        <is>
          <t>Composto lácteo Merilú 400 g</t>
        </is>
      </c>
      <c r="N4879" t="inlineStr">
        <is>
          <t>Pizzaria</t>
        </is>
      </c>
      <c r="O4879" t="n">
        <v>7</v>
      </c>
      <c r="P4879" t="n">
        <v>12</v>
      </c>
      <c r="Q4879" t="n">
        <v>4</v>
      </c>
    </row>
    <row r="4880">
      <c r="J4880" t="inlineStr">
        <is>
          <t>M</t>
        </is>
      </c>
      <c r="K4880" t="n">
        <v>2025</v>
      </c>
      <c r="L4880" t="n">
        <v>12</v>
      </c>
      <c r="M4880" t="inlineStr">
        <is>
          <t>Composto lácteo Merilú 400 g</t>
        </is>
      </c>
      <c r="N4880" t="inlineStr">
        <is>
          <t>Pizzaria</t>
        </is>
      </c>
      <c r="O4880" t="n">
        <v>1</v>
      </c>
      <c r="P4880" t="n">
        <v>1</v>
      </c>
      <c r="Q4880" t="n">
        <v>0</v>
      </c>
    </row>
    <row r="4881">
      <c r="J4881" t="inlineStr">
        <is>
          <t>A</t>
        </is>
      </c>
      <c r="K4881" t="n">
        <v>2025</v>
      </c>
      <c r="L4881" t="n">
        <v>1</v>
      </c>
      <c r="M4881" t="inlineStr">
        <is>
          <t>Composto lácteo Merilú 400 g</t>
        </is>
      </c>
      <c r="N4881" t="inlineStr">
        <is>
          <t>Restaurante / Cantina</t>
        </is>
      </c>
      <c r="O4881" t="n">
        <v>1</v>
      </c>
      <c r="P4881" t="n">
        <v>1</v>
      </c>
      <c r="Q4881" t="n">
        <v>1</v>
      </c>
    </row>
    <row r="4882">
      <c r="J4882" t="inlineStr">
        <is>
          <t>M</t>
        </is>
      </c>
      <c r="K4882" t="n">
        <v>2025</v>
      </c>
      <c r="L4882" t="n">
        <v>1</v>
      </c>
      <c r="M4882" t="inlineStr">
        <is>
          <t>Composto lácteo Merilú 400 g</t>
        </is>
      </c>
      <c r="N4882" t="inlineStr">
        <is>
          <t>Restaurante / Cantina</t>
        </is>
      </c>
      <c r="O4882" t="n">
        <v>1</v>
      </c>
      <c r="P4882" t="n">
        <v>1</v>
      </c>
      <c r="Q4882" t="n">
        <v>0</v>
      </c>
    </row>
    <row r="4883">
      <c r="J4883" t="inlineStr">
        <is>
          <t>A</t>
        </is>
      </c>
      <c r="K4883" t="n">
        <v>2025</v>
      </c>
      <c r="L4883" t="n">
        <v>2</v>
      </c>
      <c r="M4883" t="inlineStr">
        <is>
          <t>Composto lácteo Merilú 400 g</t>
        </is>
      </c>
      <c r="N4883" t="inlineStr">
        <is>
          <t>Restaurante / Cantina</t>
        </is>
      </c>
      <c r="O4883" t="n">
        <v>2</v>
      </c>
      <c r="P4883" t="n">
        <v>3</v>
      </c>
      <c r="Q4883" t="n">
        <v>1</v>
      </c>
    </row>
    <row r="4884">
      <c r="J4884" t="inlineStr">
        <is>
          <t>M</t>
        </is>
      </c>
      <c r="K4884" t="n">
        <v>2025</v>
      </c>
      <c r="L4884" t="n">
        <v>2</v>
      </c>
      <c r="M4884" t="inlineStr">
        <is>
          <t>Composto lácteo Merilú 400 g</t>
        </is>
      </c>
      <c r="N4884" t="inlineStr">
        <is>
          <t>Restaurante / Cantina</t>
        </is>
      </c>
      <c r="O4884" t="n">
        <v>2</v>
      </c>
      <c r="P4884" t="n">
        <v>2</v>
      </c>
      <c r="Q4884" t="n">
        <v>0</v>
      </c>
    </row>
    <row r="4885">
      <c r="J4885" t="inlineStr">
        <is>
          <t>A</t>
        </is>
      </c>
      <c r="K4885" t="n">
        <v>2025</v>
      </c>
      <c r="L4885" t="n">
        <v>3</v>
      </c>
      <c r="M4885" t="inlineStr">
        <is>
          <t>Composto lácteo Merilú 400 g</t>
        </is>
      </c>
      <c r="N4885" t="inlineStr">
        <is>
          <t>Restaurante / Cantina</t>
        </is>
      </c>
      <c r="O4885" t="n">
        <v>4</v>
      </c>
      <c r="P4885" t="n">
        <v>8</v>
      </c>
      <c r="Q4885" t="n">
        <v>1</v>
      </c>
    </row>
    <row r="4886">
      <c r="J4886" t="inlineStr">
        <is>
          <t>M</t>
        </is>
      </c>
      <c r="K4886" t="n">
        <v>2025</v>
      </c>
      <c r="L4886" t="n">
        <v>3</v>
      </c>
      <c r="M4886" t="inlineStr">
        <is>
          <t>Composto lácteo Merilú 400 g</t>
        </is>
      </c>
      <c r="N4886" t="inlineStr">
        <is>
          <t>Restaurante / Cantina</t>
        </is>
      </c>
      <c r="O4886" t="n">
        <v>3</v>
      </c>
      <c r="P4886" t="n">
        <v>5</v>
      </c>
      <c r="Q4886" t="n">
        <v>0</v>
      </c>
    </row>
    <row r="4887">
      <c r="J4887" t="inlineStr">
        <is>
          <t>A</t>
        </is>
      </c>
      <c r="K4887" t="n">
        <v>2025</v>
      </c>
      <c r="L4887" t="n">
        <v>4</v>
      </c>
      <c r="M4887" t="inlineStr">
        <is>
          <t>Composto lácteo Merilú 400 g</t>
        </is>
      </c>
      <c r="N4887" t="inlineStr">
        <is>
          <t>Restaurante / Cantina</t>
        </is>
      </c>
      <c r="O4887" t="n">
        <v>5</v>
      </c>
      <c r="P4887" t="n">
        <v>11</v>
      </c>
      <c r="Q4887" t="n">
        <v>2</v>
      </c>
    </row>
    <row r="4888">
      <c r="J4888" t="inlineStr">
        <is>
          <t>M</t>
        </is>
      </c>
      <c r="K4888" t="n">
        <v>2025</v>
      </c>
      <c r="L4888" t="n">
        <v>4</v>
      </c>
      <c r="M4888" t="inlineStr">
        <is>
          <t>Composto lácteo Merilú 400 g</t>
        </is>
      </c>
      <c r="N4888" t="inlineStr">
        <is>
          <t>Restaurante / Cantina</t>
        </is>
      </c>
      <c r="O4888" t="n">
        <v>2</v>
      </c>
      <c r="P4888" t="n">
        <v>3</v>
      </c>
      <c r="Q4888" t="n">
        <v>0</v>
      </c>
    </row>
    <row r="4889">
      <c r="J4889" t="inlineStr">
        <is>
          <t>A</t>
        </is>
      </c>
      <c r="K4889" t="n">
        <v>2025</v>
      </c>
      <c r="L4889" t="n">
        <v>5</v>
      </c>
      <c r="M4889" t="inlineStr">
        <is>
          <t>Composto lácteo Merilú 400 g</t>
        </is>
      </c>
      <c r="N4889" t="inlineStr">
        <is>
          <t>Restaurante / Cantina</t>
        </is>
      </c>
      <c r="O4889" t="n">
        <v>6</v>
      </c>
      <c r="P4889" t="n">
        <v>19</v>
      </c>
      <c r="Q4889" t="n">
        <v>3</v>
      </c>
    </row>
    <row r="4890">
      <c r="J4890" t="inlineStr">
        <is>
          <t>M</t>
        </is>
      </c>
      <c r="K4890" t="n">
        <v>2025</v>
      </c>
      <c r="L4890" t="n">
        <v>5</v>
      </c>
      <c r="M4890" t="inlineStr">
        <is>
          <t>Composto lácteo Merilú 400 g</t>
        </is>
      </c>
      <c r="N4890" t="inlineStr">
        <is>
          <t>Restaurante / Cantina</t>
        </is>
      </c>
      <c r="O4890" t="n">
        <v>4</v>
      </c>
      <c r="P4890" t="n">
        <v>8</v>
      </c>
      <c r="Q4890" t="n">
        <v>0</v>
      </c>
    </row>
    <row r="4891">
      <c r="J4891" t="inlineStr">
        <is>
          <t>A</t>
        </is>
      </c>
      <c r="K4891" t="n">
        <v>2025</v>
      </c>
      <c r="L4891" t="n">
        <v>6</v>
      </c>
      <c r="M4891" t="inlineStr">
        <is>
          <t>Composto lácteo Merilú 400 g</t>
        </is>
      </c>
      <c r="N4891" t="inlineStr">
        <is>
          <t>Restaurante / Cantina</t>
        </is>
      </c>
      <c r="O4891" t="n">
        <v>6</v>
      </c>
      <c r="P4891" t="n">
        <v>23</v>
      </c>
      <c r="Q4891" t="n">
        <v>3</v>
      </c>
    </row>
    <row r="4892">
      <c r="J4892" t="inlineStr">
        <is>
          <t>M</t>
        </is>
      </c>
      <c r="K4892" t="n">
        <v>2025</v>
      </c>
      <c r="L4892" t="n">
        <v>6</v>
      </c>
      <c r="M4892" t="inlineStr">
        <is>
          <t>Composto lácteo Merilú 400 g</t>
        </is>
      </c>
      <c r="N4892" t="inlineStr">
        <is>
          <t>Restaurante / Cantina</t>
        </is>
      </c>
      <c r="O4892" t="n">
        <v>2</v>
      </c>
      <c r="P4892" t="n">
        <v>4</v>
      </c>
      <c r="Q4892" t="n">
        <v>0</v>
      </c>
    </row>
    <row r="4893">
      <c r="J4893" t="inlineStr">
        <is>
          <t>A</t>
        </is>
      </c>
      <c r="K4893" t="n">
        <v>2025</v>
      </c>
      <c r="L4893" t="n">
        <v>7</v>
      </c>
      <c r="M4893" t="inlineStr">
        <is>
          <t>Composto lácteo Merilú 400 g</t>
        </is>
      </c>
      <c r="N4893" t="inlineStr">
        <is>
          <t>Restaurante / Cantina</t>
        </is>
      </c>
      <c r="O4893" t="n">
        <v>7</v>
      </c>
      <c r="P4893" t="n">
        <v>34</v>
      </c>
      <c r="Q4893" t="n">
        <v>4</v>
      </c>
    </row>
    <row r="4894">
      <c r="J4894" t="inlineStr">
        <is>
          <t>M</t>
        </is>
      </c>
      <c r="K4894" t="n">
        <v>2025</v>
      </c>
      <c r="L4894" t="n">
        <v>7</v>
      </c>
      <c r="M4894" t="inlineStr">
        <is>
          <t>Composto lácteo Merilú 400 g</t>
        </is>
      </c>
      <c r="N4894" t="inlineStr">
        <is>
          <t>Restaurante / Cantina</t>
        </is>
      </c>
      <c r="O4894" t="n">
        <v>6</v>
      </c>
      <c r="P4894" t="n">
        <v>11</v>
      </c>
      <c r="Q4894" t="n">
        <v>0</v>
      </c>
    </row>
    <row r="4895">
      <c r="J4895" t="inlineStr">
        <is>
          <t>A</t>
        </is>
      </c>
      <c r="K4895" t="n">
        <v>2025</v>
      </c>
      <c r="L4895" t="n">
        <v>8</v>
      </c>
      <c r="M4895" t="inlineStr">
        <is>
          <t>Composto lácteo Merilú 400 g</t>
        </is>
      </c>
      <c r="N4895" t="inlineStr">
        <is>
          <t>Restaurante / Cantina</t>
        </is>
      </c>
      <c r="O4895" t="n">
        <v>7</v>
      </c>
      <c r="P4895" t="n">
        <v>39</v>
      </c>
      <c r="Q4895" t="n">
        <v>4</v>
      </c>
    </row>
    <row r="4896">
      <c r="J4896" t="inlineStr">
        <is>
          <t>M</t>
        </is>
      </c>
      <c r="K4896" t="n">
        <v>2025</v>
      </c>
      <c r="L4896" t="n">
        <v>8</v>
      </c>
      <c r="M4896" t="inlineStr">
        <is>
          <t>Composto lácteo Merilú 400 g</t>
        </is>
      </c>
      <c r="N4896" t="inlineStr">
        <is>
          <t>Restaurante / Cantina</t>
        </is>
      </c>
      <c r="O4896" t="n">
        <v>3</v>
      </c>
      <c r="P4896" t="n">
        <v>5</v>
      </c>
      <c r="Q4896" t="n">
        <v>0</v>
      </c>
    </row>
    <row r="4897">
      <c r="J4897" t="inlineStr">
        <is>
          <t>A</t>
        </is>
      </c>
      <c r="K4897" t="n">
        <v>2025</v>
      </c>
      <c r="L4897" t="n">
        <v>9</v>
      </c>
      <c r="M4897" t="inlineStr">
        <is>
          <t>Composto lácteo Merilú 400 g</t>
        </is>
      </c>
      <c r="N4897" t="inlineStr">
        <is>
          <t>Restaurante / Cantina</t>
        </is>
      </c>
      <c r="O4897" t="n">
        <v>7</v>
      </c>
      <c r="P4897" t="n">
        <v>46</v>
      </c>
      <c r="Q4897" t="n">
        <v>4</v>
      </c>
    </row>
    <row r="4898">
      <c r="J4898" t="inlineStr">
        <is>
          <t>M</t>
        </is>
      </c>
      <c r="K4898" t="n">
        <v>2025</v>
      </c>
      <c r="L4898" t="n">
        <v>9</v>
      </c>
      <c r="M4898" t="inlineStr">
        <is>
          <t>Composto lácteo Merilú 400 g</t>
        </is>
      </c>
      <c r="N4898" t="inlineStr">
        <is>
          <t>Restaurante / Cantina</t>
        </is>
      </c>
      <c r="O4898" t="n">
        <v>4</v>
      </c>
      <c r="P4898" t="n">
        <v>7</v>
      </c>
      <c r="Q4898" t="n">
        <v>0</v>
      </c>
    </row>
    <row r="4899">
      <c r="J4899" t="inlineStr">
        <is>
          <t>A</t>
        </is>
      </c>
      <c r="K4899" t="n">
        <v>2025</v>
      </c>
      <c r="L4899" t="n">
        <v>10</v>
      </c>
      <c r="M4899" t="inlineStr">
        <is>
          <t>Composto lácteo Merilú 400 g</t>
        </is>
      </c>
      <c r="N4899" t="inlineStr">
        <is>
          <t>Restaurante / Cantina</t>
        </is>
      </c>
      <c r="O4899" t="n">
        <v>7</v>
      </c>
      <c r="P4899" t="n">
        <v>53</v>
      </c>
      <c r="Q4899" t="n">
        <v>4</v>
      </c>
    </row>
    <row r="4900">
      <c r="J4900" t="inlineStr">
        <is>
          <t>M</t>
        </is>
      </c>
      <c r="K4900" t="n">
        <v>2025</v>
      </c>
      <c r="L4900" t="n">
        <v>10</v>
      </c>
      <c r="M4900" t="inlineStr">
        <is>
          <t>Composto lácteo Merilú 400 g</t>
        </is>
      </c>
      <c r="N4900" t="inlineStr">
        <is>
          <t>Restaurante / Cantina</t>
        </is>
      </c>
      <c r="O4900" t="n">
        <v>3</v>
      </c>
      <c r="P4900" t="n">
        <v>7</v>
      </c>
      <c r="Q4900" t="n">
        <v>0</v>
      </c>
    </row>
    <row r="4901">
      <c r="J4901" t="inlineStr">
        <is>
          <t>A</t>
        </is>
      </c>
      <c r="K4901" t="n">
        <v>2025</v>
      </c>
      <c r="L4901" t="n">
        <v>11</v>
      </c>
      <c r="M4901" t="inlineStr">
        <is>
          <t>Composto lácteo Merilú 400 g</t>
        </is>
      </c>
      <c r="N4901" t="inlineStr">
        <is>
          <t>Restaurante / Cantina</t>
        </is>
      </c>
      <c r="O4901" t="n">
        <v>7</v>
      </c>
      <c r="P4901" t="n">
        <v>59</v>
      </c>
      <c r="Q4901" t="n">
        <v>4</v>
      </c>
    </row>
    <row r="4902">
      <c r="J4902" t="inlineStr">
        <is>
          <t>M</t>
        </is>
      </c>
      <c r="K4902" t="n">
        <v>2025</v>
      </c>
      <c r="L4902" t="n">
        <v>11</v>
      </c>
      <c r="M4902" t="inlineStr">
        <is>
          <t>Composto lácteo Merilú 400 g</t>
        </is>
      </c>
      <c r="N4902" t="inlineStr">
        <is>
          <t>Restaurante / Cantina</t>
        </is>
      </c>
      <c r="O4902" t="n">
        <v>3</v>
      </c>
      <c r="P4902" t="n">
        <v>6</v>
      </c>
      <c r="Q4902" t="n">
        <v>0</v>
      </c>
    </row>
    <row r="4903">
      <c r="J4903" t="inlineStr">
        <is>
          <t>A</t>
        </is>
      </c>
      <c r="K4903" t="n">
        <v>2025</v>
      </c>
      <c r="L4903" t="n">
        <v>12</v>
      </c>
      <c r="M4903" t="inlineStr">
        <is>
          <t>Composto lácteo Merilú 400 g</t>
        </is>
      </c>
      <c r="N4903" t="inlineStr">
        <is>
          <t>Restaurante / Cantina</t>
        </is>
      </c>
      <c r="O4903" t="n">
        <v>8</v>
      </c>
      <c r="P4903" t="n">
        <v>67</v>
      </c>
      <c r="Q4903" t="n">
        <v>5</v>
      </c>
    </row>
    <row r="4904">
      <c r="J4904" t="inlineStr">
        <is>
          <t>M</t>
        </is>
      </c>
      <c r="K4904" t="n">
        <v>2025</v>
      </c>
      <c r="L4904" t="n">
        <v>12</v>
      </c>
      <c r="M4904" t="inlineStr">
        <is>
          <t>Composto lácteo Merilú 400 g</t>
        </is>
      </c>
      <c r="N4904" t="inlineStr">
        <is>
          <t>Restaurante / Cantina</t>
        </is>
      </c>
      <c r="O4904" t="n">
        <v>3</v>
      </c>
      <c r="P4904" t="n">
        <v>8</v>
      </c>
      <c r="Q4904" t="n">
        <v>0</v>
      </c>
    </row>
    <row r="4905">
      <c r="J4905" t="inlineStr">
        <is>
          <t>A</t>
        </is>
      </c>
      <c r="K4905" t="n">
        <v>2025</v>
      </c>
      <c r="L4905" t="n">
        <v>2</v>
      </c>
      <c r="M4905" t="inlineStr">
        <is>
          <t>Composto lácteo Merilú 400 g</t>
        </is>
      </c>
      <c r="N4905" t="inlineStr">
        <is>
          <t>Cozinha Industrial</t>
        </is>
      </c>
      <c r="O4905" t="n">
        <v>1</v>
      </c>
      <c r="P4905" t="n">
        <v>1</v>
      </c>
      <c r="Q4905" t="n">
        <v>1</v>
      </c>
    </row>
    <row r="4906">
      <c r="J4906" t="inlineStr">
        <is>
          <t>M</t>
        </is>
      </c>
      <c r="K4906" t="n">
        <v>2025</v>
      </c>
      <c r="L4906" t="n">
        <v>2</v>
      </c>
      <c r="M4906" t="inlineStr">
        <is>
          <t>Composto lácteo Merilú 400 g</t>
        </is>
      </c>
      <c r="N4906" t="inlineStr">
        <is>
          <t>Cozinha Industrial</t>
        </is>
      </c>
      <c r="O4906" t="n">
        <v>1</v>
      </c>
      <c r="P4906" t="n">
        <v>1</v>
      </c>
      <c r="Q4906" t="n">
        <v>0</v>
      </c>
    </row>
    <row r="4907">
      <c r="J4907" t="inlineStr">
        <is>
          <t>A</t>
        </is>
      </c>
      <c r="K4907" t="n">
        <v>2025</v>
      </c>
      <c r="L4907" t="n">
        <v>3</v>
      </c>
      <c r="M4907" t="inlineStr">
        <is>
          <t>Composto lácteo Merilú 400 g</t>
        </is>
      </c>
      <c r="N4907" t="inlineStr">
        <is>
          <t>Cozinha Industrial</t>
        </is>
      </c>
      <c r="O4907" t="n">
        <v>1</v>
      </c>
      <c r="P4907" t="n">
        <v>1</v>
      </c>
      <c r="Q4907" t="n">
        <v>1</v>
      </c>
    </row>
    <row r="4908">
      <c r="J4908" t="inlineStr">
        <is>
          <t>A</t>
        </is>
      </c>
      <c r="K4908" t="n">
        <v>2025</v>
      </c>
      <c r="L4908" t="n">
        <v>4</v>
      </c>
      <c r="M4908" t="inlineStr">
        <is>
          <t>Composto lácteo Merilú 400 g</t>
        </is>
      </c>
      <c r="N4908" t="inlineStr">
        <is>
          <t>Cozinha Industrial</t>
        </is>
      </c>
      <c r="O4908" t="n">
        <v>1</v>
      </c>
      <c r="P4908" t="n">
        <v>1</v>
      </c>
      <c r="Q4908" t="n">
        <v>1</v>
      </c>
    </row>
    <row r="4909">
      <c r="J4909" t="inlineStr">
        <is>
          <t>A</t>
        </is>
      </c>
      <c r="K4909" t="n">
        <v>2025</v>
      </c>
      <c r="L4909" t="n">
        <v>5</v>
      </c>
      <c r="M4909" t="inlineStr">
        <is>
          <t>Composto lácteo Merilú 400 g</t>
        </is>
      </c>
      <c r="N4909" t="inlineStr">
        <is>
          <t>Cozinha Industrial</t>
        </is>
      </c>
      <c r="O4909" t="n">
        <v>1</v>
      </c>
      <c r="P4909" t="n">
        <v>1</v>
      </c>
      <c r="Q4909" t="n">
        <v>1</v>
      </c>
    </row>
    <row r="4910">
      <c r="J4910" t="inlineStr">
        <is>
          <t>A</t>
        </is>
      </c>
      <c r="K4910" t="n">
        <v>2025</v>
      </c>
      <c r="L4910" t="n">
        <v>6</v>
      </c>
      <c r="M4910" t="inlineStr">
        <is>
          <t>Composto lácteo Merilú 400 g</t>
        </is>
      </c>
      <c r="N4910" t="inlineStr">
        <is>
          <t>Cozinha Industrial</t>
        </is>
      </c>
      <c r="O4910" t="n">
        <v>1</v>
      </c>
      <c r="P4910" t="n">
        <v>1</v>
      </c>
      <c r="Q4910" t="n">
        <v>1</v>
      </c>
    </row>
    <row r="4911">
      <c r="J4911" t="inlineStr">
        <is>
          <t>A</t>
        </is>
      </c>
      <c r="K4911" t="n">
        <v>2025</v>
      </c>
      <c r="L4911" t="n">
        <v>7</v>
      </c>
      <c r="M4911" t="inlineStr">
        <is>
          <t>Composto lácteo Merilú 400 g</t>
        </is>
      </c>
      <c r="N4911" t="inlineStr">
        <is>
          <t>Cozinha Industrial</t>
        </is>
      </c>
      <c r="O4911" t="n">
        <v>1</v>
      </c>
      <c r="P4911" t="n">
        <v>1</v>
      </c>
      <c r="Q4911" t="n">
        <v>1</v>
      </c>
    </row>
    <row r="4912">
      <c r="J4912" t="inlineStr">
        <is>
          <t>A</t>
        </is>
      </c>
      <c r="K4912" t="n">
        <v>2025</v>
      </c>
      <c r="L4912" t="n">
        <v>8</v>
      </c>
      <c r="M4912" t="inlineStr">
        <is>
          <t>Composto lácteo Merilú 400 g</t>
        </is>
      </c>
      <c r="N4912" t="inlineStr">
        <is>
          <t>Cozinha Industrial</t>
        </is>
      </c>
      <c r="O4912" t="n">
        <v>1</v>
      </c>
      <c r="P4912" t="n">
        <v>1</v>
      </c>
      <c r="Q4912" t="n">
        <v>1</v>
      </c>
    </row>
    <row r="4913">
      <c r="J4913" t="inlineStr">
        <is>
          <t>A</t>
        </is>
      </c>
      <c r="K4913" t="n">
        <v>2025</v>
      </c>
      <c r="L4913" t="n">
        <v>9</v>
      </c>
      <c r="M4913" t="inlineStr">
        <is>
          <t>Composto lácteo Merilú 400 g</t>
        </is>
      </c>
      <c r="N4913" t="inlineStr">
        <is>
          <t>Cozinha Industrial</t>
        </is>
      </c>
      <c r="O4913" t="n">
        <v>1</v>
      </c>
      <c r="P4913" t="n">
        <v>1</v>
      </c>
      <c r="Q4913" t="n">
        <v>1</v>
      </c>
    </row>
    <row r="4914">
      <c r="J4914" t="inlineStr">
        <is>
          <t>A</t>
        </is>
      </c>
      <c r="K4914" t="n">
        <v>2025</v>
      </c>
      <c r="L4914" t="n">
        <v>10</v>
      </c>
      <c r="M4914" t="inlineStr">
        <is>
          <t>Composto lácteo Merilú 400 g</t>
        </is>
      </c>
      <c r="N4914" t="inlineStr">
        <is>
          <t>Cozinha Industrial</t>
        </is>
      </c>
      <c r="O4914" t="n">
        <v>3</v>
      </c>
      <c r="P4914" t="n">
        <v>3</v>
      </c>
      <c r="Q4914" t="n">
        <v>2</v>
      </c>
    </row>
    <row r="4915">
      <c r="J4915" t="inlineStr">
        <is>
          <t>M</t>
        </is>
      </c>
      <c r="K4915" t="n">
        <v>2025</v>
      </c>
      <c r="L4915" t="n">
        <v>10</v>
      </c>
      <c r="M4915" t="inlineStr">
        <is>
          <t>Composto lácteo Merilú 400 g</t>
        </is>
      </c>
      <c r="N4915" t="inlineStr">
        <is>
          <t>Cozinha Industrial</t>
        </is>
      </c>
      <c r="O4915" t="n">
        <v>2</v>
      </c>
      <c r="P4915" t="n">
        <v>2</v>
      </c>
      <c r="Q4915" t="n">
        <v>0</v>
      </c>
    </row>
    <row r="4916">
      <c r="J4916" t="inlineStr">
        <is>
          <t>A</t>
        </is>
      </c>
      <c r="K4916" t="n">
        <v>2025</v>
      </c>
      <c r="L4916" t="n">
        <v>11</v>
      </c>
      <c r="M4916" t="inlineStr">
        <is>
          <t>Composto lácteo Merilú 400 g</t>
        </is>
      </c>
      <c r="N4916" t="inlineStr">
        <is>
          <t>Cozinha Industrial</t>
        </is>
      </c>
      <c r="O4916" t="n">
        <v>4</v>
      </c>
      <c r="P4916" t="n">
        <v>7</v>
      </c>
      <c r="Q4916" t="n">
        <v>3</v>
      </c>
    </row>
    <row r="4917">
      <c r="J4917" t="inlineStr">
        <is>
          <t>M</t>
        </is>
      </c>
      <c r="K4917" t="n">
        <v>2025</v>
      </c>
      <c r="L4917" t="n">
        <v>11</v>
      </c>
      <c r="M4917" t="inlineStr">
        <is>
          <t>Composto lácteo Merilú 400 g</t>
        </is>
      </c>
      <c r="N4917" t="inlineStr">
        <is>
          <t>Cozinha Industrial</t>
        </is>
      </c>
      <c r="O4917" t="n">
        <v>1</v>
      </c>
      <c r="P4917" t="n">
        <v>4</v>
      </c>
      <c r="Q4917" t="n">
        <v>0</v>
      </c>
    </row>
    <row r="4918">
      <c r="J4918" t="inlineStr">
        <is>
          <t>A</t>
        </is>
      </c>
      <c r="K4918" t="n">
        <v>2025</v>
      </c>
      <c r="L4918" t="n">
        <v>12</v>
      </c>
      <c r="M4918" t="inlineStr">
        <is>
          <t>Composto lácteo Merilú 400 g</t>
        </is>
      </c>
      <c r="N4918" t="inlineStr">
        <is>
          <t>Cozinha Industrial</t>
        </is>
      </c>
      <c r="O4918" t="n">
        <v>5</v>
      </c>
      <c r="P4918" t="n">
        <v>10</v>
      </c>
      <c r="Q4918" t="n">
        <v>4</v>
      </c>
    </row>
    <row r="4919">
      <c r="J4919" t="inlineStr">
        <is>
          <t>M</t>
        </is>
      </c>
      <c r="K4919" t="n">
        <v>2025</v>
      </c>
      <c r="L4919" t="n">
        <v>12</v>
      </c>
      <c r="M4919" t="inlineStr">
        <is>
          <t>Composto lácteo Merilú 400 g</t>
        </is>
      </c>
      <c r="N4919" t="inlineStr">
        <is>
          <t>Cozinha Industrial</t>
        </is>
      </c>
      <c r="O4919" t="n">
        <v>1</v>
      </c>
      <c r="P4919" t="n">
        <v>3</v>
      </c>
      <c r="Q4919" t="n">
        <v>0</v>
      </c>
    </row>
    <row r="4920">
      <c r="J4920" t="inlineStr">
        <is>
          <t>A</t>
        </is>
      </c>
      <c r="K4920" t="n">
        <v>2025</v>
      </c>
      <c r="L4920" t="n">
        <v>8</v>
      </c>
      <c r="M4920" t="inlineStr">
        <is>
          <t>Composto lácteo Merilú 400 g</t>
        </is>
      </c>
      <c r="N4920" t="inlineStr">
        <is>
          <t>Fábrica de Massas</t>
        </is>
      </c>
      <c r="O4920" t="n">
        <v>1</v>
      </c>
      <c r="P4920" t="n">
        <v>1</v>
      </c>
      <c r="Q4920" t="n">
        <v>1</v>
      </c>
    </row>
    <row r="4921">
      <c r="J4921" t="inlineStr">
        <is>
          <t>M</t>
        </is>
      </c>
      <c r="K4921" t="n">
        <v>2025</v>
      </c>
      <c r="L4921" t="n">
        <v>8</v>
      </c>
      <c r="M4921" t="inlineStr">
        <is>
          <t>Composto lácteo Merilú 400 g</t>
        </is>
      </c>
      <c r="N4921" t="inlineStr">
        <is>
          <t>Fábrica de Massas</t>
        </is>
      </c>
      <c r="O4921" t="n">
        <v>1</v>
      </c>
      <c r="P4921" t="n">
        <v>1</v>
      </c>
      <c r="Q4921" t="n">
        <v>0</v>
      </c>
    </row>
    <row r="4922">
      <c r="J4922" t="inlineStr">
        <is>
          <t>A</t>
        </is>
      </c>
      <c r="K4922" t="n">
        <v>2025</v>
      </c>
      <c r="L4922" t="n">
        <v>9</v>
      </c>
      <c r="M4922" t="inlineStr">
        <is>
          <t>Composto lácteo Merilú 400 g</t>
        </is>
      </c>
      <c r="N4922" t="inlineStr">
        <is>
          <t>Fábrica de Massas</t>
        </is>
      </c>
      <c r="O4922" t="n">
        <v>1</v>
      </c>
      <c r="P4922" t="n">
        <v>1</v>
      </c>
      <c r="Q4922" t="n">
        <v>1</v>
      </c>
    </row>
    <row r="4923">
      <c r="J4923" t="inlineStr">
        <is>
          <t>A</t>
        </is>
      </c>
      <c r="K4923" t="n">
        <v>2025</v>
      </c>
      <c r="L4923" t="n">
        <v>10</v>
      </c>
      <c r="M4923" t="inlineStr">
        <is>
          <t>Composto lácteo Merilú 400 g</t>
        </is>
      </c>
      <c r="N4923" t="inlineStr">
        <is>
          <t>Fábrica de Massas</t>
        </is>
      </c>
      <c r="O4923" t="n">
        <v>1</v>
      </c>
      <c r="P4923" t="n">
        <v>2</v>
      </c>
      <c r="Q4923" t="n">
        <v>1</v>
      </c>
    </row>
    <row r="4924">
      <c r="J4924" t="inlineStr">
        <is>
          <t>M</t>
        </is>
      </c>
      <c r="K4924" t="n">
        <v>2025</v>
      </c>
      <c r="L4924" t="n">
        <v>10</v>
      </c>
      <c r="M4924" t="inlineStr">
        <is>
          <t>Composto lácteo Merilú 400 g</t>
        </is>
      </c>
      <c r="N4924" t="inlineStr">
        <is>
          <t>Fábrica de Massas</t>
        </is>
      </c>
      <c r="O4924" t="n">
        <v>1</v>
      </c>
      <c r="P4924" t="n">
        <v>1</v>
      </c>
      <c r="Q4924" t="n">
        <v>0</v>
      </c>
    </row>
    <row r="4925">
      <c r="J4925" t="inlineStr">
        <is>
          <t>A</t>
        </is>
      </c>
      <c r="K4925" t="n">
        <v>2025</v>
      </c>
      <c r="L4925" t="n">
        <v>11</v>
      </c>
      <c r="M4925" t="inlineStr">
        <is>
          <t>Composto lácteo Merilú 400 g</t>
        </is>
      </c>
      <c r="N4925" t="inlineStr">
        <is>
          <t>Fábrica de Massas</t>
        </is>
      </c>
      <c r="O4925" t="n">
        <v>1</v>
      </c>
      <c r="P4925" t="n">
        <v>3</v>
      </c>
      <c r="Q4925" t="n">
        <v>1</v>
      </c>
    </row>
    <row r="4926">
      <c r="J4926" t="inlineStr">
        <is>
          <t>M</t>
        </is>
      </c>
      <c r="K4926" t="n">
        <v>2025</v>
      </c>
      <c r="L4926" t="n">
        <v>11</v>
      </c>
      <c r="M4926" t="inlineStr">
        <is>
          <t>Composto lácteo Merilú 400 g</t>
        </is>
      </c>
      <c r="N4926" t="inlineStr">
        <is>
          <t>Fábrica de Massas</t>
        </is>
      </c>
      <c r="O4926" t="n">
        <v>1</v>
      </c>
      <c r="P4926" t="n">
        <v>1</v>
      </c>
      <c r="Q4926" t="n">
        <v>0</v>
      </c>
    </row>
    <row r="4927">
      <c r="J4927" t="inlineStr">
        <is>
          <t>A</t>
        </is>
      </c>
      <c r="K4927" t="n">
        <v>2025</v>
      </c>
      <c r="L4927" t="n">
        <v>12</v>
      </c>
      <c r="M4927" t="inlineStr">
        <is>
          <t>Composto lácteo Merilú 400 g</t>
        </is>
      </c>
      <c r="N4927" t="inlineStr">
        <is>
          <t>Fábrica de Massas</t>
        </is>
      </c>
      <c r="O4927" t="n">
        <v>1</v>
      </c>
      <c r="P4927" t="n">
        <v>3</v>
      </c>
      <c r="Q4927" t="n">
        <v>1</v>
      </c>
    </row>
    <row r="4928">
      <c r="J4928" t="inlineStr">
        <is>
          <t>A</t>
        </is>
      </c>
      <c r="K4928" t="n">
        <v>2025</v>
      </c>
      <c r="L4928" t="n">
        <v>1</v>
      </c>
      <c r="M4928" t="inlineStr">
        <is>
          <t>Composto lácteo Merilú 400 g</t>
        </is>
      </c>
      <c r="N4928" t="inlineStr">
        <is>
          <t>Outros</t>
        </is>
      </c>
      <c r="O4928" t="n">
        <v>1</v>
      </c>
      <c r="P4928" t="n">
        <v>2</v>
      </c>
      <c r="Q4928" t="n">
        <v>0</v>
      </c>
    </row>
    <row r="4929">
      <c r="J4929" t="inlineStr">
        <is>
          <t>M</t>
        </is>
      </c>
      <c r="K4929" t="n">
        <v>2025</v>
      </c>
      <c r="L4929" t="n">
        <v>1</v>
      </c>
      <c r="M4929" t="inlineStr">
        <is>
          <t>Composto lácteo Merilú 400 g</t>
        </is>
      </c>
      <c r="N4929" t="inlineStr">
        <is>
          <t>Outros</t>
        </is>
      </c>
      <c r="O4929" t="n">
        <v>1</v>
      </c>
      <c r="P4929" t="n">
        <v>2</v>
      </c>
      <c r="Q4929" t="n">
        <v>0</v>
      </c>
    </row>
    <row r="4930">
      <c r="J4930" t="inlineStr">
        <is>
          <t>A</t>
        </is>
      </c>
      <c r="K4930" t="n">
        <v>2025</v>
      </c>
      <c r="L4930" t="n">
        <v>2</v>
      </c>
      <c r="M4930" t="inlineStr">
        <is>
          <t>Composto lácteo Merilú 400 g</t>
        </is>
      </c>
      <c r="N4930" t="inlineStr">
        <is>
          <t>Outros</t>
        </is>
      </c>
      <c r="O4930" t="n">
        <v>1</v>
      </c>
      <c r="P4930" t="n">
        <v>4</v>
      </c>
      <c r="Q4930" t="n">
        <v>0</v>
      </c>
    </row>
    <row r="4931">
      <c r="J4931" t="inlineStr">
        <is>
          <t>M</t>
        </is>
      </c>
      <c r="K4931" t="n">
        <v>2025</v>
      </c>
      <c r="L4931" t="n">
        <v>2</v>
      </c>
      <c r="M4931" t="inlineStr">
        <is>
          <t>Composto lácteo Merilú 400 g</t>
        </is>
      </c>
      <c r="N4931" t="inlineStr">
        <is>
          <t>Outros</t>
        </is>
      </c>
      <c r="O4931" t="n">
        <v>1</v>
      </c>
      <c r="P4931" t="n">
        <v>2</v>
      </c>
      <c r="Q4931" t="n">
        <v>0</v>
      </c>
    </row>
    <row r="4932">
      <c r="J4932" t="inlineStr">
        <is>
          <t>A</t>
        </is>
      </c>
      <c r="K4932" t="n">
        <v>2025</v>
      </c>
      <c r="L4932" t="n">
        <v>3</v>
      </c>
      <c r="M4932" t="inlineStr">
        <is>
          <t>Composto lácteo Merilú 400 g</t>
        </is>
      </c>
      <c r="N4932" t="inlineStr">
        <is>
          <t>Outros</t>
        </is>
      </c>
      <c r="O4932" t="n">
        <v>1</v>
      </c>
      <c r="P4932" t="n">
        <v>6</v>
      </c>
      <c r="Q4932" t="n">
        <v>0</v>
      </c>
    </row>
    <row r="4933">
      <c r="J4933" t="inlineStr">
        <is>
          <t>M</t>
        </is>
      </c>
      <c r="K4933" t="n">
        <v>2025</v>
      </c>
      <c r="L4933" t="n">
        <v>3</v>
      </c>
      <c r="M4933" t="inlineStr">
        <is>
          <t>Composto lácteo Merilú 400 g</t>
        </is>
      </c>
      <c r="N4933" t="inlineStr">
        <is>
          <t>Outros</t>
        </is>
      </c>
      <c r="O4933" t="n">
        <v>1</v>
      </c>
      <c r="P4933" t="n">
        <v>2</v>
      </c>
      <c r="Q4933" t="n">
        <v>0</v>
      </c>
    </row>
    <row r="4934">
      <c r="J4934" t="inlineStr">
        <is>
          <t>A</t>
        </is>
      </c>
      <c r="K4934" t="n">
        <v>2025</v>
      </c>
      <c r="L4934" t="n">
        <v>4</v>
      </c>
      <c r="M4934" t="inlineStr">
        <is>
          <t>Composto lácteo Merilú 400 g</t>
        </is>
      </c>
      <c r="N4934" t="inlineStr">
        <is>
          <t>Outros</t>
        </is>
      </c>
      <c r="O4934" t="n">
        <v>1</v>
      </c>
      <c r="P4934" t="n">
        <v>9</v>
      </c>
      <c r="Q4934" t="n">
        <v>0</v>
      </c>
    </row>
    <row r="4935">
      <c r="J4935" t="inlineStr">
        <is>
          <t>M</t>
        </is>
      </c>
      <c r="K4935" t="n">
        <v>2025</v>
      </c>
      <c r="L4935" t="n">
        <v>4</v>
      </c>
      <c r="M4935" t="inlineStr">
        <is>
          <t>Composto lácteo Merilú 400 g</t>
        </is>
      </c>
      <c r="N4935" t="inlineStr">
        <is>
          <t>Outros</t>
        </is>
      </c>
      <c r="O4935" t="n">
        <v>1</v>
      </c>
      <c r="P4935" t="n">
        <v>3</v>
      </c>
      <c r="Q4935" t="n">
        <v>0</v>
      </c>
    </row>
    <row r="4936">
      <c r="J4936" t="inlineStr">
        <is>
          <t>A</t>
        </is>
      </c>
      <c r="K4936" t="n">
        <v>2025</v>
      </c>
      <c r="L4936" t="n">
        <v>5</v>
      </c>
      <c r="M4936" t="inlineStr">
        <is>
          <t>Composto lácteo Merilú 400 g</t>
        </is>
      </c>
      <c r="N4936" t="inlineStr">
        <is>
          <t>Outros</t>
        </is>
      </c>
      <c r="O4936" t="n">
        <v>1</v>
      </c>
      <c r="P4936" t="n">
        <v>11</v>
      </c>
      <c r="Q4936" t="n">
        <v>0</v>
      </c>
    </row>
    <row r="4937">
      <c r="J4937" t="inlineStr">
        <is>
          <t>M</t>
        </is>
      </c>
      <c r="K4937" t="n">
        <v>2025</v>
      </c>
      <c r="L4937" t="n">
        <v>5</v>
      </c>
      <c r="M4937" t="inlineStr">
        <is>
          <t>Composto lácteo Merilú 400 g</t>
        </is>
      </c>
      <c r="N4937" t="inlineStr">
        <is>
          <t>Outros</t>
        </is>
      </c>
      <c r="O4937" t="n">
        <v>1</v>
      </c>
      <c r="P4937" t="n">
        <v>2</v>
      </c>
      <c r="Q4937" t="n">
        <v>0</v>
      </c>
    </row>
    <row r="4938">
      <c r="J4938" t="inlineStr">
        <is>
          <t>A</t>
        </is>
      </c>
      <c r="K4938" t="n">
        <v>2025</v>
      </c>
      <c r="L4938" t="n">
        <v>6</v>
      </c>
      <c r="M4938" t="inlineStr">
        <is>
          <t>Composto lácteo Merilú 400 g</t>
        </is>
      </c>
      <c r="N4938" t="inlineStr">
        <is>
          <t>Outros</t>
        </is>
      </c>
      <c r="O4938" t="n">
        <v>1</v>
      </c>
      <c r="P4938" t="n">
        <v>13</v>
      </c>
      <c r="Q4938" t="n">
        <v>0</v>
      </c>
    </row>
    <row r="4939">
      <c r="J4939" t="inlineStr">
        <is>
          <t>M</t>
        </is>
      </c>
      <c r="K4939" t="n">
        <v>2025</v>
      </c>
      <c r="L4939" t="n">
        <v>6</v>
      </c>
      <c r="M4939" t="inlineStr">
        <is>
          <t>Composto lácteo Merilú 400 g</t>
        </is>
      </c>
      <c r="N4939" t="inlineStr">
        <is>
          <t>Outros</t>
        </is>
      </c>
      <c r="O4939" t="n">
        <v>1</v>
      </c>
      <c r="P4939" t="n">
        <v>2</v>
      </c>
      <c r="Q4939" t="n">
        <v>0</v>
      </c>
    </row>
    <row r="4940">
      <c r="J4940" t="inlineStr">
        <is>
          <t>A</t>
        </is>
      </c>
      <c r="K4940" t="n">
        <v>2025</v>
      </c>
      <c r="L4940" t="n">
        <v>7</v>
      </c>
      <c r="M4940" t="inlineStr">
        <is>
          <t>Composto lácteo Merilú 400 g</t>
        </is>
      </c>
      <c r="N4940" t="inlineStr">
        <is>
          <t>Outros</t>
        </is>
      </c>
      <c r="O4940" t="n">
        <v>1</v>
      </c>
      <c r="P4940" t="n">
        <v>15</v>
      </c>
      <c r="Q4940" t="n">
        <v>0</v>
      </c>
    </row>
    <row r="4941">
      <c r="J4941" t="inlineStr">
        <is>
          <t>M</t>
        </is>
      </c>
      <c r="K4941" t="n">
        <v>2025</v>
      </c>
      <c r="L4941" t="n">
        <v>7</v>
      </c>
      <c r="M4941" t="inlineStr">
        <is>
          <t>Composto lácteo Merilú 400 g</t>
        </is>
      </c>
      <c r="N4941" t="inlineStr">
        <is>
          <t>Outros</t>
        </is>
      </c>
      <c r="O4941" t="n">
        <v>1</v>
      </c>
      <c r="P4941" t="n">
        <v>2</v>
      </c>
      <c r="Q4941" t="n">
        <v>0</v>
      </c>
    </row>
    <row r="4942">
      <c r="J4942" t="inlineStr">
        <is>
          <t>A</t>
        </is>
      </c>
      <c r="K4942" t="n">
        <v>2025</v>
      </c>
      <c r="L4942" t="n">
        <v>8</v>
      </c>
      <c r="M4942" t="inlineStr">
        <is>
          <t>Composto lácteo Merilú 400 g</t>
        </is>
      </c>
      <c r="N4942" t="inlineStr">
        <is>
          <t>Outros</t>
        </is>
      </c>
      <c r="O4942" t="n">
        <v>1</v>
      </c>
      <c r="P4942" t="n">
        <v>17</v>
      </c>
      <c r="Q4942" t="n">
        <v>0</v>
      </c>
    </row>
    <row r="4943">
      <c r="J4943" t="inlineStr">
        <is>
          <t>M</t>
        </is>
      </c>
      <c r="K4943" t="n">
        <v>2025</v>
      </c>
      <c r="L4943" t="n">
        <v>8</v>
      </c>
      <c r="M4943" t="inlineStr">
        <is>
          <t>Composto lácteo Merilú 400 g</t>
        </is>
      </c>
      <c r="N4943" t="inlineStr">
        <is>
          <t>Outros</t>
        </is>
      </c>
      <c r="O4943" t="n">
        <v>1</v>
      </c>
      <c r="P4943" t="n">
        <v>2</v>
      </c>
      <c r="Q4943" t="n">
        <v>0</v>
      </c>
    </row>
    <row r="4944">
      <c r="J4944" t="inlineStr">
        <is>
          <t>A</t>
        </is>
      </c>
      <c r="K4944" t="n">
        <v>2025</v>
      </c>
      <c r="L4944" t="n">
        <v>9</v>
      </c>
      <c r="M4944" t="inlineStr">
        <is>
          <t>Composto lácteo Merilú 400 g</t>
        </is>
      </c>
      <c r="N4944" t="inlineStr">
        <is>
          <t>Outros</t>
        </is>
      </c>
      <c r="O4944" t="n">
        <v>1</v>
      </c>
      <c r="P4944" t="n">
        <v>19</v>
      </c>
      <c r="Q4944" t="n">
        <v>0</v>
      </c>
    </row>
    <row r="4945">
      <c r="J4945" t="inlineStr">
        <is>
          <t>M</t>
        </is>
      </c>
      <c r="K4945" t="n">
        <v>2025</v>
      </c>
      <c r="L4945" t="n">
        <v>9</v>
      </c>
      <c r="M4945" t="inlineStr">
        <is>
          <t>Composto lácteo Merilú 400 g</t>
        </is>
      </c>
      <c r="N4945" t="inlineStr">
        <is>
          <t>Outros</t>
        </is>
      </c>
      <c r="O4945" t="n">
        <v>1</v>
      </c>
      <c r="P4945" t="n">
        <v>2</v>
      </c>
      <c r="Q4945" t="n">
        <v>0</v>
      </c>
    </row>
    <row r="4946">
      <c r="J4946" t="inlineStr">
        <is>
          <t>A</t>
        </is>
      </c>
      <c r="K4946" t="n">
        <v>2025</v>
      </c>
      <c r="L4946" t="n">
        <v>10</v>
      </c>
      <c r="M4946" t="inlineStr">
        <is>
          <t>Composto lácteo Merilú 400 g</t>
        </is>
      </c>
      <c r="N4946" t="inlineStr">
        <is>
          <t>Outros</t>
        </is>
      </c>
      <c r="O4946" t="n">
        <v>1</v>
      </c>
      <c r="P4946" t="n">
        <v>20</v>
      </c>
      <c r="Q4946" t="n">
        <v>0</v>
      </c>
    </row>
    <row r="4947">
      <c r="J4947" t="inlineStr">
        <is>
          <t>M</t>
        </is>
      </c>
      <c r="K4947" t="n">
        <v>2025</v>
      </c>
      <c r="L4947" t="n">
        <v>10</v>
      </c>
      <c r="M4947" t="inlineStr">
        <is>
          <t>Composto lácteo Merilú 400 g</t>
        </is>
      </c>
      <c r="N4947" t="inlineStr">
        <is>
          <t>Outros</t>
        </is>
      </c>
      <c r="O4947" t="n">
        <v>1</v>
      </c>
      <c r="P4947" t="n">
        <v>1</v>
      </c>
      <c r="Q4947" t="n">
        <v>0</v>
      </c>
    </row>
    <row r="4948">
      <c r="J4948" t="inlineStr">
        <is>
          <t>A</t>
        </is>
      </c>
      <c r="K4948" t="n">
        <v>2025</v>
      </c>
      <c r="L4948" t="n">
        <v>11</v>
      </c>
      <c r="M4948" t="inlineStr">
        <is>
          <t>Composto lácteo Merilú 400 g</t>
        </is>
      </c>
      <c r="N4948" t="inlineStr">
        <is>
          <t>Outros</t>
        </is>
      </c>
      <c r="O4948" t="n">
        <v>1</v>
      </c>
      <c r="P4948" t="n">
        <v>21</v>
      </c>
      <c r="Q4948" t="n">
        <v>0</v>
      </c>
    </row>
    <row r="4949">
      <c r="J4949" t="inlineStr">
        <is>
          <t>M</t>
        </is>
      </c>
      <c r="K4949" t="n">
        <v>2025</v>
      </c>
      <c r="L4949" t="n">
        <v>11</v>
      </c>
      <c r="M4949" t="inlineStr">
        <is>
          <t>Composto lácteo Merilú 400 g</t>
        </is>
      </c>
      <c r="N4949" t="inlineStr">
        <is>
          <t>Outros</t>
        </is>
      </c>
      <c r="O4949" t="n">
        <v>1</v>
      </c>
      <c r="P4949" t="n">
        <v>1</v>
      </c>
      <c r="Q4949" t="n">
        <v>0</v>
      </c>
    </row>
    <row r="4950">
      <c r="J4950" t="inlineStr">
        <is>
          <t>A</t>
        </is>
      </c>
      <c r="K4950" t="n">
        <v>2025</v>
      </c>
      <c r="L4950" t="n">
        <v>12</v>
      </c>
      <c r="M4950" t="inlineStr">
        <is>
          <t>Composto lácteo Merilú 400 g</t>
        </is>
      </c>
      <c r="N4950" t="inlineStr">
        <is>
          <t>Outros</t>
        </is>
      </c>
      <c r="O4950" t="n">
        <v>1</v>
      </c>
      <c r="P4950" t="n">
        <v>21</v>
      </c>
      <c r="Q4950" t="n">
        <v>0</v>
      </c>
    </row>
    <row r="4951">
      <c r="J4951" t="inlineStr">
        <is>
          <t>A</t>
        </is>
      </c>
      <c r="K4951" t="n">
        <v>2025</v>
      </c>
      <c r="L4951" t="n">
        <v>1</v>
      </c>
      <c r="M4951" t="inlineStr">
        <is>
          <t>Composto lácteo Merilú 400 g</t>
        </is>
      </c>
      <c r="N4951" t="inlineStr">
        <is>
          <t>Pessoa Física</t>
        </is>
      </c>
      <c r="O4951" t="n">
        <v>2</v>
      </c>
      <c r="P4951" t="n">
        <v>3</v>
      </c>
      <c r="Q4951" t="n">
        <v>0</v>
      </c>
    </row>
    <row r="4952">
      <c r="J4952" t="inlineStr">
        <is>
          <t>M</t>
        </is>
      </c>
      <c r="K4952" t="n">
        <v>2025</v>
      </c>
      <c r="L4952" t="n">
        <v>1</v>
      </c>
      <c r="M4952" t="inlineStr">
        <is>
          <t>Composto lácteo Merilú 400 g</t>
        </is>
      </c>
      <c r="N4952" t="inlineStr">
        <is>
          <t>Pessoa Física</t>
        </is>
      </c>
      <c r="O4952" t="n">
        <v>2</v>
      </c>
      <c r="P4952" t="n">
        <v>3</v>
      </c>
      <c r="Q4952" t="n">
        <v>0</v>
      </c>
    </row>
    <row r="4953">
      <c r="J4953" t="inlineStr">
        <is>
          <t>A</t>
        </is>
      </c>
      <c r="K4953" t="n">
        <v>2025</v>
      </c>
      <c r="L4953" t="n">
        <v>2</v>
      </c>
      <c r="M4953" t="inlineStr">
        <is>
          <t>Composto lácteo Merilú 400 g</t>
        </is>
      </c>
      <c r="N4953" t="inlineStr">
        <is>
          <t>Pessoa Física</t>
        </is>
      </c>
      <c r="O4953" t="n">
        <v>2</v>
      </c>
      <c r="P4953" t="n">
        <v>4</v>
      </c>
      <c r="Q4953" t="n">
        <v>0</v>
      </c>
    </row>
    <row r="4954">
      <c r="J4954" t="inlineStr">
        <is>
          <t>M</t>
        </is>
      </c>
      <c r="K4954" t="n">
        <v>2025</v>
      </c>
      <c r="L4954" t="n">
        <v>2</v>
      </c>
      <c r="M4954" t="inlineStr">
        <is>
          <t>Composto lácteo Merilú 400 g</t>
        </is>
      </c>
      <c r="N4954" t="inlineStr">
        <is>
          <t>Pessoa Física</t>
        </is>
      </c>
      <c r="O4954" t="n">
        <v>1</v>
      </c>
      <c r="P4954" t="n">
        <v>1</v>
      </c>
      <c r="Q4954" t="n">
        <v>0</v>
      </c>
    </row>
    <row r="4955">
      <c r="J4955" t="inlineStr">
        <is>
          <t>A</t>
        </is>
      </c>
      <c r="K4955" t="n">
        <v>2025</v>
      </c>
      <c r="L4955" t="n">
        <v>3</v>
      </c>
      <c r="M4955" t="inlineStr">
        <is>
          <t>Composto lácteo Merilú 400 g</t>
        </is>
      </c>
      <c r="N4955" t="inlineStr">
        <is>
          <t>Pessoa Física</t>
        </is>
      </c>
      <c r="O4955" t="n">
        <v>2</v>
      </c>
      <c r="P4955" t="n">
        <v>4</v>
      </c>
      <c r="Q4955" t="n">
        <v>0</v>
      </c>
    </row>
    <row r="4956">
      <c r="J4956" t="inlineStr">
        <is>
          <t>A</t>
        </is>
      </c>
      <c r="K4956" t="n">
        <v>2025</v>
      </c>
      <c r="L4956" t="n">
        <v>4</v>
      </c>
      <c r="M4956" t="inlineStr">
        <is>
          <t>Composto lácteo Merilú 400 g</t>
        </is>
      </c>
      <c r="N4956" t="inlineStr">
        <is>
          <t>Pessoa Física</t>
        </is>
      </c>
      <c r="O4956" t="n">
        <v>2</v>
      </c>
      <c r="P4956" t="n">
        <v>5</v>
      </c>
      <c r="Q4956" t="n">
        <v>0</v>
      </c>
    </row>
    <row r="4957">
      <c r="J4957" t="inlineStr">
        <is>
          <t>M</t>
        </is>
      </c>
      <c r="K4957" t="n">
        <v>2025</v>
      </c>
      <c r="L4957" t="n">
        <v>4</v>
      </c>
      <c r="M4957" t="inlineStr">
        <is>
          <t>Composto lácteo Merilú 400 g</t>
        </is>
      </c>
      <c r="N4957" t="inlineStr">
        <is>
          <t>Pessoa Física</t>
        </is>
      </c>
      <c r="O4957" t="n">
        <v>1</v>
      </c>
      <c r="P4957" t="n">
        <v>1</v>
      </c>
      <c r="Q4957" t="n">
        <v>0</v>
      </c>
    </row>
    <row r="4958">
      <c r="J4958" t="inlineStr">
        <is>
          <t>A</t>
        </is>
      </c>
      <c r="K4958" t="n">
        <v>2025</v>
      </c>
      <c r="L4958" t="n">
        <v>5</v>
      </c>
      <c r="M4958" t="inlineStr">
        <is>
          <t>Composto lácteo Merilú 400 g</t>
        </is>
      </c>
      <c r="N4958" t="inlineStr">
        <is>
          <t>Pessoa Física</t>
        </is>
      </c>
      <c r="O4958" t="n">
        <v>2</v>
      </c>
      <c r="P4958" t="n">
        <v>5</v>
      </c>
      <c r="Q4958" t="n">
        <v>0</v>
      </c>
    </row>
    <row r="4959">
      <c r="J4959" t="inlineStr">
        <is>
          <t>A</t>
        </is>
      </c>
      <c r="K4959" t="n">
        <v>2025</v>
      </c>
      <c r="L4959" t="n">
        <v>6</v>
      </c>
      <c r="M4959" t="inlineStr">
        <is>
          <t>Composto lácteo Merilú 400 g</t>
        </is>
      </c>
      <c r="N4959" t="inlineStr">
        <is>
          <t>Pessoa Física</t>
        </is>
      </c>
      <c r="O4959" t="n">
        <v>2</v>
      </c>
      <c r="P4959" t="n">
        <v>5</v>
      </c>
      <c r="Q4959" t="n">
        <v>0</v>
      </c>
    </row>
    <row r="4960">
      <c r="J4960" t="inlineStr">
        <is>
          <t>A</t>
        </is>
      </c>
      <c r="K4960" t="n">
        <v>2025</v>
      </c>
      <c r="L4960" t="n">
        <v>7</v>
      </c>
      <c r="M4960" t="inlineStr">
        <is>
          <t>Composto lácteo Merilú 400 g</t>
        </is>
      </c>
      <c r="N4960" t="inlineStr">
        <is>
          <t>Pessoa Física</t>
        </is>
      </c>
      <c r="O4960" t="n">
        <v>2</v>
      </c>
      <c r="P4960" t="n">
        <v>6</v>
      </c>
      <c r="Q4960" t="n">
        <v>0</v>
      </c>
    </row>
    <row r="4961">
      <c r="J4961" t="inlineStr">
        <is>
          <t>M</t>
        </is>
      </c>
      <c r="K4961" t="n">
        <v>2025</v>
      </c>
      <c r="L4961" t="n">
        <v>7</v>
      </c>
      <c r="M4961" t="inlineStr">
        <is>
          <t>Composto lácteo Merilú 400 g</t>
        </is>
      </c>
      <c r="N4961" t="inlineStr">
        <is>
          <t>Pessoa Física</t>
        </is>
      </c>
      <c r="O4961" t="n">
        <v>1</v>
      </c>
      <c r="P4961" t="n">
        <v>1</v>
      </c>
      <c r="Q4961" t="n">
        <v>0</v>
      </c>
    </row>
    <row r="4962">
      <c r="J4962" t="inlineStr">
        <is>
          <t>A</t>
        </is>
      </c>
      <c r="K4962" t="n">
        <v>2025</v>
      </c>
      <c r="L4962" t="n">
        <v>8</v>
      </c>
      <c r="M4962" t="inlineStr">
        <is>
          <t>Composto lácteo Merilú 400 g</t>
        </is>
      </c>
      <c r="N4962" t="inlineStr">
        <is>
          <t>Pessoa Física</t>
        </is>
      </c>
      <c r="O4962" t="n">
        <v>2</v>
      </c>
      <c r="P4962" t="n">
        <v>6</v>
      </c>
      <c r="Q4962" t="n">
        <v>0</v>
      </c>
    </row>
    <row r="4963">
      <c r="J4963" t="inlineStr">
        <is>
          <t>A</t>
        </is>
      </c>
      <c r="K4963" t="n">
        <v>2025</v>
      </c>
      <c r="L4963" t="n">
        <v>9</v>
      </c>
      <c r="M4963" t="inlineStr">
        <is>
          <t>Composto lácteo Merilú 400 g</t>
        </is>
      </c>
      <c r="N4963" t="inlineStr">
        <is>
          <t>Pessoa Física</t>
        </is>
      </c>
      <c r="O4963" t="n">
        <v>2</v>
      </c>
      <c r="P4963" t="n">
        <v>6</v>
      </c>
      <c r="Q4963" t="n">
        <v>0</v>
      </c>
    </row>
    <row r="4964">
      <c r="J4964" t="inlineStr">
        <is>
          <t>A</t>
        </is>
      </c>
      <c r="K4964" t="n">
        <v>2025</v>
      </c>
      <c r="L4964" t="n">
        <v>10</v>
      </c>
      <c r="M4964" t="inlineStr">
        <is>
          <t>Composto lácteo Merilú 400 g</t>
        </is>
      </c>
      <c r="N4964" t="inlineStr">
        <is>
          <t>Pessoa Física</t>
        </is>
      </c>
      <c r="O4964" t="n">
        <v>2</v>
      </c>
      <c r="P4964" t="n">
        <v>6</v>
      </c>
      <c r="Q4964" t="n">
        <v>0</v>
      </c>
    </row>
    <row r="4965">
      <c r="J4965" t="inlineStr">
        <is>
          <t>A</t>
        </is>
      </c>
      <c r="K4965" t="n">
        <v>2025</v>
      </c>
      <c r="L4965" t="n">
        <v>11</v>
      </c>
      <c r="M4965" t="inlineStr">
        <is>
          <t>Composto lácteo Merilú 400 g</t>
        </is>
      </c>
      <c r="N4965" t="inlineStr">
        <is>
          <t>Pessoa Física</t>
        </is>
      </c>
      <c r="O4965" t="n">
        <v>2</v>
      </c>
      <c r="P4965" t="n">
        <v>6</v>
      </c>
      <c r="Q4965" t="n">
        <v>0</v>
      </c>
    </row>
    <row r="4966">
      <c r="J4966" t="inlineStr">
        <is>
          <t>A</t>
        </is>
      </c>
      <c r="K4966" t="n">
        <v>2025</v>
      </c>
      <c r="L4966" t="n">
        <v>12</v>
      </c>
      <c r="M4966" t="inlineStr">
        <is>
          <t>Composto lácteo Merilú 400 g</t>
        </is>
      </c>
      <c r="N4966" t="inlineStr">
        <is>
          <t>Pessoa Física</t>
        </is>
      </c>
      <c r="O4966" t="n">
        <v>2</v>
      </c>
      <c r="P4966" t="n">
        <v>6</v>
      </c>
      <c r="Q4966" t="n">
        <v>0</v>
      </c>
    </row>
    <row r="4967">
      <c r="J4967" t="inlineStr">
        <is>
          <t>A</t>
        </is>
      </c>
      <c r="K4967" t="n">
        <v>2025</v>
      </c>
      <c r="L4967" t="n">
        <v>11</v>
      </c>
      <c r="M4967" t="inlineStr">
        <is>
          <t>Composto lácteo Merilú 400 g</t>
        </is>
      </c>
      <c r="N4967" t="inlineStr">
        <is>
          <t>Lanchonete / Cafeteria</t>
        </is>
      </c>
      <c r="O4967" t="n">
        <v>1</v>
      </c>
      <c r="P4967" t="n">
        <v>1</v>
      </c>
      <c r="Q4967" t="n">
        <v>1</v>
      </c>
    </row>
    <row r="4968">
      <c r="J4968" t="inlineStr">
        <is>
          <t>M</t>
        </is>
      </c>
      <c r="K4968" t="n">
        <v>2025</v>
      </c>
      <c r="L4968" t="n">
        <v>11</v>
      </c>
      <c r="M4968" t="inlineStr">
        <is>
          <t>Composto lácteo Merilú 400 g</t>
        </is>
      </c>
      <c r="N4968" t="inlineStr">
        <is>
          <t>Lanchonete / Cafeteria</t>
        </is>
      </c>
      <c r="O4968" t="n">
        <v>1</v>
      </c>
      <c r="P4968" t="n">
        <v>1</v>
      </c>
      <c r="Q4968" t="n">
        <v>0</v>
      </c>
    </row>
    <row r="4969">
      <c r="J4969" t="inlineStr">
        <is>
          <t>A</t>
        </is>
      </c>
      <c r="K4969" t="n">
        <v>2025</v>
      </c>
      <c r="L4969" t="n">
        <v>12</v>
      </c>
      <c r="M4969" t="inlineStr">
        <is>
          <t>Composto lácteo Merilú 400 g</t>
        </is>
      </c>
      <c r="N4969" t="inlineStr">
        <is>
          <t>Lanchonete / Cafeteria</t>
        </is>
      </c>
      <c r="O4969" t="n">
        <v>2</v>
      </c>
      <c r="P4969" t="n">
        <v>4</v>
      </c>
      <c r="Q4969" t="n">
        <v>2</v>
      </c>
    </row>
    <row r="4970">
      <c r="J4970" t="inlineStr">
        <is>
          <t>M</t>
        </is>
      </c>
      <c r="K4970" t="n">
        <v>2025</v>
      </c>
      <c r="L4970" t="n">
        <v>12</v>
      </c>
      <c r="M4970" t="inlineStr">
        <is>
          <t>Composto lácteo Merilú 400 g</t>
        </is>
      </c>
      <c r="N4970" t="inlineStr">
        <is>
          <t>Lanchonete / Cafeteria</t>
        </is>
      </c>
      <c r="O4970" t="n">
        <v>2</v>
      </c>
      <c r="P4970" t="n">
        <v>3</v>
      </c>
      <c r="Q4970" t="n">
        <v>0</v>
      </c>
    </row>
    <row r="4971">
      <c r="J4971" t="inlineStr">
        <is>
          <t>A</t>
        </is>
      </c>
      <c r="K4971" t="n">
        <v>2025</v>
      </c>
      <c r="L4971" t="n">
        <v>1</v>
      </c>
      <c r="M4971" t="inlineStr">
        <is>
          <t>Composto lácteo Merilú 400 g</t>
        </is>
      </c>
      <c r="N4971" t="inlineStr">
        <is>
          <t>Padaria</t>
        </is>
      </c>
      <c r="O4971" t="n">
        <v>2</v>
      </c>
      <c r="P4971" t="n">
        <v>2</v>
      </c>
      <c r="Q4971" t="n">
        <v>0</v>
      </c>
    </row>
    <row r="4972">
      <c r="J4972" t="inlineStr">
        <is>
          <t>M</t>
        </is>
      </c>
      <c r="K4972" t="n">
        <v>2025</v>
      </c>
      <c r="L4972" t="n">
        <v>1</v>
      </c>
      <c r="M4972" t="inlineStr">
        <is>
          <t>Composto lácteo Merilú 400 g</t>
        </is>
      </c>
      <c r="N4972" t="inlineStr">
        <is>
          <t>Padaria</t>
        </is>
      </c>
      <c r="O4972" t="n">
        <v>2</v>
      </c>
      <c r="P4972" t="n">
        <v>2</v>
      </c>
      <c r="Q4972" t="n">
        <v>0</v>
      </c>
    </row>
    <row r="4973">
      <c r="J4973" t="inlineStr">
        <is>
          <t>A</t>
        </is>
      </c>
      <c r="K4973" t="n">
        <v>2025</v>
      </c>
      <c r="L4973" t="n">
        <v>2</v>
      </c>
      <c r="M4973" t="inlineStr">
        <is>
          <t>Composto lácteo Merilú 400 g</t>
        </is>
      </c>
      <c r="N4973" t="inlineStr">
        <is>
          <t>Padaria</t>
        </is>
      </c>
      <c r="O4973" t="n">
        <v>2</v>
      </c>
      <c r="P4973" t="n">
        <v>5</v>
      </c>
      <c r="Q4973" t="n">
        <v>0</v>
      </c>
    </row>
    <row r="4974">
      <c r="J4974" t="inlineStr">
        <is>
          <t>M</t>
        </is>
      </c>
      <c r="K4974" t="n">
        <v>2025</v>
      </c>
      <c r="L4974" t="n">
        <v>2</v>
      </c>
      <c r="M4974" t="inlineStr">
        <is>
          <t>Composto lácteo Merilú 400 g</t>
        </is>
      </c>
      <c r="N4974" t="inlineStr">
        <is>
          <t>Padaria</t>
        </is>
      </c>
      <c r="O4974" t="n">
        <v>1</v>
      </c>
      <c r="P4974" t="n">
        <v>3</v>
      </c>
      <c r="Q4974" t="n">
        <v>0</v>
      </c>
    </row>
    <row r="4975">
      <c r="J4975" t="inlineStr">
        <is>
          <t>A</t>
        </is>
      </c>
      <c r="K4975" t="n">
        <v>2025</v>
      </c>
      <c r="L4975" t="n">
        <v>3</v>
      </c>
      <c r="M4975" t="inlineStr">
        <is>
          <t>Composto lácteo Merilú 400 g</t>
        </is>
      </c>
      <c r="N4975" t="inlineStr">
        <is>
          <t>Padaria</t>
        </is>
      </c>
      <c r="O4975" t="n">
        <v>2</v>
      </c>
      <c r="P4975" t="n">
        <v>6</v>
      </c>
      <c r="Q4975" t="n">
        <v>0</v>
      </c>
    </row>
    <row r="4976">
      <c r="J4976" t="inlineStr">
        <is>
          <t>M</t>
        </is>
      </c>
      <c r="K4976" t="n">
        <v>2025</v>
      </c>
      <c r="L4976" t="n">
        <v>3</v>
      </c>
      <c r="M4976" t="inlineStr">
        <is>
          <t>Composto lácteo Merilú 400 g</t>
        </is>
      </c>
      <c r="N4976" t="inlineStr">
        <is>
          <t>Padaria</t>
        </is>
      </c>
      <c r="O4976" t="n">
        <v>1</v>
      </c>
      <c r="P4976" t="n">
        <v>1</v>
      </c>
      <c r="Q4976" t="n">
        <v>0</v>
      </c>
    </row>
    <row r="4977">
      <c r="J4977" t="inlineStr">
        <is>
          <t>A</t>
        </is>
      </c>
      <c r="K4977" t="n">
        <v>2025</v>
      </c>
      <c r="L4977" t="n">
        <v>4</v>
      </c>
      <c r="M4977" t="inlineStr">
        <is>
          <t>Composto lácteo Merilú 400 g</t>
        </is>
      </c>
      <c r="N4977" t="inlineStr">
        <is>
          <t>Padaria</t>
        </is>
      </c>
      <c r="O4977" t="n">
        <v>2</v>
      </c>
      <c r="P4977" t="n">
        <v>6</v>
      </c>
      <c r="Q4977" t="n">
        <v>0</v>
      </c>
    </row>
    <row r="4978">
      <c r="J4978" t="inlineStr">
        <is>
          <t>A</t>
        </is>
      </c>
      <c r="K4978" t="n">
        <v>2025</v>
      </c>
      <c r="L4978" t="n">
        <v>5</v>
      </c>
      <c r="M4978" t="inlineStr">
        <is>
          <t>Composto lácteo Merilú 400 g</t>
        </is>
      </c>
      <c r="N4978" t="inlineStr">
        <is>
          <t>Padaria</t>
        </is>
      </c>
      <c r="O4978" t="n">
        <v>3</v>
      </c>
      <c r="P4978" t="n">
        <v>9</v>
      </c>
      <c r="Q4978" t="n">
        <v>0</v>
      </c>
    </row>
    <row r="4979">
      <c r="J4979" t="inlineStr">
        <is>
          <t>M</t>
        </is>
      </c>
      <c r="K4979" t="n">
        <v>2025</v>
      </c>
      <c r="L4979" t="n">
        <v>5</v>
      </c>
      <c r="M4979" t="inlineStr">
        <is>
          <t>Composto lácteo Merilú 400 g</t>
        </is>
      </c>
      <c r="N4979" t="inlineStr">
        <is>
          <t>Padaria</t>
        </is>
      </c>
      <c r="O4979" t="n">
        <v>2</v>
      </c>
      <c r="P4979" t="n">
        <v>3</v>
      </c>
      <c r="Q4979" t="n">
        <v>0</v>
      </c>
    </row>
    <row r="4980">
      <c r="J4980" t="inlineStr">
        <is>
          <t>A</t>
        </is>
      </c>
      <c r="K4980" t="n">
        <v>2025</v>
      </c>
      <c r="L4980" t="n">
        <v>6</v>
      </c>
      <c r="M4980" t="inlineStr">
        <is>
          <t>Composto lácteo Merilú 400 g</t>
        </is>
      </c>
      <c r="N4980" t="inlineStr">
        <is>
          <t>Padaria</t>
        </is>
      </c>
      <c r="O4980" t="n">
        <v>3</v>
      </c>
      <c r="P4980" t="n">
        <v>9</v>
      </c>
      <c r="Q4980" t="n">
        <v>0</v>
      </c>
    </row>
    <row r="4981">
      <c r="J4981" t="inlineStr">
        <is>
          <t>A</t>
        </is>
      </c>
      <c r="K4981" t="n">
        <v>2025</v>
      </c>
      <c r="L4981" t="n">
        <v>7</v>
      </c>
      <c r="M4981" t="inlineStr">
        <is>
          <t>Composto lácteo Merilú 400 g</t>
        </is>
      </c>
      <c r="N4981" t="inlineStr">
        <is>
          <t>Padaria</t>
        </is>
      </c>
      <c r="O4981" t="n">
        <v>3</v>
      </c>
      <c r="P4981" t="n">
        <v>9</v>
      </c>
      <c r="Q4981" t="n">
        <v>0</v>
      </c>
    </row>
    <row r="4982">
      <c r="J4982" t="inlineStr">
        <is>
          <t>A</t>
        </is>
      </c>
      <c r="K4982" t="n">
        <v>2025</v>
      </c>
      <c r="L4982" t="n">
        <v>8</v>
      </c>
      <c r="M4982" t="inlineStr">
        <is>
          <t>Composto lácteo Merilú 400 g</t>
        </is>
      </c>
      <c r="N4982" t="inlineStr">
        <is>
          <t>Padaria</t>
        </is>
      </c>
      <c r="O4982" t="n">
        <v>3</v>
      </c>
      <c r="P4982" t="n">
        <v>9</v>
      </c>
      <c r="Q4982" t="n">
        <v>0</v>
      </c>
    </row>
    <row r="4983">
      <c r="J4983" t="inlineStr">
        <is>
          <t>A</t>
        </is>
      </c>
      <c r="K4983" t="n">
        <v>2025</v>
      </c>
      <c r="L4983" t="n">
        <v>9</v>
      </c>
      <c r="M4983" t="inlineStr">
        <is>
          <t>Composto lácteo Merilú 400 g</t>
        </is>
      </c>
      <c r="N4983" t="inlineStr">
        <is>
          <t>Padaria</t>
        </is>
      </c>
      <c r="O4983" t="n">
        <v>3</v>
      </c>
      <c r="P4983" t="n">
        <v>10</v>
      </c>
      <c r="Q4983" t="n">
        <v>0</v>
      </c>
    </row>
    <row r="4984">
      <c r="J4984" t="inlineStr">
        <is>
          <t>M</t>
        </is>
      </c>
      <c r="K4984" t="n">
        <v>2025</v>
      </c>
      <c r="L4984" t="n">
        <v>9</v>
      </c>
      <c r="M4984" t="inlineStr">
        <is>
          <t>Composto lácteo Merilú 400 g</t>
        </is>
      </c>
      <c r="N4984" t="inlineStr">
        <is>
          <t>Padaria</t>
        </is>
      </c>
      <c r="O4984" t="n">
        <v>1</v>
      </c>
      <c r="P4984" t="n">
        <v>1</v>
      </c>
      <c r="Q4984" t="n">
        <v>0</v>
      </c>
    </row>
    <row r="4985">
      <c r="J4985" t="inlineStr">
        <is>
          <t>A</t>
        </is>
      </c>
      <c r="K4985" t="n">
        <v>2025</v>
      </c>
      <c r="L4985" t="n">
        <v>10</v>
      </c>
      <c r="M4985" t="inlineStr">
        <is>
          <t>Composto lácteo Merilú 400 g</t>
        </is>
      </c>
      <c r="N4985" t="inlineStr">
        <is>
          <t>Padaria</t>
        </is>
      </c>
      <c r="O4985" t="n">
        <v>3</v>
      </c>
      <c r="P4985" t="n">
        <v>10</v>
      </c>
      <c r="Q4985" t="n">
        <v>0</v>
      </c>
    </row>
    <row r="4986">
      <c r="J4986" t="inlineStr">
        <is>
          <t>A</t>
        </is>
      </c>
      <c r="K4986" t="n">
        <v>2025</v>
      </c>
      <c r="L4986" t="n">
        <v>11</v>
      </c>
      <c r="M4986" t="inlineStr">
        <is>
          <t>Composto lácteo Merilú 400 g</t>
        </is>
      </c>
      <c r="N4986" t="inlineStr">
        <is>
          <t>Padaria</t>
        </is>
      </c>
      <c r="O4986" t="n">
        <v>5</v>
      </c>
      <c r="P4986" t="n">
        <v>12</v>
      </c>
      <c r="Q4986" t="n">
        <v>2</v>
      </c>
    </row>
    <row r="4987">
      <c r="J4987" t="inlineStr">
        <is>
          <t>M</t>
        </is>
      </c>
      <c r="K4987" t="n">
        <v>2025</v>
      </c>
      <c r="L4987" t="n">
        <v>11</v>
      </c>
      <c r="M4987" t="inlineStr">
        <is>
          <t>Composto lácteo Merilú 400 g</t>
        </is>
      </c>
      <c r="N4987" t="inlineStr">
        <is>
          <t>Padaria</t>
        </is>
      </c>
      <c r="O4987" t="n">
        <v>2</v>
      </c>
      <c r="P4987" t="n">
        <v>2</v>
      </c>
      <c r="Q4987" t="n">
        <v>0</v>
      </c>
    </row>
    <row r="4988">
      <c r="J4988" t="inlineStr">
        <is>
          <t>A</t>
        </is>
      </c>
      <c r="K4988" t="n">
        <v>2025</v>
      </c>
      <c r="L4988" t="n">
        <v>12</v>
      </c>
      <c r="M4988" t="inlineStr">
        <is>
          <t>Composto lácteo Merilú 400 g</t>
        </is>
      </c>
      <c r="N4988" t="inlineStr">
        <is>
          <t>Padaria</t>
        </is>
      </c>
      <c r="O4988" t="n">
        <v>5</v>
      </c>
      <c r="P4988" t="n">
        <v>12</v>
      </c>
      <c r="Q4988" t="n">
        <v>2</v>
      </c>
    </row>
    <row r="4989">
      <c r="J4989" t="inlineStr">
        <is>
          <t>A</t>
        </is>
      </c>
      <c r="K4989" t="n">
        <v>2025</v>
      </c>
      <c r="L4989" t="n">
        <v>1</v>
      </c>
      <c r="M4989" t="inlineStr">
        <is>
          <t>Composto lácteo Merilú 400 g</t>
        </is>
      </c>
      <c r="N4989" t="inlineStr">
        <is>
          <t>Supermercado</t>
        </is>
      </c>
      <c r="O4989" t="n">
        <v>1</v>
      </c>
      <c r="P4989" t="n">
        <v>1</v>
      </c>
      <c r="Q4989" t="n">
        <v>0</v>
      </c>
    </row>
    <row r="4990">
      <c r="J4990" t="inlineStr">
        <is>
          <t>M</t>
        </is>
      </c>
      <c r="K4990" t="n">
        <v>2025</v>
      </c>
      <c r="L4990" t="n">
        <v>1</v>
      </c>
      <c r="M4990" t="inlineStr">
        <is>
          <t>Composto lácteo Merilú 400 g</t>
        </is>
      </c>
      <c r="N4990" t="inlineStr">
        <is>
          <t>Supermercado</t>
        </is>
      </c>
      <c r="O4990" t="n">
        <v>1</v>
      </c>
      <c r="P4990" t="n">
        <v>1</v>
      </c>
      <c r="Q4990" t="n">
        <v>0</v>
      </c>
    </row>
    <row r="4991">
      <c r="J4991" t="inlineStr">
        <is>
          <t>A</t>
        </is>
      </c>
      <c r="K4991" t="n">
        <v>2025</v>
      </c>
      <c r="L4991" t="n">
        <v>2</v>
      </c>
      <c r="M4991" t="inlineStr">
        <is>
          <t>Composto lácteo Merilú 400 g</t>
        </is>
      </c>
      <c r="N4991" t="inlineStr">
        <is>
          <t>Supermercado</t>
        </is>
      </c>
      <c r="O4991" t="n">
        <v>1</v>
      </c>
      <c r="P4991" t="n">
        <v>1</v>
      </c>
      <c r="Q4991" t="n">
        <v>0</v>
      </c>
    </row>
    <row r="4992">
      <c r="J4992" t="inlineStr">
        <is>
          <t>A</t>
        </is>
      </c>
      <c r="K4992" t="n">
        <v>2025</v>
      </c>
      <c r="L4992" t="n">
        <v>3</v>
      </c>
      <c r="M4992" t="inlineStr">
        <is>
          <t>Composto lácteo Merilú 400 g</t>
        </is>
      </c>
      <c r="N4992" t="inlineStr">
        <is>
          <t>Supermercado</t>
        </is>
      </c>
      <c r="O4992" t="n">
        <v>2</v>
      </c>
      <c r="P4992" t="n">
        <v>4</v>
      </c>
      <c r="Q4992" t="n">
        <v>1</v>
      </c>
    </row>
    <row r="4993">
      <c r="J4993" t="inlineStr">
        <is>
          <t>M</t>
        </is>
      </c>
      <c r="K4993" t="n">
        <v>2025</v>
      </c>
      <c r="L4993" t="n">
        <v>3</v>
      </c>
      <c r="M4993" t="inlineStr">
        <is>
          <t>Composto lácteo Merilú 400 g</t>
        </is>
      </c>
      <c r="N4993" t="inlineStr">
        <is>
          <t>Supermercado</t>
        </is>
      </c>
      <c r="O4993" t="n">
        <v>2</v>
      </c>
      <c r="P4993" t="n">
        <v>3</v>
      </c>
      <c r="Q4993" t="n">
        <v>0</v>
      </c>
    </row>
    <row r="4994">
      <c r="J4994" t="inlineStr">
        <is>
          <t>A</t>
        </is>
      </c>
      <c r="K4994" t="n">
        <v>2025</v>
      </c>
      <c r="L4994" t="n">
        <v>4</v>
      </c>
      <c r="M4994" t="inlineStr">
        <is>
          <t>Composto lácteo Merilú 400 g</t>
        </is>
      </c>
      <c r="N4994" t="inlineStr">
        <is>
          <t>Supermercado</t>
        </is>
      </c>
      <c r="O4994" t="n">
        <v>2</v>
      </c>
      <c r="P4994" t="n">
        <v>6</v>
      </c>
      <c r="Q4994" t="n">
        <v>1</v>
      </c>
    </row>
    <row r="4995">
      <c r="J4995" t="inlineStr">
        <is>
          <t>M</t>
        </is>
      </c>
      <c r="K4995" t="n">
        <v>2025</v>
      </c>
      <c r="L4995" t="n">
        <v>4</v>
      </c>
      <c r="M4995" t="inlineStr">
        <is>
          <t>Composto lácteo Merilú 400 g</t>
        </is>
      </c>
      <c r="N4995" t="inlineStr">
        <is>
          <t>Supermercado</t>
        </is>
      </c>
      <c r="O4995" t="n">
        <v>1</v>
      </c>
      <c r="P4995" t="n">
        <v>2</v>
      </c>
      <c r="Q4995" t="n">
        <v>0</v>
      </c>
    </row>
    <row r="4996">
      <c r="J4996" t="inlineStr">
        <is>
          <t>A</t>
        </is>
      </c>
      <c r="K4996" t="n">
        <v>2025</v>
      </c>
      <c r="L4996" t="n">
        <v>5</v>
      </c>
      <c r="M4996" t="inlineStr">
        <is>
          <t>Composto lácteo Merilú 400 g</t>
        </is>
      </c>
      <c r="N4996" t="inlineStr">
        <is>
          <t>Supermercado</t>
        </is>
      </c>
      <c r="O4996" t="n">
        <v>2</v>
      </c>
      <c r="P4996" t="n">
        <v>7</v>
      </c>
      <c r="Q4996" t="n">
        <v>1</v>
      </c>
    </row>
    <row r="4997">
      <c r="J4997" t="inlineStr">
        <is>
          <t>M</t>
        </is>
      </c>
      <c r="K4997" t="n">
        <v>2025</v>
      </c>
      <c r="L4997" t="n">
        <v>5</v>
      </c>
      <c r="M4997" t="inlineStr">
        <is>
          <t>Composto lácteo Merilú 400 g</t>
        </is>
      </c>
      <c r="N4997" t="inlineStr">
        <is>
          <t>Supermercado</t>
        </is>
      </c>
      <c r="O4997" t="n">
        <v>1</v>
      </c>
      <c r="P4997" t="n">
        <v>1</v>
      </c>
      <c r="Q4997" t="n">
        <v>0</v>
      </c>
    </row>
    <row r="4998">
      <c r="J4998" t="inlineStr">
        <is>
          <t>A</t>
        </is>
      </c>
      <c r="K4998" t="n">
        <v>2025</v>
      </c>
      <c r="L4998" t="n">
        <v>6</v>
      </c>
      <c r="M4998" t="inlineStr">
        <is>
          <t>Composto lácteo Merilú 400 g</t>
        </is>
      </c>
      <c r="N4998" t="inlineStr">
        <is>
          <t>Supermercado</t>
        </is>
      </c>
      <c r="O4998" t="n">
        <v>2</v>
      </c>
      <c r="P4998" t="n">
        <v>10</v>
      </c>
      <c r="Q4998" t="n">
        <v>1</v>
      </c>
    </row>
    <row r="4999">
      <c r="J4999" t="inlineStr">
        <is>
          <t>M</t>
        </is>
      </c>
      <c r="K4999" t="n">
        <v>2025</v>
      </c>
      <c r="L4999" t="n">
        <v>6</v>
      </c>
      <c r="M4999" t="inlineStr">
        <is>
          <t>Composto lácteo Merilú 400 g</t>
        </is>
      </c>
      <c r="N4999" t="inlineStr">
        <is>
          <t>Supermercado</t>
        </is>
      </c>
      <c r="O4999" t="n">
        <v>2</v>
      </c>
      <c r="P4999" t="n">
        <v>3</v>
      </c>
      <c r="Q4999" t="n">
        <v>0</v>
      </c>
    </row>
    <row r="5000">
      <c r="J5000" t="inlineStr">
        <is>
          <t>A</t>
        </is>
      </c>
      <c r="K5000" t="n">
        <v>2025</v>
      </c>
      <c r="L5000" t="n">
        <v>7</v>
      </c>
      <c r="M5000" t="inlineStr">
        <is>
          <t>Composto lácteo Merilú 400 g</t>
        </is>
      </c>
      <c r="N5000" t="inlineStr">
        <is>
          <t>Supermercado</t>
        </is>
      </c>
      <c r="O5000" t="n">
        <v>2</v>
      </c>
      <c r="P5000" t="n">
        <v>13</v>
      </c>
      <c r="Q5000" t="n">
        <v>1</v>
      </c>
    </row>
    <row r="5001">
      <c r="J5001" t="inlineStr">
        <is>
          <t>M</t>
        </is>
      </c>
      <c r="K5001" t="n">
        <v>2025</v>
      </c>
      <c r="L5001" t="n">
        <v>7</v>
      </c>
      <c r="M5001" t="inlineStr">
        <is>
          <t>Composto lácteo Merilú 400 g</t>
        </is>
      </c>
      <c r="N5001" t="inlineStr">
        <is>
          <t>Supermercado</t>
        </is>
      </c>
      <c r="O5001" t="n">
        <v>1</v>
      </c>
      <c r="P5001" t="n">
        <v>3</v>
      </c>
      <c r="Q5001" t="n">
        <v>0</v>
      </c>
    </row>
    <row r="5002">
      <c r="J5002" t="inlineStr">
        <is>
          <t>A</t>
        </is>
      </c>
      <c r="K5002" t="n">
        <v>2025</v>
      </c>
      <c r="L5002" t="n">
        <v>8</v>
      </c>
      <c r="M5002" t="inlineStr">
        <is>
          <t>Composto lácteo Merilú 400 g</t>
        </is>
      </c>
      <c r="N5002" t="inlineStr">
        <is>
          <t>Supermercado</t>
        </is>
      </c>
      <c r="O5002" t="n">
        <v>2</v>
      </c>
      <c r="P5002" t="n">
        <v>16</v>
      </c>
      <c r="Q5002" t="n">
        <v>1</v>
      </c>
    </row>
    <row r="5003">
      <c r="J5003" t="inlineStr">
        <is>
          <t>M</t>
        </is>
      </c>
      <c r="K5003" t="n">
        <v>2025</v>
      </c>
      <c r="L5003" t="n">
        <v>8</v>
      </c>
      <c r="M5003" t="inlineStr">
        <is>
          <t>Composto lácteo Merilú 400 g</t>
        </is>
      </c>
      <c r="N5003" t="inlineStr">
        <is>
          <t>Supermercado</t>
        </is>
      </c>
      <c r="O5003" t="n">
        <v>2</v>
      </c>
      <c r="P5003" t="n">
        <v>3</v>
      </c>
      <c r="Q5003" t="n">
        <v>0</v>
      </c>
    </row>
    <row r="5004">
      <c r="J5004" t="inlineStr">
        <is>
          <t>A</t>
        </is>
      </c>
      <c r="K5004" t="n">
        <v>2025</v>
      </c>
      <c r="L5004" t="n">
        <v>9</v>
      </c>
      <c r="M5004" t="inlineStr">
        <is>
          <t>Composto lácteo Merilú 400 g</t>
        </is>
      </c>
      <c r="N5004" t="inlineStr">
        <is>
          <t>Supermercado</t>
        </is>
      </c>
      <c r="O5004" t="n">
        <v>2</v>
      </c>
      <c r="P5004" t="n">
        <v>19</v>
      </c>
      <c r="Q5004" t="n">
        <v>1</v>
      </c>
    </row>
    <row r="5005">
      <c r="J5005" t="inlineStr">
        <is>
          <t>M</t>
        </is>
      </c>
      <c r="K5005" t="n">
        <v>2025</v>
      </c>
      <c r="L5005" t="n">
        <v>9</v>
      </c>
      <c r="M5005" t="inlineStr">
        <is>
          <t>Composto lácteo Merilú 400 g</t>
        </is>
      </c>
      <c r="N5005" t="inlineStr">
        <is>
          <t>Supermercado</t>
        </is>
      </c>
      <c r="O5005" t="n">
        <v>2</v>
      </c>
      <c r="P5005" t="n">
        <v>3</v>
      </c>
      <c r="Q5005" t="n">
        <v>0</v>
      </c>
    </row>
    <row r="5006">
      <c r="J5006" t="inlineStr">
        <is>
          <t>A</t>
        </is>
      </c>
      <c r="K5006" t="n">
        <v>2025</v>
      </c>
      <c r="L5006" t="n">
        <v>10</v>
      </c>
      <c r="M5006" t="inlineStr">
        <is>
          <t>Composto lácteo Merilú 400 g</t>
        </is>
      </c>
      <c r="N5006" t="inlineStr">
        <is>
          <t>Supermercado</t>
        </is>
      </c>
      <c r="O5006" t="n">
        <v>2</v>
      </c>
      <c r="P5006" t="n">
        <v>24</v>
      </c>
      <c r="Q5006" t="n">
        <v>1</v>
      </c>
    </row>
    <row r="5007">
      <c r="J5007" t="inlineStr">
        <is>
          <t>M</t>
        </is>
      </c>
      <c r="K5007" t="n">
        <v>2025</v>
      </c>
      <c r="L5007" t="n">
        <v>10</v>
      </c>
      <c r="M5007" t="inlineStr">
        <is>
          <t>Composto lácteo Merilú 400 g</t>
        </is>
      </c>
      <c r="N5007" t="inlineStr">
        <is>
          <t>Supermercado</t>
        </is>
      </c>
      <c r="O5007" t="n">
        <v>2</v>
      </c>
      <c r="P5007" t="n">
        <v>5</v>
      </c>
      <c r="Q5007" t="n">
        <v>0</v>
      </c>
    </row>
    <row r="5008">
      <c r="J5008" t="inlineStr">
        <is>
          <t>A</t>
        </is>
      </c>
      <c r="K5008" t="n">
        <v>2025</v>
      </c>
      <c r="L5008" t="n">
        <v>11</v>
      </c>
      <c r="M5008" t="inlineStr">
        <is>
          <t>Composto lácteo Merilú 400 g</t>
        </is>
      </c>
      <c r="N5008" t="inlineStr">
        <is>
          <t>Supermercado</t>
        </is>
      </c>
      <c r="O5008" t="n">
        <v>2</v>
      </c>
      <c r="P5008" t="n">
        <v>26</v>
      </c>
      <c r="Q5008" t="n">
        <v>1</v>
      </c>
    </row>
    <row r="5009">
      <c r="J5009" t="inlineStr">
        <is>
          <t>M</t>
        </is>
      </c>
      <c r="K5009" t="n">
        <v>2025</v>
      </c>
      <c r="L5009" t="n">
        <v>11</v>
      </c>
      <c r="M5009" t="inlineStr">
        <is>
          <t>Composto lácteo Merilú 400 g</t>
        </is>
      </c>
      <c r="N5009" t="inlineStr">
        <is>
          <t>Supermercado</t>
        </is>
      </c>
      <c r="O5009" t="n">
        <v>1</v>
      </c>
      <c r="P5009" t="n">
        <v>2</v>
      </c>
      <c r="Q5009" t="n">
        <v>0</v>
      </c>
    </row>
    <row r="5010">
      <c r="J5010" t="inlineStr">
        <is>
          <t>A</t>
        </is>
      </c>
      <c r="K5010" t="n">
        <v>2025</v>
      </c>
      <c r="L5010" t="n">
        <v>12</v>
      </c>
      <c r="M5010" t="inlineStr">
        <is>
          <t>Composto lácteo Merilú 400 g</t>
        </is>
      </c>
      <c r="N5010" t="inlineStr">
        <is>
          <t>Supermercado</t>
        </is>
      </c>
      <c r="O5010" t="n">
        <v>2</v>
      </c>
      <c r="P5010" t="n">
        <v>31</v>
      </c>
      <c r="Q5010" t="n">
        <v>1</v>
      </c>
    </row>
    <row r="5011">
      <c r="J5011" t="inlineStr">
        <is>
          <t>M</t>
        </is>
      </c>
      <c r="K5011" t="n">
        <v>2025</v>
      </c>
      <c r="L5011" t="n">
        <v>12</v>
      </c>
      <c r="M5011" t="inlineStr">
        <is>
          <t>Composto lácteo Merilú 400 g</t>
        </is>
      </c>
      <c r="N5011" t="inlineStr">
        <is>
          <t>Supermercado</t>
        </is>
      </c>
      <c r="O5011" t="n">
        <v>1</v>
      </c>
      <c r="P5011" t="n">
        <v>5</v>
      </c>
      <c r="Q5011" t="n">
        <v>0</v>
      </c>
    </row>
    <row r="5012">
      <c r="J5012" t="inlineStr">
        <is>
          <t>A</t>
        </is>
      </c>
      <c r="K5012" t="n">
        <v>2025</v>
      </c>
      <c r="L5012" t="n">
        <v>1</v>
      </c>
      <c r="M5012" t="inlineStr">
        <is>
          <t>Composto lácteo Merilú 400 g</t>
        </is>
      </c>
      <c r="N5012" t="inlineStr">
        <is>
          <t>Hamburgueria</t>
        </is>
      </c>
      <c r="O5012" t="n">
        <v>1</v>
      </c>
      <c r="P5012" t="n">
        <v>2</v>
      </c>
      <c r="Q5012" t="n">
        <v>0</v>
      </c>
    </row>
    <row r="5013">
      <c r="J5013" t="inlineStr">
        <is>
          <t>M</t>
        </is>
      </c>
      <c r="K5013" t="n">
        <v>2025</v>
      </c>
      <c r="L5013" t="n">
        <v>1</v>
      </c>
      <c r="M5013" t="inlineStr">
        <is>
          <t>Composto lácteo Merilú 400 g</t>
        </is>
      </c>
      <c r="N5013" t="inlineStr">
        <is>
          <t>Hamburgueria</t>
        </is>
      </c>
      <c r="O5013" t="n">
        <v>1</v>
      </c>
      <c r="P5013" t="n">
        <v>2</v>
      </c>
      <c r="Q5013" t="n">
        <v>0</v>
      </c>
    </row>
    <row r="5014">
      <c r="J5014" t="inlineStr">
        <is>
          <t>A</t>
        </is>
      </c>
      <c r="K5014" t="n">
        <v>2025</v>
      </c>
      <c r="L5014" t="n">
        <v>2</v>
      </c>
      <c r="M5014" t="inlineStr">
        <is>
          <t>Composto lácteo Merilú 400 g</t>
        </is>
      </c>
      <c r="N5014" t="inlineStr">
        <is>
          <t>Hamburgueria</t>
        </is>
      </c>
      <c r="O5014" t="n">
        <v>1</v>
      </c>
      <c r="P5014" t="n">
        <v>5</v>
      </c>
      <c r="Q5014" t="n">
        <v>0</v>
      </c>
    </row>
    <row r="5015">
      <c r="J5015" t="inlineStr">
        <is>
          <t>M</t>
        </is>
      </c>
      <c r="K5015" t="n">
        <v>2025</v>
      </c>
      <c r="L5015" t="n">
        <v>2</v>
      </c>
      <c r="M5015" t="inlineStr">
        <is>
          <t>Composto lácteo Merilú 400 g</t>
        </is>
      </c>
      <c r="N5015" t="inlineStr">
        <is>
          <t>Hamburgueria</t>
        </is>
      </c>
      <c r="O5015" t="n">
        <v>1</v>
      </c>
      <c r="P5015" t="n">
        <v>3</v>
      </c>
      <c r="Q5015" t="n">
        <v>0</v>
      </c>
    </row>
    <row r="5016">
      <c r="J5016" t="inlineStr">
        <is>
          <t>A</t>
        </is>
      </c>
      <c r="K5016" t="n">
        <v>2025</v>
      </c>
      <c r="L5016" t="n">
        <v>3</v>
      </c>
      <c r="M5016" t="inlineStr">
        <is>
          <t>Composto lácteo Merilú 400 g</t>
        </is>
      </c>
      <c r="N5016" t="inlineStr">
        <is>
          <t>Hamburgueria</t>
        </is>
      </c>
      <c r="O5016" t="n">
        <v>1</v>
      </c>
      <c r="P5016" t="n">
        <v>9</v>
      </c>
      <c r="Q5016" t="n">
        <v>0</v>
      </c>
    </row>
    <row r="5017">
      <c r="J5017" t="inlineStr">
        <is>
          <t>M</t>
        </is>
      </c>
      <c r="K5017" t="n">
        <v>2025</v>
      </c>
      <c r="L5017" t="n">
        <v>3</v>
      </c>
      <c r="M5017" t="inlineStr">
        <is>
          <t>Composto lácteo Merilú 400 g</t>
        </is>
      </c>
      <c r="N5017" t="inlineStr">
        <is>
          <t>Hamburgueria</t>
        </is>
      </c>
      <c r="O5017" t="n">
        <v>1</v>
      </c>
      <c r="P5017" t="n">
        <v>4</v>
      </c>
      <c r="Q5017" t="n">
        <v>0</v>
      </c>
    </row>
    <row r="5018">
      <c r="J5018" t="inlineStr">
        <is>
          <t>A</t>
        </is>
      </c>
      <c r="K5018" t="n">
        <v>2025</v>
      </c>
      <c r="L5018" t="n">
        <v>4</v>
      </c>
      <c r="M5018" t="inlineStr">
        <is>
          <t>Composto lácteo Merilú 400 g</t>
        </is>
      </c>
      <c r="N5018" t="inlineStr">
        <is>
          <t>Hamburgueria</t>
        </is>
      </c>
      <c r="O5018" t="n">
        <v>1</v>
      </c>
      <c r="P5018" t="n">
        <v>9</v>
      </c>
      <c r="Q5018" t="n">
        <v>0</v>
      </c>
    </row>
    <row r="5019">
      <c r="J5019" t="inlineStr">
        <is>
          <t>A</t>
        </is>
      </c>
      <c r="K5019" t="n">
        <v>2025</v>
      </c>
      <c r="L5019" t="n">
        <v>5</v>
      </c>
      <c r="M5019" t="inlineStr">
        <is>
          <t>Composto lácteo Merilú 400 g</t>
        </is>
      </c>
      <c r="N5019" t="inlineStr">
        <is>
          <t>Hamburgueria</t>
        </is>
      </c>
      <c r="O5019" t="n">
        <v>1</v>
      </c>
      <c r="P5019" t="n">
        <v>9</v>
      </c>
      <c r="Q5019" t="n">
        <v>0</v>
      </c>
    </row>
    <row r="5020">
      <c r="J5020" t="inlineStr">
        <is>
          <t>A</t>
        </is>
      </c>
      <c r="K5020" t="n">
        <v>2025</v>
      </c>
      <c r="L5020" t="n">
        <v>6</v>
      </c>
      <c r="M5020" t="inlineStr">
        <is>
          <t>Composto lácteo Merilú 400 g</t>
        </is>
      </c>
      <c r="N5020" t="inlineStr">
        <is>
          <t>Hamburgueria</t>
        </is>
      </c>
      <c r="O5020" t="n">
        <v>1</v>
      </c>
      <c r="P5020" t="n">
        <v>9</v>
      </c>
      <c r="Q5020" t="n">
        <v>0</v>
      </c>
    </row>
    <row r="5021">
      <c r="J5021" t="inlineStr">
        <is>
          <t>A</t>
        </is>
      </c>
      <c r="K5021" t="n">
        <v>2025</v>
      </c>
      <c r="L5021" t="n">
        <v>7</v>
      </c>
      <c r="M5021" t="inlineStr">
        <is>
          <t>Composto lácteo Merilú 400 g</t>
        </is>
      </c>
      <c r="N5021" t="inlineStr">
        <is>
          <t>Hamburgueria</t>
        </is>
      </c>
      <c r="O5021" t="n">
        <v>1</v>
      </c>
      <c r="P5021" t="n">
        <v>9</v>
      </c>
      <c r="Q5021" t="n">
        <v>0</v>
      </c>
    </row>
    <row r="5022">
      <c r="J5022" t="inlineStr">
        <is>
          <t>A</t>
        </is>
      </c>
      <c r="K5022" t="n">
        <v>2025</v>
      </c>
      <c r="L5022" t="n">
        <v>8</v>
      </c>
      <c r="M5022" t="inlineStr">
        <is>
          <t>Composto lácteo Merilú 400 g</t>
        </is>
      </c>
      <c r="N5022" t="inlineStr">
        <is>
          <t>Hamburgueria</t>
        </is>
      </c>
      <c r="O5022" t="n">
        <v>1</v>
      </c>
      <c r="P5022" t="n">
        <v>9</v>
      </c>
      <c r="Q5022" t="n">
        <v>0</v>
      </c>
    </row>
    <row r="5023">
      <c r="J5023" t="inlineStr">
        <is>
          <t>A</t>
        </is>
      </c>
      <c r="K5023" t="n">
        <v>2025</v>
      </c>
      <c r="L5023" t="n">
        <v>9</v>
      </c>
      <c r="M5023" t="inlineStr">
        <is>
          <t>Composto lácteo Merilú 400 g</t>
        </is>
      </c>
      <c r="N5023" t="inlineStr">
        <is>
          <t>Hamburgueria</t>
        </is>
      </c>
      <c r="O5023" t="n">
        <v>1</v>
      </c>
      <c r="P5023" t="n">
        <v>9</v>
      </c>
      <c r="Q5023" t="n">
        <v>0</v>
      </c>
    </row>
    <row r="5024">
      <c r="J5024" t="inlineStr">
        <is>
          <t>A</t>
        </is>
      </c>
      <c r="K5024" t="n">
        <v>2025</v>
      </c>
      <c r="L5024" t="n">
        <v>10</v>
      </c>
      <c r="M5024" t="inlineStr">
        <is>
          <t>Composto lácteo Merilú 400 g</t>
        </is>
      </c>
      <c r="N5024" t="inlineStr">
        <is>
          <t>Hamburgueria</t>
        </is>
      </c>
      <c r="O5024" t="n">
        <v>1</v>
      </c>
      <c r="P5024" t="n">
        <v>9</v>
      </c>
      <c r="Q5024" t="n">
        <v>0</v>
      </c>
    </row>
    <row r="5025">
      <c r="J5025" t="inlineStr">
        <is>
          <t>A</t>
        </is>
      </c>
      <c r="K5025" t="n">
        <v>2025</v>
      </c>
      <c r="L5025" t="n">
        <v>11</v>
      </c>
      <c r="M5025" t="inlineStr">
        <is>
          <t>Composto lácteo Merilú 400 g</t>
        </is>
      </c>
      <c r="N5025" t="inlineStr">
        <is>
          <t>Hamburgueria</t>
        </is>
      </c>
      <c r="O5025" t="n">
        <v>1</v>
      </c>
      <c r="P5025" t="n">
        <v>9</v>
      </c>
      <c r="Q5025" t="n">
        <v>0</v>
      </c>
    </row>
    <row r="5026">
      <c r="J5026" t="inlineStr">
        <is>
          <t>A</t>
        </is>
      </c>
      <c r="K5026" t="n">
        <v>2025</v>
      </c>
      <c r="L5026" t="n">
        <v>12</v>
      </c>
      <c r="M5026" t="inlineStr">
        <is>
          <t>Composto lácteo Merilú 400 g</t>
        </is>
      </c>
      <c r="N5026" t="inlineStr">
        <is>
          <t>Hamburgueria</t>
        </is>
      </c>
      <c r="O5026" t="n">
        <v>1</v>
      </c>
      <c r="P5026" t="n">
        <v>9</v>
      </c>
      <c r="Q5026" t="n">
        <v>0</v>
      </c>
    </row>
    <row r="5027">
      <c r="J5027" t="inlineStr">
        <is>
          <t>A</t>
        </is>
      </c>
      <c r="K5027" t="n">
        <v>2025</v>
      </c>
      <c r="L5027" t="n">
        <v>8</v>
      </c>
      <c r="M5027" t="inlineStr">
        <is>
          <t>Composto lácteo Merilú 400 g</t>
        </is>
      </c>
      <c r="N5027" t="inlineStr">
        <is>
          <t>Laticínios / Distribuidor</t>
        </is>
      </c>
      <c r="O5027" t="n">
        <v>1</v>
      </c>
      <c r="P5027" t="n">
        <v>1</v>
      </c>
      <c r="Q5027" t="n">
        <v>1</v>
      </c>
    </row>
    <row r="5028">
      <c r="J5028" t="inlineStr">
        <is>
          <t>M</t>
        </is>
      </c>
      <c r="K5028" t="n">
        <v>2025</v>
      </c>
      <c r="L5028" t="n">
        <v>8</v>
      </c>
      <c r="M5028" t="inlineStr">
        <is>
          <t>Composto lácteo Merilú 400 g</t>
        </is>
      </c>
      <c r="N5028" t="inlineStr">
        <is>
          <t>Laticínios / Distribuidor</t>
        </is>
      </c>
      <c r="O5028" t="n">
        <v>1</v>
      </c>
      <c r="P5028" t="n">
        <v>1</v>
      </c>
      <c r="Q5028" t="n">
        <v>0</v>
      </c>
    </row>
    <row r="5029">
      <c r="J5029" t="inlineStr">
        <is>
          <t>A</t>
        </is>
      </c>
      <c r="K5029" t="n">
        <v>2025</v>
      </c>
      <c r="L5029" t="n">
        <v>9</v>
      </c>
      <c r="M5029" t="inlineStr">
        <is>
          <t>Composto lácteo Merilú 400 g</t>
        </is>
      </c>
      <c r="N5029" t="inlineStr">
        <is>
          <t>Laticínios / Distribuidor</t>
        </is>
      </c>
      <c r="O5029" t="n">
        <v>1</v>
      </c>
      <c r="P5029" t="n">
        <v>1</v>
      </c>
      <c r="Q5029" t="n">
        <v>1</v>
      </c>
    </row>
    <row r="5030">
      <c r="J5030" t="inlineStr">
        <is>
          <t>A</t>
        </is>
      </c>
      <c r="K5030" t="n">
        <v>2025</v>
      </c>
      <c r="L5030" t="n">
        <v>10</v>
      </c>
      <c r="M5030" t="inlineStr">
        <is>
          <t>Composto lácteo Merilú 400 g</t>
        </is>
      </c>
      <c r="N5030" t="inlineStr">
        <is>
          <t>Laticínios / Distribuidor</t>
        </is>
      </c>
      <c r="O5030" t="n">
        <v>2</v>
      </c>
      <c r="P5030" t="n">
        <v>2</v>
      </c>
      <c r="Q5030" t="n">
        <v>2</v>
      </c>
    </row>
    <row r="5031">
      <c r="J5031" t="inlineStr">
        <is>
          <t>M</t>
        </is>
      </c>
      <c r="K5031" t="n">
        <v>2025</v>
      </c>
      <c r="L5031" t="n">
        <v>10</v>
      </c>
      <c r="M5031" t="inlineStr">
        <is>
          <t>Composto lácteo Merilú 400 g</t>
        </is>
      </c>
      <c r="N5031" t="inlineStr">
        <is>
          <t>Laticínios / Distribuidor</t>
        </is>
      </c>
      <c r="O5031" t="n">
        <v>1</v>
      </c>
      <c r="P5031" t="n">
        <v>1</v>
      </c>
      <c r="Q5031" t="n">
        <v>0</v>
      </c>
    </row>
    <row r="5032">
      <c r="J5032" t="inlineStr">
        <is>
          <t>A</t>
        </is>
      </c>
      <c r="K5032" t="n">
        <v>2025</v>
      </c>
      <c r="L5032" t="n">
        <v>11</v>
      </c>
      <c r="M5032" t="inlineStr">
        <is>
          <t>Composto lácteo Merilú 400 g</t>
        </is>
      </c>
      <c r="N5032" t="inlineStr">
        <is>
          <t>Laticínios / Distribuidor</t>
        </is>
      </c>
      <c r="O5032" t="n">
        <v>2</v>
      </c>
      <c r="P5032" t="n">
        <v>2</v>
      </c>
      <c r="Q5032" t="n">
        <v>2</v>
      </c>
    </row>
    <row r="5033">
      <c r="J5033" t="inlineStr">
        <is>
          <t>A</t>
        </is>
      </c>
      <c r="K5033" t="n">
        <v>2025</v>
      </c>
      <c r="L5033" t="n">
        <v>12</v>
      </c>
      <c r="M5033" t="inlineStr">
        <is>
          <t>Composto lácteo Merilú 400 g</t>
        </is>
      </c>
      <c r="N5033" t="inlineStr">
        <is>
          <t>Laticínios / Distribuidor</t>
        </is>
      </c>
      <c r="O5033" t="n">
        <v>2</v>
      </c>
      <c r="P5033" t="n">
        <v>2</v>
      </c>
      <c r="Q5033" t="n">
        <v>2</v>
      </c>
    </row>
    <row r="5034">
      <c r="J5034" t="inlineStr">
        <is>
          <t>A</t>
        </is>
      </c>
      <c r="K5034" t="n">
        <v>2025</v>
      </c>
      <c r="L5034" t="n">
        <v>7</v>
      </c>
      <c r="M5034" t="inlineStr">
        <is>
          <t>Composto lácteo Merilú 400 g</t>
        </is>
      </c>
      <c r="N5034" t="inlineStr">
        <is>
          <t>Cozinha Oriental</t>
        </is>
      </c>
      <c r="O5034" t="n">
        <v>1</v>
      </c>
      <c r="P5034" t="n">
        <v>1</v>
      </c>
      <c r="Q5034" t="n">
        <v>1</v>
      </c>
    </row>
    <row r="5035">
      <c r="J5035" t="inlineStr">
        <is>
          <t>M</t>
        </is>
      </c>
      <c r="K5035" t="n">
        <v>2025</v>
      </c>
      <c r="L5035" t="n">
        <v>7</v>
      </c>
      <c r="M5035" t="inlineStr">
        <is>
          <t>Composto lácteo Merilú 400 g</t>
        </is>
      </c>
      <c r="N5035" t="inlineStr">
        <is>
          <t>Cozinha Oriental</t>
        </is>
      </c>
      <c r="O5035" t="n">
        <v>1</v>
      </c>
      <c r="P5035" t="n">
        <v>1</v>
      </c>
      <c r="Q5035" t="n">
        <v>0</v>
      </c>
    </row>
    <row r="5036">
      <c r="J5036" t="inlineStr">
        <is>
          <t>A</t>
        </is>
      </c>
      <c r="K5036" t="n">
        <v>2025</v>
      </c>
      <c r="L5036" t="n">
        <v>8</v>
      </c>
      <c r="M5036" t="inlineStr">
        <is>
          <t>Composto lácteo Merilú 400 g</t>
        </is>
      </c>
      <c r="N5036" t="inlineStr">
        <is>
          <t>Cozinha Oriental</t>
        </is>
      </c>
      <c r="O5036" t="n">
        <v>1</v>
      </c>
      <c r="P5036" t="n">
        <v>1</v>
      </c>
      <c r="Q5036" t="n">
        <v>1</v>
      </c>
    </row>
    <row r="5037">
      <c r="J5037" t="inlineStr">
        <is>
          <t>A</t>
        </is>
      </c>
      <c r="K5037" t="n">
        <v>2025</v>
      </c>
      <c r="L5037" t="n">
        <v>9</v>
      </c>
      <c r="M5037" t="inlineStr">
        <is>
          <t>Composto lácteo Merilú 400 g</t>
        </is>
      </c>
      <c r="N5037" t="inlineStr">
        <is>
          <t>Cozinha Oriental</t>
        </is>
      </c>
      <c r="O5037" t="n">
        <v>1</v>
      </c>
      <c r="P5037" t="n">
        <v>1</v>
      </c>
      <c r="Q5037" t="n">
        <v>1</v>
      </c>
    </row>
    <row r="5038">
      <c r="J5038" t="inlineStr">
        <is>
          <t>A</t>
        </is>
      </c>
      <c r="K5038" t="n">
        <v>2025</v>
      </c>
      <c r="L5038" t="n">
        <v>10</v>
      </c>
      <c r="M5038" t="inlineStr">
        <is>
          <t>Composto lácteo Merilú 400 g</t>
        </is>
      </c>
      <c r="N5038" t="inlineStr">
        <is>
          <t>Cozinha Oriental</t>
        </is>
      </c>
      <c r="O5038" t="n">
        <v>1</v>
      </c>
      <c r="P5038" t="n">
        <v>1</v>
      </c>
      <c r="Q5038" t="n">
        <v>1</v>
      </c>
    </row>
    <row r="5039">
      <c r="J5039" t="inlineStr">
        <is>
          <t>A</t>
        </is>
      </c>
      <c r="K5039" t="n">
        <v>2025</v>
      </c>
      <c r="L5039" t="n">
        <v>11</v>
      </c>
      <c r="M5039" t="inlineStr">
        <is>
          <t>Composto lácteo Merilú 400 g</t>
        </is>
      </c>
      <c r="N5039" t="inlineStr">
        <is>
          <t>Cozinha Oriental</t>
        </is>
      </c>
      <c r="O5039" t="n">
        <v>1</v>
      </c>
      <c r="P5039" t="n">
        <v>1</v>
      </c>
      <c r="Q5039" t="n">
        <v>1</v>
      </c>
    </row>
    <row r="5040">
      <c r="J5040" t="inlineStr">
        <is>
          <t>A</t>
        </is>
      </c>
      <c r="K5040" t="n">
        <v>2025</v>
      </c>
      <c r="L5040" t="n">
        <v>12</v>
      </c>
      <c r="M5040" t="inlineStr">
        <is>
          <t>Composto lácteo Merilú 400 g</t>
        </is>
      </c>
      <c r="N5040" t="inlineStr">
        <is>
          <t>Cozinha Oriental</t>
        </is>
      </c>
      <c r="O5040" t="n">
        <v>1</v>
      </c>
      <c r="P5040" t="n">
        <v>1</v>
      </c>
      <c r="Q5040" t="n">
        <v>1</v>
      </c>
    </row>
    <row r="5041">
      <c r="J5041" t="inlineStr">
        <is>
          <t>A</t>
        </is>
      </c>
      <c r="K5041" t="n">
        <v>2025</v>
      </c>
      <c r="L5041" t="n">
        <v>6</v>
      </c>
      <c r="M5041" t="inlineStr">
        <is>
          <t>Composto lácteo Merilú 400 g</t>
        </is>
      </c>
      <c r="N5041" t="inlineStr">
        <is>
          <t>Confeitaria</t>
        </is>
      </c>
      <c r="O5041" t="n">
        <v>1</v>
      </c>
      <c r="P5041" t="n">
        <v>1</v>
      </c>
      <c r="Q5041" t="n">
        <v>1</v>
      </c>
    </row>
    <row r="5042">
      <c r="J5042" t="inlineStr">
        <is>
          <t>M</t>
        </is>
      </c>
      <c r="K5042" t="n">
        <v>2025</v>
      </c>
      <c r="L5042" t="n">
        <v>6</v>
      </c>
      <c r="M5042" t="inlineStr">
        <is>
          <t>Composto lácteo Merilú 400 g</t>
        </is>
      </c>
      <c r="N5042" t="inlineStr">
        <is>
          <t>Confeitaria</t>
        </is>
      </c>
      <c r="O5042" t="n">
        <v>1</v>
      </c>
      <c r="P5042" t="n">
        <v>1</v>
      </c>
      <c r="Q5042" t="n">
        <v>0</v>
      </c>
    </row>
    <row r="5043">
      <c r="J5043" t="inlineStr">
        <is>
          <t>A</t>
        </is>
      </c>
      <c r="K5043" t="n">
        <v>2025</v>
      </c>
      <c r="L5043" t="n">
        <v>7</v>
      </c>
      <c r="M5043" t="inlineStr">
        <is>
          <t>Composto lácteo Merilú 400 g</t>
        </is>
      </c>
      <c r="N5043" t="inlineStr">
        <is>
          <t>Confeitaria</t>
        </is>
      </c>
      <c r="O5043" t="n">
        <v>1</v>
      </c>
      <c r="P5043" t="n">
        <v>1</v>
      </c>
      <c r="Q5043" t="n">
        <v>1</v>
      </c>
    </row>
    <row r="5044">
      <c r="J5044" t="inlineStr">
        <is>
          <t>A</t>
        </is>
      </c>
      <c r="K5044" t="n">
        <v>2025</v>
      </c>
      <c r="L5044" t="n">
        <v>8</v>
      </c>
      <c r="M5044" t="inlineStr">
        <is>
          <t>Composto lácteo Merilú 400 g</t>
        </is>
      </c>
      <c r="N5044" t="inlineStr">
        <is>
          <t>Confeitaria</t>
        </is>
      </c>
      <c r="O5044" t="n">
        <v>1</v>
      </c>
      <c r="P5044" t="n">
        <v>1</v>
      </c>
      <c r="Q5044" t="n">
        <v>1</v>
      </c>
    </row>
    <row r="5045">
      <c r="J5045" t="inlineStr">
        <is>
          <t>A</t>
        </is>
      </c>
      <c r="K5045" t="n">
        <v>2025</v>
      </c>
      <c r="L5045" t="n">
        <v>9</v>
      </c>
      <c r="M5045" t="inlineStr">
        <is>
          <t>Composto lácteo Merilú 400 g</t>
        </is>
      </c>
      <c r="N5045" t="inlineStr">
        <is>
          <t>Confeitaria</t>
        </is>
      </c>
      <c r="O5045" t="n">
        <v>1</v>
      </c>
      <c r="P5045" t="n">
        <v>1</v>
      </c>
      <c r="Q5045" t="n">
        <v>1</v>
      </c>
    </row>
    <row r="5046">
      <c r="J5046" t="inlineStr">
        <is>
          <t>A</t>
        </is>
      </c>
      <c r="K5046" t="n">
        <v>2025</v>
      </c>
      <c r="L5046" t="n">
        <v>10</v>
      </c>
      <c r="M5046" t="inlineStr">
        <is>
          <t>Composto lácteo Merilú 400 g</t>
        </is>
      </c>
      <c r="N5046" t="inlineStr">
        <is>
          <t>Confeitaria</t>
        </is>
      </c>
      <c r="O5046" t="n">
        <v>1</v>
      </c>
      <c r="P5046" t="n">
        <v>1</v>
      </c>
      <c r="Q5046" t="n">
        <v>1</v>
      </c>
    </row>
    <row r="5047">
      <c r="J5047" t="inlineStr">
        <is>
          <t>A</t>
        </is>
      </c>
      <c r="K5047" t="n">
        <v>2025</v>
      </c>
      <c r="L5047" t="n">
        <v>11</v>
      </c>
      <c r="M5047" t="inlineStr">
        <is>
          <t>Composto lácteo Merilú 400 g</t>
        </is>
      </c>
      <c r="N5047" t="inlineStr">
        <is>
          <t>Confeitaria</t>
        </is>
      </c>
      <c r="O5047" t="n">
        <v>1</v>
      </c>
      <c r="P5047" t="n">
        <v>1</v>
      </c>
      <c r="Q5047" t="n">
        <v>1</v>
      </c>
    </row>
    <row r="5048">
      <c r="J5048" t="inlineStr">
        <is>
          <t>A</t>
        </is>
      </c>
      <c r="K5048" t="n">
        <v>2025</v>
      </c>
      <c r="L5048" t="n">
        <v>12</v>
      </c>
      <c r="M5048" t="inlineStr">
        <is>
          <t>Composto lácteo Merilú 400 g</t>
        </is>
      </c>
      <c r="N5048" t="inlineStr">
        <is>
          <t>Confeitaria</t>
        </is>
      </c>
      <c r="O5048" t="n">
        <v>1</v>
      </c>
      <c r="P5048" t="n">
        <v>1</v>
      </c>
      <c r="Q5048" t="n">
        <v>1</v>
      </c>
    </row>
    <row r="5049">
      <c r="J5049" t="inlineStr">
        <is>
          <t>A</t>
        </is>
      </c>
      <c r="K5049" t="n">
        <v>2025</v>
      </c>
      <c r="L5049" t="n">
        <v>1</v>
      </c>
      <c r="M5049" t="inlineStr">
        <is>
          <t>Composto lácteo Merilú 400 g</t>
        </is>
      </c>
      <c r="N5049" t="inlineStr">
        <is>
          <t>Churrascaria</t>
        </is>
      </c>
      <c r="O5049" t="n">
        <v>1</v>
      </c>
      <c r="P5049" t="n">
        <v>1</v>
      </c>
      <c r="Q5049" t="n">
        <v>0</v>
      </c>
    </row>
    <row r="5050">
      <c r="J5050" t="inlineStr">
        <is>
          <t>M</t>
        </is>
      </c>
      <c r="K5050" t="n">
        <v>2025</v>
      </c>
      <c r="L5050" t="n">
        <v>1</v>
      </c>
      <c r="M5050" t="inlineStr">
        <is>
          <t>Composto lácteo Merilú 400 g</t>
        </is>
      </c>
      <c r="N5050" t="inlineStr">
        <is>
          <t>Churrascaria</t>
        </is>
      </c>
      <c r="O5050" t="n">
        <v>1</v>
      </c>
      <c r="P5050" t="n">
        <v>1</v>
      </c>
      <c r="Q5050" t="n">
        <v>0</v>
      </c>
    </row>
    <row r="5051">
      <c r="J5051" t="inlineStr">
        <is>
          <t>A</t>
        </is>
      </c>
      <c r="K5051" t="n">
        <v>2025</v>
      </c>
      <c r="L5051" t="n">
        <v>2</v>
      </c>
      <c r="M5051" t="inlineStr">
        <is>
          <t>Composto lácteo Merilú 400 g</t>
        </is>
      </c>
      <c r="N5051" t="inlineStr">
        <is>
          <t>Churrascaria</t>
        </is>
      </c>
      <c r="O5051" t="n">
        <v>1</v>
      </c>
      <c r="P5051" t="n">
        <v>2</v>
      </c>
      <c r="Q5051" t="n">
        <v>0</v>
      </c>
    </row>
    <row r="5052">
      <c r="J5052" t="inlineStr">
        <is>
          <t>M</t>
        </is>
      </c>
      <c r="K5052" t="n">
        <v>2025</v>
      </c>
      <c r="L5052" t="n">
        <v>2</v>
      </c>
      <c r="M5052" t="inlineStr">
        <is>
          <t>Composto lácteo Merilú 400 g</t>
        </is>
      </c>
      <c r="N5052" t="inlineStr">
        <is>
          <t>Churrascaria</t>
        </is>
      </c>
      <c r="O5052" t="n">
        <v>1</v>
      </c>
      <c r="P5052" t="n">
        <v>1</v>
      </c>
      <c r="Q5052" t="n">
        <v>0</v>
      </c>
    </row>
    <row r="5053">
      <c r="J5053" t="inlineStr">
        <is>
          <t>A</t>
        </is>
      </c>
      <c r="K5053" t="n">
        <v>2025</v>
      </c>
      <c r="L5053" t="n">
        <v>3</v>
      </c>
      <c r="M5053" t="inlineStr">
        <is>
          <t>Composto lácteo Merilú 400 g</t>
        </is>
      </c>
      <c r="N5053" t="inlineStr">
        <is>
          <t>Churrascaria</t>
        </is>
      </c>
      <c r="O5053" t="n">
        <v>1</v>
      </c>
      <c r="P5053" t="n">
        <v>2</v>
      </c>
      <c r="Q5053" t="n">
        <v>0</v>
      </c>
    </row>
    <row r="5054">
      <c r="J5054" t="inlineStr">
        <is>
          <t>A</t>
        </is>
      </c>
      <c r="K5054" t="n">
        <v>2025</v>
      </c>
      <c r="L5054" t="n">
        <v>4</v>
      </c>
      <c r="M5054" t="inlineStr">
        <is>
          <t>Composto lácteo Merilú 400 g</t>
        </is>
      </c>
      <c r="N5054" t="inlineStr">
        <is>
          <t>Churrascaria</t>
        </is>
      </c>
      <c r="O5054" t="n">
        <v>1</v>
      </c>
      <c r="P5054" t="n">
        <v>2</v>
      </c>
      <c r="Q5054" t="n">
        <v>0</v>
      </c>
    </row>
    <row r="5055">
      <c r="J5055" t="inlineStr">
        <is>
          <t>A</t>
        </is>
      </c>
      <c r="K5055" t="n">
        <v>2025</v>
      </c>
      <c r="L5055" t="n">
        <v>5</v>
      </c>
      <c r="M5055" t="inlineStr">
        <is>
          <t>Composto lácteo Merilú 400 g</t>
        </is>
      </c>
      <c r="N5055" t="inlineStr">
        <is>
          <t>Churrascaria</t>
        </is>
      </c>
      <c r="O5055" t="n">
        <v>1</v>
      </c>
      <c r="P5055" t="n">
        <v>2</v>
      </c>
      <c r="Q5055" t="n">
        <v>0</v>
      </c>
    </row>
    <row r="5056">
      <c r="J5056" t="inlineStr">
        <is>
          <t>A</t>
        </is>
      </c>
      <c r="K5056" t="n">
        <v>2025</v>
      </c>
      <c r="L5056" t="n">
        <v>6</v>
      </c>
      <c r="M5056" t="inlineStr">
        <is>
          <t>Composto lácteo Merilú 400 g</t>
        </is>
      </c>
      <c r="N5056" t="inlineStr">
        <is>
          <t>Churrascaria</t>
        </is>
      </c>
      <c r="O5056" t="n">
        <v>1</v>
      </c>
      <c r="P5056" t="n">
        <v>2</v>
      </c>
      <c r="Q5056" t="n">
        <v>0</v>
      </c>
    </row>
    <row r="5057">
      <c r="J5057" t="inlineStr">
        <is>
          <t>A</t>
        </is>
      </c>
      <c r="K5057" t="n">
        <v>2025</v>
      </c>
      <c r="L5057" t="n">
        <v>7</v>
      </c>
      <c r="M5057" t="inlineStr">
        <is>
          <t>Composto lácteo Merilú 400 g</t>
        </is>
      </c>
      <c r="N5057" t="inlineStr">
        <is>
          <t>Churrascaria</t>
        </is>
      </c>
      <c r="O5057" t="n">
        <v>1</v>
      </c>
      <c r="P5057" t="n">
        <v>2</v>
      </c>
      <c r="Q5057" t="n">
        <v>0</v>
      </c>
    </row>
    <row r="5058">
      <c r="J5058" t="inlineStr">
        <is>
          <t>A</t>
        </is>
      </c>
      <c r="K5058" t="n">
        <v>2025</v>
      </c>
      <c r="L5058" t="n">
        <v>8</v>
      </c>
      <c r="M5058" t="inlineStr">
        <is>
          <t>Composto lácteo Merilú 400 g</t>
        </is>
      </c>
      <c r="N5058" t="inlineStr">
        <is>
          <t>Churrascaria</t>
        </is>
      </c>
      <c r="O5058" t="n">
        <v>1</v>
      </c>
      <c r="P5058" t="n">
        <v>2</v>
      </c>
      <c r="Q5058" t="n">
        <v>0</v>
      </c>
    </row>
    <row r="5059">
      <c r="J5059" t="inlineStr">
        <is>
          <t>A</t>
        </is>
      </c>
      <c r="K5059" t="n">
        <v>2025</v>
      </c>
      <c r="L5059" t="n">
        <v>9</v>
      </c>
      <c r="M5059" t="inlineStr">
        <is>
          <t>Composto lácteo Merilú 400 g</t>
        </is>
      </c>
      <c r="N5059" t="inlineStr">
        <is>
          <t>Churrascaria</t>
        </is>
      </c>
      <c r="O5059" t="n">
        <v>1</v>
      </c>
      <c r="P5059" t="n">
        <v>2</v>
      </c>
      <c r="Q5059" t="n">
        <v>0</v>
      </c>
    </row>
    <row r="5060">
      <c r="J5060" t="inlineStr">
        <is>
          <t>A</t>
        </is>
      </c>
      <c r="K5060" t="n">
        <v>2025</v>
      </c>
      <c r="L5060" t="n">
        <v>10</v>
      </c>
      <c r="M5060" t="inlineStr">
        <is>
          <t>Composto lácteo Merilú 400 g</t>
        </is>
      </c>
      <c r="N5060" t="inlineStr">
        <is>
          <t>Churrascaria</t>
        </is>
      </c>
      <c r="O5060" t="n">
        <v>1</v>
      </c>
      <c r="P5060" t="n">
        <v>2</v>
      </c>
      <c r="Q5060" t="n">
        <v>0</v>
      </c>
    </row>
    <row r="5061">
      <c r="J5061" t="inlineStr">
        <is>
          <t>A</t>
        </is>
      </c>
      <c r="K5061" t="n">
        <v>2025</v>
      </c>
      <c r="L5061" t="n">
        <v>11</v>
      </c>
      <c r="M5061" t="inlineStr">
        <is>
          <t>Composto lácteo Merilú 400 g</t>
        </is>
      </c>
      <c r="N5061" t="inlineStr">
        <is>
          <t>Churrascaria</t>
        </is>
      </c>
      <c r="O5061" t="n">
        <v>1</v>
      </c>
      <c r="P5061" t="n">
        <v>2</v>
      </c>
      <c r="Q5061" t="n">
        <v>0</v>
      </c>
    </row>
    <row r="5062">
      <c r="J5062" t="inlineStr">
        <is>
          <t>A</t>
        </is>
      </c>
      <c r="K5062" t="n">
        <v>2025</v>
      </c>
      <c r="L5062" t="n">
        <v>12</v>
      </c>
      <c r="M5062" t="inlineStr">
        <is>
          <t>Composto lácteo Merilú 400 g</t>
        </is>
      </c>
      <c r="N5062" t="inlineStr">
        <is>
          <t>Churrascaria</t>
        </is>
      </c>
      <c r="O5062" t="n">
        <v>1</v>
      </c>
      <c r="P5062" t="n">
        <v>2</v>
      </c>
      <c r="Q5062" t="n">
        <v>0</v>
      </c>
    </row>
    <row r="5063">
      <c r="J5063" t="inlineStr">
        <is>
          <t>A</t>
        </is>
      </c>
      <c r="K5063" t="n">
        <v>2025</v>
      </c>
      <c r="L5063" t="n">
        <v>3</v>
      </c>
      <c r="M5063" t="inlineStr">
        <is>
          <t>Composto lácteo Merilú 400 g</t>
        </is>
      </c>
      <c r="N5063" t="inlineStr">
        <is>
          <t>Clube / Associação Desportiva</t>
        </is>
      </c>
      <c r="O5063" t="n">
        <v>1</v>
      </c>
      <c r="P5063" t="n">
        <v>1</v>
      </c>
      <c r="Q5063" t="n">
        <v>1</v>
      </c>
    </row>
    <row r="5064">
      <c r="J5064" t="inlineStr">
        <is>
          <t>M</t>
        </is>
      </c>
      <c r="K5064" t="n">
        <v>2025</v>
      </c>
      <c r="L5064" t="n">
        <v>3</v>
      </c>
      <c r="M5064" t="inlineStr">
        <is>
          <t>Composto lácteo Merilú 400 g</t>
        </is>
      </c>
      <c r="N5064" t="inlineStr">
        <is>
          <t>Clube / Associação Desportiva</t>
        </is>
      </c>
      <c r="O5064" t="n">
        <v>1</v>
      </c>
      <c r="P5064" t="n">
        <v>1</v>
      </c>
      <c r="Q5064" t="n">
        <v>0</v>
      </c>
    </row>
    <row r="5065">
      <c r="J5065" t="inlineStr">
        <is>
          <t>A</t>
        </is>
      </c>
      <c r="K5065" t="n">
        <v>2025</v>
      </c>
      <c r="L5065" t="n">
        <v>4</v>
      </c>
      <c r="M5065" t="inlineStr">
        <is>
          <t>Composto lácteo Merilú 400 g</t>
        </is>
      </c>
      <c r="N5065" t="inlineStr">
        <is>
          <t>Clube / Associação Desportiva</t>
        </is>
      </c>
      <c r="O5065" t="n">
        <v>1</v>
      </c>
      <c r="P5065" t="n">
        <v>1</v>
      </c>
      <c r="Q5065" t="n">
        <v>1</v>
      </c>
    </row>
    <row r="5066">
      <c r="J5066" t="inlineStr">
        <is>
          <t>A</t>
        </is>
      </c>
      <c r="K5066" t="n">
        <v>2025</v>
      </c>
      <c r="L5066" t="n">
        <v>5</v>
      </c>
      <c r="M5066" t="inlineStr">
        <is>
          <t>Composto lácteo Merilú 400 g</t>
        </is>
      </c>
      <c r="N5066" t="inlineStr">
        <is>
          <t>Clube / Associação Desportiva</t>
        </is>
      </c>
      <c r="O5066" t="n">
        <v>1</v>
      </c>
      <c r="P5066" t="n">
        <v>1</v>
      </c>
      <c r="Q5066" t="n">
        <v>1</v>
      </c>
    </row>
    <row r="5067">
      <c r="J5067" t="inlineStr">
        <is>
          <t>A</t>
        </is>
      </c>
      <c r="K5067" t="n">
        <v>2025</v>
      </c>
      <c r="L5067" t="n">
        <v>6</v>
      </c>
      <c r="M5067" t="inlineStr">
        <is>
          <t>Composto lácteo Merilú 400 g</t>
        </is>
      </c>
      <c r="N5067" t="inlineStr">
        <is>
          <t>Clube / Associação Desportiva</t>
        </is>
      </c>
      <c r="O5067" t="n">
        <v>1</v>
      </c>
      <c r="P5067" t="n">
        <v>1</v>
      </c>
      <c r="Q5067" t="n">
        <v>1</v>
      </c>
    </row>
    <row r="5068">
      <c r="J5068" t="inlineStr">
        <is>
          <t>A</t>
        </is>
      </c>
      <c r="K5068" t="n">
        <v>2025</v>
      </c>
      <c r="L5068" t="n">
        <v>7</v>
      </c>
      <c r="M5068" t="inlineStr">
        <is>
          <t>Composto lácteo Merilú 400 g</t>
        </is>
      </c>
      <c r="N5068" t="inlineStr">
        <is>
          <t>Clube / Associação Desportiva</t>
        </is>
      </c>
      <c r="O5068" t="n">
        <v>1</v>
      </c>
      <c r="P5068" t="n">
        <v>1</v>
      </c>
      <c r="Q5068" t="n">
        <v>1</v>
      </c>
    </row>
    <row r="5069">
      <c r="J5069" t="inlineStr">
        <is>
          <t>A</t>
        </is>
      </c>
      <c r="K5069" t="n">
        <v>2025</v>
      </c>
      <c r="L5069" t="n">
        <v>8</v>
      </c>
      <c r="M5069" t="inlineStr">
        <is>
          <t>Composto lácteo Merilú 400 g</t>
        </is>
      </c>
      <c r="N5069" t="inlineStr">
        <is>
          <t>Clube / Associação Desportiva</t>
        </is>
      </c>
      <c r="O5069" t="n">
        <v>1</v>
      </c>
      <c r="P5069" t="n">
        <v>1</v>
      </c>
      <c r="Q5069" t="n">
        <v>1</v>
      </c>
    </row>
    <row r="5070">
      <c r="J5070" t="inlineStr">
        <is>
          <t>A</t>
        </is>
      </c>
      <c r="K5070" t="n">
        <v>2025</v>
      </c>
      <c r="L5070" t="n">
        <v>9</v>
      </c>
      <c r="M5070" t="inlineStr">
        <is>
          <t>Composto lácteo Merilú 400 g</t>
        </is>
      </c>
      <c r="N5070" t="inlineStr">
        <is>
          <t>Clube / Associação Desportiva</t>
        </is>
      </c>
      <c r="O5070" t="n">
        <v>1</v>
      </c>
      <c r="P5070" t="n">
        <v>1</v>
      </c>
      <c r="Q5070" t="n">
        <v>1</v>
      </c>
    </row>
    <row r="5071">
      <c r="J5071" t="inlineStr">
        <is>
          <t>A</t>
        </is>
      </c>
      <c r="K5071" t="n">
        <v>2025</v>
      </c>
      <c r="L5071" t="n">
        <v>10</v>
      </c>
      <c r="M5071" t="inlineStr">
        <is>
          <t>Composto lácteo Merilú 400 g</t>
        </is>
      </c>
      <c r="N5071" t="inlineStr">
        <is>
          <t>Clube / Associação Desportiva</t>
        </is>
      </c>
      <c r="O5071" t="n">
        <v>1</v>
      </c>
      <c r="P5071" t="n">
        <v>1</v>
      </c>
      <c r="Q5071" t="n">
        <v>1</v>
      </c>
    </row>
    <row r="5072">
      <c r="J5072" t="inlineStr">
        <is>
          <t>A</t>
        </is>
      </c>
      <c r="K5072" t="n">
        <v>2025</v>
      </c>
      <c r="L5072" t="n">
        <v>11</v>
      </c>
      <c r="M5072" t="inlineStr">
        <is>
          <t>Composto lácteo Merilú 400 g</t>
        </is>
      </c>
      <c r="N5072" t="inlineStr">
        <is>
          <t>Clube / Associação Desportiva</t>
        </is>
      </c>
      <c r="O5072" t="n">
        <v>1</v>
      </c>
      <c r="P5072" t="n">
        <v>1</v>
      </c>
      <c r="Q5072" t="n">
        <v>1</v>
      </c>
    </row>
    <row r="5073">
      <c r="J5073" t="inlineStr">
        <is>
          <t>A</t>
        </is>
      </c>
      <c r="K5073" t="n">
        <v>2025</v>
      </c>
      <c r="L5073" t="n">
        <v>12</v>
      </c>
      <c r="M5073" t="inlineStr">
        <is>
          <t>Composto lácteo Merilú 400 g</t>
        </is>
      </c>
      <c r="N5073" t="inlineStr">
        <is>
          <t>Clube / Associação Desportiva</t>
        </is>
      </c>
      <c r="O5073" t="n">
        <v>1</v>
      </c>
      <c r="P5073" t="n">
        <v>1</v>
      </c>
      <c r="Q5073" t="n">
        <v>1</v>
      </c>
    </row>
    <row r="5074">
      <c r="J5074" t="inlineStr">
        <is>
          <t>A</t>
        </is>
      </c>
      <c r="K5074" t="n">
        <v>2025</v>
      </c>
      <c r="L5074" t="n">
        <v>1</v>
      </c>
      <c r="M5074" t="inlineStr">
        <is>
          <t>Parmesão ralado Parmozzana 1 kg</t>
        </is>
      </c>
      <c r="N5074" t="inlineStr">
        <is>
          <t>Todos</t>
        </is>
      </c>
      <c r="O5074" t="n">
        <v>4</v>
      </c>
      <c r="P5074" t="n">
        <v>4</v>
      </c>
      <c r="Q5074" t="n">
        <v>4</v>
      </c>
    </row>
    <row r="5075">
      <c r="J5075" t="inlineStr">
        <is>
          <t>M</t>
        </is>
      </c>
      <c r="K5075" t="n">
        <v>2025</v>
      </c>
      <c r="L5075" t="n">
        <v>1</v>
      </c>
      <c r="M5075" t="inlineStr">
        <is>
          <t>Parmesão ralado Parmozzana 1 kg</t>
        </is>
      </c>
      <c r="N5075" t="inlineStr">
        <is>
          <t>Todos</t>
        </is>
      </c>
      <c r="O5075" t="n">
        <v>4</v>
      </c>
      <c r="P5075" t="n">
        <v>4</v>
      </c>
      <c r="Q5075" t="n">
        <v>0</v>
      </c>
    </row>
    <row r="5076">
      <c r="J5076" t="inlineStr">
        <is>
          <t>A</t>
        </is>
      </c>
      <c r="K5076" t="n">
        <v>2025</v>
      </c>
      <c r="L5076" t="n">
        <v>2</v>
      </c>
      <c r="M5076" t="inlineStr">
        <is>
          <t>Parmesão ralado Parmozzana 1 kg</t>
        </is>
      </c>
      <c r="N5076" t="inlineStr">
        <is>
          <t>Todos</t>
        </is>
      </c>
      <c r="O5076" t="n">
        <v>43</v>
      </c>
      <c r="P5076" t="n">
        <v>47</v>
      </c>
      <c r="Q5076" t="n">
        <v>31</v>
      </c>
    </row>
    <row r="5077">
      <c r="J5077" t="inlineStr">
        <is>
          <t>M</t>
        </is>
      </c>
      <c r="K5077" t="n">
        <v>2025</v>
      </c>
      <c r="L5077" t="n">
        <v>2</v>
      </c>
      <c r="M5077" t="inlineStr">
        <is>
          <t>Parmesão ralado Parmozzana 1 kg</t>
        </is>
      </c>
      <c r="N5077" t="inlineStr">
        <is>
          <t>Todos</t>
        </is>
      </c>
      <c r="O5077" t="n">
        <v>39</v>
      </c>
      <c r="P5077" t="n">
        <v>43</v>
      </c>
      <c r="Q5077" t="n">
        <v>0</v>
      </c>
    </row>
    <row r="5078">
      <c r="J5078" t="inlineStr">
        <is>
          <t>A</t>
        </is>
      </c>
      <c r="K5078" t="n">
        <v>2025</v>
      </c>
      <c r="L5078" t="n">
        <v>3</v>
      </c>
      <c r="M5078" t="inlineStr">
        <is>
          <t>Parmesão ralado Parmozzana 1 kg</t>
        </is>
      </c>
      <c r="N5078" t="inlineStr">
        <is>
          <t>Todos</t>
        </is>
      </c>
      <c r="O5078" t="n">
        <v>43</v>
      </c>
      <c r="P5078" t="n">
        <v>47</v>
      </c>
      <c r="Q5078" t="n">
        <v>31</v>
      </c>
    </row>
    <row r="5079">
      <c r="J5079" t="inlineStr">
        <is>
          <t>A</t>
        </is>
      </c>
      <c r="K5079" t="n">
        <v>2025</v>
      </c>
      <c r="L5079" t="n">
        <v>4</v>
      </c>
      <c r="M5079" t="inlineStr">
        <is>
          <t>Parmesão ralado Parmozzana 1 kg</t>
        </is>
      </c>
      <c r="N5079" t="inlineStr">
        <is>
          <t>Todos</t>
        </is>
      </c>
      <c r="O5079" t="n">
        <v>43</v>
      </c>
      <c r="P5079" t="n">
        <v>47</v>
      </c>
      <c r="Q5079" t="n">
        <v>31</v>
      </c>
    </row>
    <row r="5080">
      <c r="J5080" t="inlineStr">
        <is>
          <t>A</t>
        </is>
      </c>
      <c r="K5080" t="n">
        <v>2025</v>
      </c>
      <c r="L5080" t="n">
        <v>5</v>
      </c>
      <c r="M5080" t="inlineStr">
        <is>
          <t>Parmesão ralado Parmozzana 1 kg</t>
        </is>
      </c>
      <c r="N5080" t="inlineStr">
        <is>
          <t>Todos</t>
        </is>
      </c>
      <c r="O5080" t="n">
        <v>43</v>
      </c>
      <c r="P5080" t="n">
        <v>47</v>
      </c>
      <c r="Q5080" t="n">
        <v>31</v>
      </c>
    </row>
    <row r="5081">
      <c r="J5081" t="inlineStr">
        <is>
          <t>A</t>
        </is>
      </c>
      <c r="K5081" t="n">
        <v>2025</v>
      </c>
      <c r="L5081" t="n">
        <v>6</v>
      </c>
      <c r="M5081" t="inlineStr">
        <is>
          <t>Parmesão ralado Parmozzana 1 kg</t>
        </is>
      </c>
      <c r="N5081" t="inlineStr">
        <is>
          <t>Todos</t>
        </is>
      </c>
      <c r="O5081" t="n">
        <v>43</v>
      </c>
      <c r="P5081" t="n">
        <v>47</v>
      </c>
      <c r="Q5081" t="n">
        <v>31</v>
      </c>
    </row>
    <row r="5082">
      <c r="J5082" t="inlineStr">
        <is>
          <t>A</t>
        </is>
      </c>
      <c r="K5082" t="n">
        <v>2025</v>
      </c>
      <c r="L5082" t="n">
        <v>7</v>
      </c>
      <c r="M5082" t="inlineStr">
        <is>
          <t>Parmesão ralado Parmozzana 1 kg</t>
        </is>
      </c>
      <c r="N5082" t="inlineStr">
        <is>
          <t>Todos</t>
        </is>
      </c>
      <c r="O5082" t="n">
        <v>43</v>
      </c>
      <c r="P5082" t="n">
        <v>47</v>
      </c>
      <c r="Q5082" t="n">
        <v>31</v>
      </c>
    </row>
    <row r="5083">
      <c r="J5083" t="inlineStr">
        <is>
          <t>A</t>
        </is>
      </c>
      <c r="K5083" t="n">
        <v>2025</v>
      </c>
      <c r="L5083" t="n">
        <v>8</v>
      </c>
      <c r="M5083" t="inlineStr">
        <is>
          <t>Parmesão ralado Parmozzana 1 kg</t>
        </is>
      </c>
      <c r="N5083" t="inlineStr">
        <is>
          <t>Todos</t>
        </is>
      </c>
      <c r="O5083" t="n">
        <v>43</v>
      </c>
      <c r="P5083" t="n">
        <v>47</v>
      </c>
      <c r="Q5083" t="n">
        <v>31</v>
      </c>
    </row>
    <row r="5084">
      <c r="J5084" t="inlineStr">
        <is>
          <t>A</t>
        </is>
      </c>
      <c r="K5084" t="n">
        <v>2025</v>
      </c>
      <c r="L5084" t="n">
        <v>9</v>
      </c>
      <c r="M5084" t="inlineStr">
        <is>
          <t>Parmesão ralado Parmozzana 1 kg</t>
        </is>
      </c>
      <c r="N5084" t="inlineStr">
        <is>
          <t>Todos</t>
        </is>
      </c>
      <c r="O5084" t="n">
        <v>43</v>
      </c>
      <c r="P5084" t="n">
        <v>47</v>
      </c>
      <c r="Q5084" t="n">
        <v>31</v>
      </c>
    </row>
    <row r="5085">
      <c r="J5085" t="inlineStr">
        <is>
          <t>A</t>
        </is>
      </c>
      <c r="K5085" t="n">
        <v>2025</v>
      </c>
      <c r="L5085" t="n">
        <v>10</v>
      </c>
      <c r="M5085" t="inlineStr">
        <is>
          <t>Parmesão ralado Parmozzana 1 kg</t>
        </is>
      </c>
      <c r="N5085" t="inlineStr">
        <is>
          <t>Todos</t>
        </is>
      </c>
      <c r="O5085" t="n">
        <v>43</v>
      </c>
      <c r="P5085" t="n">
        <v>47</v>
      </c>
      <c r="Q5085" t="n">
        <v>31</v>
      </c>
    </row>
    <row r="5086">
      <c r="J5086" t="inlineStr">
        <is>
          <t>A</t>
        </is>
      </c>
      <c r="K5086" t="n">
        <v>2025</v>
      </c>
      <c r="L5086" t="n">
        <v>11</v>
      </c>
      <c r="M5086" t="inlineStr">
        <is>
          <t>Parmesão ralado Parmozzana 1 kg</t>
        </is>
      </c>
      <c r="N5086" t="inlineStr">
        <is>
          <t>Todos</t>
        </is>
      </c>
      <c r="O5086" t="n">
        <v>43</v>
      </c>
      <c r="P5086" t="n">
        <v>47</v>
      </c>
      <c r="Q5086" t="n">
        <v>31</v>
      </c>
    </row>
    <row r="5087">
      <c r="J5087" t="inlineStr">
        <is>
          <t>A</t>
        </is>
      </c>
      <c r="K5087" t="n">
        <v>2025</v>
      </c>
      <c r="L5087" t="n">
        <v>12</v>
      </c>
      <c r="M5087" t="inlineStr">
        <is>
          <t>Parmesão ralado Parmozzana 1 kg</t>
        </is>
      </c>
      <c r="N5087" t="inlineStr">
        <is>
          <t>Todos</t>
        </is>
      </c>
      <c r="O5087" t="n">
        <v>43</v>
      </c>
      <c r="P5087" t="n">
        <v>47</v>
      </c>
      <c r="Q5087" t="n">
        <v>31</v>
      </c>
    </row>
    <row r="5088">
      <c r="J5088" t="inlineStr">
        <is>
          <t>A</t>
        </is>
      </c>
      <c r="K5088" t="n">
        <v>2025</v>
      </c>
      <c r="L5088" t="n">
        <v>1</v>
      </c>
      <c r="M5088" t="inlineStr">
        <is>
          <t>Parmesão ralado Parmozzana 1 kg</t>
        </is>
      </c>
      <c r="N5088" t="inlineStr">
        <is>
          <t>Pizzaria</t>
        </is>
      </c>
      <c r="O5088" t="n">
        <v>1</v>
      </c>
      <c r="P5088" t="n">
        <v>1</v>
      </c>
      <c r="Q5088" t="n">
        <v>1</v>
      </c>
    </row>
    <row r="5089">
      <c r="J5089" t="inlineStr">
        <is>
          <t>M</t>
        </is>
      </c>
      <c r="K5089" t="n">
        <v>2025</v>
      </c>
      <c r="L5089" t="n">
        <v>1</v>
      </c>
      <c r="M5089" t="inlineStr">
        <is>
          <t>Parmesão ralado Parmozzana 1 kg</t>
        </is>
      </c>
      <c r="N5089" t="inlineStr">
        <is>
          <t>Pizzaria</t>
        </is>
      </c>
      <c r="O5089" t="n">
        <v>1</v>
      </c>
      <c r="P5089" t="n">
        <v>1</v>
      </c>
      <c r="Q5089" t="n">
        <v>0</v>
      </c>
    </row>
    <row r="5090">
      <c r="J5090" t="inlineStr">
        <is>
          <t>A</t>
        </is>
      </c>
      <c r="K5090" t="n">
        <v>2025</v>
      </c>
      <c r="L5090" t="n">
        <v>2</v>
      </c>
      <c r="M5090" t="inlineStr">
        <is>
          <t>Parmesão ralado Parmozzana 1 kg</t>
        </is>
      </c>
      <c r="N5090" t="inlineStr">
        <is>
          <t>Pizzaria</t>
        </is>
      </c>
      <c r="O5090" t="n">
        <v>11</v>
      </c>
      <c r="P5090" t="n">
        <v>11</v>
      </c>
      <c r="Q5090" t="n">
        <v>8</v>
      </c>
    </row>
    <row r="5091">
      <c r="J5091" t="inlineStr">
        <is>
          <t>M</t>
        </is>
      </c>
      <c r="K5091" t="n">
        <v>2025</v>
      </c>
      <c r="L5091" t="n">
        <v>2</v>
      </c>
      <c r="M5091" t="inlineStr">
        <is>
          <t>Parmesão ralado Parmozzana 1 kg</t>
        </is>
      </c>
      <c r="N5091" t="inlineStr">
        <is>
          <t>Pizzaria</t>
        </is>
      </c>
      <c r="O5091" t="n">
        <v>10</v>
      </c>
      <c r="P5091" t="n">
        <v>10</v>
      </c>
      <c r="Q5091" t="n">
        <v>0</v>
      </c>
    </row>
    <row r="5092">
      <c r="J5092" t="inlineStr">
        <is>
          <t>A</t>
        </is>
      </c>
      <c r="K5092" t="n">
        <v>2025</v>
      </c>
      <c r="L5092" t="n">
        <v>3</v>
      </c>
      <c r="M5092" t="inlineStr">
        <is>
          <t>Parmesão ralado Parmozzana 1 kg</t>
        </is>
      </c>
      <c r="N5092" t="inlineStr">
        <is>
          <t>Pizzaria</t>
        </is>
      </c>
      <c r="O5092" t="n">
        <v>11</v>
      </c>
      <c r="P5092" t="n">
        <v>11</v>
      </c>
      <c r="Q5092" t="n">
        <v>8</v>
      </c>
    </row>
    <row r="5093">
      <c r="J5093" t="inlineStr">
        <is>
          <t>A</t>
        </is>
      </c>
      <c r="K5093" t="n">
        <v>2025</v>
      </c>
      <c r="L5093" t="n">
        <v>4</v>
      </c>
      <c r="M5093" t="inlineStr">
        <is>
          <t>Parmesão ralado Parmozzana 1 kg</t>
        </is>
      </c>
      <c r="N5093" t="inlineStr">
        <is>
          <t>Pizzaria</t>
        </is>
      </c>
      <c r="O5093" t="n">
        <v>11</v>
      </c>
      <c r="P5093" t="n">
        <v>11</v>
      </c>
      <c r="Q5093" t="n">
        <v>8</v>
      </c>
    </row>
    <row r="5094">
      <c r="J5094" t="inlineStr">
        <is>
          <t>A</t>
        </is>
      </c>
      <c r="K5094" t="n">
        <v>2025</v>
      </c>
      <c r="L5094" t="n">
        <v>5</v>
      </c>
      <c r="M5094" t="inlineStr">
        <is>
          <t>Parmesão ralado Parmozzana 1 kg</t>
        </is>
      </c>
      <c r="N5094" t="inlineStr">
        <is>
          <t>Pizzaria</t>
        </is>
      </c>
      <c r="O5094" t="n">
        <v>11</v>
      </c>
      <c r="P5094" t="n">
        <v>11</v>
      </c>
      <c r="Q5094" t="n">
        <v>8</v>
      </c>
    </row>
    <row r="5095">
      <c r="J5095" t="inlineStr">
        <is>
          <t>A</t>
        </is>
      </c>
      <c r="K5095" t="n">
        <v>2025</v>
      </c>
      <c r="L5095" t="n">
        <v>6</v>
      </c>
      <c r="M5095" t="inlineStr">
        <is>
          <t>Parmesão ralado Parmozzana 1 kg</t>
        </is>
      </c>
      <c r="N5095" t="inlineStr">
        <is>
          <t>Pizzaria</t>
        </is>
      </c>
      <c r="O5095" t="n">
        <v>11</v>
      </c>
      <c r="P5095" t="n">
        <v>11</v>
      </c>
      <c r="Q5095" t="n">
        <v>8</v>
      </c>
    </row>
    <row r="5096">
      <c r="J5096" t="inlineStr">
        <is>
          <t>A</t>
        </is>
      </c>
      <c r="K5096" t="n">
        <v>2025</v>
      </c>
      <c r="L5096" t="n">
        <v>7</v>
      </c>
      <c r="M5096" t="inlineStr">
        <is>
          <t>Parmesão ralado Parmozzana 1 kg</t>
        </is>
      </c>
      <c r="N5096" t="inlineStr">
        <is>
          <t>Pizzaria</t>
        </is>
      </c>
      <c r="O5096" t="n">
        <v>11</v>
      </c>
      <c r="P5096" t="n">
        <v>11</v>
      </c>
      <c r="Q5096" t="n">
        <v>8</v>
      </c>
    </row>
    <row r="5097">
      <c r="J5097" t="inlineStr">
        <is>
          <t>A</t>
        </is>
      </c>
      <c r="K5097" t="n">
        <v>2025</v>
      </c>
      <c r="L5097" t="n">
        <v>8</v>
      </c>
      <c r="M5097" t="inlineStr">
        <is>
          <t>Parmesão ralado Parmozzana 1 kg</t>
        </is>
      </c>
      <c r="N5097" t="inlineStr">
        <is>
          <t>Pizzaria</t>
        </is>
      </c>
      <c r="O5097" t="n">
        <v>11</v>
      </c>
      <c r="P5097" t="n">
        <v>11</v>
      </c>
      <c r="Q5097" t="n">
        <v>8</v>
      </c>
    </row>
    <row r="5098">
      <c r="J5098" t="inlineStr">
        <is>
          <t>A</t>
        </is>
      </c>
      <c r="K5098" t="n">
        <v>2025</v>
      </c>
      <c r="L5098" t="n">
        <v>9</v>
      </c>
      <c r="M5098" t="inlineStr">
        <is>
          <t>Parmesão ralado Parmozzana 1 kg</t>
        </is>
      </c>
      <c r="N5098" t="inlineStr">
        <is>
          <t>Pizzaria</t>
        </is>
      </c>
      <c r="O5098" t="n">
        <v>11</v>
      </c>
      <c r="P5098" t="n">
        <v>11</v>
      </c>
      <c r="Q5098" t="n">
        <v>8</v>
      </c>
    </row>
    <row r="5099">
      <c r="J5099" t="inlineStr">
        <is>
          <t>A</t>
        </is>
      </c>
      <c r="K5099" t="n">
        <v>2025</v>
      </c>
      <c r="L5099" t="n">
        <v>10</v>
      </c>
      <c r="M5099" t="inlineStr">
        <is>
          <t>Parmesão ralado Parmozzana 1 kg</t>
        </is>
      </c>
      <c r="N5099" t="inlineStr">
        <is>
          <t>Pizzaria</t>
        </is>
      </c>
      <c r="O5099" t="n">
        <v>11</v>
      </c>
      <c r="P5099" t="n">
        <v>11</v>
      </c>
      <c r="Q5099" t="n">
        <v>8</v>
      </c>
    </row>
    <row r="5100">
      <c r="J5100" t="inlineStr">
        <is>
          <t>A</t>
        </is>
      </c>
      <c r="K5100" t="n">
        <v>2025</v>
      </c>
      <c r="L5100" t="n">
        <v>11</v>
      </c>
      <c r="M5100" t="inlineStr">
        <is>
          <t>Parmesão ralado Parmozzana 1 kg</t>
        </is>
      </c>
      <c r="N5100" t="inlineStr">
        <is>
          <t>Pizzaria</t>
        </is>
      </c>
      <c r="O5100" t="n">
        <v>11</v>
      </c>
      <c r="P5100" t="n">
        <v>11</v>
      </c>
      <c r="Q5100" t="n">
        <v>8</v>
      </c>
    </row>
    <row r="5101">
      <c r="J5101" t="inlineStr">
        <is>
          <t>A</t>
        </is>
      </c>
      <c r="K5101" t="n">
        <v>2025</v>
      </c>
      <c r="L5101" t="n">
        <v>12</v>
      </c>
      <c r="M5101" t="inlineStr">
        <is>
          <t>Parmesão ralado Parmozzana 1 kg</t>
        </is>
      </c>
      <c r="N5101" t="inlineStr">
        <is>
          <t>Pizzaria</t>
        </is>
      </c>
      <c r="O5101" t="n">
        <v>11</v>
      </c>
      <c r="P5101" t="n">
        <v>11</v>
      </c>
      <c r="Q5101" t="n">
        <v>8</v>
      </c>
    </row>
    <row r="5102">
      <c r="J5102" t="inlineStr">
        <is>
          <t>A</t>
        </is>
      </c>
      <c r="K5102" t="n">
        <v>2025</v>
      </c>
      <c r="L5102" t="n">
        <v>2</v>
      </c>
      <c r="M5102" t="inlineStr">
        <is>
          <t>Parmesão ralado Parmozzana 1 kg</t>
        </is>
      </c>
      <c r="N5102" t="inlineStr">
        <is>
          <t>Restaurante / Cantina</t>
        </is>
      </c>
      <c r="O5102" t="n">
        <v>10</v>
      </c>
      <c r="P5102" t="n">
        <v>12</v>
      </c>
      <c r="Q5102" t="n">
        <v>7</v>
      </c>
    </row>
    <row r="5103">
      <c r="J5103" t="inlineStr">
        <is>
          <t>M</t>
        </is>
      </c>
      <c r="K5103" t="n">
        <v>2025</v>
      </c>
      <c r="L5103" t="n">
        <v>2</v>
      </c>
      <c r="M5103" t="inlineStr">
        <is>
          <t>Parmesão ralado Parmozzana 1 kg</t>
        </is>
      </c>
      <c r="N5103" t="inlineStr">
        <is>
          <t>Restaurante / Cantina</t>
        </is>
      </c>
      <c r="O5103" t="n">
        <v>10</v>
      </c>
      <c r="P5103" t="n">
        <v>12</v>
      </c>
      <c r="Q5103" t="n">
        <v>0</v>
      </c>
    </row>
    <row r="5104">
      <c r="J5104" t="inlineStr">
        <is>
          <t>A</t>
        </is>
      </c>
      <c r="K5104" t="n">
        <v>2025</v>
      </c>
      <c r="L5104" t="n">
        <v>3</v>
      </c>
      <c r="M5104" t="inlineStr">
        <is>
          <t>Parmesão ralado Parmozzana 1 kg</t>
        </is>
      </c>
      <c r="N5104" t="inlineStr">
        <is>
          <t>Restaurante / Cantina</t>
        </is>
      </c>
      <c r="O5104" t="n">
        <v>10</v>
      </c>
      <c r="P5104" t="n">
        <v>12</v>
      </c>
      <c r="Q5104" t="n">
        <v>7</v>
      </c>
    </row>
    <row r="5105">
      <c r="J5105" t="inlineStr">
        <is>
          <t>A</t>
        </is>
      </c>
      <c r="K5105" t="n">
        <v>2025</v>
      </c>
      <c r="L5105" t="n">
        <v>4</v>
      </c>
      <c r="M5105" t="inlineStr">
        <is>
          <t>Parmesão ralado Parmozzana 1 kg</t>
        </is>
      </c>
      <c r="N5105" t="inlineStr">
        <is>
          <t>Restaurante / Cantina</t>
        </is>
      </c>
      <c r="O5105" t="n">
        <v>10</v>
      </c>
      <c r="P5105" t="n">
        <v>12</v>
      </c>
      <c r="Q5105" t="n">
        <v>7</v>
      </c>
    </row>
    <row r="5106">
      <c r="J5106" t="inlineStr">
        <is>
          <t>A</t>
        </is>
      </c>
      <c r="K5106" t="n">
        <v>2025</v>
      </c>
      <c r="L5106" t="n">
        <v>5</v>
      </c>
      <c r="M5106" t="inlineStr">
        <is>
          <t>Parmesão ralado Parmozzana 1 kg</t>
        </is>
      </c>
      <c r="N5106" t="inlineStr">
        <is>
          <t>Restaurante / Cantina</t>
        </is>
      </c>
      <c r="O5106" t="n">
        <v>10</v>
      </c>
      <c r="P5106" t="n">
        <v>12</v>
      </c>
      <c r="Q5106" t="n">
        <v>7</v>
      </c>
    </row>
    <row r="5107">
      <c r="J5107" t="inlineStr">
        <is>
          <t>A</t>
        </is>
      </c>
      <c r="K5107" t="n">
        <v>2025</v>
      </c>
      <c r="L5107" t="n">
        <v>6</v>
      </c>
      <c r="M5107" t="inlineStr">
        <is>
          <t>Parmesão ralado Parmozzana 1 kg</t>
        </is>
      </c>
      <c r="N5107" t="inlineStr">
        <is>
          <t>Restaurante / Cantina</t>
        </is>
      </c>
      <c r="O5107" t="n">
        <v>10</v>
      </c>
      <c r="P5107" t="n">
        <v>12</v>
      </c>
      <c r="Q5107" t="n">
        <v>7</v>
      </c>
    </row>
    <row r="5108">
      <c r="J5108" t="inlineStr">
        <is>
          <t>A</t>
        </is>
      </c>
      <c r="K5108" t="n">
        <v>2025</v>
      </c>
      <c r="L5108" t="n">
        <v>7</v>
      </c>
      <c r="M5108" t="inlineStr">
        <is>
          <t>Parmesão ralado Parmozzana 1 kg</t>
        </is>
      </c>
      <c r="N5108" t="inlineStr">
        <is>
          <t>Restaurante / Cantina</t>
        </is>
      </c>
      <c r="O5108" t="n">
        <v>10</v>
      </c>
      <c r="P5108" t="n">
        <v>12</v>
      </c>
      <c r="Q5108" t="n">
        <v>7</v>
      </c>
    </row>
    <row r="5109">
      <c r="J5109" t="inlineStr">
        <is>
          <t>A</t>
        </is>
      </c>
      <c r="K5109" t="n">
        <v>2025</v>
      </c>
      <c r="L5109" t="n">
        <v>8</v>
      </c>
      <c r="M5109" t="inlineStr">
        <is>
          <t>Parmesão ralado Parmozzana 1 kg</t>
        </is>
      </c>
      <c r="N5109" t="inlineStr">
        <is>
          <t>Restaurante / Cantina</t>
        </is>
      </c>
      <c r="O5109" t="n">
        <v>10</v>
      </c>
      <c r="P5109" t="n">
        <v>12</v>
      </c>
      <c r="Q5109" t="n">
        <v>7</v>
      </c>
    </row>
    <row r="5110">
      <c r="J5110" t="inlineStr">
        <is>
          <t>A</t>
        </is>
      </c>
      <c r="K5110" t="n">
        <v>2025</v>
      </c>
      <c r="L5110" t="n">
        <v>9</v>
      </c>
      <c r="M5110" t="inlineStr">
        <is>
          <t>Parmesão ralado Parmozzana 1 kg</t>
        </is>
      </c>
      <c r="N5110" t="inlineStr">
        <is>
          <t>Restaurante / Cantina</t>
        </is>
      </c>
      <c r="O5110" t="n">
        <v>10</v>
      </c>
      <c r="P5110" t="n">
        <v>12</v>
      </c>
      <c r="Q5110" t="n">
        <v>7</v>
      </c>
    </row>
    <row r="5111">
      <c r="J5111" t="inlineStr">
        <is>
          <t>A</t>
        </is>
      </c>
      <c r="K5111" t="n">
        <v>2025</v>
      </c>
      <c r="L5111" t="n">
        <v>10</v>
      </c>
      <c r="M5111" t="inlineStr">
        <is>
          <t>Parmesão ralado Parmozzana 1 kg</t>
        </is>
      </c>
      <c r="N5111" t="inlineStr">
        <is>
          <t>Restaurante / Cantina</t>
        </is>
      </c>
      <c r="O5111" t="n">
        <v>10</v>
      </c>
      <c r="P5111" t="n">
        <v>12</v>
      </c>
      <c r="Q5111" t="n">
        <v>7</v>
      </c>
    </row>
    <row r="5112">
      <c r="J5112" t="inlineStr">
        <is>
          <t>A</t>
        </is>
      </c>
      <c r="K5112" t="n">
        <v>2025</v>
      </c>
      <c r="L5112" t="n">
        <v>11</v>
      </c>
      <c r="M5112" t="inlineStr">
        <is>
          <t>Parmesão ralado Parmozzana 1 kg</t>
        </is>
      </c>
      <c r="N5112" t="inlineStr">
        <is>
          <t>Restaurante / Cantina</t>
        </is>
      </c>
      <c r="O5112" t="n">
        <v>10</v>
      </c>
      <c r="P5112" t="n">
        <v>12</v>
      </c>
      <c r="Q5112" t="n">
        <v>7</v>
      </c>
    </row>
    <row r="5113">
      <c r="J5113" t="inlineStr">
        <is>
          <t>A</t>
        </is>
      </c>
      <c r="K5113" t="n">
        <v>2025</v>
      </c>
      <c r="L5113" t="n">
        <v>12</v>
      </c>
      <c r="M5113" t="inlineStr">
        <is>
          <t>Parmesão ralado Parmozzana 1 kg</t>
        </is>
      </c>
      <c r="N5113" t="inlineStr">
        <is>
          <t>Restaurante / Cantina</t>
        </is>
      </c>
      <c r="O5113" t="n">
        <v>10</v>
      </c>
      <c r="P5113" t="n">
        <v>12</v>
      </c>
      <c r="Q5113" t="n">
        <v>7</v>
      </c>
    </row>
    <row r="5114">
      <c r="J5114" t="inlineStr">
        <is>
          <t>A</t>
        </is>
      </c>
      <c r="K5114" t="n">
        <v>2025</v>
      </c>
      <c r="L5114" t="n">
        <v>1</v>
      </c>
      <c r="M5114" t="inlineStr">
        <is>
          <t>Parmesão ralado Parmozzana 1 kg</t>
        </is>
      </c>
      <c r="N5114" t="inlineStr">
        <is>
          <t>Cozinha Industrial</t>
        </is>
      </c>
      <c r="O5114" t="n">
        <v>2</v>
      </c>
      <c r="P5114" t="n">
        <v>2</v>
      </c>
      <c r="Q5114" t="n">
        <v>2</v>
      </c>
    </row>
    <row r="5115">
      <c r="J5115" t="inlineStr">
        <is>
          <t>M</t>
        </is>
      </c>
      <c r="K5115" t="n">
        <v>2025</v>
      </c>
      <c r="L5115" t="n">
        <v>1</v>
      </c>
      <c r="M5115" t="inlineStr">
        <is>
          <t>Parmesão ralado Parmozzana 1 kg</t>
        </is>
      </c>
      <c r="N5115" t="inlineStr">
        <is>
          <t>Cozinha Industrial</t>
        </is>
      </c>
      <c r="O5115" t="n">
        <v>2</v>
      </c>
      <c r="P5115" t="n">
        <v>2</v>
      </c>
      <c r="Q5115" t="n">
        <v>0</v>
      </c>
    </row>
    <row r="5116">
      <c r="J5116" t="inlineStr">
        <is>
          <t>A</t>
        </is>
      </c>
      <c r="K5116" t="n">
        <v>2025</v>
      </c>
      <c r="L5116" t="n">
        <v>2</v>
      </c>
      <c r="M5116" t="inlineStr">
        <is>
          <t>Parmesão ralado Parmozzana 1 kg</t>
        </is>
      </c>
      <c r="N5116" t="inlineStr">
        <is>
          <t>Cozinha Industrial</t>
        </is>
      </c>
      <c r="O5116" t="n">
        <v>2</v>
      </c>
      <c r="P5116" t="n">
        <v>2</v>
      </c>
      <c r="Q5116" t="n">
        <v>2</v>
      </c>
    </row>
    <row r="5117">
      <c r="J5117" t="inlineStr">
        <is>
          <t>A</t>
        </is>
      </c>
      <c r="K5117" t="n">
        <v>2025</v>
      </c>
      <c r="L5117" t="n">
        <v>3</v>
      </c>
      <c r="M5117" t="inlineStr">
        <is>
          <t>Parmesão ralado Parmozzana 1 kg</t>
        </is>
      </c>
      <c r="N5117" t="inlineStr">
        <is>
          <t>Cozinha Industrial</t>
        </is>
      </c>
      <c r="O5117" t="n">
        <v>2</v>
      </c>
      <c r="P5117" t="n">
        <v>2</v>
      </c>
      <c r="Q5117" t="n">
        <v>2</v>
      </c>
    </row>
    <row r="5118">
      <c r="J5118" t="inlineStr">
        <is>
          <t>A</t>
        </is>
      </c>
      <c r="K5118" t="n">
        <v>2025</v>
      </c>
      <c r="L5118" t="n">
        <v>4</v>
      </c>
      <c r="M5118" t="inlineStr">
        <is>
          <t>Parmesão ralado Parmozzana 1 kg</t>
        </is>
      </c>
      <c r="N5118" t="inlineStr">
        <is>
          <t>Cozinha Industrial</t>
        </is>
      </c>
      <c r="O5118" t="n">
        <v>2</v>
      </c>
      <c r="P5118" t="n">
        <v>2</v>
      </c>
      <c r="Q5118" t="n">
        <v>2</v>
      </c>
    </row>
    <row r="5119">
      <c r="J5119" t="inlineStr">
        <is>
          <t>A</t>
        </is>
      </c>
      <c r="K5119" t="n">
        <v>2025</v>
      </c>
      <c r="L5119" t="n">
        <v>5</v>
      </c>
      <c r="M5119" t="inlineStr">
        <is>
          <t>Parmesão ralado Parmozzana 1 kg</t>
        </is>
      </c>
      <c r="N5119" t="inlineStr">
        <is>
          <t>Cozinha Industrial</t>
        </is>
      </c>
      <c r="O5119" t="n">
        <v>2</v>
      </c>
      <c r="P5119" t="n">
        <v>2</v>
      </c>
      <c r="Q5119" t="n">
        <v>2</v>
      </c>
    </row>
    <row r="5120">
      <c r="J5120" t="inlineStr">
        <is>
          <t>A</t>
        </is>
      </c>
      <c r="K5120" t="n">
        <v>2025</v>
      </c>
      <c r="L5120" t="n">
        <v>6</v>
      </c>
      <c r="M5120" t="inlineStr">
        <is>
          <t>Parmesão ralado Parmozzana 1 kg</t>
        </is>
      </c>
      <c r="N5120" t="inlineStr">
        <is>
          <t>Cozinha Industrial</t>
        </is>
      </c>
      <c r="O5120" t="n">
        <v>2</v>
      </c>
      <c r="P5120" t="n">
        <v>2</v>
      </c>
      <c r="Q5120" t="n">
        <v>2</v>
      </c>
    </row>
    <row r="5121">
      <c r="J5121" t="inlineStr">
        <is>
          <t>A</t>
        </is>
      </c>
      <c r="K5121" t="n">
        <v>2025</v>
      </c>
      <c r="L5121" t="n">
        <v>7</v>
      </c>
      <c r="M5121" t="inlineStr">
        <is>
          <t>Parmesão ralado Parmozzana 1 kg</t>
        </is>
      </c>
      <c r="N5121" t="inlineStr">
        <is>
          <t>Cozinha Industrial</t>
        </is>
      </c>
      <c r="O5121" t="n">
        <v>2</v>
      </c>
      <c r="P5121" t="n">
        <v>2</v>
      </c>
      <c r="Q5121" t="n">
        <v>2</v>
      </c>
    </row>
    <row r="5122">
      <c r="J5122" t="inlineStr">
        <is>
          <t>A</t>
        </is>
      </c>
      <c r="K5122" t="n">
        <v>2025</v>
      </c>
      <c r="L5122" t="n">
        <v>8</v>
      </c>
      <c r="M5122" t="inlineStr">
        <is>
          <t>Parmesão ralado Parmozzana 1 kg</t>
        </is>
      </c>
      <c r="N5122" t="inlineStr">
        <is>
          <t>Cozinha Industrial</t>
        </is>
      </c>
      <c r="O5122" t="n">
        <v>2</v>
      </c>
      <c r="P5122" t="n">
        <v>2</v>
      </c>
      <c r="Q5122" t="n">
        <v>2</v>
      </c>
    </row>
    <row r="5123">
      <c r="J5123" t="inlineStr">
        <is>
          <t>A</t>
        </is>
      </c>
      <c r="K5123" t="n">
        <v>2025</v>
      </c>
      <c r="L5123" t="n">
        <v>9</v>
      </c>
      <c r="M5123" t="inlineStr">
        <is>
          <t>Parmesão ralado Parmozzana 1 kg</t>
        </is>
      </c>
      <c r="N5123" t="inlineStr">
        <is>
          <t>Cozinha Industrial</t>
        </is>
      </c>
      <c r="O5123" t="n">
        <v>2</v>
      </c>
      <c r="P5123" t="n">
        <v>2</v>
      </c>
      <c r="Q5123" t="n">
        <v>2</v>
      </c>
    </row>
    <row r="5124">
      <c r="J5124" t="inlineStr">
        <is>
          <t>A</t>
        </is>
      </c>
      <c r="K5124" t="n">
        <v>2025</v>
      </c>
      <c r="L5124" t="n">
        <v>10</v>
      </c>
      <c r="M5124" t="inlineStr">
        <is>
          <t>Parmesão ralado Parmozzana 1 kg</t>
        </is>
      </c>
      <c r="N5124" t="inlineStr">
        <is>
          <t>Cozinha Industrial</t>
        </is>
      </c>
      <c r="O5124" t="n">
        <v>2</v>
      </c>
      <c r="P5124" t="n">
        <v>2</v>
      </c>
      <c r="Q5124" t="n">
        <v>2</v>
      </c>
    </row>
    <row r="5125">
      <c r="J5125" t="inlineStr">
        <is>
          <t>A</t>
        </is>
      </c>
      <c r="K5125" t="n">
        <v>2025</v>
      </c>
      <c r="L5125" t="n">
        <v>11</v>
      </c>
      <c r="M5125" t="inlineStr">
        <is>
          <t>Parmesão ralado Parmozzana 1 kg</t>
        </is>
      </c>
      <c r="N5125" t="inlineStr">
        <is>
          <t>Cozinha Industrial</t>
        </is>
      </c>
      <c r="O5125" t="n">
        <v>2</v>
      </c>
      <c r="P5125" t="n">
        <v>2</v>
      </c>
      <c r="Q5125" t="n">
        <v>2</v>
      </c>
    </row>
    <row r="5126">
      <c r="J5126" t="inlineStr">
        <is>
          <t>A</t>
        </is>
      </c>
      <c r="K5126" t="n">
        <v>2025</v>
      </c>
      <c r="L5126" t="n">
        <v>12</v>
      </c>
      <c r="M5126" t="inlineStr">
        <is>
          <t>Parmesão ralado Parmozzana 1 kg</t>
        </is>
      </c>
      <c r="N5126" t="inlineStr">
        <is>
          <t>Cozinha Industrial</t>
        </is>
      </c>
      <c r="O5126" t="n">
        <v>2</v>
      </c>
      <c r="P5126" t="n">
        <v>2</v>
      </c>
      <c r="Q5126" t="n">
        <v>2</v>
      </c>
    </row>
    <row r="5127">
      <c r="J5127" t="inlineStr">
        <is>
          <t>A</t>
        </is>
      </c>
      <c r="K5127" t="n">
        <v>2025</v>
      </c>
      <c r="L5127" t="n">
        <v>2</v>
      </c>
      <c r="M5127" t="inlineStr">
        <is>
          <t>Parmesão ralado Parmozzana 1 kg</t>
        </is>
      </c>
      <c r="N5127" t="inlineStr">
        <is>
          <t>Fábrica de Massas</t>
        </is>
      </c>
      <c r="O5127" t="n">
        <v>1</v>
      </c>
      <c r="P5127" t="n">
        <v>1</v>
      </c>
      <c r="Q5127" t="n">
        <v>1</v>
      </c>
    </row>
    <row r="5128">
      <c r="J5128" t="inlineStr">
        <is>
          <t>M</t>
        </is>
      </c>
      <c r="K5128" t="n">
        <v>2025</v>
      </c>
      <c r="L5128" t="n">
        <v>2</v>
      </c>
      <c r="M5128" t="inlineStr">
        <is>
          <t>Parmesão ralado Parmozzana 1 kg</t>
        </is>
      </c>
      <c r="N5128" t="inlineStr">
        <is>
          <t>Fábrica de Massas</t>
        </is>
      </c>
      <c r="O5128" t="n">
        <v>1</v>
      </c>
      <c r="P5128" t="n">
        <v>1</v>
      </c>
      <c r="Q5128" t="n">
        <v>0</v>
      </c>
    </row>
    <row r="5129">
      <c r="J5129" t="inlineStr">
        <is>
          <t>A</t>
        </is>
      </c>
      <c r="K5129" t="n">
        <v>2025</v>
      </c>
      <c r="L5129" t="n">
        <v>3</v>
      </c>
      <c r="M5129" t="inlineStr">
        <is>
          <t>Parmesão ralado Parmozzana 1 kg</t>
        </is>
      </c>
      <c r="N5129" t="inlineStr">
        <is>
          <t>Fábrica de Massas</t>
        </is>
      </c>
      <c r="O5129" t="n">
        <v>1</v>
      </c>
      <c r="P5129" t="n">
        <v>1</v>
      </c>
      <c r="Q5129" t="n">
        <v>1</v>
      </c>
    </row>
    <row r="5130">
      <c r="J5130" t="inlineStr">
        <is>
          <t>A</t>
        </is>
      </c>
      <c r="K5130" t="n">
        <v>2025</v>
      </c>
      <c r="L5130" t="n">
        <v>4</v>
      </c>
      <c r="M5130" t="inlineStr">
        <is>
          <t>Parmesão ralado Parmozzana 1 kg</t>
        </is>
      </c>
      <c r="N5130" t="inlineStr">
        <is>
          <t>Fábrica de Massas</t>
        </is>
      </c>
      <c r="O5130" t="n">
        <v>1</v>
      </c>
      <c r="P5130" t="n">
        <v>1</v>
      </c>
      <c r="Q5130" t="n">
        <v>1</v>
      </c>
    </row>
    <row r="5131">
      <c r="J5131" t="inlineStr">
        <is>
          <t>A</t>
        </is>
      </c>
      <c r="K5131" t="n">
        <v>2025</v>
      </c>
      <c r="L5131" t="n">
        <v>5</v>
      </c>
      <c r="M5131" t="inlineStr">
        <is>
          <t>Parmesão ralado Parmozzana 1 kg</t>
        </is>
      </c>
      <c r="N5131" t="inlineStr">
        <is>
          <t>Fábrica de Massas</t>
        </is>
      </c>
      <c r="O5131" t="n">
        <v>1</v>
      </c>
      <c r="P5131" t="n">
        <v>1</v>
      </c>
      <c r="Q5131" t="n">
        <v>1</v>
      </c>
    </row>
    <row r="5132">
      <c r="J5132" t="inlineStr">
        <is>
          <t>A</t>
        </is>
      </c>
      <c r="K5132" t="n">
        <v>2025</v>
      </c>
      <c r="L5132" t="n">
        <v>6</v>
      </c>
      <c r="M5132" t="inlineStr">
        <is>
          <t>Parmesão ralado Parmozzana 1 kg</t>
        </is>
      </c>
      <c r="N5132" t="inlineStr">
        <is>
          <t>Fábrica de Massas</t>
        </is>
      </c>
      <c r="O5132" t="n">
        <v>1</v>
      </c>
      <c r="P5132" t="n">
        <v>1</v>
      </c>
      <c r="Q5132" t="n">
        <v>1</v>
      </c>
    </row>
    <row r="5133">
      <c r="J5133" t="inlineStr">
        <is>
          <t>A</t>
        </is>
      </c>
      <c r="K5133" t="n">
        <v>2025</v>
      </c>
      <c r="L5133" t="n">
        <v>7</v>
      </c>
      <c r="M5133" t="inlineStr">
        <is>
          <t>Parmesão ralado Parmozzana 1 kg</t>
        </is>
      </c>
      <c r="N5133" t="inlineStr">
        <is>
          <t>Fábrica de Massas</t>
        </is>
      </c>
      <c r="O5133" t="n">
        <v>1</v>
      </c>
      <c r="P5133" t="n">
        <v>1</v>
      </c>
      <c r="Q5133" t="n">
        <v>1</v>
      </c>
    </row>
    <row r="5134">
      <c r="J5134" t="inlineStr">
        <is>
          <t>A</t>
        </is>
      </c>
      <c r="K5134" t="n">
        <v>2025</v>
      </c>
      <c r="L5134" t="n">
        <v>8</v>
      </c>
      <c r="M5134" t="inlineStr">
        <is>
          <t>Parmesão ralado Parmozzana 1 kg</t>
        </is>
      </c>
      <c r="N5134" t="inlineStr">
        <is>
          <t>Fábrica de Massas</t>
        </is>
      </c>
      <c r="O5134" t="n">
        <v>1</v>
      </c>
      <c r="P5134" t="n">
        <v>1</v>
      </c>
      <c r="Q5134" t="n">
        <v>1</v>
      </c>
    </row>
    <row r="5135">
      <c r="J5135" t="inlineStr">
        <is>
          <t>A</t>
        </is>
      </c>
      <c r="K5135" t="n">
        <v>2025</v>
      </c>
      <c r="L5135" t="n">
        <v>9</v>
      </c>
      <c r="M5135" t="inlineStr">
        <is>
          <t>Parmesão ralado Parmozzana 1 kg</t>
        </is>
      </c>
      <c r="N5135" t="inlineStr">
        <is>
          <t>Fábrica de Massas</t>
        </is>
      </c>
      <c r="O5135" t="n">
        <v>1</v>
      </c>
      <c r="P5135" t="n">
        <v>1</v>
      </c>
      <c r="Q5135" t="n">
        <v>1</v>
      </c>
    </row>
    <row r="5136">
      <c r="J5136" t="inlineStr">
        <is>
          <t>A</t>
        </is>
      </c>
      <c r="K5136" t="n">
        <v>2025</v>
      </c>
      <c r="L5136" t="n">
        <v>10</v>
      </c>
      <c r="M5136" t="inlineStr">
        <is>
          <t>Parmesão ralado Parmozzana 1 kg</t>
        </is>
      </c>
      <c r="N5136" t="inlineStr">
        <is>
          <t>Fábrica de Massas</t>
        </is>
      </c>
      <c r="O5136" t="n">
        <v>1</v>
      </c>
      <c r="P5136" t="n">
        <v>1</v>
      </c>
      <c r="Q5136" t="n">
        <v>1</v>
      </c>
    </row>
    <row r="5137">
      <c r="J5137" t="inlineStr">
        <is>
          <t>A</t>
        </is>
      </c>
      <c r="K5137" t="n">
        <v>2025</v>
      </c>
      <c r="L5137" t="n">
        <v>11</v>
      </c>
      <c r="M5137" t="inlineStr">
        <is>
          <t>Parmesão ralado Parmozzana 1 kg</t>
        </is>
      </c>
      <c r="N5137" t="inlineStr">
        <is>
          <t>Fábrica de Massas</t>
        </is>
      </c>
      <c r="O5137" t="n">
        <v>1</v>
      </c>
      <c r="P5137" t="n">
        <v>1</v>
      </c>
      <c r="Q5137" t="n">
        <v>1</v>
      </c>
    </row>
    <row r="5138">
      <c r="J5138" t="inlineStr">
        <is>
          <t>A</t>
        </is>
      </c>
      <c r="K5138" t="n">
        <v>2025</v>
      </c>
      <c r="L5138" t="n">
        <v>12</v>
      </c>
      <c r="M5138" t="inlineStr">
        <is>
          <t>Parmesão ralado Parmozzana 1 kg</t>
        </is>
      </c>
      <c r="N5138" t="inlineStr">
        <is>
          <t>Fábrica de Massas</t>
        </is>
      </c>
      <c r="O5138" t="n">
        <v>1</v>
      </c>
      <c r="P5138" t="n">
        <v>1</v>
      </c>
      <c r="Q5138" t="n">
        <v>1</v>
      </c>
    </row>
    <row r="5139">
      <c r="J5139" t="inlineStr">
        <is>
          <t>A</t>
        </is>
      </c>
      <c r="K5139" t="n">
        <v>2025</v>
      </c>
      <c r="L5139" t="n">
        <v>2</v>
      </c>
      <c r="M5139" t="inlineStr">
        <is>
          <t>Parmesão ralado Parmozzana 1 kg</t>
        </is>
      </c>
      <c r="N5139" t="inlineStr">
        <is>
          <t>Outros</t>
        </is>
      </c>
      <c r="O5139" t="n">
        <v>2</v>
      </c>
      <c r="P5139" t="n">
        <v>2</v>
      </c>
      <c r="Q5139" t="n">
        <v>2</v>
      </c>
    </row>
    <row r="5140">
      <c r="J5140" t="inlineStr">
        <is>
          <t>M</t>
        </is>
      </c>
      <c r="K5140" t="n">
        <v>2025</v>
      </c>
      <c r="L5140" t="n">
        <v>2</v>
      </c>
      <c r="M5140" t="inlineStr">
        <is>
          <t>Parmesão ralado Parmozzana 1 kg</t>
        </is>
      </c>
      <c r="N5140" t="inlineStr">
        <is>
          <t>Outros</t>
        </is>
      </c>
      <c r="O5140" t="n">
        <v>2</v>
      </c>
      <c r="P5140" t="n">
        <v>2</v>
      </c>
      <c r="Q5140" t="n">
        <v>0</v>
      </c>
    </row>
    <row r="5141">
      <c r="J5141" t="inlineStr">
        <is>
          <t>A</t>
        </is>
      </c>
      <c r="K5141" t="n">
        <v>2025</v>
      </c>
      <c r="L5141" t="n">
        <v>3</v>
      </c>
      <c r="M5141" t="inlineStr">
        <is>
          <t>Parmesão ralado Parmozzana 1 kg</t>
        </is>
      </c>
      <c r="N5141" t="inlineStr">
        <is>
          <t>Outros</t>
        </is>
      </c>
      <c r="O5141" t="n">
        <v>2</v>
      </c>
      <c r="P5141" t="n">
        <v>2</v>
      </c>
      <c r="Q5141" t="n">
        <v>2</v>
      </c>
    </row>
    <row r="5142">
      <c r="J5142" t="inlineStr">
        <is>
          <t>A</t>
        </is>
      </c>
      <c r="K5142" t="n">
        <v>2025</v>
      </c>
      <c r="L5142" t="n">
        <v>4</v>
      </c>
      <c r="M5142" t="inlineStr">
        <is>
          <t>Parmesão ralado Parmozzana 1 kg</t>
        </is>
      </c>
      <c r="N5142" t="inlineStr">
        <is>
          <t>Outros</t>
        </is>
      </c>
      <c r="O5142" t="n">
        <v>2</v>
      </c>
      <c r="P5142" t="n">
        <v>2</v>
      </c>
      <c r="Q5142" t="n">
        <v>2</v>
      </c>
    </row>
    <row r="5143">
      <c r="J5143" t="inlineStr">
        <is>
          <t>A</t>
        </is>
      </c>
      <c r="K5143" t="n">
        <v>2025</v>
      </c>
      <c r="L5143" t="n">
        <v>5</v>
      </c>
      <c r="M5143" t="inlineStr">
        <is>
          <t>Parmesão ralado Parmozzana 1 kg</t>
        </is>
      </c>
      <c r="N5143" t="inlineStr">
        <is>
          <t>Outros</t>
        </is>
      </c>
      <c r="O5143" t="n">
        <v>2</v>
      </c>
      <c r="P5143" t="n">
        <v>2</v>
      </c>
      <c r="Q5143" t="n">
        <v>2</v>
      </c>
    </row>
    <row r="5144">
      <c r="J5144" t="inlineStr">
        <is>
          <t>A</t>
        </is>
      </c>
      <c r="K5144" t="n">
        <v>2025</v>
      </c>
      <c r="L5144" t="n">
        <v>6</v>
      </c>
      <c r="M5144" t="inlineStr">
        <is>
          <t>Parmesão ralado Parmozzana 1 kg</t>
        </is>
      </c>
      <c r="N5144" t="inlineStr">
        <is>
          <t>Outros</t>
        </is>
      </c>
      <c r="O5144" t="n">
        <v>2</v>
      </c>
      <c r="P5144" t="n">
        <v>2</v>
      </c>
      <c r="Q5144" t="n">
        <v>2</v>
      </c>
    </row>
    <row r="5145">
      <c r="J5145" t="inlineStr">
        <is>
          <t>A</t>
        </is>
      </c>
      <c r="K5145" t="n">
        <v>2025</v>
      </c>
      <c r="L5145" t="n">
        <v>7</v>
      </c>
      <c r="M5145" t="inlineStr">
        <is>
          <t>Parmesão ralado Parmozzana 1 kg</t>
        </is>
      </c>
      <c r="N5145" t="inlineStr">
        <is>
          <t>Outros</t>
        </is>
      </c>
      <c r="O5145" t="n">
        <v>2</v>
      </c>
      <c r="P5145" t="n">
        <v>2</v>
      </c>
      <c r="Q5145" t="n">
        <v>2</v>
      </c>
    </row>
    <row r="5146">
      <c r="J5146" t="inlineStr">
        <is>
          <t>A</t>
        </is>
      </c>
      <c r="K5146" t="n">
        <v>2025</v>
      </c>
      <c r="L5146" t="n">
        <v>8</v>
      </c>
      <c r="M5146" t="inlineStr">
        <is>
          <t>Parmesão ralado Parmozzana 1 kg</t>
        </is>
      </c>
      <c r="N5146" t="inlineStr">
        <is>
          <t>Outros</t>
        </is>
      </c>
      <c r="O5146" t="n">
        <v>2</v>
      </c>
      <c r="P5146" t="n">
        <v>2</v>
      </c>
      <c r="Q5146" t="n">
        <v>2</v>
      </c>
    </row>
    <row r="5147">
      <c r="J5147" t="inlineStr">
        <is>
          <t>A</t>
        </is>
      </c>
      <c r="K5147" t="n">
        <v>2025</v>
      </c>
      <c r="L5147" t="n">
        <v>9</v>
      </c>
      <c r="M5147" t="inlineStr">
        <is>
          <t>Parmesão ralado Parmozzana 1 kg</t>
        </is>
      </c>
      <c r="N5147" t="inlineStr">
        <is>
          <t>Outros</t>
        </is>
      </c>
      <c r="O5147" t="n">
        <v>2</v>
      </c>
      <c r="P5147" t="n">
        <v>2</v>
      </c>
      <c r="Q5147" t="n">
        <v>2</v>
      </c>
    </row>
    <row r="5148">
      <c r="J5148" t="inlineStr">
        <is>
          <t>A</t>
        </is>
      </c>
      <c r="K5148" t="n">
        <v>2025</v>
      </c>
      <c r="L5148" t="n">
        <v>10</v>
      </c>
      <c r="M5148" t="inlineStr">
        <is>
          <t>Parmesão ralado Parmozzana 1 kg</t>
        </is>
      </c>
      <c r="N5148" t="inlineStr">
        <is>
          <t>Outros</t>
        </is>
      </c>
      <c r="O5148" t="n">
        <v>2</v>
      </c>
      <c r="P5148" t="n">
        <v>2</v>
      </c>
      <c r="Q5148" t="n">
        <v>2</v>
      </c>
    </row>
    <row r="5149">
      <c r="J5149" t="inlineStr">
        <is>
          <t>A</t>
        </is>
      </c>
      <c r="K5149" t="n">
        <v>2025</v>
      </c>
      <c r="L5149" t="n">
        <v>11</v>
      </c>
      <c r="M5149" t="inlineStr">
        <is>
          <t>Parmesão ralado Parmozzana 1 kg</t>
        </is>
      </c>
      <c r="N5149" t="inlineStr">
        <is>
          <t>Outros</t>
        </is>
      </c>
      <c r="O5149" t="n">
        <v>2</v>
      </c>
      <c r="P5149" t="n">
        <v>2</v>
      </c>
      <c r="Q5149" t="n">
        <v>2</v>
      </c>
    </row>
    <row r="5150">
      <c r="J5150" t="inlineStr">
        <is>
          <t>A</t>
        </is>
      </c>
      <c r="K5150" t="n">
        <v>2025</v>
      </c>
      <c r="L5150" t="n">
        <v>12</v>
      </c>
      <c r="M5150" t="inlineStr">
        <is>
          <t>Parmesão ralado Parmozzana 1 kg</t>
        </is>
      </c>
      <c r="N5150" t="inlineStr">
        <is>
          <t>Outros</t>
        </is>
      </c>
      <c r="O5150" t="n">
        <v>2</v>
      </c>
      <c r="P5150" t="n">
        <v>2</v>
      </c>
      <c r="Q5150" t="n">
        <v>2</v>
      </c>
    </row>
    <row r="5151">
      <c r="J5151" t="inlineStr">
        <is>
          <t>A</t>
        </is>
      </c>
      <c r="K5151" t="n">
        <v>2025</v>
      </c>
      <c r="L5151" t="n">
        <v>2</v>
      </c>
      <c r="M5151" t="inlineStr">
        <is>
          <t>Parmesão ralado Parmozzana 1 kg</t>
        </is>
      </c>
      <c r="N5151" t="inlineStr">
        <is>
          <t>Pessoa Física</t>
        </is>
      </c>
      <c r="O5151" t="n">
        <v>1</v>
      </c>
      <c r="P5151" t="n">
        <v>1</v>
      </c>
      <c r="Q5151" t="n">
        <v>0</v>
      </c>
    </row>
    <row r="5152">
      <c r="J5152" t="inlineStr">
        <is>
          <t>M</t>
        </is>
      </c>
      <c r="K5152" t="n">
        <v>2025</v>
      </c>
      <c r="L5152" t="n">
        <v>2</v>
      </c>
      <c r="M5152" t="inlineStr">
        <is>
          <t>Parmesão ralado Parmozzana 1 kg</t>
        </is>
      </c>
      <c r="N5152" t="inlineStr">
        <is>
          <t>Pessoa Física</t>
        </is>
      </c>
      <c r="O5152" t="n">
        <v>1</v>
      </c>
      <c r="P5152" t="n">
        <v>1</v>
      </c>
      <c r="Q5152" t="n">
        <v>0</v>
      </c>
    </row>
    <row r="5153">
      <c r="J5153" t="inlineStr">
        <is>
          <t>A</t>
        </is>
      </c>
      <c r="K5153" t="n">
        <v>2025</v>
      </c>
      <c r="L5153" t="n">
        <v>3</v>
      </c>
      <c r="M5153" t="inlineStr">
        <is>
          <t>Parmesão ralado Parmozzana 1 kg</t>
        </is>
      </c>
      <c r="N5153" t="inlineStr">
        <is>
          <t>Pessoa Física</t>
        </is>
      </c>
      <c r="O5153" t="n">
        <v>1</v>
      </c>
      <c r="P5153" t="n">
        <v>1</v>
      </c>
      <c r="Q5153" t="n">
        <v>0</v>
      </c>
    </row>
    <row r="5154">
      <c r="J5154" t="inlineStr">
        <is>
          <t>A</t>
        </is>
      </c>
      <c r="K5154" t="n">
        <v>2025</v>
      </c>
      <c r="L5154" t="n">
        <v>4</v>
      </c>
      <c r="M5154" t="inlineStr">
        <is>
          <t>Parmesão ralado Parmozzana 1 kg</t>
        </is>
      </c>
      <c r="N5154" t="inlineStr">
        <is>
          <t>Pessoa Física</t>
        </is>
      </c>
      <c r="O5154" t="n">
        <v>1</v>
      </c>
      <c r="P5154" t="n">
        <v>1</v>
      </c>
      <c r="Q5154" t="n">
        <v>0</v>
      </c>
    </row>
    <row r="5155">
      <c r="J5155" t="inlineStr">
        <is>
          <t>A</t>
        </is>
      </c>
      <c r="K5155" t="n">
        <v>2025</v>
      </c>
      <c r="L5155" t="n">
        <v>5</v>
      </c>
      <c r="M5155" t="inlineStr">
        <is>
          <t>Parmesão ralado Parmozzana 1 kg</t>
        </is>
      </c>
      <c r="N5155" t="inlineStr">
        <is>
          <t>Pessoa Física</t>
        </is>
      </c>
      <c r="O5155" t="n">
        <v>1</v>
      </c>
      <c r="P5155" t="n">
        <v>1</v>
      </c>
      <c r="Q5155" t="n">
        <v>0</v>
      </c>
    </row>
    <row r="5156">
      <c r="J5156" t="inlineStr">
        <is>
          <t>A</t>
        </is>
      </c>
      <c r="K5156" t="n">
        <v>2025</v>
      </c>
      <c r="L5156" t="n">
        <v>6</v>
      </c>
      <c r="M5156" t="inlineStr">
        <is>
          <t>Parmesão ralado Parmozzana 1 kg</t>
        </is>
      </c>
      <c r="N5156" t="inlineStr">
        <is>
          <t>Pessoa Física</t>
        </is>
      </c>
      <c r="O5156" t="n">
        <v>1</v>
      </c>
      <c r="P5156" t="n">
        <v>1</v>
      </c>
      <c r="Q5156" t="n">
        <v>0</v>
      </c>
    </row>
    <row r="5157">
      <c r="J5157" t="inlineStr">
        <is>
          <t>A</t>
        </is>
      </c>
      <c r="K5157" t="n">
        <v>2025</v>
      </c>
      <c r="L5157" t="n">
        <v>7</v>
      </c>
      <c r="M5157" t="inlineStr">
        <is>
          <t>Parmesão ralado Parmozzana 1 kg</t>
        </is>
      </c>
      <c r="N5157" t="inlineStr">
        <is>
          <t>Pessoa Física</t>
        </is>
      </c>
      <c r="O5157" t="n">
        <v>1</v>
      </c>
      <c r="P5157" t="n">
        <v>1</v>
      </c>
      <c r="Q5157" t="n">
        <v>0</v>
      </c>
    </row>
    <row r="5158">
      <c r="J5158" t="inlineStr">
        <is>
          <t>A</t>
        </is>
      </c>
      <c r="K5158" t="n">
        <v>2025</v>
      </c>
      <c r="L5158" t="n">
        <v>8</v>
      </c>
      <c r="M5158" t="inlineStr">
        <is>
          <t>Parmesão ralado Parmozzana 1 kg</t>
        </is>
      </c>
      <c r="N5158" t="inlineStr">
        <is>
          <t>Pessoa Física</t>
        </is>
      </c>
      <c r="O5158" t="n">
        <v>1</v>
      </c>
      <c r="P5158" t="n">
        <v>1</v>
      </c>
      <c r="Q5158" t="n">
        <v>0</v>
      </c>
    </row>
    <row r="5159">
      <c r="J5159" t="inlineStr">
        <is>
          <t>A</t>
        </is>
      </c>
      <c r="K5159" t="n">
        <v>2025</v>
      </c>
      <c r="L5159" t="n">
        <v>9</v>
      </c>
      <c r="M5159" t="inlineStr">
        <is>
          <t>Parmesão ralado Parmozzana 1 kg</t>
        </is>
      </c>
      <c r="N5159" t="inlineStr">
        <is>
          <t>Pessoa Física</t>
        </is>
      </c>
      <c r="O5159" t="n">
        <v>1</v>
      </c>
      <c r="P5159" t="n">
        <v>1</v>
      </c>
      <c r="Q5159" t="n">
        <v>0</v>
      </c>
    </row>
    <row r="5160">
      <c r="J5160" t="inlineStr">
        <is>
          <t>A</t>
        </is>
      </c>
      <c r="K5160" t="n">
        <v>2025</v>
      </c>
      <c r="L5160" t="n">
        <v>10</v>
      </c>
      <c r="M5160" t="inlineStr">
        <is>
          <t>Parmesão ralado Parmozzana 1 kg</t>
        </is>
      </c>
      <c r="N5160" t="inlineStr">
        <is>
          <t>Pessoa Física</t>
        </is>
      </c>
      <c r="O5160" t="n">
        <v>1</v>
      </c>
      <c r="P5160" t="n">
        <v>1</v>
      </c>
      <c r="Q5160" t="n">
        <v>0</v>
      </c>
    </row>
    <row r="5161">
      <c r="J5161" t="inlineStr">
        <is>
          <t>A</t>
        </is>
      </c>
      <c r="K5161" t="n">
        <v>2025</v>
      </c>
      <c r="L5161" t="n">
        <v>11</v>
      </c>
      <c r="M5161" t="inlineStr">
        <is>
          <t>Parmesão ralado Parmozzana 1 kg</t>
        </is>
      </c>
      <c r="N5161" t="inlineStr">
        <is>
          <t>Pessoa Física</t>
        </is>
      </c>
      <c r="O5161" t="n">
        <v>1</v>
      </c>
      <c r="P5161" t="n">
        <v>1</v>
      </c>
      <c r="Q5161" t="n">
        <v>0</v>
      </c>
    </row>
    <row r="5162">
      <c r="J5162" t="inlineStr">
        <is>
          <t>A</t>
        </is>
      </c>
      <c r="K5162" t="n">
        <v>2025</v>
      </c>
      <c r="L5162" t="n">
        <v>12</v>
      </c>
      <c r="M5162" t="inlineStr">
        <is>
          <t>Parmesão ralado Parmozzana 1 kg</t>
        </is>
      </c>
      <c r="N5162" t="inlineStr">
        <is>
          <t>Pessoa Física</t>
        </is>
      </c>
      <c r="O5162" t="n">
        <v>1</v>
      </c>
      <c r="P5162" t="n">
        <v>1</v>
      </c>
      <c r="Q5162" t="n">
        <v>0</v>
      </c>
    </row>
    <row r="5163">
      <c r="J5163" t="inlineStr">
        <is>
          <t>A</t>
        </is>
      </c>
      <c r="K5163" t="n">
        <v>2025</v>
      </c>
      <c r="L5163" t="n">
        <v>2</v>
      </c>
      <c r="M5163" t="inlineStr">
        <is>
          <t>Parmesão ralado Parmozzana 1 kg</t>
        </is>
      </c>
      <c r="N5163" t="inlineStr">
        <is>
          <t>Lanchonete / Cafeteria</t>
        </is>
      </c>
      <c r="O5163" t="n">
        <v>1</v>
      </c>
      <c r="P5163" t="n">
        <v>1</v>
      </c>
      <c r="Q5163" t="n">
        <v>1</v>
      </c>
    </row>
    <row r="5164">
      <c r="J5164" t="inlineStr">
        <is>
          <t>M</t>
        </is>
      </c>
      <c r="K5164" t="n">
        <v>2025</v>
      </c>
      <c r="L5164" t="n">
        <v>2</v>
      </c>
      <c r="M5164" t="inlineStr">
        <is>
          <t>Parmesão ralado Parmozzana 1 kg</t>
        </is>
      </c>
      <c r="N5164" t="inlineStr">
        <is>
          <t>Lanchonete / Cafeteria</t>
        </is>
      </c>
      <c r="O5164" t="n">
        <v>1</v>
      </c>
      <c r="P5164" t="n">
        <v>1</v>
      </c>
      <c r="Q5164" t="n">
        <v>0</v>
      </c>
    </row>
    <row r="5165">
      <c r="J5165" t="inlineStr">
        <is>
          <t>A</t>
        </is>
      </c>
      <c r="K5165" t="n">
        <v>2025</v>
      </c>
      <c r="L5165" t="n">
        <v>3</v>
      </c>
      <c r="M5165" t="inlineStr">
        <is>
          <t>Parmesão ralado Parmozzana 1 kg</t>
        </is>
      </c>
      <c r="N5165" t="inlineStr">
        <is>
          <t>Lanchonete / Cafeteria</t>
        </is>
      </c>
      <c r="O5165" t="n">
        <v>1</v>
      </c>
      <c r="P5165" t="n">
        <v>1</v>
      </c>
      <c r="Q5165" t="n">
        <v>1</v>
      </c>
    </row>
    <row r="5166">
      <c r="J5166" t="inlineStr">
        <is>
          <t>A</t>
        </is>
      </c>
      <c r="K5166" t="n">
        <v>2025</v>
      </c>
      <c r="L5166" t="n">
        <v>4</v>
      </c>
      <c r="M5166" t="inlineStr">
        <is>
          <t>Parmesão ralado Parmozzana 1 kg</t>
        </is>
      </c>
      <c r="N5166" t="inlineStr">
        <is>
          <t>Lanchonete / Cafeteria</t>
        </is>
      </c>
      <c r="O5166" t="n">
        <v>1</v>
      </c>
      <c r="P5166" t="n">
        <v>1</v>
      </c>
      <c r="Q5166" t="n">
        <v>1</v>
      </c>
    </row>
    <row r="5167">
      <c r="J5167" t="inlineStr">
        <is>
          <t>A</t>
        </is>
      </c>
      <c r="K5167" t="n">
        <v>2025</v>
      </c>
      <c r="L5167" t="n">
        <v>5</v>
      </c>
      <c r="M5167" t="inlineStr">
        <is>
          <t>Parmesão ralado Parmozzana 1 kg</t>
        </is>
      </c>
      <c r="N5167" t="inlineStr">
        <is>
          <t>Lanchonete / Cafeteria</t>
        </is>
      </c>
      <c r="O5167" t="n">
        <v>1</v>
      </c>
      <c r="P5167" t="n">
        <v>1</v>
      </c>
      <c r="Q5167" t="n">
        <v>1</v>
      </c>
    </row>
    <row r="5168">
      <c r="J5168" t="inlineStr">
        <is>
          <t>A</t>
        </is>
      </c>
      <c r="K5168" t="n">
        <v>2025</v>
      </c>
      <c r="L5168" t="n">
        <v>6</v>
      </c>
      <c r="M5168" t="inlineStr">
        <is>
          <t>Parmesão ralado Parmozzana 1 kg</t>
        </is>
      </c>
      <c r="N5168" t="inlineStr">
        <is>
          <t>Lanchonete / Cafeteria</t>
        </is>
      </c>
      <c r="O5168" t="n">
        <v>1</v>
      </c>
      <c r="P5168" t="n">
        <v>1</v>
      </c>
      <c r="Q5168" t="n">
        <v>1</v>
      </c>
    </row>
    <row r="5169">
      <c r="J5169" t="inlineStr">
        <is>
          <t>A</t>
        </is>
      </c>
      <c r="K5169" t="n">
        <v>2025</v>
      </c>
      <c r="L5169" t="n">
        <v>7</v>
      </c>
      <c r="M5169" t="inlineStr">
        <is>
          <t>Parmesão ralado Parmozzana 1 kg</t>
        </is>
      </c>
      <c r="N5169" t="inlineStr">
        <is>
          <t>Lanchonete / Cafeteria</t>
        </is>
      </c>
      <c r="O5169" t="n">
        <v>1</v>
      </c>
      <c r="P5169" t="n">
        <v>1</v>
      </c>
      <c r="Q5169" t="n">
        <v>1</v>
      </c>
    </row>
    <row r="5170">
      <c r="J5170" t="inlineStr">
        <is>
          <t>A</t>
        </is>
      </c>
      <c r="K5170" t="n">
        <v>2025</v>
      </c>
      <c r="L5170" t="n">
        <v>8</v>
      </c>
      <c r="M5170" t="inlineStr">
        <is>
          <t>Parmesão ralado Parmozzana 1 kg</t>
        </is>
      </c>
      <c r="N5170" t="inlineStr">
        <is>
          <t>Lanchonete / Cafeteria</t>
        </is>
      </c>
      <c r="O5170" t="n">
        <v>1</v>
      </c>
      <c r="P5170" t="n">
        <v>1</v>
      </c>
      <c r="Q5170" t="n">
        <v>1</v>
      </c>
    </row>
    <row r="5171">
      <c r="J5171" t="inlineStr">
        <is>
          <t>A</t>
        </is>
      </c>
      <c r="K5171" t="n">
        <v>2025</v>
      </c>
      <c r="L5171" t="n">
        <v>9</v>
      </c>
      <c r="M5171" t="inlineStr">
        <is>
          <t>Parmesão ralado Parmozzana 1 kg</t>
        </is>
      </c>
      <c r="N5171" t="inlineStr">
        <is>
          <t>Lanchonete / Cafeteria</t>
        </is>
      </c>
      <c r="O5171" t="n">
        <v>1</v>
      </c>
      <c r="P5171" t="n">
        <v>1</v>
      </c>
      <c r="Q5171" t="n">
        <v>1</v>
      </c>
    </row>
    <row r="5172">
      <c r="J5172" t="inlineStr">
        <is>
          <t>A</t>
        </is>
      </c>
      <c r="K5172" t="n">
        <v>2025</v>
      </c>
      <c r="L5172" t="n">
        <v>10</v>
      </c>
      <c r="M5172" t="inlineStr">
        <is>
          <t>Parmesão ralado Parmozzana 1 kg</t>
        </is>
      </c>
      <c r="N5172" t="inlineStr">
        <is>
          <t>Lanchonete / Cafeteria</t>
        </is>
      </c>
      <c r="O5172" t="n">
        <v>1</v>
      </c>
      <c r="P5172" t="n">
        <v>1</v>
      </c>
      <c r="Q5172" t="n">
        <v>1</v>
      </c>
    </row>
    <row r="5173">
      <c r="J5173" t="inlineStr">
        <is>
          <t>A</t>
        </is>
      </c>
      <c r="K5173" t="n">
        <v>2025</v>
      </c>
      <c r="L5173" t="n">
        <v>11</v>
      </c>
      <c r="M5173" t="inlineStr">
        <is>
          <t>Parmesão ralado Parmozzana 1 kg</t>
        </is>
      </c>
      <c r="N5173" t="inlineStr">
        <is>
          <t>Lanchonete / Cafeteria</t>
        </is>
      </c>
      <c r="O5173" t="n">
        <v>1</v>
      </c>
      <c r="P5173" t="n">
        <v>1</v>
      </c>
      <c r="Q5173" t="n">
        <v>1</v>
      </c>
    </row>
    <row r="5174">
      <c r="J5174" t="inlineStr">
        <is>
          <t>A</t>
        </is>
      </c>
      <c r="K5174" t="n">
        <v>2025</v>
      </c>
      <c r="L5174" t="n">
        <v>12</v>
      </c>
      <c r="M5174" t="inlineStr">
        <is>
          <t>Parmesão ralado Parmozzana 1 kg</t>
        </is>
      </c>
      <c r="N5174" t="inlineStr">
        <is>
          <t>Lanchonete / Cafeteria</t>
        </is>
      </c>
      <c r="O5174" t="n">
        <v>1</v>
      </c>
      <c r="P5174" t="n">
        <v>1</v>
      </c>
      <c r="Q5174" t="n">
        <v>1</v>
      </c>
    </row>
    <row r="5175">
      <c r="J5175" t="inlineStr">
        <is>
          <t>A</t>
        </is>
      </c>
      <c r="K5175" t="n">
        <v>2025</v>
      </c>
      <c r="L5175" t="n">
        <v>1</v>
      </c>
      <c r="M5175" t="inlineStr">
        <is>
          <t>Parmesão ralado Parmozzana 1 kg</t>
        </is>
      </c>
      <c r="N5175" t="inlineStr">
        <is>
          <t>Padaria</t>
        </is>
      </c>
      <c r="O5175" t="n">
        <v>1</v>
      </c>
      <c r="P5175" t="n">
        <v>1</v>
      </c>
      <c r="Q5175" t="n">
        <v>1</v>
      </c>
    </row>
    <row r="5176">
      <c r="J5176" t="inlineStr">
        <is>
          <t>M</t>
        </is>
      </c>
      <c r="K5176" t="n">
        <v>2025</v>
      </c>
      <c r="L5176" t="n">
        <v>1</v>
      </c>
      <c r="M5176" t="inlineStr">
        <is>
          <t>Parmesão ralado Parmozzana 1 kg</t>
        </is>
      </c>
      <c r="N5176" t="inlineStr">
        <is>
          <t>Padaria</t>
        </is>
      </c>
      <c r="O5176" t="n">
        <v>1</v>
      </c>
      <c r="P5176" t="n">
        <v>1</v>
      </c>
      <c r="Q5176" t="n">
        <v>0</v>
      </c>
    </row>
    <row r="5177">
      <c r="J5177" t="inlineStr">
        <is>
          <t>A</t>
        </is>
      </c>
      <c r="K5177" t="n">
        <v>2025</v>
      </c>
      <c r="L5177" t="n">
        <v>2</v>
      </c>
      <c r="M5177" t="inlineStr">
        <is>
          <t>Parmesão ralado Parmozzana 1 kg</t>
        </is>
      </c>
      <c r="N5177" t="inlineStr">
        <is>
          <t>Padaria</t>
        </is>
      </c>
      <c r="O5177" t="n">
        <v>3</v>
      </c>
      <c r="P5177" t="n">
        <v>3</v>
      </c>
      <c r="Q5177" t="n">
        <v>1</v>
      </c>
    </row>
    <row r="5178">
      <c r="J5178" t="inlineStr">
        <is>
          <t>M</t>
        </is>
      </c>
      <c r="K5178" t="n">
        <v>2025</v>
      </c>
      <c r="L5178" t="n">
        <v>2</v>
      </c>
      <c r="M5178" t="inlineStr">
        <is>
          <t>Parmesão ralado Parmozzana 1 kg</t>
        </is>
      </c>
      <c r="N5178" t="inlineStr">
        <is>
          <t>Padaria</t>
        </is>
      </c>
      <c r="O5178" t="n">
        <v>2</v>
      </c>
      <c r="P5178" t="n">
        <v>2</v>
      </c>
      <c r="Q5178" t="n">
        <v>0</v>
      </c>
    </row>
    <row r="5179">
      <c r="J5179" t="inlineStr">
        <is>
          <t>A</t>
        </is>
      </c>
      <c r="K5179" t="n">
        <v>2025</v>
      </c>
      <c r="L5179" t="n">
        <v>3</v>
      </c>
      <c r="M5179" t="inlineStr">
        <is>
          <t>Parmesão ralado Parmozzana 1 kg</t>
        </is>
      </c>
      <c r="N5179" t="inlineStr">
        <is>
          <t>Padaria</t>
        </is>
      </c>
      <c r="O5179" t="n">
        <v>3</v>
      </c>
      <c r="P5179" t="n">
        <v>3</v>
      </c>
      <c r="Q5179" t="n">
        <v>1</v>
      </c>
    </row>
    <row r="5180">
      <c r="J5180" t="inlineStr">
        <is>
          <t>A</t>
        </is>
      </c>
      <c r="K5180" t="n">
        <v>2025</v>
      </c>
      <c r="L5180" t="n">
        <v>4</v>
      </c>
      <c r="M5180" t="inlineStr">
        <is>
          <t>Parmesão ralado Parmozzana 1 kg</t>
        </is>
      </c>
      <c r="N5180" t="inlineStr">
        <is>
          <t>Padaria</t>
        </is>
      </c>
      <c r="O5180" t="n">
        <v>3</v>
      </c>
      <c r="P5180" t="n">
        <v>3</v>
      </c>
      <c r="Q5180" t="n">
        <v>1</v>
      </c>
    </row>
    <row r="5181">
      <c r="J5181" t="inlineStr">
        <is>
          <t>A</t>
        </is>
      </c>
      <c r="K5181" t="n">
        <v>2025</v>
      </c>
      <c r="L5181" t="n">
        <v>5</v>
      </c>
      <c r="M5181" t="inlineStr">
        <is>
          <t>Parmesão ralado Parmozzana 1 kg</t>
        </is>
      </c>
      <c r="N5181" t="inlineStr">
        <is>
          <t>Padaria</t>
        </is>
      </c>
      <c r="O5181" t="n">
        <v>3</v>
      </c>
      <c r="P5181" t="n">
        <v>3</v>
      </c>
      <c r="Q5181" t="n">
        <v>1</v>
      </c>
    </row>
    <row r="5182">
      <c r="J5182" t="inlineStr">
        <is>
          <t>A</t>
        </is>
      </c>
      <c r="K5182" t="n">
        <v>2025</v>
      </c>
      <c r="L5182" t="n">
        <v>6</v>
      </c>
      <c r="M5182" t="inlineStr">
        <is>
          <t>Parmesão ralado Parmozzana 1 kg</t>
        </is>
      </c>
      <c r="N5182" t="inlineStr">
        <is>
          <t>Padaria</t>
        </is>
      </c>
      <c r="O5182" t="n">
        <v>3</v>
      </c>
      <c r="P5182" t="n">
        <v>3</v>
      </c>
      <c r="Q5182" t="n">
        <v>1</v>
      </c>
    </row>
    <row r="5183">
      <c r="J5183" t="inlineStr">
        <is>
          <t>A</t>
        </is>
      </c>
      <c r="K5183" t="n">
        <v>2025</v>
      </c>
      <c r="L5183" t="n">
        <v>7</v>
      </c>
      <c r="M5183" t="inlineStr">
        <is>
          <t>Parmesão ralado Parmozzana 1 kg</t>
        </is>
      </c>
      <c r="N5183" t="inlineStr">
        <is>
          <t>Padaria</t>
        </is>
      </c>
      <c r="O5183" t="n">
        <v>3</v>
      </c>
      <c r="P5183" t="n">
        <v>3</v>
      </c>
      <c r="Q5183" t="n">
        <v>1</v>
      </c>
    </row>
    <row r="5184">
      <c r="J5184" t="inlineStr">
        <is>
          <t>A</t>
        </is>
      </c>
      <c r="K5184" t="n">
        <v>2025</v>
      </c>
      <c r="L5184" t="n">
        <v>8</v>
      </c>
      <c r="M5184" t="inlineStr">
        <is>
          <t>Parmesão ralado Parmozzana 1 kg</t>
        </is>
      </c>
      <c r="N5184" t="inlineStr">
        <is>
          <t>Padaria</t>
        </is>
      </c>
      <c r="O5184" t="n">
        <v>3</v>
      </c>
      <c r="P5184" t="n">
        <v>3</v>
      </c>
      <c r="Q5184" t="n">
        <v>1</v>
      </c>
    </row>
    <row r="5185">
      <c r="J5185" t="inlineStr">
        <is>
          <t>A</t>
        </is>
      </c>
      <c r="K5185" t="n">
        <v>2025</v>
      </c>
      <c r="L5185" t="n">
        <v>9</v>
      </c>
      <c r="M5185" t="inlineStr">
        <is>
          <t>Parmesão ralado Parmozzana 1 kg</t>
        </is>
      </c>
      <c r="N5185" t="inlineStr">
        <is>
          <t>Padaria</t>
        </is>
      </c>
      <c r="O5185" t="n">
        <v>3</v>
      </c>
      <c r="P5185" t="n">
        <v>3</v>
      </c>
      <c r="Q5185" t="n">
        <v>1</v>
      </c>
    </row>
    <row r="5186">
      <c r="J5186" t="inlineStr">
        <is>
          <t>A</t>
        </is>
      </c>
      <c r="K5186" t="n">
        <v>2025</v>
      </c>
      <c r="L5186" t="n">
        <v>10</v>
      </c>
      <c r="M5186" t="inlineStr">
        <is>
          <t>Parmesão ralado Parmozzana 1 kg</t>
        </is>
      </c>
      <c r="N5186" t="inlineStr">
        <is>
          <t>Padaria</t>
        </is>
      </c>
      <c r="O5186" t="n">
        <v>3</v>
      </c>
      <c r="P5186" t="n">
        <v>3</v>
      </c>
      <c r="Q5186" t="n">
        <v>1</v>
      </c>
    </row>
    <row r="5187">
      <c r="J5187" t="inlineStr">
        <is>
          <t>A</t>
        </is>
      </c>
      <c r="K5187" t="n">
        <v>2025</v>
      </c>
      <c r="L5187" t="n">
        <v>11</v>
      </c>
      <c r="M5187" t="inlineStr">
        <is>
          <t>Parmesão ralado Parmozzana 1 kg</t>
        </is>
      </c>
      <c r="N5187" t="inlineStr">
        <is>
          <t>Padaria</t>
        </is>
      </c>
      <c r="O5187" t="n">
        <v>3</v>
      </c>
      <c r="P5187" t="n">
        <v>3</v>
      </c>
      <c r="Q5187" t="n">
        <v>1</v>
      </c>
    </row>
    <row r="5188">
      <c r="J5188" t="inlineStr">
        <is>
          <t>A</t>
        </is>
      </c>
      <c r="K5188" t="n">
        <v>2025</v>
      </c>
      <c r="L5188" t="n">
        <v>12</v>
      </c>
      <c r="M5188" t="inlineStr">
        <is>
          <t>Parmesão ralado Parmozzana 1 kg</t>
        </is>
      </c>
      <c r="N5188" t="inlineStr">
        <is>
          <t>Padaria</t>
        </is>
      </c>
      <c r="O5188" t="n">
        <v>3</v>
      </c>
      <c r="P5188" t="n">
        <v>3</v>
      </c>
      <c r="Q5188" t="n">
        <v>1</v>
      </c>
    </row>
    <row r="5189">
      <c r="J5189" t="inlineStr">
        <is>
          <t>A</t>
        </is>
      </c>
      <c r="K5189" t="n">
        <v>2025</v>
      </c>
      <c r="L5189" t="n">
        <v>2</v>
      </c>
      <c r="M5189" t="inlineStr">
        <is>
          <t>Parmesão ralado Parmozzana 1 kg</t>
        </is>
      </c>
      <c r="N5189" t="inlineStr">
        <is>
          <t>Supermercado</t>
        </is>
      </c>
      <c r="O5189" t="n">
        <v>1</v>
      </c>
      <c r="P5189" t="n">
        <v>1</v>
      </c>
      <c r="Q5189" t="n">
        <v>0</v>
      </c>
    </row>
    <row r="5190">
      <c r="J5190" t="inlineStr">
        <is>
          <t>M</t>
        </is>
      </c>
      <c r="K5190" t="n">
        <v>2025</v>
      </c>
      <c r="L5190" t="n">
        <v>2</v>
      </c>
      <c r="M5190" t="inlineStr">
        <is>
          <t>Parmesão ralado Parmozzana 1 kg</t>
        </is>
      </c>
      <c r="N5190" t="inlineStr">
        <is>
          <t>Supermercado</t>
        </is>
      </c>
      <c r="O5190" t="n">
        <v>1</v>
      </c>
      <c r="P5190" t="n">
        <v>1</v>
      </c>
      <c r="Q5190" t="n">
        <v>0</v>
      </c>
    </row>
    <row r="5191">
      <c r="J5191" t="inlineStr">
        <is>
          <t>A</t>
        </is>
      </c>
      <c r="K5191" t="n">
        <v>2025</v>
      </c>
      <c r="L5191" t="n">
        <v>3</v>
      </c>
      <c r="M5191" t="inlineStr">
        <is>
          <t>Parmesão ralado Parmozzana 1 kg</t>
        </is>
      </c>
      <c r="N5191" t="inlineStr">
        <is>
          <t>Supermercado</t>
        </is>
      </c>
      <c r="O5191" t="n">
        <v>1</v>
      </c>
      <c r="P5191" t="n">
        <v>1</v>
      </c>
      <c r="Q5191" t="n">
        <v>0</v>
      </c>
    </row>
    <row r="5192">
      <c r="J5192" t="inlineStr">
        <is>
          <t>A</t>
        </is>
      </c>
      <c r="K5192" t="n">
        <v>2025</v>
      </c>
      <c r="L5192" t="n">
        <v>4</v>
      </c>
      <c r="M5192" t="inlineStr">
        <is>
          <t>Parmesão ralado Parmozzana 1 kg</t>
        </is>
      </c>
      <c r="N5192" t="inlineStr">
        <is>
          <t>Supermercado</t>
        </is>
      </c>
      <c r="O5192" t="n">
        <v>1</v>
      </c>
      <c r="P5192" t="n">
        <v>1</v>
      </c>
      <c r="Q5192" t="n">
        <v>0</v>
      </c>
    </row>
    <row r="5193">
      <c r="J5193" t="inlineStr">
        <is>
          <t>A</t>
        </is>
      </c>
      <c r="K5193" t="n">
        <v>2025</v>
      </c>
      <c r="L5193" t="n">
        <v>5</v>
      </c>
      <c r="M5193" t="inlineStr">
        <is>
          <t>Parmesão ralado Parmozzana 1 kg</t>
        </is>
      </c>
      <c r="N5193" t="inlineStr">
        <is>
          <t>Supermercado</t>
        </is>
      </c>
      <c r="O5193" t="n">
        <v>1</v>
      </c>
      <c r="P5193" t="n">
        <v>1</v>
      </c>
      <c r="Q5193" t="n">
        <v>0</v>
      </c>
    </row>
    <row r="5194">
      <c r="J5194" t="inlineStr">
        <is>
          <t>A</t>
        </is>
      </c>
      <c r="K5194" t="n">
        <v>2025</v>
      </c>
      <c r="L5194" t="n">
        <v>6</v>
      </c>
      <c r="M5194" t="inlineStr">
        <is>
          <t>Parmesão ralado Parmozzana 1 kg</t>
        </is>
      </c>
      <c r="N5194" t="inlineStr">
        <is>
          <t>Supermercado</t>
        </is>
      </c>
      <c r="O5194" t="n">
        <v>1</v>
      </c>
      <c r="P5194" t="n">
        <v>1</v>
      </c>
      <c r="Q5194" t="n">
        <v>0</v>
      </c>
    </row>
    <row r="5195">
      <c r="J5195" t="inlineStr">
        <is>
          <t>A</t>
        </is>
      </c>
      <c r="K5195" t="n">
        <v>2025</v>
      </c>
      <c r="L5195" t="n">
        <v>7</v>
      </c>
      <c r="M5195" t="inlineStr">
        <is>
          <t>Parmesão ralado Parmozzana 1 kg</t>
        </is>
      </c>
      <c r="N5195" t="inlineStr">
        <is>
          <t>Supermercado</t>
        </is>
      </c>
      <c r="O5195" t="n">
        <v>1</v>
      </c>
      <c r="P5195" t="n">
        <v>1</v>
      </c>
      <c r="Q5195" t="n">
        <v>0</v>
      </c>
    </row>
    <row r="5196">
      <c r="J5196" t="inlineStr">
        <is>
          <t>A</t>
        </is>
      </c>
      <c r="K5196" t="n">
        <v>2025</v>
      </c>
      <c r="L5196" t="n">
        <v>8</v>
      </c>
      <c r="M5196" t="inlineStr">
        <is>
          <t>Parmesão ralado Parmozzana 1 kg</t>
        </is>
      </c>
      <c r="N5196" t="inlineStr">
        <is>
          <t>Supermercado</t>
        </is>
      </c>
      <c r="O5196" t="n">
        <v>1</v>
      </c>
      <c r="P5196" t="n">
        <v>1</v>
      </c>
      <c r="Q5196" t="n">
        <v>0</v>
      </c>
    </row>
    <row r="5197">
      <c r="J5197" t="inlineStr">
        <is>
          <t>A</t>
        </is>
      </c>
      <c r="K5197" t="n">
        <v>2025</v>
      </c>
      <c r="L5197" t="n">
        <v>9</v>
      </c>
      <c r="M5197" t="inlineStr">
        <is>
          <t>Parmesão ralado Parmozzana 1 kg</t>
        </is>
      </c>
      <c r="N5197" t="inlineStr">
        <is>
          <t>Supermercado</t>
        </is>
      </c>
      <c r="O5197" t="n">
        <v>1</v>
      </c>
      <c r="P5197" t="n">
        <v>1</v>
      </c>
      <c r="Q5197" t="n">
        <v>0</v>
      </c>
    </row>
    <row r="5198">
      <c r="J5198" t="inlineStr">
        <is>
          <t>A</t>
        </is>
      </c>
      <c r="K5198" t="n">
        <v>2025</v>
      </c>
      <c r="L5198" t="n">
        <v>10</v>
      </c>
      <c r="M5198" t="inlineStr">
        <is>
          <t>Parmesão ralado Parmozzana 1 kg</t>
        </is>
      </c>
      <c r="N5198" t="inlineStr">
        <is>
          <t>Supermercado</t>
        </is>
      </c>
      <c r="O5198" t="n">
        <v>1</v>
      </c>
      <c r="P5198" t="n">
        <v>1</v>
      </c>
      <c r="Q5198" t="n">
        <v>0</v>
      </c>
    </row>
    <row r="5199">
      <c r="J5199" t="inlineStr">
        <is>
          <t>A</t>
        </is>
      </c>
      <c r="K5199" t="n">
        <v>2025</v>
      </c>
      <c r="L5199" t="n">
        <v>11</v>
      </c>
      <c r="M5199" t="inlineStr">
        <is>
          <t>Parmesão ralado Parmozzana 1 kg</t>
        </is>
      </c>
      <c r="N5199" t="inlineStr">
        <is>
          <t>Supermercado</t>
        </is>
      </c>
      <c r="O5199" t="n">
        <v>1</v>
      </c>
      <c r="P5199" t="n">
        <v>1</v>
      </c>
      <c r="Q5199" t="n">
        <v>0</v>
      </c>
    </row>
    <row r="5200">
      <c r="J5200" t="inlineStr">
        <is>
          <t>A</t>
        </is>
      </c>
      <c r="K5200" t="n">
        <v>2025</v>
      </c>
      <c r="L5200" t="n">
        <v>12</v>
      </c>
      <c r="M5200" t="inlineStr">
        <is>
          <t>Parmesão ralado Parmozzana 1 kg</t>
        </is>
      </c>
      <c r="N5200" t="inlineStr">
        <is>
          <t>Supermercado</t>
        </is>
      </c>
      <c r="O5200" t="n">
        <v>1</v>
      </c>
      <c r="P5200" t="n">
        <v>1</v>
      </c>
      <c r="Q5200" t="n">
        <v>0</v>
      </c>
    </row>
    <row r="5201">
      <c r="J5201" t="inlineStr">
        <is>
          <t>A</t>
        </is>
      </c>
      <c r="K5201" t="n">
        <v>2025</v>
      </c>
      <c r="L5201" t="n">
        <v>2</v>
      </c>
      <c r="M5201" t="inlineStr">
        <is>
          <t>Parmesão ralado Parmozzana 1 kg</t>
        </is>
      </c>
      <c r="N5201" t="inlineStr">
        <is>
          <t>Mercearia / Sacolão</t>
        </is>
      </c>
      <c r="O5201" t="n">
        <v>1</v>
      </c>
      <c r="P5201" t="n">
        <v>1</v>
      </c>
      <c r="Q5201" t="n">
        <v>1</v>
      </c>
    </row>
    <row r="5202">
      <c r="J5202" t="inlineStr">
        <is>
          <t>M</t>
        </is>
      </c>
      <c r="K5202" t="n">
        <v>2025</v>
      </c>
      <c r="L5202" t="n">
        <v>2</v>
      </c>
      <c r="M5202" t="inlineStr">
        <is>
          <t>Parmesão ralado Parmozzana 1 kg</t>
        </is>
      </c>
      <c r="N5202" t="inlineStr">
        <is>
          <t>Mercearia / Sacolão</t>
        </is>
      </c>
      <c r="O5202" t="n">
        <v>1</v>
      </c>
      <c r="P5202" t="n">
        <v>1</v>
      </c>
      <c r="Q5202" t="n">
        <v>0</v>
      </c>
    </row>
    <row r="5203">
      <c r="J5203" t="inlineStr">
        <is>
          <t>A</t>
        </is>
      </c>
      <c r="K5203" t="n">
        <v>2025</v>
      </c>
      <c r="L5203" t="n">
        <v>3</v>
      </c>
      <c r="M5203" t="inlineStr">
        <is>
          <t>Parmesão ralado Parmozzana 1 kg</t>
        </is>
      </c>
      <c r="N5203" t="inlineStr">
        <is>
          <t>Mercearia / Sacolão</t>
        </is>
      </c>
      <c r="O5203" t="n">
        <v>1</v>
      </c>
      <c r="P5203" t="n">
        <v>1</v>
      </c>
      <c r="Q5203" t="n">
        <v>1</v>
      </c>
    </row>
    <row r="5204">
      <c r="J5204" t="inlineStr">
        <is>
          <t>A</t>
        </is>
      </c>
      <c r="K5204" t="n">
        <v>2025</v>
      </c>
      <c r="L5204" t="n">
        <v>4</v>
      </c>
      <c r="M5204" t="inlineStr">
        <is>
          <t>Parmesão ralado Parmozzana 1 kg</t>
        </is>
      </c>
      <c r="N5204" t="inlineStr">
        <is>
          <t>Mercearia / Sacolão</t>
        </is>
      </c>
      <c r="O5204" t="n">
        <v>1</v>
      </c>
      <c r="P5204" t="n">
        <v>1</v>
      </c>
      <c r="Q5204" t="n">
        <v>1</v>
      </c>
    </row>
    <row r="5205">
      <c r="J5205" t="inlineStr">
        <is>
          <t>A</t>
        </is>
      </c>
      <c r="K5205" t="n">
        <v>2025</v>
      </c>
      <c r="L5205" t="n">
        <v>5</v>
      </c>
      <c r="M5205" t="inlineStr">
        <is>
          <t>Parmesão ralado Parmozzana 1 kg</t>
        </is>
      </c>
      <c r="N5205" t="inlineStr">
        <is>
          <t>Mercearia / Sacolão</t>
        </is>
      </c>
      <c r="O5205" t="n">
        <v>1</v>
      </c>
      <c r="P5205" t="n">
        <v>1</v>
      </c>
      <c r="Q5205" t="n">
        <v>1</v>
      </c>
    </row>
    <row r="5206">
      <c r="J5206" t="inlineStr">
        <is>
          <t>A</t>
        </is>
      </c>
      <c r="K5206" t="n">
        <v>2025</v>
      </c>
      <c r="L5206" t="n">
        <v>6</v>
      </c>
      <c r="M5206" t="inlineStr">
        <is>
          <t>Parmesão ralado Parmozzana 1 kg</t>
        </is>
      </c>
      <c r="N5206" t="inlineStr">
        <is>
          <t>Mercearia / Sacolão</t>
        </is>
      </c>
      <c r="O5206" t="n">
        <v>1</v>
      </c>
      <c r="P5206" t="n">
        <v>1</v>
      </c>
      <c r="Q5206" t="n">
        <v>1</v>
      </c>
    </row>
    <row r="5207">
      <c r="J5207" t="inlineStr">
        <is>
          <t>A</t>
        </is>
      </c>
      <c r="K5207" t="n">
        <v>2025</v>
      </c>
      <c r="L5207" t="n">
        <v>7</v>
      </c>
      <c r="M5207" t="inlineStr">
        <is>
          <t>Parmesão ralado Parmozzana 1 kg</t>
        </is>
      </c>
      <c r="N5207" t="inlineStr">
        <is>
          <t>Mercearia / Sacolão</t>
        </is>
      </c>
      <c r="O5207" t="n">
        <v>1</v>
      </c>
      <c r="P5207" t="n">
        <v>1</v>
      </c>
      <c r="Q5207" t="n">
        <v>1</v>
      </c>
    </row>
    <row r="5208">
      <c r="J5208" t="inlineStr">
        <is>
          <t>A</t>
        </is>
      </c>
      <c r="K5208" t="n">
        <v>2025</v>
      </c>
      <c r="L5208" t="n">
        <v>8</v>
      </c>
      <c r="M5208" t="inlineStr">
        <is>
          <t>Parmesão ralado Parmozzana 1 kg</t>
        </is>
      </c>
      <c r="N5208" t="inlineStr">
        <is>
          <t>Mercearia / Sacolão</t>
        </is>
      </c>
      <c r="O5208" t="n">
        <v>1</v>
      </c>
      <c r="P5208" t="n">
        <v>1</v>
      </c>
      <c r="Q5208" t="n">
        <v>1</v>
      </c>
    </row>
    <row r="5209">
      <c r="J5209" t="inlineStr">
        <is>
          <t>A</t>
        </is>
      </c>
      <c r="K5209" t="n">
        <v>2025</v>
      </c>
      <c r="L5209" t="n">
        <v>9</v>
      </c>
      <c r="M5209" t="inlineStr">
        <is>
          <t>Parmesão ralado Parmozzana 1 kg</t>
        </is>
      </c>
      <c r="N5209" t="inlineStr">
        <is>
          <t>Mercearia / Sacolão</t>
        </is>
      </c>
      <c r="O5209" t="n">
        <v>1</v>
      </c>
      <c r="P5209" t="n">
        <v>1</v>
      </c>
      <c r="Q5209" t="n">
        <v>1</v>
      </c>
    </row>
    <row r="5210">
      <c r="J5210" t="inlineStr">
        <is>
          <t>A</t>
        </is>
      </c>
      <c r="K5210" t="n">
        <v>2025</v>
      </c>
      <c r="L5210" t="n">
        <v>10</v>
      </c>
      <c r="M5210" t="inlineStr">
        <is>
          <t>Parmesão ralado Parmozzana 1 kg</t>
        </is>
      </c>
      <c r="N5210" t="inlineStr">
        <is>
          <t>Mercearia / Sacolão</t>
        </is>
      </c>
      <c r="O5210" t="n">
        <v>1</v>
      </c>
      <c r="P5210" t="n">
        <v>1</v>
      </c>
      <c r="Q5210" t="n">
        <v>1</v>
      </c>
    </row>
    <row r="5211">
      <c r="J5211" t="inlineStr">
        <is>
          <t>A</t>
        </is>
      </c>
      <c r="K5211" t="n">
        <v>2025</v>
      </c>
      <c r="L5211" t="n">
        <v>11</v>
      </c>
      <c r="M5211" t="inlineStr">
        <is>
          <t>Parmesão ralado Parmozzana 1 kg</t>
        </is>
      </c>
      <c r="N5211" t="inlineStr">
        <is>
          <t>Mercearia / Sacolão</t>
        </is>
      </c>
      <c r="O5211" t="n">
        <v>1</v>
      </c>
      <c r="P5211" t="n">
        <v>1</v>
      </c>
      <c r="Q5211" t="n">
        <v>1</v>
      </c>
    </row>
    <row r="5212">
      <c r="J5212" t="inlineStr">
        <is>
          <t>A</t>
        </is>
      </c>
      <c r="K5212" t="n">
        <v>2025</v>
      </c>
      <c r="L5212" t="n">
        <v>12</v>
      </c>
      <c r="M5212" t="inlineStr">
        <is>
          <t>Parmesão ralado Parmozzana 1 kg</t>
        </is>
      </c>
      <c r="N5212" t="inlineStr">
        <is>
          <t>Mercearia / Sacolão</t>
        </is>
      </c>
      <c r="O5212" t="n">
        <v>1</v>
      </c>
      <c r="P5212" t="n">
        <v>1</v>
      </c>
      <c r="Q5212" t="n">
        <v>1</v>
      </c>
    </row>
    <row r="5213">
      <c r="J5213" t="inlineStr">
        <is>
          <t>A</t>
        </is>
      </c>
      <c r="K5213" t="n">
        <v>2025</v>
      </c>
      <c r="L5213" t="n">
        <v>2</v>
      </c>
      <c r="M5213" t="inlineStr">
        <is>
          <t>Parmesão ralado Parmozzana 1 kg</t>
        </is>
      </c>
      <c r="N5213" t="inlineStr">
        <is>
          <t>Hamburgueria</t>
        </is>
      </c>
      <c r="O5213" t="n">
        <v>1</v>
      </c>
      <c r="P5213" t="n">
        <v>1</v>
      </c>
      <c r="Q5213" t="n">
        <v>1</v>
      </c>
    </row>
    <row r="5214">
      <c r="J5214" t="inlineStr">
        <is>
          <t>M</t>
        </is>
      </c>
      <c r="K5214" t="n">
        <v>2025</v>
      </c>
      <c r="L5214" t="n">
        <v>2</v>
      </c>
      <c r="M5214" t="inlineStr">
        <is>
          <t>Parmesão ralado Parmozzana 1 kg</t>
        </is>
      </c>
      <c r="N5214" t="inlineStr">
        <is>
          <t>Hamburgueria</t>
        </is>
      </c>
      <c r="O5214" t="n">
        <v>1</v>
      </c>
      <c r="P5214" t="n">
        <v>1</v>
      </c>
      <c r="Q5214" t="n">
        <v>0</v>
      </c>
    </row>
    <row r="5215">
      <c r="J5215" t="inlineStr">
        <is>
          <t>A</t>
        </is>
      </c>
      <c r="K5215" t="n">
        <v>2025</v>
      </c>
      <c r="L5215" t="n">
        <v>3</v>
      </c>
      <c r="M5215" t="inlineStr">
        <is>
          <t>Parmesão ralado Parmozzana 1 kg</t>
        </is>
      </c>
      <c r="N5215" t="inlineStr">
        <is>
          <t>Hamburgueria</t>
        </is>
      </c>
      <c r="O5215" t="n">
        <v>1</v>
      </c>
      <c r="P5215" t="n">
        <v>1</v>
      </c>
      <c r="Q5215" t="n">
        <v>1</v>
      </c>
    </row>
    <row r="5216">
      <c r="J5216" t="inlineStr">
        <is>
          <t>A</t>
        </is>
      </c>
      <c r="K5216" t="n">
        <v>2025</v>
      </c>
      <c r="L5216" t="n">
        <v>4</v>
      </c>
      <c r="M5216" t="inlineStr">
        <is>
          <t>Parmesão ralado Parmozzana 1 kg</t>
        </is>
      </c>
      <c r="N5216" t="inlineStr">
        <is>
          <t>Hamburgueria</t>
        </is>
      </c>
      <c r="O5216" t="n">
        <v>1</v>
      </c>
      <c r="P5216" t="n">
        <v>1</v>
      </c>
      <c r="Q5216" t="n">
        <v>1</v>
      </c>
    </row>
    <row r="5217">
      <c r="J5217" t="inlineStr">
        <is>
          <t>A</t>
        </is>
      </c>
      <c r="K5217" t="n">
        <v>2025</v>
      </c>
      <c r="L5217" t="n">
        <v>5</v>
      </c>
      <c r="M5217" t="inlineStr">
        <is>
          <t>Parmesão ralado Parmozzana 1 kg</t>
        </is>
      </c>
      <c r="N5217" t="inlineStr">
        <is>
          <t>Hamburgueria</t>
        </is>
      </c>
      <c r="O5217" t="n">
        <v>1</v>
      </c>
      <c r="P5217" t="n">
        <v>1</v>
      </c>
      <c r="Q5217" t="n">
        <v>1</v>
      </c>
    </row>
    <row r="5218">
      <c r="J5218" t="inlineStr">
        <is>
          <t>A</t>
        </is>
      </c>
      <c r="K5218" t="n">
        <v>2025</v>
      </c>
      <c r="L5218" t="n">
        <v>6</v>
      </c>
      <c r="M5218" t="inlineStr">
        <is>
          <t>Parmesão ralado Parmozzana 1 kg</t>
        </is>
      </c>
      <c r="N5218" t="inlineStr">
        <is>
          <t>Hamburgueria</t>
        </is>
      </c>
      <c r="O5218" t="n">
        <v>1</v>
      </c>
      <c r="P5218" t="n">
        <v>1</v>
      </c>
      <c r="Q5218" t="n">
        <v>1</v>
      </c>
    </row>
    <row r="5219">
      <c r="J5219" t="inlineStr">
        <is>
          <t>A</t>
        </is>
      </c>
      <c r="K5219" t="n">
        <v>2025</v>
      </c>
      <c r="L5219" t="n">
        <v>7</v>
      </c>
      <c r="M5219" t="inlineStr">
        <is>
          <t>Parmesão ralado Parmozzana 1 kg</t>
        </is>
      </c>
      <c r="N5219" t="inlineStr">
        <is>
          <t>Hamburgueria</t>
        </is>
      </c>
      <c r="O5219" t="n">
        <v>1</v>
      </c>
      <c r="P5219" t="n">
        <v>1</v>
      </c>
      <c r="Q5219" t="n">
        <v>1</v>
      </c>
    </row>
    <row r="5220">
      <c r="J5220" t="inlineStr">
        <is>
          <t>A</t>
        </is>
      </c>
      <c r="K5220" t="n">
        <v>2025</v>
      </c>
      <c r="L5220" t="n">
        <v>8</v>
      </c>
      <c r="M5220" t="inlineStr">
        <is>
          <t>Parmesão ralado Parmozzana 1 kg</t>
        </is>
      </c>
      <c r="N5220" t="inlineStr">
        <is>
          <t>Hamburgueria</t>
        </is>
      </c>
      <c r="O5220" t="n">
        <v>1</v>
      </c>
      <c r="P5220" t="n">
        <v>1</v>
      </c>
      <c r="Q5220" t="n">
        <v>1</v>
      </c>
    </row>
    <row r="5221">
      <c r="J5221" t="inlineStr">
        <is>
          <t>A</t>
        </is>
      </c>
      <c r="K5221" t="n">
        <v>2025</v>
      </c>
      <c r="L5221" t="n">
        <v>9</v>
      </c>
      <c r="M5221" t="inlineStr">
        <is>
          <t>Parmesão ralado Parmozzana 1 kg</t>
        </is>
      </c>
      <c r="N5221" t="inlineStr">
        <is>
          <t>Hamburgueria</t>
        </is>
      </c>
      <c r="O5221" t="n">
        <v>1</v>
      </c>
      <c r="P5221" t="n">
        <v>1</v>
      </c>
      <c r="Q5221" t="n">
        <v>1</v>
      </c>
    </row>
    <row r="5222">
      <c r="J5222" t="inlineStr">
        <is>
          <t>A</t>
        </is>
      </c>
      <c r="K5222" t="n">
        <v>2025</v>
      </c>
      <c r="L5222" t="n">
        <v>10</v>
      </c>
      <c r="M5222" t="inlineStr">
        <is>
          <t>Parmesão ralado Parmozzana 1 kg</t>
        </is>
      </c>
      <c r="N5222" t="inlineStr">
        <is>
          <t>Hamburgueria</t>
        </is>
      </c>
      <c r="O5222" t="n">
        <v>1</v>
      </c>
      <c r="P5222" t="n">
        <v>1</v>
      </c>
      <c r="Q5222" t="n">
        <v>1</v>
      </c>
    </row>
    <row r="5223">
      <c r="J5223" t="inlineStr">
        <is>
          <t>A</t>
        </is>
      </c>
      <c r="K5223" t="n">
        <v>2025</v>
      </c>
      <c r="L5223" t="n">
        <v>11</v>
      </c>
      <c r="M5223" t="inlineStr">
        <is>
          <t>Parmesão ralado Parmozzana 1 kg</t>
        </is>
      </c>
      <c r="N5223" t="inlineStr">
        <is>
          <t>Hamburgueria</t>
        </is>
      </c>
      <c r="O5223" t="n">
        <v>1</v>
      </c>
      <c r="P5223" t="n">
        <v>1</v>
      </c>
      <c r="Q5223" t="n">
        <v>1</v>
      </c>
    </row>
    <row r="5224">
      <c r="J5224" t="inlineStr">
        <is>
          <t>A</t>
        </is>
      </c>
      <c r="K5224" t="n">
        <v>2025</v>
      </c>
      <c r="L5224" t="n">
        <v>12</v>
      </c>
      <c r="M5224" t="inlineStr">
        <is>
          <t>Parmesão ralado Parmozzana 1 kg</t>
        </is>
      </c>
      <c r="N5224" t="inlineStr">
        <is>
          <t>Hamburgueria</t>
        </is>
      </c>
      <c r="O5224" t="n">
        <v>1</v>
      </c>
      <c r="P5224" t="n">
        <v>1</v>
      </c>
      <c r="Q5224" t="n">
        <v>1</v>
      </c>
    </row>
    <row r="5225">
      <c r="J5225" t="inlineStr">
        <is>
          <t>A</t>
        </is>
      </c>
      <c r="K5225" t="n">
        <v>2025</v>
      </c>
      <c r="L5225" t="n">
        <v>2</v>
      </c>
      <c r="M5225" t="inlineStr">
        <is>
          <t>Parmesão ralado Parmozzana 1 kg</t>
        </is>
      </c>
      <c r="N5225" t="inlineStr">
        <is>
          <t>Bar / Chopperia</t>
        </is>
      </c>
      <c r="O5225" t="n">
        <v>2</v>
      </c>
      <c r="P5225" t="n">
        <v>2</v>
      </c>
      <c r="Q5225" t="n">
        <v>2</v>
      </c>
    </row>
    <row r="5226">
      <c r="J5226" t="inlineStr">
        <is>
          <t>M</t>
        </is>
      </c>
      <c r="K5226" t="n">
        <v>2025</v>
      </c>
      <c r="L5226" t="n">
        <v>2</v>
      </c>
      <c r="M5226" t="inlineStr">
        <is>
          <t>Parmesão ralado Parmozzana 1 kg</t>
        </is>
      </c>
      <c r="N5226" t="inlineStr">
        <is>
          <t>Bar / Chopperia</t>
        </is>
      </c>
      <c r="O5226" t="n">
        <v>2</v>
      </c>
      <c r="P5226" t="n">
        <v>2</v>
      </c>
      <c r="Q5226" t="n">
        <v>0</v>
      </c>
    </row>
    <row r="5227">
      <c r="J5227" t="inlineStr">
        <is>
          <t>A</t>
        </is>
      </c>
      <c r="K5227" t="n">
        <v>2025</v>
      </c>
      <c r="L5227" t="n">
        <v>3</v>
      </c>
      <c r="M5227" t="inlineStr">
        <is>
          <t>Parmesão ralado Parmozzana 1 kg</t>
        </is>
      </c>
      <c r="N5227" t="inlineStr">
        <is>
          <t>Bar / Chopperia</t>
        </is>
      </c>
      <c r="O5227" t="n">
        <v>2</v>
      </c>
      <c r="P5227" t="n">
        <v>2</v>
      </c>
      <c r="Q5227" t="n">
        <v>2</v>
      </c>
    </row>
    <row r="5228">
      <c r="J5228" t="inlineStr">
        <is>
          <t>A</t>
        </is>
      </c>
      <c r="K5228" t="n">
        <v>2025</v>
      </c>
      <c r="L5228" t="n">
        <v>4</v>
      </c>
      <c r="M5228" t="inlineStr">
        <is>
          <t>Parmesão ralado Parmozzana 1 kg</t>
        </is>
      </c>
      <c r="N5228" t="inlineStr">
        <is>
          <t>Bar / Chopperia</t>
        </is>
      </c>
      <c r="O5228" t="n">
        <v>2</v>
      </c>
      <c r="P5228" t="n">
        <v>2</v>
      </c>
      <c r="Q5228" t="n">
        <v>2</v>
      </c>
    </row>
    <row r="5229">
      <c r="J5229" t="inlineStr">
        <is>
          <t>A</t>
        </is>
      </c>
      <c r="K5229" t="n">
        <v>2025</v>
      </c>
      <c r="L5229" t="n">
        <v>5</v>
      </c>
      <c r="M5229" t="inlineStr">
        <is>
          <t>Parmesão ralado Parmozzana 1 kg</t>
        </is>
      </c>
      <c r="N5229" t="inlineStr">
        <is>
          <t>Bar / Chopperia</t>
        </is>
      </c>
      <c r="O5229" t="n">
        <v>2</v>
      </c>
      <c r="P5229" t="n">
        <v>2</v>
      </c>
      <c r="Q5229" t="n">
        <v>2</v>
      </c>
    </row>
    <row r="5230">
      <c r="J5230" t="inlineStr">
        <is>
          <t>A</t>
        </is>
      </c>
      <c r="K5230" t="n">
        <v>2025</v>
      </c>
      <c r="L5230" t="n">
        <v>6</v>
      </c>
      <c r="M5230" t="inlineStr">
        <is>
          <t>Parmesão ralado Parmozzana 1 kg</t>
        </is>
      </c>
      <c r="N5230" t="inlineStr">
        <is>
          <t>Bar / Chopperia</t>
        </is>
      </c>
      <c r="O5230" t="n">
        <v>2</v>
      </c>
      <c r="P5230" t="n">
        <v>2</v>
      </c>
      <c r="Q5230" t="n">
        <v>2</v>
      </c>
    </row>
    <row r="5231">
      <c r="J5231" t="inlineStr">
        <is>
          <t>A</t>
        </is>
      </c>
      <c r="K5231" t="n">
        <v>2025</v>
      </c>
      <c r="L5231" t="n">
        <v>7</v>
      </c>
      <c r="M5231" t="inlineStr">
        <is>
          <t>Parmesão ralado Parmozzana 1 kg</t>
        </is>
      </c>
      <c r="N5231" t="inlineStr">
        <is>
          <t>Bar / Chopperia</t>
        </is>
      </c>
      <c r="O5231" t="n">
        <v>2</v>
      </c>
      <c r="P5231" t="n">
        <v>2</v>
      </c>
      <c r="Q5231" t="n">
        <v>2</v>
      </c>
    </row>
    <row r="5232">
      <c r="J5232" t="inlineStr">
        <is>
          <t>A</t>
        </is>
      </c>
      <c r="K5232" t="n">
        <v>2025</v>
      </c>
      <c r="L5232" t="n">
        <v>8</v>
      </c>
      <c r="M5232" t="inlineStr">
        <is>
          <t>Parmesão ralado Parmozzana 1 kg</t>
        </is>
      </c>
      <c r="N5232" t="inlineStr">
        <is>
          <t>Bar / Chopperia</t>
        </is>
      </c>
      <c r="O5232" t="n">
        <v>2</v>
      </c>
      <c r="P5232" t="n">
        <v>2</v>
      </c>
      <c r="Q5232" t="n">
        <v>2</v>
      </c>
    </row>
    <row r="5233">
      <c r="J5233" t="inlineStr">
        <is>
          <t>A</t>
        </is>
      </c>
      <c r="K5233" t="n">
        <v>2025</v>
      </c>
      <c r="L5233" t="n">
        <v>9</v>
      </c>
      <c r="M5233" t="inlineStr">
        <is>
          <t>Parmesão ralado Parmozzana 1 kg</t>
        </is>
      </c>
      <c r="N5233" t="inlineStr">
        <is>
          <t>Bar / Chopperia</t>
        </is>
      </c>
      <c r="O5233" t="n">
        <v>2</v>
      </c>
      <c r="P5233" t="n">
        <v>2</v>
      </c>
      <c r="Q5233" t="n">
        <v>2</v>
      </c>
    </row>
    <row r="5234">
      <c r="J5234" t="inlineStr">
        <is>
          <t>A</t>
        </is>
      </c>
      <c r="K5234" t="n">
        <v>2025</v>
      </c>
      <c r="L5234" t="n">
        <v>10</v>
      </c>
      <c r="M5234" t="inlineStr">
        <is>
          <t>Parmesão ralado Parmozzana 1 kg</t>
        </is>
      </c>
      <c r="N5234" t="inlineStr">
        <is>
          <t>Bar / Chopperia</t>
        </is>
      </c>
      <c r="O5234" t="n">
        <v>2</v>
      </c>
      <c r="P5234" t="n">
        <v>2</v>
      </c>
      <c r="Q5234" t="n">
        <v>2</v>
      </c>
    </row>
    <row r="5235">
      <c r="J5235" t="inlineStr">
        <is>
          <t>A</t>
        </is>
      </c>
      <c r="K5235" t="n">
        <v>2025</v>
      </c>
      <c r="L5235" t="n">
        <v>11</v>
      </c>
      <c r="M5235" t="inlineStr">
        <is>
          <t>Parmesão ralado Parmozzana 1 kg</t>
        </is>
      </c>
      <c r="N5235" t="inlineStr">
        <is>
          <t>Bar / Chopperia</t>
        </is>
      </c>
      <c r="O5235" t="n">
        <v>2</v>
      </c>
      <c r="P5235" t="n">
        <v>2</v>
      </c>
      <c r="Q5235" t="n">
        <v>2</v>
      </c>
    </row>
    <row r="5236">
      <c r="J5236" t="inlineStr">
        <is>
          <t>A</t>
        </is>
      </c>
      <c r="K5236" t="n">
        <v>2025</v>
      </c>
      <c r="L5236" t="n">
        <v>12</v>
      </c>
      <c r="M5236" t="inlineStr">
        <is>
          <t>Parmesão ralado Parmozzana 1 kg</t>
        </is>
      </c>
      <c r="N5236" t="inlineStr">
        <is>
          <t>Bar / Chopperia</t>
        </is>
      </c>
      <c r="O5236" t="n">
        <v>2</v>
      </c>
      <c r="P5236" t="n">
        <v>2</v>
      </c>
      <c r="Q5236" t="n">
        <v>2</v>
      </c>
    </row>
    <row r="5237">
      <c r="J5237" t="inlineStr">
        <is>
          <t>A</t>
        </is>
      </c>
      <c r="K5237" t="n">
        <v>2025</v>
      </c>
      <c r="L5237" t="n">
        <v>2</v>
      </c>
      <c r="M5237" t="inlineStr">
        <is>
          <t>Parmesão ralado Parmozzana 1 kg</t>
        </is>
      </c>
      <c r="N5237" t="inlineStr">
        <is>
          <t>Churrascaria</t>
        </is>
      </c>
      <c r="O5237" t="n">
        <v>2</v>
      </c>
      <c r="P5237" t="n">
        <v>4</v>
      </c>
      <c r="Q5237" t="n">
        <v>1</v>
      </c>
    </row>
    <row r="5238">
      <c r="J5238" t="inlineStr">
        <is>
          <t>M</t>
        </is>
      </c>
      <c r="K5238" t="n">
        <v>2025</v>
      </c>
      <c r="L5238" t="n">
        <v>2</v>
      </c>
      <c r="M5238" t="inlineStr">
        <is>
          <t>Parmesão ralado Parmozzana 1 kg</t>
        </is>
      </c>
      <c r="N5238" t="inlineStr">
        <is>
          <t>Churrascaria</t>
        </is>
      </c>
      <c r="O5238" t="n">
        <v>2</v>
      </c>
      <c r="P5238" t="n">
        <v>4</v>
      </c>
      <c r="Q5238" t="n">
        <v>0</v>
      </c>
    </row>
    <row r="5239">
      <c r="J5239" t="inlineStr">
        <is>
          <t>A</t>
        </is>
      </c>
      <c r="K5239" t="n">
        <v>2025</v>
      </c>
      <c r="L5239" t="n">
        <v>3</v>
      </c>
      <c r="M5239" t="inlineStr">
        <is>
          <t>Parmesão ralado Parmozzana 1 kg</t>
        </is>
      </c>
      <c r="N5239" t="inlineStr">
        <is>
          <t>Churrascaria</t>
        </is>
      </c>
      <c r="O5239" t="n">
        <v>2</v>
      </c>
      <c r="P5239" t="n">
        <v>4</v>
      </c>
      <c r="Q5239" t="n">
        <v>1</v>
      </c>
    </row>
    <row r="5240">
      <c r="J5240" t="inlineStr">
        <is>
          <t>A</t>
        </is>
      </c>
      <c r="K5240" t="n">
        <v>2025</v>
      </c>
      <c r="L5240" t="n">
        <v>4</v>
      </c>
      <c r="M5240" t="inlineStr">
        <is>
          <t>Parmesão ralado Parmozzana 1 kg</t>
        </is>
      </c>
      <c r="N5240" t="inlineStr">
        <is>
          <t>Churrascaria</t>
        </is>
      </c>
      <c r="O5240" t="n">
        <v>2</v>
      </c>
      <c r="P5240" t="n">
        <v>4</v>
      </c>
      <c r="Q5240" t="n">
        <v>1</v>
      </c>
    </row>
    <row r="5241">
      <c r="J5241" t="inlineStr">
        <is>
          <t>A</t>
        </is>
      </c>
      <c r="K5241" t="n">
        <v>2025</v>
      </c>
      <c r="L5241" t="n">
        <v>5</v>
      </c>
      <c r="M5241" t="inlineStr">
        <is>
          <t>Parmesão ralado Parmozzana 1 kg</t>
        </is>
      </c>
      <c r="N5241" t="inlineStr">
        <is>
          <t>Churrascaria</t>
        </is>
      </c>
      <c r="O5241" t="n">
        <v>2</v>
      </c>
      <c r="P5241" t="n">
        <v>4</v>
      </c>
      <c r="Q5241" t="n">
        <v>1</v>
      </c>
    </row>
    <row r="5242">
      <c r="J5242" t="inlineStr">
        <is>
          <t>A</t>
        </is>
      </c>
      <c r="K5242" t="n">
        <v>2025</v>
      </c>
      <c r="L5242" t="n">
        <v>6</v>
      </c>
      <c r="M5242" t="inlineStr">
        <is>
          <t>Parmesão ralado Parmozzana 1 kg</t>
        </is>
      </c>
      <c r="N5242" t="inlineStr">
        <is>
          <t>Churrascaria</t>
        </is>
      </c>
      <c r="O5242" t="n">
        <v>2</v>
      </c>
      <c r="P5242" t="n">
        <v>4</v>
      </c>
      <c r="Q5242" t="n">
        <v>1</v>
      </c>
    </row>
    <row r="5243">
      <c r="J5243" t="inlineStr">
        <is>
          <t>A</t>
        </is>
      </c>
      <c r="K5243" t="n">
        <v>2025</v>
      </c>
      <c r="L5243" t="n">
        <v>7</v>
      </c>
      <c r="M5243" t="inlineStr">
        <is>
          <t>Parmesão ralado Parmozzana 1 kg</t>
        </is>
      </c>
      <c r="N5243" t="inlineStr">
        <is>
          <t>Churrascaria</t>
        </is>
      </c>
      <c r="O5243" t="n">
        <v>2</v>
      </c>
      <c r="P5243" t="n">
        <v>4</v>
      </c>
      <c r="Q5243" t="n">
        <v>1</v>
      </c>
    </row>
    <row r="5244">
      <c r="J5244" t="inlineStr">
        <is>
          <t>A</t>
        </is>
      </c>
      <c r="K5244" t="n">
        <v>2025</v>
      </c>
      <c r="L5244" t="n">
        <v>8</v>
      </c>
      <c r="M5244" t="inlineStr">
        <is>
          <t>Parmesão ralado Parmozzana 1 kg</t>
        </is>
      </c>
      <c r="N5244" t="inlineStr">
        <is>
          <t>Churrascaria</t>
        </is>
      </c>
      <c r="O5244" t="n">
        <v>2</v>
      </c>
      <c r="P5244" t="n">
        <v>4</v>
      </c>
      <c r="Q5244" t="n">
        <v>1</v>
      </c>
    </row>
    <row r="5245">
      <c r="J5245" t="inlineStr">
        <is>
          <t>A</t>
        </is>
      </c>
      <c r="K5245" t="n">
        <v>2025</v>
      </c>
      <c r="L5245" t="n">
        <v>9</v>
      </c>
      <c r="M5245" t="inlineStr">
        <is>
          <t>Parmesão ralado Parmozzana 1 kg</t>
        </is>
      </c>
      <c r="N5245" t="inlineStr">
        <is>
          <t>Churrascaria</t>
        </is>
      </c>
      <c r="O5245" t="n">
        <v>2</v>
      </c>
      <c r="P5245" t="n">
        <v>4</v>
      </c>
      <c r="Q5245" t="n">
        <v>1</v>
      </c>
    </row>
    <row r="5246">
      <c r="J5246" t="inlineStr">
        <is>
          <t>A</t>
        </is>
      </c>
      <c r="K5246" t="n">
        <v>2025</v>
      </c>
      <c r="L5246" t="n">
        <v>10</v>
      </c>
      <c r="M5246" t="inlineStr">
        <is>
          <t>Parmesão ralado Parmozzana 1 kg</t>
        </is>
      </c>
      <c r="N5246" t="inlineStr">
        <is>
          <t>Churrascaria</t>
        </is>
      </c>
      <c r="O5246" t="n">
        <v>2</v>
      </c>
      <c r="P5246" t="n">
        <v>4</v>
      </c>
      <c r="Q5246" t="n">
        <v>1</v>
      </c>
    </row>
    <row r="5247">
      <c r="J5247" t="inlineStr">
        <is>
          <t>A</t>
        </is>
      </c>
      <c r="K5247" t="n">
        <v>2025</v>
      </c>
      <c r="L5247" t="n">
        <v>11</v>
      </c>
      <c r="M5247" t="inlineStr">
        <is>
          <t>Parmesão ralado Parmozzana 1 kg</t>
        </is>
      </c>
      <c r="N5247" t="inlineStr">
        <is>
          <t>Churrascaria</t>
        </is>
      </c>
      <c r="O5247" t="n">
        <v>2</v>
      </c>
      <c r="P5247" t="n">
        <v>4</v>
      </c>
      <c r="Q5247" t="n">
        <v>1</v>
      </c>
    </row>
    <row r="5248">
      <c r="J5248" t="inlineStr">
        <is>
          <t>A</t>
        </is>
      </c>
      <c r="K5248" t="n">
        <v>2025</v>
      </c>
      <c r="L5248" t="n">
        <v>12</v>
      </c>
      <c r="M5248" t="inlineStr">
        <is>
          <t>Parmesão ralado Parmozzana 1 kg</t>
        </is>
      </c>
      <c r="N5248" t="inlineStr">
        <is>
          <t>Churrascaria</t>
        </is>
      </c>
      <c r="O5248" t="n">
        <v>2</v>
      </c>
      <c r="P5248" t="n">
        <v>4</v>
      </c>
      <c r="Q5248" t="n">
        <v>1</v>
      </c>
    </row>
    <row r="5249">
      <c r="J5249" t="inlineStr">
        <is>
          <t>A</t>
        </is>
      </c>
      <c r="K5249" t="n">
        <v>2025</v>
      </c>
      <c r="L5249" t="n">
        <v>2</v>
      </c>
      <c r="M5249" t="inlineStr">
        <is>
          <t>Parmesão ralado Parmozzana 1 kg</t>
        </is>
      </c>
      <c r="N5249" t="inlineStr">
        <is>
          <t>Hospital / Casa de Repouso</t>
        </is>
      </c>
      <c r="O5249" t="n">
        <v>1</v>
      </c>
      <c r="P5249" t="n">
        <v>1</v>
      </c>
      <c r="Q5249" t="n">
        <v>1</v>
      </c>
    </row>
    <row r="5250">
      <c r="J5250" t="inlineStr">
        <is>
          <t>M</t>
        </is>
      </c>
      <c r="K5250" t="n">
        <v>2025</v>
      </c>
      <c r="L5250" t="n">
        <v>2</v>
      </c>
      <c r="M5250" t="inlineStr">
        <is>
          <t>Parmesão ralado Parmozzana 1 kg</t>
        </is>
      </c>
      <c r="N5250" t="inlineStr">
        <is>
          <t>Hospital / Casa de Repouso</t>
        </is>
      </c>
      <c r="O5250" t="n">
        <v>1</v>
      </c>
      <c r="P5250" t="n">
        <v>1</v>
      </c>
      <c r="Q5250" t="n">
        <v>0</v>
      </c>
    </row>
    <row r="5251">
      <c r="J5251" t="inlineStr">
        <is>
          <t>A</t>
        </is>
      </c>
      <c r="K5251" t="n">
        <v>2025</v>
      </c>
      <c r="L5251" t="n">
        <v>3</v>
      </c>
      <c r="M5251" t="inlineStr">
        <is>
          <t>Parmesão ralado Parmozzana 1 kg</t>
        </is>
      </c>
      <c r="N5251" t="inlineStr">
        <is>
          <t>Hospital / Casa de Repouso</t>
        </is>
      </c>
      <c r="O5251" t="n">
        <v>1</v>
      </c>
      <c r="P5251" t="n">
        <v>1</v>
      </c>
      <c r="Q5251" t="n">
        <v>1</v>
      </c>
    </row>
    <row r="5252">
      <c r="J5252" t="inlineStr">
        <is>
          <t>A</t>
        </is>
      </c>
      <c r="K5252" t="n">
        <v>2025</v>
      </c>
      <c r="L5252" t="n">
        <v>4</v>
      </c>
      <c r="M5252" t="inlineStr">
        <is>
          <t>Parmesão ralado Parmozzana 1 kg</t>
        </is>
      </c>
      <c r="N5252" t="inlineStr">
        <is>
          <t>Hospital / Casa de Repouso</t>
        </is>
      </c>
      <c r="O5252" t="n">
        <v>1</v>
      </c>
      <c r="P5252" t="n">
        <v>1</v>
      </c>
      <c r="Q5252" t="n">
        <v>1</v>
      </c>
    </row>
    <row r="5253">
      <c r="J5253" t="inlineStr">
        <is>
          <t>A</t>
        </is>
      </c>
      <c r="K5253" t="n">
        <v>2025</v>
      </c>
      <c r="L5253" t="n">
        <v>5</v>
      </c>
      <c r="M5253" t="inlineStr">
        <is>
          <t>Parmesão ralado Parmozzana 1 kg</t>
        </is>
      </c>
      <c r="N5253" t="inlineStr">
        <is>
          <t>Hospital / Casa de Repouso</t>
        </is>
      </c>
      <c r="O5253" t="n">
        <v>1</v>
      </c>
      <c r="P5253" t="n">
        <v>1</v>
      </c>
      <c r="Q5253" t="n">
        <v>1</v>
      </c>
    </row>
    <row r="5254">
      <c r="J5254" t="inlineStr">
        <is>
          <t>A</t>
        </is>
      </c>
      <c r="K5254" t="n">
        <v>2025</v>
      </c>
      <c r="L5254" t="n">
        <v>6</v>
      </c>
      <c r="M5254" t="inlineStr">
        <is>
          <t>Parmesão ralado Parmozzana 1 kg</t>
        </is>
      </c>
      <c r="N5254" t="inlineStr">
        <is>
          <t>Hospital / Casa de Repouso</t>
        </is>
      </c>
      <c r="O5254" t="n">
        <v>1</v>
      </c>
      <c r="P5254" t="n">
        <v>1</v>
      </c>
      <c r="Q5254" t="n">
        <v>1</v>
      </c>
    </row>
    <row r="5255">
      <c r="J5255" t="inlineStr">
        <is>
          <t>A</t>
        </is>
      </c>
      <c r="K5255" t="n">
        <v>2025</v>
      </c>
      <c r="L5255" t="n">
        <v>7</v>
      </c>
      <c r="M5255" t="inlineStr">
        <is>
          <t>Parmesão ralado Parmozzana 1 kg</t>
        </is>
      </c>
      <c r="N5255" t="inlineStr">
        <is>
          <t>Hospital / Casa de Repouso</t>
        </is>
      </c>
      <c r="O5255" t="n">
        <v>1</v>
      </c>
      <c r="P5255" t="n">
        <v>1</v>
      </c>
      <c r="Q5255" t="n">
        <v>1</v>
      </c>
    </row>
    <row r="5256">
      <c r="J5256" t="inlineStr">
        <is>
          <t>A</t>
        </is>
      </c>
      <c r="K5256" t="n">
        <v>2025</v>
      </c>
      <c r="L5256" t="n">
        <v>8</v>
      </c>
      <c r="M5256" t="inlineStr">
        <is>
          <t>Parmesão ralado Parmozzana 1 kg</t>
        </is>
      </c>
      <c r="N5256" t="inlineStr">
        <is>
          <t>Hospital / Casa de Repouso</t>
        </is>
      </c>
      <c r="O5256" t="n">
        <v>1</v>
      </c>
      <c r="P5256" t="n">
        <v>1</v>
      </c>
      <c r="Q5256" t="n">
        <v>1</v>
      </c>
    </row>
    <row r="5257">
      <c r="J5257" t="inlineStr">
        <is>
          <t>A</t>
        </is>
      </c>
      <c r="K5257" t="n">
        <v>2025</v>
      </c>
      <c r="L5257" t="n">
        <v>9</v>
      </c>
      <c r="M5257" t="inlineStr">
        <is>
          <t>Parmesão ralado Parmozzana 1 kg</t>
        </is>
      </c>
      <c r="N5257" t="inlineStr">
        <is>
          <t>Hospital / Casa de Repouso</t>
        </is>
      </c>
      <c r="O5257" t="n">
        <v>1</v>
      </c>
      <c r="P5257" t="n">
        <v>1</v>
      </c>
      <c r="Q5257" t="n">
        <v>1</v>
      </c>
    </row>
    <row r="5258">
      <c r="J5258" t="inlineStr">
        <is>
          <t>A</t>
        </is>
      </c>
      <c r="K5258" t="n">
        <v>2025</v>
      </c>
      <c r="L5258" t="n">
        <v>10</v>
      </c>
      <c r="M5258" t="inlineStr">
        <is>
          <t>Parmesão ralado Parmozzana 1 kg</t>
        </is>
      </c>
      <c r="N5258" t="inlineStr">
        <is>
          <t>Hospital / Casa de Repouso</t>
        </is>
      </c>
      <c r="O5258" t="n">
        <v>1</v>
      </c>
      <c r="P5258" t="n">
        <v>1</v>
      </c>
      <c r="Q5258" t="n">
        <v>1</v>
      </c>
    </row>
    <row r="5259">
      <c r="J5259" t="inlineStr">
        <is>
          <t>A</t>
        </is>
      </c>
      <c r="K5259" t="n">
        <v>2025</v>
      </c>
      <c r="L5259" t="n">
        <v>11</v>
      </c>
      <c r="M5259" t="inlineStr">
        <is>
          <t>Parmesão ralado Parmozzana 1 kg</t>
        </is>
      </c>
      <c r="N5259" t="inlineStr">
        <is>
          <t>Hospital / Casa de Repouso</t>
        </is>
      </c>
      <c r="O5259" t="n">
        <v>1</v>
      </c>
      <c r="P5259" t="n">
        <v>1</v>
      </c>
      <c r="Q5259" t="n">
        <v>1</v>
      </c>
    </row>
    <row r="5260">
      <c r="J5260" t="inlineStr">
        <is>
          <t>A</t>
        </is>
      </c>
      <c r="K5260" t="n">
        <v>2025</v>
      </c>
      <c r="L5260" t="n">
        <v>12</v>
      </c>
      <c r="M5260" t="inlineStr">
        <is>
          <t>Parmesão ralado Parmozzana 1 kg</t>
        </is>
      </c>
      <c r="N5260" t="inlineStr">
        <is>
          <t>Hospital / Casa de Repouso</t>
        </is>
      </c>
      <c r="O5260" t="n">
        <v>1</v>
      </c>
      <c r="P5260" t="n">
        <v>1</v>
      </c>
      <c r="Q5260" t="n">
        <v>1</v>
      </c>
    </row>
    <row r="5261">
      <c r="J5261" t="inlineStr">
        <is>
          <t>A</t>
        </is>
      </c>
      <c r="K5261" t="n">
        <v>2025</v>
      </c>
      <c r="L5261" t="n">
        <v>2</v>
      </c>
      <c r="M5261" t="inlineStr">
        <is>
          <t>Parmesão ralado Parmozzana 1 kg</t>
        </is>
      </c>
      <c r="N5261" t="inlineStr">
        <is>
          <t>Clube / Associação Desportiva</t>
        </is>
      </c>
      <c r="O5261" t="n">
        <v>1</v>
      </c>
      <c r="P5261" t="n">
        <v>1</v>
      </c>
      <c r="Q5261" t="n">
        <v>1</v>
      </c>
    </row>
    <row r="5262">
      <c r="J5262" t="inlineStr">
        <is>
          <t>M</t>
        </is>
      </c>
      <c r="K5262" t="n">
        <v>2025</v>
      </c>
      <c r="L5262" t="n">
        <v>2</v>
      </c>
      <c r="M5262" t="inlineStr">
        <is>
          <t>Parmesão ralado Parmozzana 1 kg</t>
        </is>
      </c>
      <c r="N5262" t="inlineStr">
        <is>
          <t>Clube / Associação Desportiva</t>
        </is>
      </c>
      <c r="O5262" t="n">
        <v>1</v>
      </c>
      <c r="P5262" t="n">
        <v>1</v>
      </c>
      <c r="Q5262" t="n">
        <v>0</v>
      </c>
    </row>
    <row r="5263">
      <c r="J5263" t="inlineStr">
        <is>
          <t>A</t>
        </is>
      </c>
      <c r="K5263" t="n">
        <v>2025</v>
      </c>
      <c r="L5263" t="n">
        <v>3</v>
      </c>
      <c r="M5263" t="inlineStr">
        <is>
          <t>Parmesão ralado Parmozzana 1 kg</t>
        </is>
      </c>
      <c r="N5263" t="inlineStr">
        <is>
          <t>Clube / Associação Desportiva</t>
        </is>
      </c>
      <c r="O5263" t="n">
        <v>1</v>
      </c>
      <c r="P5263" t="n">
        <v>1</v>
      </c>
      <c r="Q5263" t="n">
        <v>1</v>
      </c>
    </row>
    <row r="5264">
      <c r="J5264" t="inlineStr">
        <is>
          <t>A</t>
        </is>
      </c>
      <c r="K5264" t="n">
        <v>2025</v>
      </c>
      <c r="L5264" t="n">
        <v>4</v>
      </c>
      <c r="M5264" t="inlineStr">
        <is>
          <t>Parmesão ralado Parmozzana 1 kg</t>
        </is>
      </c>
      <c r="N5264" t="inlineStr">
        <is>
          <t>Clube / Associação Desportiva</t>
        </is>
      </c>
      <c r="O5264" t="n">
        <v>1</v>
      </c>
      <c r="P5264" t="n">
        <v>1</v>
      </c>
      <c r="Q5264" t="n">
        <v>1</v>
      </c>
    </row>
    <row r="5265">
      <c r="J5265" t="inlineStr">
        <is>
          <t>A</t>
        </is>
      </c>
      <c r="K5265" t="n">
        <v>2025</v>
      </c>
      <c r="L5265" t="n">
        <v>5</v>
      </c>
      <c r="M5265" t="inlineStr">
        <is>
          <t>Parmesão ralado Parmozzana 1 kg</t>
        </is>
      </c>
      <c r="N5265" t="inlineStr">
        <is>
          <t>Clube / Associação Desportiva</t>
        </is>
      </c>
      <c r="O5265" t="n">
        <v>1</v>
      </c>
      <c r="P5265" t="n">
        <v>1</v>
      </c>
      <c r="Q5265" t="n">
        <v>1</v>
      </c>
    </row>
    <row r="5266">
      <c r="J5266" t="inlineStr">
        <is>
          <t>A</t>
        </is>
      </c>
      <c r="K5266" t="n">
        <v>2025</v>
      </c>
      <c r="L5266" t="n">
        <v>6</v>
      </c>
      <c r="M5266" t="inlineStr">
        <is>
          <t>Parmesão ralado Parmozzana 1 kg</t>
        </is>
      </c>
      <c r="N5266" t="inlineStr">
        <is>
          <t>Clube / Associação Desportiva</t>
        </is>
      </c>
      <c r="O5266" t="n">
        <v>1</v>
      </c>
      <c r="P5266" t="n">
        <v>1</v>
      </c>
      <c r="Q5266" t="n">
        <v>1</v>
      </c>
    </row>
    <row r="5267">
      <c r="J5267" t="inlineStr">
        <is>
          <t>A</t>
        </is>
      </c>
      <c r="K5267" t="n">
        <v>2025</v>
      </c>
      <c r="L5267" t="n">
        <v>7</v>
      </c>
      <c r="M5267" t="inlineStr">
        <is>
          <t>Parmesão ralado Parmozzana 1 kg</t>
        </is>
      </c>
      <c r="N5267" t="inlineStr">
        <is>
          <t>Clube / Associação Desportiva</t>
        </is>
      </c>
      <c r="O5267" t="n">
        <v>1</v>
      </c>
      <c r="P5267" t="n">
        <v>1</v>
      </c>
      <c r="Q5267" t="n">
        <v>1</v>
      </c>
    </row>
    <row r="5268">
      <c r="J5268" t="inlineStr">
        <is>
          <t>A</t>
        </is>
      </c>
      <c r="K5268" t="n">
        <v>2025</v>
      </c>
      <c r="L5268" t="n">
        <v>8</v>
      </c>
      <c r="M5268" t="inlineStr">
        <is>
          <t>Parmesão ralado Parmozzana 1 kg</t>
        </is>
      </c>
      <c r="N5268" t="inlineStr">
        <is>
          <t>Clube / Associação Desportiva</t>
        </is>
      </c>
      <c r="O5268" t="n">
        <v>1</v>
      </c>
      <c r="P5268" t="n">
        <v>1</v>
      </c>
      <c r="Q5268" t="n">
        <v>1</v>
      </c>
    </row>
    <row r="5269">
      <c r="J5269" t="inlineStr">
        <is>
          <t>A</t>
        </is>
      </c>
      <c r="K5269" t="n">
        <v>2025</v>
      </c>
      <c r="L5269" t="n">
        <v>9</v>
      </c>
      <c r="M5269" t="inlineStr">
        <is>
          <t>Parmesão ralado Parmozzana 1 kg</t>
        </is>
      </c>
      <c r="N5269" t="inlineStr">
        <is>
          <t>Clube / Associação Desportiva</t>
        </is>
      </c>
      <c r="O5269" t="n">
        <v>1</v>
      </c>
      <c r="P5269" t="n">
        <v>1</v>
      </c>
      <c r="Q5269" t="n">
        <v>1</v>
      </c>
    </row>
    <row r="5270">
      <c r="J5270" t="inlineStr">
        <is>
          <t>A</t>
        </is>
      </c>
      <c r="K5270" t="n">
        <v>2025</v>
      </c>
      <c r="L5270" t="n">
        <v>10</v>
      </c>
      <c r="M5270" t="inlineStr">
        <is>
          <t>Parmesão ralado Parmozzana 1 kg</t>
        </is>
      </c>
      <c r="N5270" t="inlineStr">
        <is>
          <t>Clube / Associação Desportiva</t>
        </is>
      </c>
      <c r="O5270" t="n">
        <v>1</v>
      </c>
      <c r="P5270" t="n">
        <v>1</v>
      </c>
      <c r="Q5270" t="n">
        <v>1</v>
      </c>
    </row>
    <row r="5271">
      <c r="J5271" t="inlineStr">
        <is>
          <t>A</t>
        </is>
      </c>
      <c r="K5271" t="n">
        <v>2025</v>
      </c>
      <c r="L5271" t="n">
        <v>11</v>
      </c>
      <c r="M5271" t="inlineStr">
        <is>
          <t>Parmesão ralado Parmozzana 1 kg</t>
        </is>
      </c>
      <c r="N5271" t="inlineStr">
        <is>
          <t>Clube / Associação Desportiva</t>
        </is>
      </c>
      <c r="O5271" t="n">
        <v>1</v>
      </c>
      <c r="P5271" t="n">
        <v>1</v>
      </c>
      <c r="Q5271" t="n">
        <v>1</v>
      </c>
    </row>
    <row r="5272">
      <c r="J5272" t="inlineStr">
        <is>
          <t>A</t>
        </is>
      </c>
      <c r="K5272" t="n">
        <v>2025</v>
      </c>
      <c r="L5272" t="n">
        <v>12</v>
      </c>
      <c r="M5272" t="inlineStr">
        <is>
          <t>Parmesão ralado Parmozzana 1 kg</t>
        </is>
      </c>
      <c r="N5272" t="inlineStr">
        <is>
          <t>Clube / Associação Desportiva</t>
        </is>
      </c>
      <c r="O5272" t="n">
        <v>1</v>
      </c>
      <c r="P5272" t="n">
        <v>1</v>
      </c>
      <c r="Q5272" t="n">
        <v>1</v>
      </c>
    </row>
    <row r="5273">
      <c r="J5273" t="inlineStr">
        <is>
          <t>A</t>
        </is>
      </c>
      <c r="K5273" t="n">
        <v>2025</v>
      </c>
      <c r="L5273" t="n">
        <v>2</v>
      </c>
      <c r="M5273" t="inlineStr">
        <is>
          <t>Parmesão ralado Parmozzana 1 kg</t>
        </is>
      </c>
      <c r="N5273" t="inlineStr">
        <is>
          <t>Colaborador</t>
        </is>
      </c>
      <c r="O5273" t="n">
        <v>3</v>
      </c>
      <c r="P5273" t="n">
        <v>3</v>
      </c>
      <c r="Q5273" t="n">
        <v>2</v>
      </c>
    </row>
    <row r="5274">
      <c r="J5274" t="inlineStr">
        <is>
          <t>M</t>
        </is>
      </c>
      <c r="K5274" t="n">
        <v>2025</v>
      </c>
      <c r="L5274" t="n">
        <v>2</v>
      </c>
      <c r="M5274" t="inlineStr">
        <is>
          <t>Parmesão ralado Parmozzana 1 kg</t>
        </is>
      </c>
      <c r="N5274" t="inlineStr">
        <is>
          <t>Colaborador</t>
        </is>
      </c>
      <c r="O5274" t="n">
        <v>3</v>
      </c>
      <c r="P5274" t="n">
        <v>3</v>
      </c>
      <c r="Q5274" t="n">
        <v>0</v>
      </c>
    </row>
    <row r="5275">
      <c r="J5275" t="inlineStr">
        <is>
          <t>A</t>
        </is>
      </c>
      <c r="K5275" t="n">
        <v>2025</v>
      </c>
      <c r="L5275" t="n">
        <v>3</v>
      </c>
      <c r="M5275" t="inlineStr">
        <is>
          <t>Parmesão ralado Parmozzana 1 kg</t>
        </is>
      </c>
      <c r="N5275" t="inlineStr">
        <is>
          <t>Colaborador</t>
        </is>
      </c>
      <c r="O5275" t="n">
        <v>3</v>
      </c>
      <c r="P5275" t="n">
        <v>3</v>
      </c>
      <c r="Q5275" t="n">
        <v>2</v>
      </c>
    </row>
    <row r="5276">
      <c r="J5276" t="inlineStr">
        <is>
          <t>A</t>
        </is>
      </c>
      <c r="K5276" t="n">
        <v>2025</v>
      </c>
      <c r="L5276" t="n">
        <v>4</v>
      </c>
      <c r="M5276" t="inlineStr">
        <is>
          <t>Parmesão ralado Parmozzana 1 kg</t>
        </is>
      </c>
      <c r="N5276" t="inlineStr">
        <is>
          <t>Colaborador</t>
        </is>
      </c>
      <c r="O5276" t="n">
        <v>3</v>
      </c>
      <c r="P5276" t="n">
        <v>3</v>
      </c>
      <c r="Q5276" t="n">
        <v>2</v>
      </c>
    </row>
    <row r="5277">
      <c r="J5277" t="inlineStr">
        <is>
          <t>A</t>
        </is>
      </c>
      <c r="K5277" t="n">
        <v>2025</v>
      </c>
      <c r="L5277" t="n">
        <v>5</v>
      </c>
      <c r="M5277" t="inlineStr">
        <is>
          <t>Parmesão ralado Parmozzana 1 kg</t>
        </is>
      </c>
      <c r="N5277" t="inlineStr">
        <is>
          <t>Colaborador</t>
        </is>
      </c>
      <c r="O5277" t="n">
        <v>3</v>
      </c>
      <c r="P5277" t="n">
        <v>3</v>
      </c>
      <c r="Q5277" t="n">
        <v>2</v>
      </c>
    </row>
    <row r="5278">
      <c r="J5278" t="inlineStr">
        <is>
          <t>A</t>
        </is>
      </c>
      <c r="K5278" t="n">
        <v>2025</v>
      </c>
      <c r="L5278" t="n">
        <v>6</v>
      </c>
      <c r="M5278" t="inlineStr">
        <is>
          <t>Parmesão ralado Parmozzana 1 kg</t>
        </is>
      </c>
      <c r="N5278" t="inlineStr">
        <is>
          <t>Colaborador</t>
        </is>
      </c>
      <c r="O5278" t="n">
        <v>3</v>
      </c>
      <c r="P5278" t="n">
        <v>3</v>
      </c>
      <c r="Q5278" t="n">
        <v>2</v>
      </c>
    </row>
    <row r="5279">
      <c r="J5279" t="inlineStr">
        <is>
          <t>A</t>
        </is>
      </c>
      <c r="K5279" t="n">
        <v>2025</v>
      </c>
      <c r="L5279" t="n">
        <v>7</v>
      </c>
      <c r="M5279" t="inlineStr">
        <is>
          <t>Parmesão ralado Parmozzana 1 kg</t>
        </is>
      </c>
      <c r="N5279" t="inlineStr">
        <is>
          <t>Colaborador</t>
        </is>
      </c>
      <c r="O5279" t="n">
        <v>3</v>
      </c>
      <c r="P5279" t="n">
        <v>3</v>
      </c>
      <c r="Q5279" t="n">
        <v>2</v>
      </c>
    </row>
    <row r="5280">
      <c r="J5280" t="inlineStr">
        <is>
          <t>A</t>
        </is>
      </c>
      <c r="K5280" t="n">
        <v>2025</v>
      </c>
      <c r="L5280" t="n">
        <v>8</v>
      </c>
      <c r="M5280" t="inlineStr">
        <is>
          <t>Parmesão ralado Parmozzana 1 kg</t>
        </is>
      </c>
      <c r="N5280" t="inlineStr">
        <is>
          <t>Colaborador</t>
        </is>
      </c>
      <c r="O5280" t="n">
        <v>3</v>
      </c>
      <c r="P5280" t="n">
        <v>3</v>
      </c>
      <c r="Q5280" t="n">
        <v>2</v>
      </c>
    </row>
    <row r="5281">
      <c r="J5281" t="inlineStr">
        <is>
          <t>A</t>
        </is>
      </c>
      <c r="K5281" t="n">
        <v>2025</v>
      </c>
      <c r="L5281" t="n">
        <v>9</v>
      </c>
      <c r="M5281" t="inlineStr">
        <is>
          <t>Parmesão ralado Parmozzana 1 kg</t>
        </is>
      </c>
      <c r="N5281" t="inlineStr">
        <is>
          <t>Colaborador</t>
        </is>
      </c>
      <c r="O5281" t="n">
        <v>3</v>
      </c>
      <c r="P5281" t="n">
        <v>3</v>
      </c>
      <c r="Q5281" t="n">
        <v>2</v>
      </c>
    </row>
    <row r="5282">
      <c r="J5282" t="inlineStr">
        <is>
          <t>A</t>
        </is>
      </c>
      <c r="K5282" t="n">
        <v>2025</v>
      </c>
      <c r="L5282" t="n">
        <v>10</v>
      </c>
      <c r="M5282" t="inlineStr">
        <is>
          <t>Parmesão ralado Parmozzana 1 kg</t>
        </is>
      </c>
      <c r="N5282" t="inlineStr">
        <is>
          <t>Colaborador</t>
        </is>
      </c>
      <c r="O5282" t="n">
        <v>3</v>
      </c>
      <c r="P5282" t="n">
        <v>3</v>
      </c>
      <c r="Q5282" t="n">
        <v>2</v>
      </c>
    </row>
    <row r="5283">
      <c r="J5283" t="inlineStr">
        <is>
          <t>A</t>
        </is>
      </c>
      <c r="K5283" t="n">
        <v>2025</v>
      </c>
      <c r="L5283" t="n">
        <v>11</v>
      </c>
      <c r="M5283" t="inlineStr">
        <is>
          <t>Parmesão ralado Parmozzana 1 kg</t>
        </is>
      </c>
      <c r="N5283" t="inlineStr">
        <is>
          <t>Colaborador</t>
        </is>
      </c>
      <c r="O5283" t="n">
        <v>3</v>
      </c>
      <c r="P5283" t="n">
        <v>3</v>
      </c>
      <c r="Q5283" t="n">
        <v>2</v>
      </c>
    </row>
    <row r="5284">
      <c r="J5284" t="inlineStr">
        <is>
          <t>A</t>
        </is>
      </c>
      <c r="K5284" t="n">
        <v>2025</v>
      </c>
      <c r="L5284" t="n">
        <v>12</v>
      </c>
      <c r="M5284" t="inlineStr">
        <is>
          <t>Parmesão ralado Parmozzana 1 kg</t>
        </is>
      </c>
      <c r="N5284" t="inlineStr">
        <is>
          <t>Colaborador</t>
        </is>
      </c>
      <c r="O5284" t="n">
        <v>3</v>
      </c>
      <c r="P5284" t="n">
        <v>3</v>
      </c>
      <c r="Q5284" t="n">
        <v>2</v>
      </c>
    </row>
    <row r="5285">
      <c r="J5285" t="inlineStr">
        <is>
          <t>A</t>
        </is>
      </c>
      <c r="K5285" t="n">
        <v>2026</v>
      </c>
      <c r="L5285" t="n">
        <v>1</v>
      </c>
      <c r="M5285" t="inlineStr">
        <is>
          <t>Todos</t>
        </is>
      </c>
      <c r="N5285" t="inlineStr">
        <is>
          <t>Todos</t>
        </is>
      </c>
      <c r="O5285" t="n">
        <v>177</v>
      </c>
      <c r="P5285" t="n">
        <v>356</v>
      </c>
      <c r="Q5285" t="n">
        <v>22</v>
      </c>
    </row>
    <row r="5286">
      <c r="J5286" t="inlineStr">
        <is>
          <t>M</t>
        </is>
      </c>
      <c r="K5286" t="n">
        <v>2026</v>
      </c>
      <c r="L5286" t="n">
        <v>1</v>
      </c>
      <c r="M5286" t="inlineStr">
        <is>
          <t>Todos</t>
        </is>
      </c>
      <c r="N5286" t="inlineStr">
        <is>
          <t>Todos</t>
        </is>
      </c>
      <c r="O5286" t="n">
        <v>177</v>
      </c>
      <c r="P5286" t="n">
        <v>356</v>
      </c>
      <c r="Q5286" t="n">
        <v>0</v>
      </c>
    </row>
    <row r="5287">
      <c r="J5287" t="inlineStr">
        <is>
          <t>A</t>
        </is>
      </c>
      <c r="K5287" t="n">
        <v>2026</v>
      </c>
      <c r="L5287" t="n">
        <v>2</v>
      </c>
      <c r="M5287" t="inlineStr">
        <is>
          <t>Todos</t>
        </is>
      </c>
      <c r="N5287" t="inlineStr">
        <is>
          <t>Todos</t>
        </is>
      </c>
      <c r="O5287" t="n">
        <v>253</v>
      </c>
      <c r="P5287" t="n">
        <v>734</v>
      </c>
      <c r="Q5287" t="n">
        <v>55</v>
      </c>
    </row>
    <row r="5288">
      <c r="J5288" t="inlineStr">
        <is>
          <t>M</t>
        </is>
      </c>
      <c r="K5288" t="n">
        <v>2026</v>
      </c>
      <c r="L5288" t="n">
        <v>2</v>
      </c>
      <c r="M5288" t="inlineStr">
        <is>
          <t>Todos</t>
        </is>
      </c>
      <c r="N5288" t="inlineStr">
        <is>
          <t>Todos</t>
        </is>
      </c>
      <c r="O5288" t="n">
        <v>190</v>
      </c>
      <c r="P5288" t="n">
        <v>378</v>
      </c>
      <c r="Q5288" t="n">
        <v>0</v>
      </c>
    </row>
    <row r="5289">
      <c r="J5289" t="inlineStr">
        <is>
          <t>A</t>
        </is>
      </c>
      <c r="K5289" t="n">
        <v>2026</v>
      </c>
      <c r="L5289" t="n">
        <v>3</v>
      </c>
      <c r="M5289" t="inlineStr">
        <is>
          <t>Todos</t>
        </is>
      </c>
      <c r="N5289" t="inlineStr">
        <is>
          <t>Todos</t>
        </is>
      </c>
      <c r="O5289" t="n">
        <v>347</v>
      </c>
      <c r="P5289" t="n">
        <v>1258</v>
      </c>
      <c r="Q5289" t="n">
        <v>113</v>
      </c>
    </row>
    <row r="5290">
      <c r="J5290" t="inlineStr">
        <is>
          <t>M</t>
        </is>
      </c>
      <c r="K5290" t="n">
        <v>2026</v>
      </c>
      <c r="L5290" t="n">
        <v>3</v>
      </c>
      <c r="M5290" t="inlineStr">
        <is>
          <t>Todos</t>
        </is>
      </c>
      <c r="N5290" t="inlineStr">
        <is>
          <t>Todos</t>
        </is>
      </c>
      <c r="O5290" t="n">
        <v>245</v>
      </c>
      <c r="P5290" t="n">
        <v>524</v>
      </c>
      <c r="Q5290" t="n">
        <v>0</v>
      </c>
    </row>
    <row r="5291">
      <c r="J5291" t="inlineStr">
        <is>
          <t>A</t>
        </is>
      </c>
      <c r="K5291" t="n">
        <v>2026</v>
      </c>
      <c r="L5291" t="n">
        <v>4</v>
      </c>
      <c r="M5291" t="inlineStr">
        <is>
          <t>Todos</t>
        </is>
      </c>
      <c r="N5291" t="inlineStr">
        <is>
          <t>Todos</t>
        </is>
      </c>
      <c r="O5291" t="n">
        <v>409</v>
      </c>
      <c r="P5291" t="n">
        <v>1708</v>
      </c>
      <c r="Q5291" t="n">
        <v>156</v>
      </c>
    </row>
    <row r="5292">
      <c r="J5292" t="inlineStr">
        <is>
          <t>M</t>
        </is>
      </c>
      <c r="K5292" t="n">
        <v>2026</v>
      </c>
      <c r="L5292" t="n">
        <v>4</v>
      </c>
      <c r="M5292" t="inlineStr">
        <is>
          <t>Todos</t>
        </is>
      </c>
      <c r="N5292" t="inlineStr">
        <is>
          <t>Todos</t>
        </is>
      </c>
      <c r="O5292" t="n">
        <v>196</v>
      </c>
      <c r="P5292" t="n">
        <v>450</v>
      </c>
      <c r="Q5292" t="n">
        <v>0</v>
      </c>
    </row>
    <row r="5293">
      <c r="J5293" t="inlineStr">
        <is>
          <t>A</t>
        </is>
      </c>
      <c r="K5293" t="n">
        <v>2026</v>
      </c>
      <c r="L5293" t="n">
        <v>5</v>
      </c>
      <c r="M5293" t="inlineStr">
        <is>
          <t>Todos</t>
        </is>
      </c>
      <c r="N5293" t="inlineStr">
        <is>
          <t>Todos</t>
        </is>
      </c>
      <c r="O5293" t="n">
        <v>467</v>
      </c>
      <c r="P5293" t="n">
        <v>2239</v>
      </c>
      <c r="Q5293" t="n">
        <v>202</v>
      </c>
    </row>
    <row r="5294">
      <c r="J5294" t="inlineStr">
        <is>
          <t>M</t>
        </is>
      </c>
      <c r="K5294" t="n">
        <v>2026</v>
      </c>
      <c r="L5294" t="n">
        <v>5</v>
      </c>
      <c r="M5294" t="inlineStr">
        <is>
          <t>Todos</t>
        </is>
      </c>
      <c r="N5294" t="inlineStr">
        <is>
          <t>Todos</t>
        </is>
      </c>
      <c r="O5294" t="n">
        <v>248</v>
      </c>
      <c r="P5294" t="n">
        <v>531</v>
      </c>
      <c r="Q5294" t="n">
        <v>0</v>
      </c>
    </row>
    <row r="5295">
      <c r="J5295" t="inlineStr">
        <is>
          <t>A</t>
        </is>
      </c>
      <c r="K5295" t="n">
        <v>2026</v>
      </c>
      <c r="L5295" t="n">
        <v>6</v>
      </c>
      <c r="M5295" t="inlineStr">
        <is>
          <t>Todos</t>
        </is>
      </c>
      <c r="N5295" t="inlineStr">
        <is>
          <t>Todos</t>
        </is>
      </c>
      <c r="O5295" t="n">
        <v>545</v>
      </c>
      <c r="P5295" t="n">
        <v>2906</v>
      </c>
      <c r="Q5295" t="n">
        <v>269</v>
      </c>
    </row>
    <row r="5296">
      <c r="J5296" t="inlineStr">
        <is>
          <t>M</t>
        </is>
      </c>
      <c r="K5296" t="n">
        <v>2026</v>
      </c>
      <c r="L5296" t="n">
        <v>6</v>
      </c>
      <c r="M5296" t="inlineStr">
        <is>
          <t>Todos</t>
        </is>
      </c>
      <c r="N5296" t="inlineStr">
        <is>
          <t>Todos</t>
        </is>
      </c>
      <c r="O5296" t="n">
        <v>289</v>
      </c>
      <c r="P5296" t="n">
        <v>667</v>
      </c>
      <c r="Q5296" t="n">
        <v>0</v>
      </c>
    </row>
    <row r="5297">
      <c r="J5297" t="inlineStr">
        <is>
          <t>A</t>
        </is>
      </c>
      <c r="K5297" t="n">
        <v>2026</v>
      </c>
      <c r="L5297" t="n">
        <v>7</v>
      </c>
      <c r="M5297" t="inlineStr">
        <is>
          <t>Todos</t>
        </is>
      </c>
      <c r="N5297" t="inlineStr">
        <is>
          <t>Todos</t>
        </is>
      </c>
      <c r="O5297" t="n">
        <v>619</v>
      </c>
      <c r="P5297" t="n">
        <v>3567</v>
      </c>
      <c r="Q5297" t="n">
        <v>335</v>
      </c>
    </row>
    <row r="5298">
      <c r="J5298" t="inlineStr">
        <is>
          <t>M</t>
        </is>
      </c>
      <c r="K5298" t="n">
        <v>2026</v>
      </c>
      <c r="L5298" t="n">
        <v>7</v>
      </c>
      <c r="M5298" t="inlineStr">
        <is>
          <t>Todos</t>
        </is>
      </c>
      <c r="N5298" t="inlineStr">
        <is>
          <t>Todos</t>
        </is>
      </c>
      <c r="O5298" t="n">
        <v>301</v>
      </c>
      <c r="P5298" t="n">
        <v>661</v>
      </c>
      <c r="Q5298" t="n">
        <v>0</v>
      </c>
    </row>
    <row r="5299">
      <c r="J5299" t="inlineStr">
        <is>
          <t>A</t>
        </is>
      </c>
      <c r="K5299" t="n">
        <v>2026</v>
      </c>
      <c r="L5299" t="n">
        <v>8</v>
      </c>
      <c r="M5299" t="inlineStr">
        <is>
          <t>Todos</t>
        </is>
      </c>
      <c r="N5299" t="inlineStr">
        <is>
          <t>Todos</t>
        </is>
      </c>
      <c r="O5299" t="n">
        <v>653</v>
      </c>
      <c r="P5299" t="n">
        <v>4103</v>
      </c>
      <c r="Q5299" t="n">
        <v>368</v>
      </c>
    </row>
    <row r="5300">
      <c r="J5300" t="inlineStr">
        <is>
          <t>M</t>
        </is>
      </c>
      <c r="K5300" t="n">
        <v>2026</v>
      </c>
      <c r="L5300" t="n">
        <v>8</v>
      </c>
      <c r="M5300" t="inlineStr">
        <is>
          <t>Todos</t>
        </is>
      </c>
      <c r="N5300" t="inlineStr">
        <is>
          <t>Todos</t>
        </is>
      </c>
      <c r="O5300" t="n">
        <v>211</v>
      </c>
      <c r="P5300" t="n">
        <v>536</v>
      </c>
      <c r="Q5300" t="n">
        <v>0</v>
      </c>
    </row>
    <row r="5301">
      <c r="J5301" t="inlineStr">
        <is>
          <t>A</t>
        </is>
      </c>
      <c r="K5301" t="n">
        <v>2026</v>
      </c>
      <c r="L5301" t="n">
        <v>9</v>
      </c>
      <c r="M5301" t="inlineStr">
        <is>
          <t>Todos</t>
        </is>
      </c>
      <c r="N5301" t="inlineStr">
        <is>
          <t>Todos</t>
        </is>
      </c>
      <c r="O5301" t="n">
        <v>674</v>
      </c>
      <c r="P5301" t="n">
        <v>4635</v>
      </c>
      <c r="Q5301" t="n">
        <v>385</v>
      </c>
    </row>
    <row r="5302">
      <c r="J5302" t="inlineStr">
        <is>
          <t>M</t>
        </is>
      </c>
      <c r="K5302" t="n">
        <v>2026</v>
      </c>
      <c r="L5302" t="n">
        <v>9</v>
      </c>
      <c r="M5302" t="inlineStr">
        <is>
          <t>Todos</t>
        </is>
      </c>
      <c r="N5302" t="inlineStr">
        <is>
          <t>Todos</t>
        </is>
      </c>
      <c r="O5302" t="n">
        <v>184</v>
      </c>
      <c r="P5302" t="n">
        <v>532</v>
      </c>
      <c r="Q5302" t="n">
        <v>0</v>
      </c>
    </row>
    <row r="5303">
      <c r="J5303" t="inlineStr">
        <is>
          <t>A</t>
        </is>
      </c>
      <c r="K5303" t="n">
        <v>2026</v>
      </c>
      <c r="L5303" t="n">
        <v>10</v>
      </c>
      <c r="M5303" t="inlineStr">
        <is>
          <t>Todos</t>
        </is>
      </c>
      <c r="N5303" t="inlineStr">
        <is>
          <t>Todos</t>
        </is>
      </c>
      <c r="O5303" t="n">
        <v>674</v>
      </c>
      <c r="P5303" t="n">
        <v>4635</v>
      </c>
      <c r="Q5303" t="n">
        <v>385</v>
      </c>
    </row>
    <row r="5304">
      <c r="J5304" t="inlineStr">
        <is>
          <t>A</t>
        </is>
      </c>
      <c r="K5304" t="n">
        <v>2026</v>
      </c>
      <c r="L5304" t="n">
        <v>11</v>
      </c>
      <c r="M5304" t="inlineStr">
        <is>
          <t>Todos</t>
        </is>
      </c>
      <c r="N5304" t="inlineStr">
        <is>
          <t>Todos</t>
        </is>
      </c>
      <c r="O5304" t="n">
        <v>674</v>
      </c>
      <c r="P5304" t="n">
        <v>4635</v>
      </c>
      <c r="Q5304" t="n">
        <v>385</v>
      </c>
    </row>
    <row r="5305">
      <c r="J5305" t="inlineStr">
        <is>
          <t>A</t>
        </is>
      </c>
      <c r="K5305" t="n">
        <v>2026</v>
      </c>
      <c r="L5305" t="n">
        <v>12</v>
      </c>
      <c r="M5305" t="inlineStr">
        <is>
          <t>Todos</t>
        </is>
      </c>
      <c r="N5305" t="inlineStr">
        <is>
          <t>Todos</t>
        </is>
      </c>
      <c r="O5305" t="n">
        <v>674</v>
      </c>
      <c r="P5305" t="n">
        <v>4635</v>
      </c>
      <c r="Q5305" t="n">
        <v>385</v>
      </c>
    </row>
    <row r="5306">
      <c r="J5306" t="inlineStr">
        <is>
          <t>A</t>
        </is>
      </c>
      <c r="K5306" t="n">
        <v>2026</v>
      </c>
      <c r="L5306" t="n">
        <v>1</v>
      </c>
      <c r="M5306" t="inlineStr">
        <is>
          <t>Todos</t>
        </is>
      </c>
      <c r="N5306" t="inlineStr">
        <is>
          <t>Pizzaria</t>
        </is>
      </c>
      <c r="O5306" t="n">
        <v>53</v>
      </c>
      <c r="P5306" t="n">
        <v>129</v>
      </c>
      <c r="Q5306" t="n">
        <v>6</v>
      </c>
    </row>
    <row r="5307">
      <c r="J5307" t="inlineStr">
        <is>
          <t>M</t>
        </is>
      </c>
      <c r="K5307" t="n">
        <v>2026</v>
      </c>
      <c r="L5307" t="n">
        <v>1</v>
      </c>
      <c r="M5307" t="inlineStr">
        <is>
          <t>Todos</t>
        </is>
      </c>
      <c r="N5307" t="inlineStr">
        <is>
          <t>Pizzaria</t>
        </is>
      </c>
      <c r="O5307" t="n">
        <v>53</v>
      </c>
      <c r="P5307" t="n">
        <v>129</v>
      </c>
      <c r="Q5307" t="n">
        <v>0</v>
      </c>
    </row>
    <row r="5308">
      <c r="J5308" t="inlineStr">
        <is>
          <t>A</t>
        </is>
      </c>
      <c r="K5308" t="n">
        <v>2026</v>
      </c>
      <c r="L5308" t="n">
        <v>2</v>
      </c>
      <c r="M5308" t="inlineStr">
        <is>
          <t>Todos</t>
        </is>
      </c>
      <c r="N5308" t="inlineStr">
        <is>
          <t>Pizzaria</t>
        </is>
      </c>
      <c r="O5308" t="n">
        <v>77</v>
      </c>
      <c r="P5308" t="n">
        <v>271</v>
      </c>
      <c r="Q5308" t="n">
        <v>17</v>
      </c>
    </row>
    <row r="5309">
      <c r="J5309" t="inlineStr">
        <is>
          <t>M</t>
        </is>
      </c>
      <c r="K5309" t="n">
        <v>2026</v>
      </c>
      <c r="L5309" t="n">
        <v>2</v>
      </c>
      <c r="M5309" t="inlineStr">
        <is>
          <t>Todos</t>
        </is>
      </c>
      <c r="N5309" t="inlineStr">
        <is>
          <t>Pizzaria</t>
        </is>
      </c>
      <c r="O5309" t="n">
        <v>62</v>
      </c>
      <c r="P5309" t="n">
        <v>142</v>
      </c>
      <c r="Q5309" t="n">
        <v>0</v>
      </c>
    </row>
    <row r="5310">
      <c r="J5310" t="inlineStr">
        <is>
          <t>A</t>
        </is>
      </c>
      <c r="K5310" t="n">
        <v>2026</v>
      </c>
      <c r="L5310" t="n">
        <v>3</v>
      </c>
      <c r="M5310" t="inlineStr">
        <is>
          <t>Todos</t>
        </is>
      </c>
      <c r="N5310" t="inlineStr">
        <is>
          <t>Pizzaria</t>
        </is>
      </c>
      <c r="O5310" t="n">
        <v>113</v>
      </c>
      <c r="P5310" t="n">
        <v>474</v>
      </c>
      <c r="Q5310" t="n">
        <v>41</v>
      </c>
    </row>
    <row r="5311">
      <c r="J5311" t="inlineStr">
        <is>
          <t>M</t>
        </is>
      </c>
      <c r="K5311" t="n">
        <v>2026</v>
      </c>
      <c r="L5311" t="n">
        <v>3</v>
      </c>
      <c r="M5311" t="inlineStr">
        <is>
          <t>Todos</t>
        </is>
      </c>
      <c r="N5311" t="inlineStr">
        <is>
          <t>Pizzaria</t>
        </is>
      </c>
      <c r="O5311" t="n">
        <v>85</v>
      </c>
      <c r="P5311" t="n">
        <v>203</v>
      </c>
      <c r="Q5311" t="n">
        <v>0</v>
      </c>
    </row>
    <row r="5312">
      <c r="J5312" t="inlineStr">
        <is>
          <t>A</t>
        </is>
      </c>
      <c r="K5312" t="n">
        <v>2026</v>
      </c>
      <c r="L5312" t="n">
        <v>4</v>
      </c>
      <c r="M5312" t="inlineStr">
        <is>
          <t>Todos</t>
        </is>
      </c>
      <c r="N5312" t="inlineStr">
        <is>
          <t>Pizzaria</t>
        </is>
      </c>
      <c r="O5312" t="n">
        <v>137</v>
      </c>
      <c r="P5312" t="n">
        <v>682</v>
      </c>
      <c r="Q5312" t="n">
        <v>57</v>
      </c>
    </row>
    <row r="5313">
      <c r="J5313" t="inlineStr">
        <is>
          <t>M</t>
        </is>
      </c>
      <c r="K5313" t="n">
        <v>2026</v>
      </c>
      <c r="L5313" t="n">
        <v>4</v>
      </c>
      <c r="M5313" t="inlineStr">
        <is>
          <t>Todos</t>
        </is>
      </c>
      <c r="N5313" t="inlineStr">
        <is>
          <t>Pizzaria</t>
        </is>
      </c>
      <c r="O5313" t="n">
        <v>76</v>
      </c>
      <c r="P5313" t="n">
        <v>208</v>
      </c>
      <c r="Q5313" t="n">
        <v>0</v>
      </c>
    </row>
    <row r="5314">
      <c r="J5314" t="inlineStr">
        <is>
          <t>A</t>
        </is>
      </c>
      <c r="K5314" t="n">
        <v>2026</v>
      </c>
      <c r="L5314" t="n">
        <v>5</v>
      </c>
      <c r="M5314" t="inlineStr">
        <is>
          <t>Todos</t>
        </is>
      </c>
      <c r="N5314" t="inlineStr">
        <is>
          <t>Pizzaria</t>
        </is>
      </c>
      <c r="O5314" t="n">
        <v>155</v>
      </c>
      <c r="P5314" t="n">
        <v>899</v>
      </c>
      <c r="Q5314" t="n">
        <v>73</v>
      </c>
    </row>
    <row r="5315">
      <c r="J5315" t="inlineStr">
        <is>
          <t>M</t>
        </is>
      </c>
      <c r="K5315" t="n">
        <v>2026</v>
      </c>
      <c r="L5315" t="n">
        <v>5</v>
      </c>
      <c r="M5315" t="inlineStr">
        <is>
          <t>Todos</t>
        </is>
      </c>
      <c r="N5315" t="inlineStr">
        <is>
          <t>Pizzaria</t>
        </is>
      </c>
      <c r="O5315" t="n">
        <v>86</v>
      </c>
      <c r="P5315" t="n">
        <v>217</v>
      </c>
      <c r="Q5315" t="n">
        <v>0</v>
      </c>
    </row>
    <row r="5316">
      <c r="J5316" t="inlineStr">
        <is>
          <t>A</t>
        </is>
      </c>
      <c r="K5316" t="n">
        <v>2026</v>
      </c>
      <c r="L5316" t="n">
        <v>6</v>
      </c>
      <c r="M5316" t="inlineStr">
        <is>
          <t>Todos</t>
        </is>
      </c>
      <c r="N5316" t="inlineStr">
        <is>
          <t>Pizzaria</t>
        </is>
      </c>
      <c r="O5316" t="n">
        <v>185</v>
      </c>
      <c r="P5316" t="n">
        <v>1198</v>
      </c>
      <c r="Q5316" t="n">
        <v>98</v>
      </c>
    </row>
    <row r="5317">
      <c r="J5317" t="inlineStr">
        <is>
          <t>M</t>
        </is>
      </c>
      <c r="K5317" t="n">
        <v>2026</v>
      </c>
      <c r="L5317" t="n">
        <v>6</v>
      </c>
      <c r="M5317" t="inlineStr">
        <is>
          <t>Todos</t>
        </is>
      </c>
      <c r="N5317" t="inlineStr">
        <is>
          <t>Pizzaria</t>
        </is>
      </c>
      <c r="O5317" t="n">
        <v>109</v>
      </c>
      <c r="P5317" t="n">
        <v>299</v>
      </c>
      <c r="Q5317" t="n">
        <v>0</v>
      </c>
    </row>
    <row r="5318">
      <c r="J5318" t="inlineStr">
        <is>
          <t>A</t>
        </is>
      </c>
      <c r="K5318" t="n">
        <v>2026</v>
      </c>
      <c r="L5318" t="n">
        <v>7</v>
      </c>
      <c r="M5318" t="inlineStr">
        <is>
          <t>Todos</t>
        </is>
      </c>
      <c r="N5318" t="inlineStr">
        <is>
          <t>Pizzaria</t>
        </is>
      </c>
      <c r="O5318" t="n">
        <v>208</v>
      </c>
      <c r="P5318" t="n">
        <v>1488</v>
      </c>
      <c r="Q5318" t="n">
        <v>121</v>
      </c>
    </row>
    <row r="5319">
      <c r="J5319" t="inlineStr">
        <is>
          <t>M</t>
        </is>
      </c>
      <c r="K5319" t="n">
        <v>2026</v>
      </c>
      <c r="L5319" t="n">
        <v>7</v>
      </c>
      <c r="M5319" t="inlineStr">
        <is>
          <t>Todos</t>
        </is>
      </c>
      <c r="N5319" t="inlineStr">
        <is>
          <t>Pizzaria</t>
        </is>
      </c>
      <c r="O5319" t="n">
        <v>107</v>
      </c>
      <c r="P5319" t="n">
        <v>290</v>
      </c>
      <c r="Q5319" t="n">
        <v>0</v>
      </c>
    </row>
    <row r="5320">
      <c r="J5320" t="inlineStr">
        <is>
          <t>A</t>
        </is>
      </c>
      <c r="K5320" t="n">
        <v>2026</v>
      </c>
      <c r="L5320" t="n">
        <v>8</v>
      </c>
      <c r="M5320" t="inlineStr">
        <is>
          <t>Todos</t>
        </is>
      </c>
      <c r="N5320" t="inlineStr">
        <is>
          <t>Pizzaria</t>
        </is>
      </c>
      <c r="O5320" t="n">
        <v>227</v>
      </c>
      <c r="P5320" t="n">
        <v>1759</v>
      </c>
      <c r="Q5320" t="n">
        <v>139</v>
      </c>
    </row>
    <row r="5321">
      <c r="J5321" t="inlineStr">
        <is>
          <t>M</t>
        </is>
      </c>
      <c r="K5321" t="n">
        <v>2026</v>
      </c>
      <c r="L5321" t="n">
        <v>8</v>
      </c>
      <c r="M5321" t="inlineStr">
        <is>
          <t>Todos</t>
        </is>
      </c>
      <c r="N5321" t="inlineStr">
        <is>
          <t>Pizzaria</t>
        </is>
      </c>
      <c r="O5321" t="n">
        <v>100</v>
      </c>
      <c r="P5321" t="n">
        <v>271</v>
      </c>
      <c r="Q5321" t="n">
        <v>0</v>
      </c>
    </row>
    <row r="5322">
      <c r="J5322" t="inlineStr">
        <is>
          <t>A</t>
        </is>
      </c>
      <c r="K5322" t="n">
        <v>2026</v>
      </c>
      <c r="L5322" t="n">
        <v>9</v>
      </c>
      <c r="M5322" t="inlineStr">
        <is>
          <t>Todos</t>
        </is>
      </c>
      <c r="N5322" t="inlineStr">
        <is>
          <t>Pizzaria</t>
        </is>
      </c>
      <c r="O5322" t="n">
        <v>238</v>
      </c>
      <c r="P5322" t="n">
        <v>2050</v>
      </c>
      <c r="Q5322" t="n">
        <v>150</v>
      </c>
    </row>
    <row r="5323">
      <c r="J5323" t="inlineStr">
        <is>
          <t>M</t>
        </is>
      </c>
      <c r="K5323" t="n">
        <v>2026</v>
      </c>
      <c r="L5323" t="n">
        <v>9</v>
      </c>
      <c r="M5323" t="inlineStr">
        <is>
          <t>Todos</t>
        </is>
      </c>
      <c r="N5323" t="inlineStr">
        <is>
          <t>Pizzaria</t>
        </is>
      </c>
      <c r="O5323" t="n">
        <v>89</v>
      </c>
      <c r="P5323" t="n">
        <v>291</v>
      </c>
      <c r="Q5323" t="n">
        <v>0</v>
      </c>
    </row>
    <row r="5324">
      <c r="J5324" t="inlineStr">
        <is>
          <t>A</t>
        </is>
      </c>
      <c r="K5324" t="n">
        <v>2026</v>
      </c>
      <c r="L5324" t="n">
        <v>10</v>
      </c>
      <c r="M5324" t="inlineStr">
        <is>
          <t>Todos</t>
        </is>
      </c>
      <c r="N5324" t="inlineStr">
        <is>
          <t>Pizzaria</t>
        </is>
      </c>
      <c r="O5324" t="n">
        <v>238</v>
      </c>
      <c r="P5324" t="n">
        <v>2050</v>
      </c>
      <c r="Q5324" t="n">
        <v>150</v>
      </c>
    </row>
    <row r="5325">
      <c r="J5325" t="inlineStr">
        <is>
          <t>A</t>
        </is>
      </c>
      <c r="K5325" t="n">
        <v>2026</v>
      </c>
      <c r="L5325" t="n">
        <v>11</v>
      </c>
      <c r="M5325" t="inlineStr">
        <is>
          <t>Todos</t>
        </is>
      </c>
      <c r="N5325" t="inlineStr">
        <is>
          <t>Pizzaria</t>
        </is>
      </c>
      <c r="O5325" t="n">
        <v>238</v>
      </c>
      <c r="P5325" t="n">
        <v>2050</v>
      </c>
      <c r="Q5325" t="n">
        <v>150</v>
      </c>
    </row>
    <row r="5326">
      <c r="J5326" t="inlineStr">
        <is>
          <t>A</t>
        </is>
      </c>
      <c r="K5326" t="n">
        <v>2026</v>
      </c>
      <c r="L5326" t="n">
        <v>12</v>
      </c>
      <c r="M5326" t="inlineStr">
        <is>
          <t>Todos</t>
        </is>
      </c>
      <c r="N5326" t="inlineStr">
        <is>
          <t>Pizzaria</t>
        </is>
      </c>
      <c r="O5326" t="n">
        <v>238</v>
      </c>
      <c r="P5326" t="n">
        <v>2050</v>
      </c>
      <c r="Q5326" t="n">
        <v>150</v>
      </c>
    </row>
    <row r="5327">
      <c r="J5327" t="inlineStr">
        <is>
          <t>A</t>
        </is>
      </c>
      <c r="K5327" t="n">
        <v>2026</v>
      </c>
      <c r="L5327" t="n">
        <v>1</v>
      </c>
      <c r="M5327" t="inlineStr">
        <is>
          <t>Todos</t>
        </is>
      </c>
      <c r="N5327" t="inlineStr">
        <is>
          <t>Restaurante / Cantina</t>
        </is>
      </c>
      <c r="O5327" t="n">
        <v>28</v>
      </c>
      <c r="P5327" t="n">
        <v>48</v>
      </c>
      <c r="Q5327" t="n">
        <v>3</v>
      </c>
    </row>
    <row r="5328">
      <c r="J5328" t="inlineStr">
        <is>
          <t>M</t>
        </is>
      </c>
      <c r="K5328" t="n">
        <v>2026</v>
      </c>
      <c r="L5328" t="n">
        <v>1</v>
      </c>
      <c r="M5328" t="inlineStr">
        <is>
          <t>Todos</t>
        </is>
      </c>
      <c r="N5328" t="inlineStr">
        <is>
          <t>Restaurante / Cantina</t>
        </is>
      </c>
      <c r="O5328" t="n">
        <v>28</v>
      </c>
      <c r="P5328" t="n">
        <v>48</v>
      </c>
      <c r="Q5328" t="n">
        <v>0</v>
      </c>
    </row>
    <row r="5329">
      <c r="J5329" t="inlineStr">
        <is>
          <t>A</t>
        </is>
      </c>
      <c r="K5329" t="n">
        <v>2026</v>
      </c>
      <c r="L5329" t="n">
        <v>2</v>
      </c>
      <c r="M5329" t="inlineStr">
        <is>
          <t>Todos</t>
        </is>
      </c>
      <c r="N5329" t="inlineStr">
        <is>
          <t>Restaurante / Cantina</t>
        </is>
      </c>
      <c r="O5329" t="n">
        <v>42</v>
      </c>
      <c r="P5329" t="n">
        <v>98</v>
      </c>
      <c r="Q5329" t="n">
        <v>11</v>
      </c>
    </row>
    <row r="5330">
      <c r="J5330" t="inlineStr">
        <is>
          <t>M</t>
        </is>
      </c>
      <c r="K5330" t="n">
        <v>2026</v>
      </c>
      <c r="L5330" t="n">
        <v>2</v>
      </c>
      <c r="M5330" t="inlineStr">
        <is>
          <t>Todos</t>
        </is>
      </c>
      <c r="N5330" t="inlineStr">
        <is>
          <t>Restaurante / Cantina</t>
        </is>
      </c>
      <c r="O5330" t="n">
        <v>31</v>
      </c>
      <c r="P5330" t="n">
        <v>50</v>
      </c>
      <c r="Q5330" t="n">
        <v>0</v>
      </c>
    </row>
    <row r="5331">
      <c r="J5331" t="inlineStr">
        <is>
          <t>A</t>
        </is>
      </c>
      <c r="K5331" t="n">
        <v>2026</v>
      </c>
      <c r="L5331" t="n">
        <v>3</v>
      </c>
      <c r="M5331" t="inlineStr">
        <is>
          <t>Todos</t>
        </is>
      </c>
      <c r="N5331" t="inlineStr">
        <is>
          <t>Restaurante / Cantina</t>
        </is>
      </c>
      <c r="O5331" t="n">
        <v>58</v>
      </c>
      <c r="P5331" t="n">
        <v>175</v>
      </c>
      <c r="Q5331" t="n">
        <v>22</v>
      </c>
    </row>
    <row r="5332">
      <c r="J5332" t="inlineStr">
        <is>
          <t>M</t>
        </is>
      </c>
      <c r="K5332" t="n">
        <v>2026</v>
      </c>
      <c r="L5332" t="n">
        <v>3</v>
      </c>
      <c r="M5332" t="inlineStr">
        <is>
          <t>Todos</t>
        </is>
      </c>
      <c r="N5332" t="inlineStr">
        <is>
          <t>Restaurante / Cantina</t>
        </is>
      </c>
      <c r="O5332" t="n">
        <v>40</v>
      </c>
      <c r="P5332" t="n">
        <v>77</v>
      </c>
      <c r="Q5332" t="n">
        <v>0</v>
      </c>
    </row>
    <row r="5333">
      <c r="J5333" t="inlineStr">
        <is>
          <t>A</t>
        </is>
      </c>
      <c r="K5333" t="n">
        <v>2026</v>
      </c>
      <c r="L5333" t="n">
        <v>4</v>
      </c>
      <c r="M5333" t="inlineStr">
        <is>
          <t>Todos</t>
        </is>
      </c>
      <c r="N5333" t="inlineStr">
        <is>
          <t>Restaurante / Cantina</t>
        </is>
      </c>
      <c r="O5333" t="n">
        <v>67</v>
      </c>
      <c r="P5333" t="n">
        <v>221</v>
      </c>
      <c r="Q5333" t="n">
        <v>25</v>
      </c>
    </row>
    <row r="5334">
      <c r="J5334" t="inlineStr">
        <is>
          <t>M</t>
        </is>
      </c>
      <c r="K5334" t="n">
        <v>2026</v>
      </c>
      <c r="L5334" t="n">
        <v>4</v>
      </c>
      <c r="M5334" t="inlineStr">
        <is>
          <t>Todos</t>
        </is>
      </c>
      <c r="N5334" t="inlineStr">
        <is>
          <t>Restaurante / Cantina</t>
        </is>
      </c>
      <c r="O5334" t="n">
        <v>24</v>
      </c>
      <c r="P5334" t="n">
        <v>46</v>
      </c>
      <c r="Q5334" t="n">
        <v>0</v>
      </c>
    </row>
    <row r="5335">
      <c r="J5335" t="inlineStr">
        <is>
          <t>A</t>
        </is>
      </c>
      <c r="K5335" t="n">
        <v>2026</v>
      </c>
      <c r="L5335" t="n">
        <v>5</v>
      </c>
      <c r="M5335" t="inlineStr">
        <is>
          <t>Todos</t>
        </is>
      </c>
      <c r="N5335" t="inlineStr">
        <is>
          <t>Restaurante / Cantina</t>
        </is>
      </c>
      <c r="O5335" t="n">
        <v>80</v>
      </c>
      <c r="P5335" t="n">
        <v>303</v>
      </c>
      <c r="Q5335" t="n">
        <v>34</v>
      </c>
    </row>
    <row r="5336">
      <c r="J5336" t="inlineStr">
        <is>
          <t>M</t>
        </is>
      </c>
      <c r="K5336" t="n">
        <v>2026</v>
      </c>
      <c r="L5336" t="n">
        <v>5</v>
      </c>
      <c r="M5336" t="inlineStr">
        <is>
          <t>Todos</t>
        </is>
      </c>
      <c r="N5336" t="inlineStr">
        <is>
          <t>Restaurante / Cantina</t>
        </is>
      </c>
      <c r="O5336" t="n">
        <v>44</v>
      </c>
      <c r="P5336" t="n">
        <v>82</v>
      </c>
      <c r="Q5336" t="n">
        <v>0</v>
      </c>
    </row>
    <row r="5337">
      <c r="J5337" t="inlineStr">
        <is>
          <t>A</t>
        </is>
      </c>
      <c r="K5337" t="n">
        <v>2026</v>
      </c>
      <c r="L5337" t="n">
        <v>6</v>
      </c>
      <c r="M5337" t="inlineStr">
        <is>
          <t>Todos</t>
        </is>
      </c>
      <c r="N5337" t="inlineStr">
        <is>
          <t>Restaurante / Cantina</t>
        </is>
      </c>
      <c r="O5337" t="n">
        <v>93</v>
      </c>
      <c r="P5337" t="n">
        <v>393</v>
      </c>
      <c r="Q5337" t="n">
        <v>45</v>
      </c>
    </row>
    <row r="5338">
      <c r="J5338" t="inlineStr">
        <is>
          <t>M</t>
        </is>
      </c>
      <c r="K5338" t="n">
        <v>2026</v>
      </c>
      <c r="L5338" t="n">
        <v>6</v>
      </c>
      <c r="M5338" t="inlineStr">
        <is>
          <t>Todos</t>
        </is>
      </c>
      <c r="N5338" t="inlineStr">
        <is>
          <t>Restaurante / Cantina</t>
        </is>
      </c>
      <c r="O5338" t="n">
        <v>49</v>
      </c>
      <c r="P5338" t="n">
        <v>90</v>
      </c>
      <c r="Q5338" t="n">
        <v>0</v>
      </c>
    </row>
    <row r="5339">
      <c r="J5339" t="inlineStr">
        <is>
          <t>A</t>
        </is>
      </c>
      <c r="K5339" t="n">
        <v>2026</v>
      </c>
      <c r="L5339" t="n">
        <v>7</v>
      </c>
      <c r="M5339" t="inlineStr">
        <is>
          <t>Todos</t>
        </is>
      </c>
      <c r="N5339" t="inlineStr">
        <is>
          <t>Restaurante / Cantina</t>
        </is>
      </c>
      <c r="O5339" t="n">
        <v>101</v>
      </c>
      <c r="P5339" t="n">
        <v>478</v>
      </c>
      <c r="Q5339" t="n">
        <v>51</v>
      </c>
    </row>
    <row r="5340">
      <c r="J5340" t="inlineStr">
        <is>
          <t>M</t>
        </is>
      </c>
      <c r="K5340" t="n">
        <v>2026</v>
      </c>
      <c r="L5340" t="n">
        <v>7</v>
      </c>
      <c r="M5340" t="inlineStr">
        <is>
          <t>Todos</t>
        </is>
      </c>
      <c r="N5340" t="inlineStr">
        <is>
          <t>Restaurante / Cantina</t>
        </is>
      </c>
      <c r="O5340" t="n">
        <v>41</v>
      </c>
      <c r="P5340" t="n">
        <v>85</v>
      </c>
      <c r="Q5340" t="n">
        <v>0</v>
      </c>
    </row>
    <row r="5341">
      <c r="J5341" t="inlineStr">
        <is>
          <t>A</t>
        </is>
      </c>
      <c r="K5341" t="n">
        <v>2026</v>
      </c>
      <c r="L5341" t="n">
        <v>8</v>
      </c>
      <c r="M5341" t="inlineStr">
        <is>
          <t>Todos</t>
        </is>
      </c>
      <c r="N5341" t="inlineStr">
        <is>
          <t>Restaurante / Cantina</t>
        </is>
      </c>
      <c r="O5341" t="n">
        <v>105</v>
      </c>
      <c r="P5341" t="n">
        <v>529</v>
      </c>
      <c r="Q5341" t="n">
        <v>55</v>
      </c>
    </row>
    <row r="5342">
      <c r="J5342" t="inlineStr">
        <is>
          <t>M</t>
        </is>
      </c>
      <c r="K5342" t="n">
        <v>2026</v>
      </c>
      <c r="L5342" t="n">
        <v>8</v>
      </c>
      <c r="M5342" t="inlineStr">
        <is>
          <t>Todos</t>
        </is>
      </c>
      <c r="N5342" t="inlineStr">
        <is>
          <t>Restaurante / Cantina</t>
        </is>
      </c>
      <c r="O5342" t="n">
        <v>20</v>
      </c>
      <c r="P5342" t="n">
        <v>51</v>
      </c>
      <c r="Q5342" t="n">
        <v>0</v>
      </c>
    </row>
    <row r="5343">
      <c r="J5343" t="inlineStr">
        <is>
          <t>A</t>
        </is>
      </c>
      <c r="K5343" t="n">
        <v>2026</v>
      </c>
      <c r="L5343" t="n">
        <v>9</v>
      </c>
      <c r="M5343" t="inlineStr">
        <is>
          <t>Todos</t>
        </is>
      </c>
      <c r="N5343" t="inlineStr">
        <is>
          <t>Restaurante / Cantina</t>
        </is>
      </c>
      <c r="O5343" t="n">
        <v>106</v>
      </c>
      <c r="P5343" t="n">
        <v>573</v>
      </c>
      <c r="Q5343" t="n">
        <v>55</v>
      </c>
    </row>
    <row r="5344">
      <c r="J5344" t="inlineStr">
        <is>
          <t>M</t>
        </is>
      </c>
      <c r="K5344" t="n">
        <v>2026</v>
      </c>
      <c r="L5344" t="n">
        <v>9</v>
      </c>
      <c r="M5344" t="inlineStr">
        <is>
          <t>Todos</t>
        </is>
      </c>
      <c r="N5344" t="inlineStr">
        <is>
          <t>Restaurante / Cantina</t>
        </is>
      </c>
      <c r="O5344" t="n">
        <v>15</v>
      </c>
      <c r="P5344" t="n">
        <v>44</v>
      </c>
      <c r="Q5344" t="n">
        <v>0</v>
      </c>
    </row>
    <row r="5345">
      <c r="J5345" t="inlineStr">
        <is>
          <t>A</t>
        </is>
      </c>
      <c r="K5345" t="n">
        <v>2026</v>
      </c>
      <c r="L5345" t="n">
        <v>10</v>
      </c>
      <c r="M5345" t="inlineStr">
        <is>
          <t>Todos</t>
        </is>
      </c>
      <c r="N5345" t="inlineStr">
        <is>
          <t>Restaurante / Cantina</t>
        </is>
      </c>
      <c r="O5345" t="n">
        <v>106</v>
      </c>
      <c r="P5345" t="n">
        <v>573</v>
      </c>
      <c r="Q5345" t="n">
        <v>55</v>
      </c>
    </row>
    <row r="5346">
      <c r="J5346" t="inlineStr">
        <is>
          <t>A</t>
        </is>
      </c>
      <c r="K5346" t="n">
        <v>2026</v>
      </c>
      <c r="L5346" t="n">
        <v>11</v>
      </c>
      <c r="M5346" t="inlineStr">
        <is>
          <t>Todos</t>
        </is>
      </c>
      <c r="N5346" t="inlineStr">
        <is>
          <t>Restaurante / Cantina</t>
        </is>
      </c>
      <c r="O5346" t="n">
        <v>106</v>
      </c>
      <c r="P5346" t="n">
        <v>573</v>
      </c>
      <c r="Q5346" t="n">
        <v>55</v>
      </c>
    </row>
    <row r="5347">
      <c r="J5347" t="inlineStr">
        <is>
          <t>A</t>
        </is>
      </c>
      <c r="K5347" t="n">
        <v>2026</v>
      </c>
      <c r="L5347" t="n">
        <v>12</v>
      </c>
      <c r="M5347" t="inlineStr">
        <is>
          <t>Todos</t>
        </is>
      </c>
      <c r="N5347" t="inlineStr">
        <is>
          <t>Restaurante / Cantina</t>
        </is>
      </c>
      <c r="O5347" t="n">
        <v>106</v>
      </c>
      <c r="P5347" t="n">
        <v>573</v>
      </c>
      <c r="Q5347" t="n">
        <v>55</v>
      </c>
    </row>
    <row r="5348">
      <c r="J5348" t="inlineStr">
        <is>
          <t>A</t>
        </is>
      </c>
      <c r="K5348" t="n">
        <v>2026</v>
      </c>
      <c r="L5348" t="n">
        <v>1</v>
      </c>
      <c r="M5348" t="inlineStr">
        <is>
          <t>Todos</t>
        </is>
      </c>
      <c r="N5348" t="inlineStr">
        <is>
          <t>Cozinha Industrial</t>
        </is>
      </c>
      <c r="O5348" t="n">
        <v>8</v>
      </c>
      <c r="P5348" t="n">
        <v>20</v>
      </c>
      <c r="Q5348" t="n">
        <v>0</v>
      </c>
    </row>
    <row r="5349">
      <c r="J5349" t="inlineStr">
        <is>
          <t>M</t>
        </is>
      </c>
      <c r="K5349" t="n">
        <v>2026</v>
      </c>
      <c r="L5349" t="n">
        <v>1</v>
      </c>
      <c r="M5349" t="inlineStr">
        <is>
          <t>Todos</t>
        </is>
      </c>
      <c r="N5349" t="inlineStr">
        <is>
          <t>Cozinha Industrial</t>
        </is>
      </c>
      <c r="O5349" t="n">
        <v>8</v>
      </c>
      <c r="P5349" t="n">
        <v>20</v>
      </c>
      <c r="Q5349" t="n">
        <v>0</v>
      </c>
    </row>
    <row r="5350">
      <c r="J5350" t="inlineStr">
        <is>
          <t>A</t>
        </is>
      </c>
      <c r="K5350" t="n">
        <v>2026</v>
      </c>
      <c r="L5350" t="n">
        <v>2</v>
      </c>
      <c r="M5350" t="inlineStr">
        <is>
          <t>Todos</t>
        </is>
      </c>
      <c r="N5350" t="inlineStr">
        <is>
          <t>Cozinha Industrial</t>
        </is>
      </c>
      <c r="O5350" t="n">
        <v>11</v>
      </c>
      <c r="P5350" t="n">
        <v>39</v>
      </c>
      <c r="Q5350" t="n">
        <v>0</v>
      </c>
    </row>
    <row r="5351">
      <c r="J5351" t="inlineStr">
        <is>
          <t>M</t>
        </is>
      </c>
      <c r="K5351" t="n">
        <v>2026</v>
      </c>
      <c r="L5351" t="n">
        <v>2</v>
      </c>
      <c r="M5351" t="inlineStr">
        <is>
          <t>Todos</t>
        </is>
      </c>
      <c r="N5351" t="inlineStr">
        <is>
          <t>Cozinha Industrial</t>
        </is>
      </c>
      <c r="O5351" t="n">
        <v>8</v>
      </c>
      <c r="P5351" t="n">
        <v>19</v>
      </c>
      <c r="Q5351" t="n">
        <v>0</v>
      </c>
    </row>
    <row r="5352">
      <c r="J5352" t="inlineStr">
        <is>
          <t>A</t>
        </is>
      </c>
      <c r="K5352" t="n">
        <v>2026</v>
      </c>
      <c r="L5352" t="n">
        <v>3</v>
      </c>
      <c r="M5352" t="inlineStr">
        <is>
          <t>Todos</t>
        </is>
      </c>
      <c r="N5352" t="inlineStr">
        <is>
          <t>Cozinha Industrial</t>
        </is>
      </c>
      <c r="O5352" t="n">
        <v>16</v>
      </c>
      <c r="P5352" t="n">
        <v>65</v>
      </c>
      <c r="Q5352" t="n">
        <v>3</v>
      </c>
    </row>
    <row r="5353">
      <c r="J5353" t="inlineStr">
        <is>
          <t>M</t>
        </is>
      </c>
      <c r="K5353" t="n">
        <v>2026</v>
      </c>
      <c r="L5353" t="n">
        <v>3</v>
      </c>
      <c r="M5353" t="inlineStr">
        <is>
          <t>Todos</t>
        </is>
      </c>
      <c r="N5353" t="inlineStr">
        <is>
          <t>Cozinha Industrial</t>
        </is>
      </c>
      <c r="O5353" t="n">
        <v>11</v>
      </c>
      <c r="P5353" t="n">
        <v>26</v>
      </c>
      <c r="Q5353" t="n">
        <v>0</v>
      </c>
    </row>
    <row r="5354">
      <c r="J5354" t="inlineStr">
        <is>
          <t>A</t>
        </is>
      </c>
      <c r="K5354" t="n">
        <v>2026</v>
      </c>
      <c r="L5354" t="n">
        <v>4</v>
      </c>
      <c r="M5354" t="inlineStr">
        <is>
          <t>Todos</t>
        </is>
      </c>
      <c r="N5354" t="inlineStr">
        <is>
          <t>Cozinha Industrial</t>
        </is>
      </c>
      <c r="O5354" t="n">
        <v>19</v>
      </c>
      <c r="P5354" t="n">
        <v>86</v>
      </c>
      <c r="Q5354" t="n">
        <v>3</v>
      </c>
    </row>
    <row r="5355">
      <c r="J5355" t="inlineStr">
        <is>
          <t>M</t>
        </is>
      </c>
      <c r="K5355" t="n">
        <v>2026</v>
      </c>
      <c r="L5355" t="n">
        <v>4</v>
      </c>
      <c r="M5355" t="inlineStr">
        <is>
          <t>Todos</t>
        </is>
      </c>
      <c r="N5355" t="inlineStr">
        <is>
          <t>Cozinha Industrial</t>
        </is>
      </c>
      <c r="O5355" t="n">
        <v>10</v>
      </c>
      <c r="P5355" t="n">
        <v>21</v>
      </c>
      <c r="Q5355" t="n">
        <v>0</v>
      </c>
    </row>
    <row r="5356">
      <c r="J5356" t="inlineStr">
        <is>
          <t>A</t>
        </is>
      </c>
      <c r="K5356" t="n">
        <v>2026</v>
      </c>
      <c r="L5356" t="n">
        <v>5</v>
      </c>
      <c r="M5356" t="inlineStr">
        <is>
          <t>Todos</t>
        </is>
      </c>
      <c r="N5356" t="inlineStr">
        <is>
          <t>Cozinha Industrial</t>
        </is>
      </c>
      <c r="O5356" t="n">
        <v>21</v>
      </c>
      <c r="P5356" t="n">
        <v>112</v>
      </c>
      <c r="Q5356" t="n">
        <v>5</v>
      </c>
    </row>
    <row r="5357">
      <c r="J5357" t="inlineStr">
        <is>
          <t>M</t>
        </is>
      </c>
      <c r="K5357" t="n">
        <v>2026</v>
      </c>
      <c r="L5357" t="n">
        <v>5</v>
      </c>
      <c r="M5357" t="inlineStr">
        <is>
          <t>Todos</t>
        </is>
      </c>
      <c r="N5357" t="inlineStr">
        <is>
          <t>Cozinha Industrial</t>
        </is>
      </c>
      <c r="O5357" t="n">
        <v>11</v>
      </c>
      <c r="P5357" t="n">
        <v>26</v>
      </c>
      <c r="Q5357" t="n">
        <v>0</v>
      </c>
    </row>
    <row r="5358">
      <c r="J5358" t="inlineStr">
        <is>
          <t>A</t>
        </is>
      </c>
      <c r="K5358" t="n">
        <v>2026</v>
      </c>
      <c r="L5358" t="n">
        <v>6</v>
      </c>
      <c r="M5358" t="inlineStr">
        <is>
          <t>Todos</t>
        </is>
      </c>
      <c r="N5358" t="inlineStr">
        <is>
          <t>Cozinha Industrial</t>
        </is>
      </c>
      <c r="O5358" t="n">
        <v>23</v>
      </c>
      <c r="P5358" t="n">
        <v>139</v>
      </c>
      <c r="Q5358" t="n">
        <v>7</v>
      </c>
    </row>
    <row r="5359">
      <c r="J5359" t="inlineStr">
        <is>
          <t>M</t>
        </is>
      </c>
      <c r="K5359" t="n">
        <v>2026</v>
      </c>
      <c r="L5359" t="n">
        <v>6</v>
      </c>
      <c r="M5359" t="inlineStr">
        <is>
          <t>Todos</t>
        </is>
      </c>
      <c r="N5359" t="inlineStr">
        <is>
          <t>Cozinha Industrial</t>
        </is>
      </c>
      <c r="O5359" t="n">
        <v>11</v>
      </c>
      <c r="P5359" t="n">
        <v>27</v>
      </c>
      <c r="Q5359" t="n">
        <v>0</v>
      </c>
    </row>
    <row r="5360">
      <c r="J5360" t="inlineStr">
        <is>
          <t>A</t>
        </is>
      </c>
      <c r="K5360" t="n">
        <v>2026</v>
      </c>
      <c r="L5360" t="n">
        <v>7</v>
      </c>
      <c r="M5360" t="inlineStr">
        <is>
          <t>Todos</t>
        </is>
      </c>
      <c r="N5360" t="inlineStr">
        <is>
          <t>Cozinha Industrial</t>
        </is>
      </c>
      <c r="O5360" t="n">
        <v>23</v>
      </c>
      <c r="P5360" t="n">
        <v>163</v>
      </c>
      <c r="Q5360" t="n">
        <v>7</v>
      </c>
    </row>
    <row r="5361">
      <c r="J5361" t="inlineStr">
        <is>
          <t>M</t>
        </is>
      </c>
      <c r="K5361" t="n">
        <v>2026</v>
      </c>
      <c r="L5361" t="n">
        <v>7</v>
      </c>
      <c r="M5361" t="inlineStr">
        <is>
          <t>Todos</t>
        </is>
      </c>
      <c r="N5361" t="inlineStr">
        <is>
          <t>Cozinha Industrial</t>
        </is>
      </c>
      <c r="O5361" t="n">
        <v>11</v>
      </c>
      <c r="P5361" t="n">
        <v>24</v>
      </c>
      <c r="Q5361" t="n">
        <v>0</v>
      </c>
    </row>
    <row r="5362">
      <c r="J5362" t="inlineStr">
        <is>
          <t>A</t>
        </is>
      </c>
      <c r="K5362" t="n">
        <v>2026</v>
      </c>
      <c r="L5362" t="n">
        <v>8</v>
      </c>
      <c r="M5362" t="inlineStr">
        <is>
          <t>Todos</t>
        </is>
      </c>
      <c r="N5362" t="inlineStr">
        <is>
          <t>Cozinha Industrial</t>
        </is>
      </c>
      <c r="O5362" t="n">
        <v>24</v>
      </c>
      <c r="P5362" t="n">
        <v>182</v>
      </c>
      <c r="Q5362" t="n">
        <v>8</v>
      </c>
    </row>
    <row r="5363">
      <c r="J5363" t="inlineStr">
        <is>
          <t>M</t>
        </is>
      </c>
      <c r="K5363" t="n">
        <v>2026</v>
      </c>
      <c r="L5363" t="n">
        <v>8</v>
      </c>
      <c r="M5363" t="inlineStr">
        <is>
          <t>Todos</t>
        </is>
      </c>
      <c r="N5363" t="inlineStr">
        <is>
          <t>Cozinha Industrial</t>
        </is>
      </c>
      <c r="O5363" t="n">
        <v>7</v>
      </c>
      <c r="P5363" t="n">
        <v>19</v>
      </c>
      <c r="Q5363" t="n">
        <v>0</v>
      </c>
    </row>
    <row r="5364">
      <c r="J5364" t="inlineStr">
        <is>
          <t>A</t>
        </is>
      </c>
      <c r="K5364" t="n">
        <v>2026</v>
      </c>
      <c r="L5364" t="n">
        <v>9</v>
      </c>
      <c r="M5364" t="inlineStr">
        <is>
          <t>Todos</t>
        </is>
      </c>
      <c r="N5364" t="inlineStr">
        <is>
          <t>Cozinha Industrial</t>
        </is>
      </c>
      <c r="O5364" t="n">
        <v>24</v>
      </c>
      <c r="P5364" t="n">
        <v>201</v>
      </c>
      <c r="Q5364" t="n">
        <v>8</v>
      </c>
    </row>
    <row r="5365">
      <c r="J5365" t="inlineStr">
        <is>
          <t>M</t>
        </is>
      </c>
      <c r="K5365" t="n">
        <v>2026</v>
      </c>
      <c r="L5365" t="n">
        <v>9</v>
      </c>
      <c r="M5365" t="inlineStr">
        <is>
          <t>Todos</t>
        </is>
      </c>
      <c r="N5365" t="inlineStr">
        <is>
          <t>Cozinha Industrial</t>
        </is>
      </c>
      <c r="O5365" t="n">
        <v>7</v>
      </c>
      <c r="P5365" t="n">
        <v>19</v>
      </c>
      <c r="Q5365" t="n">
        <v>0</v>
      </c>
    </row>
    <row r="5366">
      <c r="J5366" t="inlineStr">
        <is>
          <t>A</t>
        </is>
      </c>
      <c r="K5366" t="n">
        <v>2026</v>
      </c>
      <c r="L5366" t="n">
        <v>10</v>
      </c>
      <c r="M5366" t="inlineStr">
        <is>
          <t>Todos</t>
        </is>
      </c>
      <c r="N5366" t="inlineStr">
        <is>
          <t>Cozinha Industrial</t>
        </is>
      </c>
      <c r="O5366" t="n">
        <v>24</v>
      </c>
      <c r="P5366" t="n">
        <v>201</v>
      </c>
      <c r="Q5366" t="n">
        <v>8</v>
      </c>
    </row>
    <row r="5367">
      <c r="J5367" t="inlineStr">
        <is>
          <t>A</t>
        </is>
      </c>
      <c r="K5367" t="n">
        <v>2026</v>
      </c>
      <c r="L5367" t="n">
        <v>11</v>
      </c>
      <c r="M5367" t="inlineStr">
        <is>
          <t>Todos</t>
        </is>
      </c>
      <c r="N5367" t="inlineStr">
        <is>
          <t>Cozinha Industrial</t>
        </is>
      </c>
      <c r="O5367" t="n">
        <v>24</v>
      </c>
      <c r="P5367" t="n">
        <v>201</v>
      </c>
      <c r="Q5367" t="n">
        <v>8</v>
      </c>
    </row>
    <row r="5368">
      <c r="J5368" t="inlineStr">
        <is>
          <t>A</t>
        </is>
      </c>
      <c r="K5368" t="n">
        <v>2026</v>
      </c>
      <c r="L5368" t="n">
        <v>12</v>
      </c>
      <c r="M5368" t="inlineStr">
        <is>
          <t>Todos</t>
        </is>
      </c>
      <c r="N5368" t="inlineStr">
        <is>
          <t>Cozinha Industrial</t>
        </is>
      </c>
      <c r="O5368" t="n">
        <v>24</v>
      </c>
      <c r="P5368" t="n">
        <v>201</v>
      </c>
      <c r="Q5368" t="n">
        <v>8</v>
      </c>
    </row>
    <row r="5369">
      <c r="J5369" t="inlineStr">
        <is>
          <t>A</t>
        </is>
      </c>
      <c r="K5369" t="n">
        <v>2026</v>
      </c>
      <c r="L5369" t="n">
        <v>1</v>
      </c>
      <c r="M5369" t="inlineStr">
        <is>
          <t>Todos</t>
        </is>
      </c>
      <c r="N5369" t="inlineStr">
        <is>
          <t>Fábrica de Massas</t>
        </is>
      </c>
      <c r="O5369" t="n">
        <v>6</v>
      </c>
      <c r="P5369" t="n">
        <v>8</v>
      </c>
      <c r="Q5369" t="n">
        <v>0</v>
      </c>
    </row>
    <row r="5370">
      <c r="J5370" t="inlineStr">
        <is>
          <t>M</t>
        </is>
      </c>
      <c r="K5370" t="n">
        <v>2026</v>
      </c>
      <c r="L5370" t="n">
        <v>1</v>
      </c>
      <c r="M5370" t="inlineStr">
        <is>
          <t>Todos</t>
        </is>
      </c>
      <c r="N5370" t="inlineStr">
        <is>
          <t>Fábrica de Massas</t>
        </is>
      </c>
      <c r="O5370" t="n">
        <v>6</v>
      </c>
      <c r="P5370" t="n">
        <v>8</v>
      </c>
      <c r="Q5370" t="n">
        <v>0</v>
      </c>
    </row>
    <row r="5371">
      <c r="J5371" t="inlineStr">
        <is>
          <t>A</t>
        </is>
      </c>
      <c r="K5371" t="n">
        <v>2026</v>
      </c>
      <c r="L5371" t="n">
        <v>2</v>
      </c>
      <c r="M5371" t="inlineStr">
        <is>
          <t>Todos</t>
        </is>
      </c>
      <c r="N5371" t="inlineStr">
        <is>
          <t>Fábrica de Massas</t>
        </is>
      </c>
      <c r="O5371" t="n">
        <v>6</v>
      </c>
      <c r="P5371" t="n">
        <v>12</v>
      </c>
      <c r="Q5371" t="n">
        <v>0</v>
      </c>
    </row>
    <row r="5372">
      <c r="J5372" t="inlineStr">
        <is>
          <t>M</t>
        </is>
      </c>
      <c r="K5372" t="n">
        <v>2026</v>
      </c>
      <c r="L5372" t="n">
        <v>2</v>
      </c>
      <c r="M5372" t="inlineStr">
        <is>
          <t>Todos</t>
        </is>
      </c>
      <c r="N5372" t="inlineStr">
        <is>
          <t>Fábrica de Massas</t>
        </is>
      </c>
      <c r="O5372" t="n">
        <v>2</v>
      </c>
      <c r="P5372" t="n">
        <v>4</v>
      </c>
      <c r="Q5372" t="n">
        <v>0</v>
      </c>
    </row>
    <row r="5373">
      <c r="J5373" t="inlineStr">
        <is>
          <t>A</t>
        </is>
      </c>
      <c r="K5373" t="n">
        <v>2026</v>
      </c>
      <c r="L5373" t="n">
        <v>3</v>
      </c>
      <c r="M5373" t="inlineStr">
        <is>
          <t>Todos</t>
        </is>
      </c>
      <c r="N5373" t="inlineStr">
        <is>
          <t>Fábrica de Massas</t>
        </is>
      </c>
      <c r="O5373" t="n">
        <v>9</v>
      </c>
      <c r="P5373" t="n">
        <v>25</v>
      </c>
      <c r="Q5373" t="n">
        <v>1</v>
      </c>
    </row>
    <row r="5374">
      <c r="J5374" t="inlineStr">
        <is>
          <t>M</t>
        </is>
      </c>
      <c r="K5374" t="n">
        <v>2026</v>
      </c>
      <c r="L5374" t="n">
        <v>3</v>
      </c>
      <c r="M5374" t="inlineStr">
        <is>
          <t>Todos</t>
        </is>
      </c>
      <c r="N5374" t="inlineStr">
        <is>
          <t>Fábrica de Massas</t>
        </is>
      </c>
      <c r="O5374" t="n">
        <v>7</v>
      </c>
      <c r="P5374" t="n">
        <v>13</v>
      </c>
      <c r="Q5374" t="n">
        <v>0</v>
      </c>
    </row>
    <row r="5375">
      <c r="J5375" t="inlineStr">
        <is>
          <t>A</t>
        </is>
      </c>
      <c r="K5375" t="n">
        <v>2026</v>
      </c>
      <c r="L5375" t="n">
        <v>4</v>
      </c>
      <c r="M5375" t="inlineStr">
        <is>
          <t>Todos</t>
        </is>
      </c>
      <c r="N5375" t="inlineStr">
        <is>
          <t>Fábrica de Massas</t>
        </is>
      </c>
      <c r="O5375" t="n">
        <v>12</v>
      </c>
      <c r="P5375" t="n">
        <v>46</v>
      </c>
      <c r="Q5375" t="n">
        <v>3</v>
      </c>
    </row>
    <row r="5376">
      <c r="J5376" t="inlineStr">
        <is>
          <t>M</t>
        </is>
      </c>
      <c r="K5376" t="n">
        <v>2026</v>
      </c>
      <c r="L5376" t="n">
        <v>4</v>
      </c>
      <c r="M5376" t="inlineStr">
        <is>
          <t>Todos</t>
        </is>
      </c>
      <c r="N5376" t="inlineStr">
        <is>
          <t>Fábrica de Massas</t>
        </is>
      </c>
      <c r="O5376" t="n">
        <v>8</v>
      </c>
      <c r="P5376" t="n">
        <v>21</v>
      </c>
      <c r="Q5376" t="n">
        <v>0</v>
      </c>
    </row>
    <row r="5377">
      <c r="J5377" t="inlineStr">
        <is>
          <t>A</t>
        </is>
      </c>
      <c r="K5377" t="n">
        <v>2026</v>
      </c>
      <c r="L5377" t="n">
        <v>5</v>
      </c>
      <c r="M5377" t="inlineStr">
        <is>
          <t>Todos</t>
        </is>
      </c>
      <c r="N5377" t="inlineStr">
        <is>
          <t>Fábrica de Massas</t>
        </is>
      </c>
      <c r="O5377" t="n">
        <v>14</v>
      </c>
      <c r="P5377" t="n">
        <v>69</v>
      </c>
      <c r="Q5377" t="n">
        <v>4</v>
      </c>
    </row>
    <row r="5378">
      <c r="J5378" t="inlineStr">
        <is>
          <t>M</t>
        </is>
      </c>
      <c r="K5378" t="n">
        <v>2026</v>
      </c>
      <c r="L5378" t="n">
        <v>5</v>
      </c>
      <c r="M5378" t="inlineStr">
        <is>
          <t>Todos</t>
        </is>
      </c>
      <c r="N5378" t="inlineStr">
        <is>
          <t>Fábrica de Massas</t>
        </is>
      </c>
      <c r="O5378" t="n">
        <v>10</v>
      </c>
      <c r="P5378" t="n">
        <v>23</v>
      </c>
      <c r="Q5378" t="n">
        <v>0</v>
      </c>
    </row>
    <row r="5379">
      <c r="J5379" t="inlineStr">
        <is>
          <t>A</t>
        </is>
      </c>
      <c r="K5379" t="n">
        <v>2026</v>
      </c>
      <c r="L5379" t="n">
        <v>6</v>
      </c>
      <c r="M5379" t="inlineStr">
        <is>
          <t>Todos</t>
        </is>
      </c>
      <c r="N5379" t="inlineStr">
        <is>
          <t>Fábrica de Massas</t>
        </is>
      </c>
      <c r="O5379" t="n">
        <v>15</v>
      </c>
      <c r="P5379" t="n">
        <v>91</v>
      </c>
      <c r="Q5379" t="n">
        <v>5</v>
      </c>
    </row>
    <row r="5380">
      <c r="J5380" t="inlineStr">
        <is>
          <t>M</t>
        </is>
      </c>
      <c r="K5380" t="n">
        <v>2026</v>
      </c>
      <c r="L5380" t="n">
        <v>6</v>
      </c>
      <c r="M5380" t="inlineStr">
        <is>
          <t>Todos</t>
        </is>
      </c>
      <c r="N5380" t="inlineStr">
        <is>
          <t>Fábrica de Massas</t>
        </is>
      </c>
      <c r="O5380" t="n">
        <v>10</v>
      </c>
      <c r="P5380" t="n">
        <v>22</v>
      </c>
      <c r="Q5380" t="n">
        <v>0</v>
      </c>
    </row>
    <row r="5381">
      <c r="J5381" t="inlineStr">
        <is>
          <t>A</t>
        </is>
      </c>
      <c r="K5381" t="n">
        <v>2026</v>
      </c>
      <c r="L5381" t="n">
        <v>7</v>
      </c>
      <c r="M5381" t="inlineStr">
        <is>
          <t>Todos</t>
        </is>
      </c>
      <c r="N5381" t="inlineStr">
        <is>
          <t>Fábrica de Massas</t>
        </is>
      </c>
      <c r="O5381" t="n">
        <v>15</v>
      </c>
      <c r="P5381" t="n">
        <v>116</v>
      </c>
      <c r="Q5381" t="n">
        <v>5</v>
      </c>
    </row>
    <row r="5382">
      <c r="J5382" t="inlineStr">
        <is>
          <t>M</t>
        </is>
      </c>
      <c r="K5382" t="n">
        <v>2026</v>
      </c>
      <c r="L5382" t="n">
        <v>7</v>
      </c>
      <c r="M5382" t="inlineStr">
        <is>
          <t>Todos</t>
        </is>
      </c>
      <c r="N5382" t="inlineStr">
        <is>
          <t>Fábrica de Massas</t>
        </is>
      </c>
      <c r="O5382" t="n">
        <v>9</v>
      </c>
      <c r="P5382" t="n">
        <v>25</v>
      </c>
      <c r="Q5382" t="n">
        <v>0</v>
      </c>
    </row>
    <row r="5383">
      <c r="J5383" t="inlineStr">
        <is>
          <t>A</t>
        </is>
      </c>
      <c r="K5383" t="n">
        <v>2026</v>
      </c>
      <c r="L5383" t="n">
        <v>8</v>
      </c>
      <c r="M5383" t="inlineStr">
        <is>
          <t>Todos</t>
        </is>
      </c>
      <c r="N5383" t="inlineStr">
        <is>
          <t>Fábrica de Massas</t>
        </is>
      </c>
      <c r="O5383" t="n">
        <v>16</v>
      </c>
      <c r="P5383" t="n">
        <v>143</v>
      </c>
      <c r="Q5383" t="n">
        <v>6</v>
      </c>
    </row>
    <row r="5384">
      <c r="J5384" t="inlineStr">
        <is>
          <t>M</t>
        </is>
      </c>
      <c r="K5384" t="n">
        <v>2026</v>
      </c>
      <c r="L5384" t="n">
        <v>8</v>
      </c>
      <c r="M5384" t="inlineStr">
        <is>
          <t>Todos</t>
        </is>
      </c>
      <c r="N5384" t="inlineStr">
        <is>
          <t>Fábrica de Massas</t>
        </is>
      </c>
      <c r="O5384" t="n">
        <v>9</v>
      </c>
      <c r="P5384" t="n">
        <v>27</v>
      </c>
      <c r="Q5384" t="n">
        <v>0</v>
      </c>
    </row>
    <row r="5385">
      <c r="J5385" t="inlineStr">
        <is>
          <t>A</t>
        </is>
      </c>
      <c r="K5385" t="n">
        <v>2026</v>
      </c>
      <c r="L5385" t="n">
        <v>9</v>
      </c>
      <c r="M5385" t="inlineStr">
        <is>
          <t>Todos</t>
        </is>
      </c>
      <c r="N5385" t="inlineStr">
        <is>
          <t>Fábrica de Massas</t>
        </is>
      </c>
      <c r="O5385" t="n">
        <v>16</v>
      </c>
      <c r="P5385" t="n">
        <v>166</v>
      </c>
      <c r="Q5385" t="n">
        <v>6</v>
      </c>
    </row>
    <row r="5386">
      <c r="J5386" t="inlineStr">
        <is>
          <t>M</t>
        </is>
      </c>
      <c r="K5386" t="n">
        <v>2026</v>
      </c>
      <c r="L5386" t="n">
        <v>9</v>
      </c>
      <c r="M5386" t="inlineStr">
        <is>
          <t>Todos</t>
        </is>
      </c>
      <c r="N5386" t="inlineStr">
        <is>
          <t>Fábrica de Massas</t>
        </is>
      </c>
      <c r="O5386" t="n">
        <v>9</v>
      </c>
      <c r="P5386" t="n">
        <v>23</v>
      </c>
      <c r="Q5386" t="n">
        <v>0</v>
      </c>
    </row>
    <row r="5387">
      <c r="J5387" t="inlineStr">
        <is>
          <t>A</t>
        </is>
      </c>
      <c r="K5387" t="n">
        <v>2026</v>
      </c>
      <c r="L5387" t="n">
        <v>10</v>
      </c>
      <c r="M5387" t="inlineStr">
        <is>
          <t>Todos</t>
        </is>
      </c>
      <c r="N5387" t="inlineStr">
        <is>
          <t>Fábrica de Massas</t>
        </is>
      </c>
      <c r="O5387" t="n">
        <v>16</v>
      </c>
      <c r="P5387" t="n">
        <v>166</v>
      </c>
      <c r="Q5387" t="n">
        <v>6</v>
      </c>
    </row>
    <row r="5388">
      <c r="J5388" t="inlineStr">
        <is>
          <t>A</t>
        </is>
      </c>
      <c r="K5388" t="n">
        <v>2026</v>
      </c>
      <c r="L5388" t="n">
        <v>11</v>
      </c>
      <c r="M5388" t="inlineStr">
        <is>
          <t>Todos</t>
        </is>
      </c>
      <c r="N5388" t="inlineStr">
        <is>
          <t>Fábrica de Massas</t>
        </is>
      </c>
      <c r="O5388" t="n">
        <v>16</v>
      </c>
      <c r="P5388" t="n">
        <v>166</v>
      </c>
      <c r="Q5388" t="n">
        <v>6</v>
      </c>
    </row>
    <row r="5389">
      <c r="J5389" t="inlineStr">
        <is>
          <t>A</t>
        </is>
      </c>
      <c r="K5389" t="n">
        <v>2026</v>
      </c>
      <c r="L5389" t="n">
        <v>12</v>
      </c>
      <c r="M5389" t="inlineStr">
        <is>
          <t>Todos</t>
        </is>
      </c>
      <c r="N5389" t="inlineStr">
        <is>
          <t>Fábrica de Massas</t>
        </is>
      </c>
      <c r="O5389" t="n">
        <v>16</v>
      </c>
      <c r="P5389" t="n">
        <v>166</v>
      </c>
      <c r="Q5389" t="n">
        <v>6</v>
      </c>
    </row>
    <row r="5390">
      <c r="J5390" t="inlineStr">
        <is>
          <t>A</t>
        </is>
      </c>
      <c r="K5390" t="n">
        <v>2026</v>
      </c>
      <c r="L5390" t="n">
        <v>1</v>
      </c>
      <c r="M5390" t="inlineStr">
        <is>
          <t>Todos</t>
        </is>
      </c>
      <c r="N5390" t="inlineStr">
        <is>
          <t>Outros</t>
        </is>
      </c>
      <c r="O5390" t="n">
        <v>18</v>
      </c>
      <c r="P5390" t="n">
        <v>40</v>
      </c>
      <c r="Q5390" t="n">
        <v>4</v>
      </c>
    </row>
    <row r="5391">
      <c r="J5391" t="inlineStr">
        <is>
          <t>M</t>
        </is>
      </c>
      <c r="K5391" t="n">
        <v>2026</v>
      </c>
      <c r="L5391" t="n">
        <v>1</v>
      </c>
      <c r="M5391" t="inlineStr">
        <is>
          <t>Todos</t>
        </is>
      </c>
      <c r="N5391" t="inlineStr">
        <is>
          <t>Outros</t>
        </is>
      </c>
      <c r="O5391" t="n">
        <v>18</v>
      </c>
      <c r="P5391" t="n">
        <v>40</v>
      </c>
      <c r="Q5391" t="n">
        <v>0</v>
      </c>
    </row>
    <row r="5392">
      <c r="J5392" t="inlineStr">
        <is>
          <t>A</t>
        </is>
      </c>
      <c r="K5392" t="n">
        <v>2026</v>
      </c>
      <c r="L5392" t="n">
        <v>2</v>
      </c>
      <c r="M5392" t="inlineStr">
        <is>
          <t>Todos</t>
        </is>
      </c>
      <c r="N5392" t="inlineStr">
        <is>
          <t>Outros</t>
        </is>
      </c>
      <c r="O5392" t="n">
        <v>21</v>
      </c>
      <c r="P5392" t="n">
        <v>80</v>
      </c>
      <c r="Q5392" t="n">
        <v>5</v>
      </c>
    </row>
    <row r="5393">
      <c r="J5393" t="inlineStr">
        <is>
          <t>M</t>
        </is>
      </c>
      <c r="K5393" t="n">
        <v>2026</v>
      </c>
      <c r="L5393" t="n">
        <v>2</v>
      </c>
      <c r="M5393" t="inlineStr">
        <is>
          <t>Todos</t>
        </is>
      </c>
      <c r="N5393" t="inlineStr">
        <is>
          <t>Outros</t>
        </is>
      </c>
      <c r="O5393" t="n">
        <v>16</v>
      </c>
      <c r="P5393" t="n">
        <v>40</v>
      </c>
      <c r="Q5393" t="n">
        <v>0</v>
      </c>
    </row>
    <row r="5394">
      <c r="J5394" t="inlineStr">
        <is>
          <t>A</t>
        </is>
      </c>
      <c r="K5394" t="n">
        <v>2026</v>
      </c>
      <c r="L5394" t="n">
        <v>3</v>
      </c>
      <c r="M5394" t="inlineStr">
        <is>
          <t>Todos</t>
        </is>
      </c>
      <c r="N5394" t="inlineStr">
        <is>
          <t>Outros</t>
        </is>
      </c>
      <c r="O5394" t="n">
        <v>21</v>
      </c>
      <c r="P5394" t="n">
        <v>111</v>
      </c>
      <c r="Q5394" t="n">
        <v>5</v>
      </c>
    </row>
    <row r="5395">
      <c r="J5395" t="inlineStr">
        <is>
          <t>M</t>
        </is>
      </c>
      <c r="K5395" t="n">
        <v>2026</v>
      </c>
      <c r="L5395" t="n">
        <v>3</v>
      </c>
      <c r="M5395" t="inlineStr">
        <is>
          <t>Todos</t>
        </is>
      </c>
      <c r="N5395" t="inlineStr">
        <is>
          <t>Outros</t>
        </is>
      </c>
      <c r="O5395" t="n">
        <v>12</v>
      </c>
      <c r="P5395" t="n">
        <v>31</v>
      </c>
      <c r="Q5395" t="n">
        <v>0</v>
      </c>
    </row>
    <row r="5396">
      <c r="J5396" t="inlineStr">
        <is>
          <t>A</t>
        </is>
      </c>
      <c r="K5396" t="n">
        <v>2026</v>
      </c>
      <c r="L5396" t="n">
        <v>4</v>
      </c>
      <c r="M5396" t="inlineStr">
        <is>
          <t>Todos</t>
        </is>
      </c>
      <c r="N5396" t="inlineStr">
        <is>
          <t>Outros</t>
        </is>
      </c>
      <c r="O5396" t="n">
        <v>21</v>
      </c>
      <c r="P5396" t="n">
        <v>113</v>
      </c>
      <c r="Q5396" t="n">
        <v>5</v>
      </c>
    </row>
    <row r="5397">
      <c r="J5397" t="inlineStr">
        <is>
          <t>M</t>
        </is>
      </c>
      <c r="K5397" t="n">
        <v>2026</v>
      </c>
      <c r="L5397" t="n">
        <v>4</v>
      </c>
      <c r="M5397" t="inlineStr">
        <is>
          <t>Todos</t>
        </is>
      </c>
      <c r="N5397" t="inlineStr">
        <is>
          <t>Outros</t>
        </is>
      </c>
      <c r="O5397" t="n">
        <v>1</v>
      </c>
      <c r="P5397" t="n">
        <v>2</v>
      </c>
      <c r="Q5397" t="n">
        <v>0</v>
      </c>
    </row>
    <row r="5398">
      <c r="J5398" t="inlineStr">
        <is>
          <t>A</t>
        </is>
      </c>
      <c r="K5398" t="n">
        <v>2026</v>
      </c>
      <c r="L5398" t="n">
        <v>5</v>
      </c>
      <c r="M5398" t="inlineStr">
        <is>
          <t>Todos</t>
        </is>
      </c>
      <c r="N5398" t="inlineStr">
        <is>
          <t>Outros</t>
        </is>
      </c>
      <c r="O5398" t="n">
        <v>21</v>
      </c>
      <c r="P5398" t="n">
        <v>113</v>
      </c>
      <c r="Q5398" t="n">
        <v>5</v>
      </c>
    </row>
    <row r="5399">
      <c r="J5399" t="inlineStr">
        <is>
          <t>A</t>
        </is>
      </c>
      <c r="K5399" t="n">
        <v>2026</v>
      </c>
      <c r="L5399" t="n">
        <v>6</v>
      </c>
      <c r="M5399" t="inlineStr">
        <is>
          <t>Todos</t>
        </is>
      </c>
      <c r="N5399" t="inlineStr">
        <is>
          <t>Outros</t>
        </is>
      </c>
      <c r="O5399" t="n">
        <v>21</v>
      </c>
      <c r="P5399" t="n">
        <v>113</v>
      </c>
      <c r="Q5399" t="n">
        <v>5</v>
      </c>
    </row>
    <row r="5400">
      <c r="J5400" t="inlineStr">
        <is>
          <t>A</t>
        </is>
      </c>
      <c r="K5400" t="n">
        <v>2026</v>
      </c>
      <c r="L5400" t="n">
        <v>7</v>
      </c>
      <c r="M5400" t="inlineStr">
        <is>
          <t>Todos</t>
        </is>
      </c>
      <c r="N5400" t="inlineStr">
        <is>
          <t>Outros</t>
        </is>
      </c>
      <c r="O5400" t="n">
        <v>22</v>
      </c>
      <c r="P5400" t="n">
        <v>114</v>
      </c>
      <c r="Q5400" t="n">
        <v>6</v>
      </c>
    </row>
    <row r="5401">
      <c r="J5401" t="inlineStr">
        <is>
          <t>M</t>
        </is>
      </c>
      <c r="K5401" t="n">
        <v>2026</v>
      </c>
      <c r="L5401" t="n">
        <v>7</v>
      </c>
      <c r="M5401" t="inlineStr">
        <is>
          <t>Todos</t>
        </is>
      </c>
      <c r="N5401" t="inlineStr">
        <is>
          <t>Outros</t>
        </is>
      </c>
      <c r="O5401" t="n">
        <v>1</v>
      </c>
      <c r="P5401" t="n">
        <v>1</v>
      </c>
      <c r="Q5401" t="n">
        <v>0</v>
      </c>
    </row>
    <row r="5402">
      <c r="J5402" t="inlineStr">
        <is>
          <t>A</t>
        </is>
      </c>
      <c r="K5402" t="n">
        <v>2026</v>
      </c>
      <c r="L5402" t="n">
        <v>8</v>
      </c>
      <c r="M5402" t="inlineStr">
        <is>
          <t>Todos</t>
        </is>
      </c>
      <c r="N5402" t="inlineStr">
        <is>
          <t>Outros</t>
        </is>
      </c>
      <c r="O5402" t="n">
        <v>22</v>
      </c>
      <c r="P5402" t="n">
        <v>114</v>
      </c>
      <c r="Q5402" t="n">
        <v>6</v>
      </c>
    </row>
    <row r="5403">
      <c r="J5403" t="inlineStr">
        <is>
          <t>A</t>
        </is>
      </c>
      <c r="K5403" t="n">
        <v>2026</v>
      </c>
      <c r="L5403" t="n">
        <v>9</v>
      </c>
      <c r="M5403" t="inlineStr">
        <is>
          <t>Todos</t>
        </is>
      </c>
      <c r="N5403" t="inlineStr">
        <is>
          <t>Outros</t>
        </is>
      </c>
      <c r="O5403" t="n">
        <v>22</v>
      </c>
      <c r="P5403" t="n">
        <v>114</v>
      </c>
      <c r="Q5403" t="n">
        <v>6</v>
      </c>
    </row>
    <row r="5404">
      <c r="J5404" t="inlineStr">
        <is>
          <t>A</t>
        </is>
      </c>
      <c r="K5404" t="n">
        <v>2026</v>
      </c>
      <c r="L5404" t="n">
        <v>10</v>
      </c>
      <c r="M5404" t="inlineStr">
        <is>
          <t>Todos</t>
        </is>
      </c>
      <c r="N5404" t="inlineStr">
        <is>
          <t>Outros</t>
        </is>
      </c>
      <c r="O5404" t="n">
        <v>22</v>
      </c>
      <c r="P5404" t="n">
        <v>114</v>
      </c>
      <c r="Q5404" t="n">
        <v>6</v>
      </c>
    </row>
    <row r="5405">
      <c r="J5405" t="inlineStr">
        <is>
          <t>A</t>
        </is>
      </c>
      <c r="K5405" t="n">
        <v>2026</v>
      </c>
      <c r="L5405" t="n">
        <v>11</v>
      </c>
      <c r="M5405" t="inlineStr">
        <is>
          <t>Todos</t>
        </is>
      </c>
      <c r="N5405" t="inlineStr">
        <is>
          <t>Outros</t>
        </is>
      </c>
      <c r="O5405" t="n">
        <v>22</v>
      </c>
      <c r="P5405" t="n">
        <v>114</v>
      </c>
      <c r="Q5405" t="n">
        <v>6</v>
      </c>
    </row>
    <row r="5406">
      <c r="J5406" t="inlineStr">
        <is>
          <t>A</t>
        </is>
      </c>
      <c r="K5406" t="n">
        <v>2026</v>
      </c>
      <c r="L5406" t="n">
        <v>12</v>
      </c>
      <c r="M5406" t="inlineStr">
        <is>
          <t>Todos</t>
        </is>
      </c>
      <c r="N5406" t="inlineStr">
        <is>
          <t>Outros</t>
        </is>
      </c>
      <c r="O5406" t="n">
        <v>22</v>
      </c>
      <c r="P5406" t="n">
        <v>114</v>
      </c>
      <c r="Q5406" t="n">
        <v>6</v>
      </c>
    </row>
    <row r="5407">
      <c r="J5407" t="inlineStr">
        <is>
          <t>A</t>
        </is>
      </c>
      <c r="K5407" t="n">
        <v>2026</v>
      </c>
      <c r="L5407" t="n">
        <v>1</v>
      </c>
      <c r="M5407" t="inlineStr">
        <is>
          <t>Todos</t>
        </is>
      </c>
      <c r="N5407" t="inlineStr">
        <is>
          <t>Pessoa Física</t>
        </is>
      </c>
      <c r="O5407" t="n">
        <v>3</v>
      </c>
      <c r="P5407" t="n">
        <v>3</v>
      </c>
      <c r="Q5407" t="n">
        <v>1</v>
      </c>
    </row>
    <row r="5408">
      <c r="J5408" t="inlineStr">
        <is>
          <t>M</t>
        </is>
      </c>
      <c r="K5408" t="n">
        <v>2026</v>
      </c>
      <c r="L5408" t="n">
        <v>1</v>
      </c>
      <c r="M5408" t="inlineStr">
        <is>
          <t>Todos</t>
        </is>
      </c>
      <c r="N5408" t="inlineStr">
        <is>
          <t>Pessoa Física</t>
        </is>
      </c>
      <c r="O5408" t="n">
        <v>3</v>
      </c>
      <c r="P5408" t="n">
        <v>3</v>
      </c>
      <c r="Q5408" t="n">
        <v>0</v>
      </c>
    </row>
    <row r="5409">
      <c r="J5409" t="inlineStr">
        <is>
          <t>A</t>
        </is>
      </c>
      <c r="K5409" t="n">
        <v>2026</v>
      </c>
      <c r="L5409" t="n">
        <v>2</v>
      </c>
      <c r="M5409" t="inlineStr">
        <is>
          <t>Todos</t>
        </is>
      </c>
      <c r="N5409" t="inlineStr">
        <is>
          <t>Pessoa Física</t>
        </is>
      </c>
      <c r="O5409" t="n">
        <v>6</v>
      </c>
      <c r="P5409" t="n">
        <v>9</v>
      </c>
      <c r="Q5409" t="n">
        <v>4</v>
      </c>
    </row>
    <row r="5410">
      <c r="J5410" t="inlineStr">
        <is>
          <t>M</t>
        </is>
      </c>
      <c r="K5410" t="n">
        <v>2026</v>
      </c>
      <c r="L5410" t="n">
        <v>2</v>
      </c>
      <c r="M5410" t="inlineStr">
        <is>
          <t>Todos</t>
        </is>
      </c>
      <c r="N5410" t="inlineStr">
        <is>
          <t>Pessoa Física</t>
        </is>
      </c>
      <c r="O5410" t="n">
        <v>3</v>
      </c>
      <c r="P5410" t="n">
        <v>6</v>
      </c>
      <c r="Q5410" t="n">
        <v>0</v>
      </c>
    </row>
    <row r="5411">
      <c r="J5411" t="inlineStr">
        <is>
          <t>A</t>
        </is>
      </c>
      <c r="K5411" t="n">
        <v>2026</v>
      </c>
      <c r="L5411" t="n">
        <v>3</v>
      </c>
      <c r="M5411" t="inlineStr">
        <is>
          <t>Todos</t>
        </is>
      </c>
      <c r="N5411" t="inlineStr">
        <is>
          <t>Pessoa Física</t>
        </is>
      </c>
      <c r="O5411" t="n">
        <v>10</v>
      </c>
      <c r="P5411" t="n">
        <v>15</v>
      </c>
      <c r="Q5411" t="n">
        <v>5</v>
      </c>
    </row>
    <row r="5412">
      <c r="J5412" t="inlineStr">
        <is>
          <t>M</t>
        </is>
      </c>
      <c r="K5412" t="n">
        <v>2026</v>
      </c>
      <c r="L5412" t="n">
        <v>3</v>
      </c>
      <c r="M5412" t="inlineStr">
        <is>
          <t>Todos</t>
        </is>
      </c>
      <c r="N5412" t="inlineStr">
        <is>
          <t>Pessoa Física</t>
        </is>
      </c>
      <c r="O5412" t="n">
        <v>5</v>
      </c>
      <c r="P5412" t="n">
        <v>6</v>
      </c>
      <c r="Q5412" t="n">
        <v>0</v>
      </c>
    </row>
    <row r="5413">
      <c r="J5413" t="inlineStr">
        <is>
          <t>A</t>
        </is>
      </c>
      <c r="K5413" t="n">
        <v>2026</v>
      </c>
      <c r="L5413" t="n">
        <v>4</v>
      </c>
      <c r="M5413" t="inlineStr">
        <is>
          <t>Todos</t>
        </is>
      </c>
      <c r="N5413" t="inlineStr">
        <is>
          <t>Pessoa Física</t>
        </is>
      </c>
      <c r="O5413" t="n">
        <v>13</v>
      </c>
      <c r="P5413" t="n">
        <v>23</v>
      </c>
      <c r="Q5413" t="n">
        <v>8</v>
      </c>
    </row>
    <row r="5414">
      <c r="J5414" t="inlineStr">
        <is>
          <t>M</t>
        </is>
      </c>
      <c r="K5414" t="n">
        <v>2026</v>
      </c>
      <c r="L5414" t="n">
        <v>4</v>
      </c>
      <c r="M5414" t="inlineStr">
        <is>
          <t>Todos</t>
        </is>
      </c>
      <c r="N5414" t="inlineStr">
        <is>
          <t>Pessoa Física</t>
        </is>
      </c>
      <c r="O5414" t="n">
        <v>5</v>
      </c>
      <c r="P5414" t="n">
        <v>8</v>
      </c>
      <c r="Q5414" t="n">
        <v>0</v>
      </c>
    </row>
    <row r="5415">
      <c r="J5415" t="inlineStr">
        <is>
          <t>A</t>
        </is>
      </c>
      <c r="K5415" t="n">
        <v>2026</v>
      </c>
      <c r="L5415" t="n">
        <v>5</v>
      </c>
      <c r="M5415" t="inlineStr">
        <is>
          <t>Todos</t>
        </is>
      </c>
      <c r="N5415" t="inlineStr">
        <is>
          <t>Pessoa Física</t>
        </is>
      </c>
      <c r="O5415" t="n">
        <v>15</v>
      </c>
      <c r="P5415" t="n">
        <v>32</v>
      </c>
      <c r="Q5415" t="n">
        <v>9</v>
      </c>
    </row>
    <row r="5416">
      <c r="J5416" t="inlineStr">
        <is>
          <t>M</t>
        </is>
      </c>
      <c r="K5416" t="n">
        <v>2026</v>
      </c>
      <c r="L5416" t="n">
        <v>5</v>
      </c>
      <c r="M5416" t="inlineStr">
        <is>
          <t>Todos</t>
        </is>
      </c>
      <c r="N5416" t="inlineStr">
        <is>
          <t>Pessoa Física</t>
        </is>
      </c>
      <c r="O5416" t="n">
        <v>7</v>
      </c>
      <c r="P5416" t="n">
        <v>9</v>
      </c>
      <c r="Q5416" t="n">
        <v>0</v>
      </c>
    </row>
    <row r="5417">
      <c r="J5417" t="inlineStr">
        <is>
          <t>A</t>
        </is>
      </c>
      <c r="K5417" t="n">
        <v>2026</v>
      </c>
      <c r="L5417" t="n">
        <v>6</v>
      </c>
      <c r="M5417" t="inlineStr">
        <is>
          <t>Todos</t>
        </is>
      </c>
      <c r="N5417" t="inlineStr">
        <is>
          <t>Pessoa Física</t>
        </is>
      </c>
      <c r="O5417" t="n">
        <v>16</v>
      </c>
      <c r="P5417" t="n">
        <v>38</v>
      </c>
      <c r="Q5417" t="n">
        <v>10</v>
      </c>
    </row>
    <row r="5418">
      <c r="J5418" t="inlineStr">
        <is>
          <t>M</t>
        </is>
      </c>
      <c r="K5418" t="n">
        <v>2026</v>
      </c>
      <c r="L5418" t="n">
        <v>6</v>
      </c>
      <c r="M5418" t="inlineStr">
        <is>
          <t>Todos</t>
        </is>
      </c>
      <c r="N5418" t="inlineStr">
        <is>
          <t>Pessoa Física</t>
        </is>
      </c>
      <c r="O5418" t="n">
        <v>5</v>
      </c>
      <c r="P5418" t="n">
        <v>6</v>
      </c>
      <c r="Q5418" t="n">
        <v>0</v>
      </c>
    </row>
    <row r="5419">
      <c r="J5419" t="inlineStr">
        <is>
          <t>A</t>
        </is>
      </c>
      <c r="K5419" t="n">
        <v>2026</v>
      </c>
      <c r="L5419" t="n">
        <v>7</v>
      </c>
      <c r="M5419" t="inlineStr">
        <is>
          <t>Todos</t>
        </is>
      </c>
      <c r="N5419" t="inlineStr">
        <is>
          <t>Pessoa Física</t>
        </is>
      </c>
      <c r="O5419" t="n">
        <v>21</v>
      </c>
      <c r="P5419" t="n">
        <v>49</v>
      </c>
      <c r="Q5419" t="n">
        <v>14</v>
      </c>
    </row>
    <row r="5420">
      <c r="J5420" t="inlineStr">
        <is>
          <t>M</t>
        </is>
      </c>
      <c r="K5420" t="n">
        <v>2026</v>
      </c>
      <c r="L5420" t="n">
        <v>7</v>
      </c>
      <c r="M5420" t="inlineStr">
        <is>
          <t>Todos</t>
        </is>
      </c>
      <c r="N5420" t="inlineStr">
        <is>
          <t>Pessoa Física</t>
        </is>
      </c>
      <c r="O5420" t="n">
        <v>8</v>
      </c>
      <c r="P5420" t="n">
        <v>11</v>
      </c>
      <c r="Q5420" t="n">
        <v>0</v>
      </c>
    </row>
    <row r="5421">
      <c r="J5421" t="inlineStr">
        <is>
          <t>A</t>
        </is>
      </c>
      <c r="K5421" t="n">
        <v>2026</v>
      </c>
      <c r="L5421" t="n">
        <v>8</v>
      </c>
      <c r="M5421" t="inlineStr">
        <is>
          <t>Todos</t>
        </is>
      </c>
      <c r="N5421" t="inlineStr">
        <is>
          <t>Pessoa Física</t>
        </is>
      </c>
      <c r="O5421" t="n">
        <v>24</v>
      </c>
      <c r="P5421" t="n">
        <v>67</v>
      </c>
      <c r="Q5421" t="n">
        <v>17</v>
      </c>
    </row>
    <row r="5422">
      <c r="J5422" t="inlineStr">
        <is>
          <t>M</t>
        </is>
      </c>
      <c r="K5422" t="n">
        <v>2026</v>
      </c>
      <c r="L5422" t="n">
        <v>8</v>
      </c>
      <c r="M5422" t="inlineStr">
        <is>
          <t>Todos</t>
        </is>
      </c>
      <c r="N5422" t="inlineStr">
        <is>
          <t>Pessoa Física</t>
        </is>
      </c>
      <c r="O5422" t="n">
        <v>10</v>
      </c>
      <c r="P5422" t="n">
        <v>18</v>
      </c>
      <c r="Q5422" t="n">
        <v>0</v>
      </c>
    </row>
    <row r="5423">
      <c r="J5423" t="inlineStr">
        <is>
          <t>A</t>
        </is>
      </c>
      <c r="K5423" t="n">
        <v>2026</v>
      </c>
      <c r="L5423" t="n">
        <v>9</v>
      </c>
      <c r="M5423" t="inlineStr">
        <is>
          <t>Todos</t>
        </is>
      </c>
      <c r="N5423" t="inlineStr">
        <is>
          <t>Pessoa Física</t>
        </is>
      </c>
      <c r="O5423" t="n">
        <v>29</v>
      </c>
      <c r="P5423" t="n">
        <v>96</v>
      </c>
      <c r="Q5423" t="n">
        <v>21</v>
      </c>
    </row>
    <row r="5424">
      <c r="J5424" t="inlineStr">
        <is>
          <t>M</t>
        </is>
      </c>
      <c r="K5424" t="n">
        <v>2026</v>
      </c>
      <c r="L5424" t="n">
        <v>9</v>
      </c>
      <c r="M5424" t="inlineStr">
        <is>
          <t>Todos</t>
        </is>
      </c>
      <c r="N5424" t="inlineStr">
        <is>
          <t>Pessoa Física</t>
        </is>
      </c>
      <c r="O5424" t="n">
        <v>12</v>
      </c>
      <c r="P5424" t="n">
        <v>29</v>
      </c>
      <c r="Q5424" t="n">
        <v>0</v>
      </c>
    </row>
    <row r="5425">
      <c r="J5425" t="inlineStr">
        <is>
          <t>A</t>
        </is>
      </c>
      <c r="K5425" t="n">
        <v>2026</v>
      </c>
      <c r="L5425" t="n">
        <v>10</v>
      </c>
      <c r="M5425" t="inlineStr">
        <is>
          <t>Todos</t>
        </is>
      </c>
      <c r="N5425" t="inlineStr">
        <is>
          <t>Pessoa Física</t>
        </is>
      </c>
      <c r="O5425" t="n">
        <v>29</v>
      </c>
      <c r="P5425" t="n">
        <v>96</v>
      </c>
      <c r="Q5425" t="n">
        <v>21</v>
      </c>
    </row>
    <row r="5426">
      <c r="J5426" t="inlineStr">
        <is>
          <t>A</t>
        </is>
      </c>
      <c r="K5426" t="n">
        <v>2026</v>
      </c>
      <c r="L5426" t="n">
        <v>11</v>
      </c>
      <c r="M5426" t="inlineStr">
        <is>
          <t>Todos</t>
        </is>
      </c>
      <c r="N5426" t="inlineStr">
        <is>
          <t>Pessoa Física</t>
        </is>
      </c>
      <c r="O5426" t="n">
        <v>29</v>
      </c>
      <c r="P5426" t="n">
        <v>96</v>
      </c>
      <c r="Q5426" t="n">
        <v>21</v>
      </c>
    </row>
    <row r="5427">
      <c r="J5427" t="inlineStr">
        <is>
          <t>A</t>
        </is>
      </c>
      <c r="K5427" t="n">
        <v>2026</v>
      </c>
      <c r="L5427" t="n">
        <v>12</v>
      </c>
      <c r="M5427" t="inlineStr">
        <is>
          <t>Todos</t>
        </is>
      </c>
      <c r="N5427" t="inlineStr">
        <is>
          <t>Pessoa Física</t>
        </is>
      </c>
      <c r="O5427" t="n">
        <v>29</v>
      </c>
      <c r="P5427" t="n">
        <v>96</v>
      </c>
      <c r="Q5427" t="n">
        <v>21</v>
      </c>
    </row>
    <row r="5428">
      <c r="J5428" t="inlineStr">
        <is>
          <t>A</t>
        </is>
      </c>
      <c r="K5428" t="n">
        <v>2026</v>
      </c>
      <c r="L5428" t="n">
        <v>1</v>
      </c>
      <c r="M5428" t="inlineStr">
        <is>
          <t>Todos</t>
        </is>
      </c>
      <c r="N5428" t="inlineStr">
        <is>
          <t>Pastelaria</t>
        </is>
      </c>
      <c r="O5428" t="n">
        <v>6</v>
      </c>
      <c r="P5428" t="n">
        <v>19</v>
      </c>
      <c r="Q5428" t="n">
        <v>0</v>
      </c>
    </row>
    <row r="5429">
      <c r="J5429" t="inlineStr">
        <is>
          <t>M</t>
        </is>
      </c>
      <c r="K5429" t="n">
        <v>2026</v>
      </c>
      <c r="L5429" t="n">
        <v>1</v>
      </c>
      <c r="M5429" t="inlineStr">
        <is>
          <t>Todos</t>
        </is>
      </c>
      <c r="N5429" t="inlineStr">
        <is>
          <t>Pastelaria</t>
        </is>
      </c>
      <c r="O5429" t="n">
        <v>6</v>
      </c>
      <c r="P5429" t="n">
        <v>19</v>
      </c>
      <c r="Q5429" t="n">
        <v>0</v>
      </c>
    </row>
    <row r="5430">
      <c r="J5430" t="inlineStr">
        <is>
          <t>A</t>
        </is>
      </c>
      <c r="K5430" t="n">
        <v>2026</v>
      </c>
      <c r="L5430" t="n">
        <v>2</v>
      </c>
      <c r="M5430" t="inlineStr">
        <is>
          <t>Todos</t>
        </is>
      </c>
      <c r="N5430" t="inlineStr">
        <is>
          <t>Pastelaria</t>
        </is>
      </c>
      <c r="O5430" t="n">
        <v>6</v>
      </c>
      <c r="P5430" t="n">
        <v>35</v>
      </c>
      <c r="Q5430" t="n">
        <v>0</v>
      </c>
    </row>
    <row r="5431">
      <c r="J5431" t="inlineStr">
        <is>
          <t>M</t>
        </is>
      </c>
      <c r="K5431" t="n">
        <v>2026</v>
      </c>
      <c r="L5431" t="n">
        <v>2</v>
      </c>
      <c r="M5431" t="inlineStr">
        <is>
          <t>Todos</t>
        </is>
      </c>
      <c r="N5431" t="inlineStr">
        <is>
          <t>Pastelaria</t>
        </is>
      </c>
      <c r="O5431" t="n">
        <v>6</v>
      </c>
      <c r="P5431" t="n">
        <v>16</v>
      </c>
      <c r="Q5431" t="n">
        <v>0</v>
      </c>
    </row>
    <row r="5432">
      <c r="J5432" t="inlineStr">
        <is>
          <t>A</t>
        </is>
      </c>
      <c r="K5432" t="n">
        <v>2026</v>
      </c>
      <c r="L5432" t="n">
        <v>3</v>
      </c>
      <c r="M5432" t="inlineStr">
        <is>
          <t>Todos</t>
        </is>
      </c>
      <c r="N5432" t="inlineStr">
        <is>
          <t>Pastelaria</t>
        </is>
      </c>
      <c r="O5432" t="n">
        <v>8</v>
      </c>
      <c r="P5432" t="n">
        <v>62</v>
      </c>
      <c r="Q5432" t="n">
        <v>1</v>
      </c>
    </row>
    <row r="5433">
      <c r="J5433" t="inlineStr">
        <is>
          <t>M</t>
        </is>
      </c>
      <c r="K5433" t="n">
        <v>2026</v>
      </c>
      <c r="L5433" t="n">
        <v>3</v>
      </c>
      <c r="M5433" t="inlineStr">
        <is>
          <t>Todos</t>
        </is>
      </c>
      <c r="N5433" t="inlineStr">
        <is>
          <t>Pastelaria</t>
        </is>
      </c>
      <c r="O5433" t="n">
        <v>8</v>
      </c>
      <c r="P5433" t="n">
        <v>27</v>
      </c>
      <c r="Q5433" t="n">
        <v>0</v>
      </c>
    </row>
    <row r="5434">
      <c r="J5434" t="inlineStr">
        <is>
          <t>A</t>
        </is>
      </c>
      <c r="K5434" t="n">
        <v>2026</v>
      </c>
      <c r="L5434" t="n">
        <v>4</v>
      </c>
      <c r="M5434" t="inlineStr">
        <is>
          <t>Todos</t>
        </is>
      </c>
      <c r="N5434" t="inlineStr">
        <is>
          <t>Pastelaria</t>
        </is>
      </c>
      <c r="O5434" t="n">
        <v>8</v>
      </c>
      <c r="P5434" t="n">
        <v>86</v>
      </c>
      <c r="Q5434" t="n">
        <v>1</v>
      </c>
    </row>
    <row r="5435">
      <c r="J5435" t="inlineStr">
        <is>
          <t>M</t>
        </is>
      </c>
      <c r="K5435" t="n">
        <v>2026</v>
      </c>
      <c r="L5435" t="n">
        <v>4</v>
      </c>
      <c r="M5435" t="inlineStr">
        <is>
          <t>Todos</t>
        </is>
      </c>
      <c r="N5435" t="inlineStr">
        <is>
          <t>Pastelaria</t>
        </is>
      </c>
      <c r="O5435" t="n">
        <v>7</v>
      </c>
      <c r="P5435" t="n">
        <v>24</v>
      </c>
      <c r="Q5435" t="n">
        <v>0</v>
      </c>
    </row>
    <row r="5436">
      <c r="J5436" t="inlineStr">
        <is>
          <t>A</t>
        </is>
      </c>
      <c r="K5436" t="n">
        <v>2026</v>
      </c>
      <c r="L5436" t="n">
        <v>5</v>
      </c>
      <c r="M5436" t="inlineStr">
        <is>
          <t>Todos</t>
        </is>
      </c>
      <c r="N5436" t="inlineStr">
        <is>
          <t>Pastelaria</t>
        </is>
      </c>
      <c r="O5436" t="n">
        <v>10</v>
      </c>
      <c r="P5436" t="n">
        <v>107</v>
      </c>
      <c r="Q5436" t="n">
        <v>2</v>
      </c>
    </row>
    <row r="5437">
      <c r="J5437" t="inlineStr">
        <is>
          <t>M</t>
        </is>
      </c>
      <c r="K5437" t="n">
        <v>2026</v>
      </c>
      <c r="L5437" t="n">
        <v>5</v>
      </c>
      <c r="M5437" t="inlineStr">
        <is>
          <t>Todos</t>
        </is>
      </c>
      <c r="N5437" t="inlineStr">
        <is>
          <t>Pastelaria</t>
        </is>
      </c>
      <c r="O5437" t="n">
        <v>10</v>
      </c>
      <c r="P5437" t="n">
        <v>21</v>
      </c>
      <c r="Q5437" t="n">
        <v>0</v>
      </c>
    </row>
    <row r="5438">
      <c r="J5438" t="inlineStr">
        <is>
          <t>A</t>
        </is>
      </c>
      <c r="K5438" t="n">
        <v>2026</v>
      </c>
      <c r="L5438" t="n">
        <v>6</v>
      </c>
      <c r="M5438" t="inlineStr">
        <is>
          <t>Todos</t>
        </is>
      </c>
      <c r="N5438" t="inlineStr">
        <is>
          <t>Pastelaria</t>
        </is>
      </c>
      <c r="O5438" t="n">
        <v>11</v>
      </c>
      <c r="P5438" t="n">
        <v>132</v>
      </c>
      <c r="Q5438" t="n">
        <v>3</v>
      </c>
    </row>
    <row r="5439">
      <c r="J5439" t="inlineStr">
        <is>
          <t>M</t>
        </is>
      </c>
      <c r="K5439" t="n">
        <v>2026</v>
      </c>
      <c r="L5439" t="n">
        <v>6</v>
      </c>
      <c r="M5439" t="inlineStr">
        <is>
          <t>Todos</t>
        </is>
      </c>
      <c r="N5439" t="inlineStr">
        <is>
          <t>Pastelaria</t>
        </is>
      </c>
      <c r="O5439" t="n">
        <v>9</v>
      </c>
      <c r="P5439" t="n">
        <v>25</v>
      </c>
      <c r="Q5439" t="n">
        <v>0</v>
      </c>
    </row>
    <row r="5440">
      <c r="J5440" t="inlineStr">
        <is>
          <t>A</t>
        </is>
      </c>
      <c r="K5440" t="n">
        <v>2026</v>
      </c>
      <c r="L5440" t="n">
        <v>7</v>
      </c>
      <c r="M5440" t="inlineStr">
        <is>
          <t>Todos</t>
        </is>
      </c>
      <c r="N5440" t="inlineStr">
        <is>
          <t>Pastelaria</t>
        </is>
      </c>
      <c r="O5440" t="n">
        <v>13</v>
      </c>
      <c r="P5440" t="n">
        <v>153</v>
      </c>
      <c r="Q5440" t="n">
        <v>5</v>
      </c>
    </row>
    <row r="5441">
      <c r="J5441" t="inlineStr">
        <is>
          <t>M</t>
        </is>
      </c>
      <c r="K5441" t="n">
        <v>2026</v>
      </c>
      <c r="L5441" t="n">
        <v>7</v>
      </c>
      <c r="M5441" t="inlineStr">
        <is>
          <t>Todos</t>
        </is>
      </c>
      <c r="N5441" t="inlineStr">
        <is>
          <t>Pastelaria</t>
        </is>
      </c>
      <c r="O5441" t="n">
        <v>9</v>
      </c>
      <c r="P5441" t="n">
        <v>21</v>
      </c>
      <c r="Q5441" t="n">
        <v>0</v>
      </c>
    </row>
    <row r="5442">
      <c r="J5442" t="inlineStr">
        <is>
          <t>A</t>
        </is>
      </c>
      <c r="K5442" t="n">
        <v>2026</v>
      </c>
      <c r="L5442" t="n">
        <v>8</v>
      </c>
      <c r="M5442" t="inlineStr">
        <is>
          <t>Todos</t>
        </is>
      </c>
      <c r="N5442" t="inlineStr">
        <is>
          <t>Pastelaria</t>
        </is>
      </c>
      <c r="O5442" t="n">
        <v>15</v>
      </c>
      <c r="P5442" t="n">
        <v>179</v>
      </c>
      <c r="Q5442" t="n">
        <v>7</v>
      </c>
    </row>
    <row r="5443">
      <c r="J5443" t="inlineStr">
        <is>
          <t>M</t>
        </is>
      </c>
      <c r="K5443" t="n">
        <v>2026</v>
      </c>
      <c r="L5443" t="n">
        <v>8</v>
      </c>
      <c r="M5443" t="inlineStr">
        <is>
          <t>Todos</t>
        </is>
      </c>
      <c r="N5443" t="inlineStr">
        <is>
          <t>Pastelaria</t>
        </is>
      </c>
      <c r="O5443" t="n">
        <v>10</v>
      </c>
      <c r="P5443" t="n">
        <v>26</v>
      </c>
      <c r="Q5443" t="n">
        <v>0</v>
      </c>
    </row>
    <row r="5444">
      <c r="J5444" t="inlineStr">
        <is>
          <t>A</t>
        </is>
      </c>
      <c r="K5444" t="n">
        <v>2026</v>
      </c>
      <c r="L5444" t="n">
        <v>9</v>
      </c>
      <c r="M5444" t="inlineStr">
        <is>
          <t>Todos</t>
        </is>
      </c>
      <c r="N5444" t="inlineStr">
        <is>
          <t>Pastelaria</t>
        </is>
      </c>
      <c r="O5444" t="n">
        <v>15</v>
      </c>
      <c r="P5444" t="n">
        <v>195</v>
      </c>
      <c r="Q5444" t="n">
        <v>7</v>
      </c>
    </row>
    <row r="5445">
      <c r="J5445" t="inlineStr">
        <is>
          <t>M</t>
        </is>
      </c>
      <c r="K5445" t="n">
        <v>2026</v>
      </c>
      <c r="L5445" t="n">
        <v>9</v>
      </c>
      <c r="M5445" t="inlineStr">
        <is>
          <t>Todos</t>
        </is>
      </c>
      <c r="N5445" t="inlineStr">
        <is>
          <t>Pastelaria</t>
        </is>
      </c>
      <c r="O5445" t="n">
        <v>4</v>
      </c>
      <c r="P5445" t="n">
        <v>16</v>
      </c>
      <c r="Q5445" t="n">
        <v>0</v>
      </c>
    </row>
    <row r="5446">
      <c r="J5446" t="inlineStr">
        <is>
          <t>A</t>
        </is>
      </c>
      <c r="K5446" t="n">
        <v>2026</v>
      </c>
      <c r="L5446" t="n">
        <v>10</v>
      </c>
      <c r="M5446" t="inlineStr">
        <is>
          <t>Todos</t>
        </is>
      </c>
      <c r="N5446" t="inlineStr">
        <is>
          <t>Pastelaria</t>
        </is>
      </c>
      <c r="O5446" t="n">
        <v>15</v>
      </c>
      <c r="P5446" t="n">
        <v>195</v>
      </c>
      <c r="Q5446" t="n">
        <v>7</v>
      </c>
    </row>
    <row r="5447">
      <c r="J5447" t="inlineStr">
        <is>
          <t>A</t>
        </is>
      </c>
      <c r="K5447" t="n">
        <v>2026</v>
      </c>
      <c r="L5447" t="n">
        <v>11</v>
      </c>
      <c r="M5447" t="inlineStr">
        <is>
          <t>Todos</t>
        </is>
      </c>
      <c r="N5447" t="inlineStr">
        <is>
          <t>Pastelaria</t>
        </is>
      </c>
      <c r="O5447" t="n">
        <v>15</v>
      </c>
      <c r="P5447" t="n">
        <v>195</v>
      </c>
      <c r="Q5447" t="n">
        <v>7</v>
      </c>
    </row>
    <row r="5448">
      <c r="J5448" t="inlineStr">
        <is>
          <t>A</t>
        </is>
      </c>
      <c r="K5448" t="n">
        <v>2026</v>
      </c>
      <c r="L5448" t="n">
        <v>12</v>
      </c>
      <c r="M5448" t="inlineStr">
        <is>
          <t>Todos</t>
        </is>
      </c>
      <c r="N5448" t="inlineStr">
        <is>
          <t>Pastelaria</t>
        </is>
      </c>
      <c r="O5448" t="n">
        <v>15</v>
      </c>
      <c r="P5448" t="n">
        <v>195</v>
      </c>
      <c r="Q5448" t="n">
        <v>7</v>
      </c>
    </row>
    <row r="5449">
      <c r="J5449" t="inlineStr">
        <is>
          <t>A</t>
        </is>
      </c>
      <c r="K5449" t="n">
        <v>2026</v>
      </c>
      <c r="L5449" t="n">
        <v>1</v>
      </c>
      <c r="M5449" t="inlineStr">
        <is>
          <t>Todos</t>
        </is>
      </c>
      <c r="N5449" t="inlineStr">
        <is>
          <t>Esfiharia</t>
        </is>
      </c>
      <c r="O5449" t="n">
        <v>5</v>
      </c>
      <c r="P5449" t="n">
        <v>13</v>
      </c>
      <c r="Q5449" t="n">
        <v>1</v>
      </c>
    </row>
    <row r="5450">
      <c r="J5450" t="inlineStr">
        <is>
          <t>M</t>
        </is>
      </c>
      <c r="K5450" t="n">
        <v>2026</v>
      </c>
      <c r="L5450" t="n">
        <v>1</v>
      </c>
      <c r="M5450" t="inlineStr">
        <is>
          <t>Todos</t>
        </is>
      </c>
      <c r="N5450" t="inlineStr">
        <is>
          <t>Esfiharia</t>
        </is>
      </c>
      <c r="O5450" t="n">
        <v>5</v>
      </c>
      <c r="P5450" t="n">
        <v>13</v>
      </c>
      <c r="Q5450" t="n">
        <v>0</v>
      </c>
    </row>
    <row r="5451">
      <c r="J5451" t="inlineStr">
        <is>
          <t>A</t>
        </is>
      </c>
      <c r="K5451" t="n">
        <v>2026</v>
      </c>
      <c r="L5451" t="n">
        <v>2</v>
      </c>
      <c r="M5451" t="inlineStr">
        <is>
          <t>Todos</t>
        </is>
      </c>
      <c r="N5451" t="inlineStr">
        <is>
          <t>Esfiharia</t>
        </is>
      </c>
      <c r="O5451" t="n">
        <v>5</v>
      </c>
      <c r="P5451" t="n">
        <v>27</v>
      </c>
      <c r="Q5451" t="n">
        <v>1</v>
      </c>
    </row>
    <row r="5452">
      <c r="J5452" t="inlineStr">
        <is>
          <t>M</t>
        </is>
      </c>
      <c r="K5452" t="n">
        <v>2026</v>
      </c>
      <c r="L5452" t="n">
        <v>2</v>
      </c>
      <c r="M5452" t="inlineStr">
        <is>
          <t>Todos</t>
        </is>
      </c>
      <c r="N5452" t="inlineStr">
        <is>
          <t>Esfiharia</t>
        </is>
      </c>
      <c r="O5452" t="n">
        <v>5</v>
      </c>
      <c r="P5452" t="n">
        <v>14</v>
      </c>
      <c r="Q5452" t="n">
        <v>0</v>
      </c>
    </row>
    <row r="5453">
      <c r="J5453" t="inlineStr">
        <is>
          <t>A</t>
        </is>
      </c>
      <c r="K5453" t="n">
        <v>2026</v>
      </c>
      <c r="L5453" t="n">
        <v>3</v>
      </c>
      <c r="M5453" t="inlineStr">
        <is>
          <t>Todos</t>
        </is>
      </c>
      <c r="N5453" t="inlineStr">
        <is>
          <t>Esfiharia</t>
        </is>
      </c>
      <c r="O5453" t="n">
        <v>6</v>
      </c>
      <c r="P5453" t="n">
        <v>43</v>
      </c>
      <c r="Q5453" t="n">
        <v>2</v>
      </c>
    </row>
    <row r="5454">
      <c r="J5454" t="inlineStr">
        <is>
          <t>M</t>
        </is>
      </c>
      <c r="K5454" t="n">
        <v>2026</v>
      </c>
      <c r="L5454" t="n">
        <v>3</v>
      </c>
      <c r="M5454" t="inlineStr">
        <is>
          <t>Todos</t>
        </is>
      </c>
      <c r="N5454" t="inlineStr">
        <is>
          <t>Esfiharia</t>
        </is>
      </c>
      <c r="O5454" t="n">
        <v>6</v>
      </c>
      <c r="P5454" t="n">
        <v>16</v>
      </c>
      <c r="Q5454" t="n">
        <v>0</v>
      </c>
    </row>
    <row r="5455">
      <c r="J5455" t="inlineStr">
        <is>
          <t>A</t>
        </is>
      </c>
      <c r="K5455" t="n">
        <v>2026</v>
      </c>
      <c r="L5455" t="n">
        <v>4</v>
      </c>
      <c r="M5455" t="inlineStr">
        <is>
          <t>Todos</t>
        </is>
      </c>
      <c r="N5455" t="inlineStr">
        <is>
          <t>Esfiharia</t>
        </is>
      </c>
      <c r="O5455" t="n">
        <v>9</v>
      </c>
      <c r="P5455" t="n">
        <v>61</v>
      </c>
      <c r="Q5455" t="n">
        <v>4</v>
      </c>
    </row>
    <row r="5456">
      <c r="J5456" t="inlineStr">
        <is>
          <t>M</t>
        </is>
      </c>
      <c r="K5456" t="n">
        <v>2026</v>
      </c>
      <c r="L5456" t="n">
        <v>4</v>
      </c>
      <c r="M5456" t="inlineStr">
        <is>
          <t>Todos</t>
        </is>
      </c>
      <c r="N5456" t="inlineStr">
        <is>
          <t>Esfiharia</t>
        </is>
      </c>
      <c r="O5456" t="n">
        <v>7</v>
      </c>
      <c r="P5456" t="n">
        <v>18</v>
      </c>
      <c r="Q5456" t="n">
        <v>0</v>
      </c>
    </row>
    <row r="5457">
      <c r="J5457" t="inlineStr">
        <is>
          <t>A</t>
        </is>
      </c>
      <c r="K5457" t="n">
        <v>2026</v>
      </c>
      <c r="L5457" t="n">
        <v>5</v>
      </c>
      <c r="M5457" t="inlineStr">
        <is>
          <t>Todos</t>
        </is>
      </c>
      <c r="N5457" t="inlineStr">
        <is>
          <t>Esfiharia</t>
        </is>
      </c>
      <c r="O5457" t="n">
        <v>10</v>
      </c>
      <c r="P5457" t="n">
        <v>81</v>
      </c>
      <c r="Q5457" t="n">
        <v>5</v>
      </c>
    </row>
    <row r="5458">
      <c r="J5458" t="inlineStr">
        <is>
          <t>M</t>
        </is>
      </c>
      <c r="K5458" t="n">
        <v>2026</v>
      </c>
      <c r="L5458" t="n">
        <v>5</v>
      </c>
      <c r="M5458" t="inlineStr">
        <is>
          <t>Todos</t>
        </is>
      </c>
      <c r="N5458" t="inlineStr">
        <is>
          <t>Esfiharia</t>
        </is>
      </c>
      <c r="O5458" t="n">
        <v>7</v>
      </c>
      <c r="P5458" t="n">
        <v>20</v>
      </c>
      <c r="Q5458" t="n">
        <v>0</v>
      </c>
    </row>
    <row r="5459">
      <c r="J5459" t="inlineStr">
        <is>
          <t>A</t>
        </is>
      </c>
      <c r="K5459" t="n">
        <v>2026</v>
      </c>
      <c r="L5459" t="n">
        <v>6</v>
      </c>
      <c r="M5459" t="inlineStr">
        <is>
          <t>Todos</t>
        </is>
      </c>
      <c r="N5459" t="inlineStr">
        <is>
          <t>Esfiharia</t>
        </is>
      </c>
      <c r="O5459" t="n">
        <v>10</v>
      </c>
      <c r="P5459" t="n">
        <v>97</v>
      </c>
      <c r="Q5459" t="n">
        <v>5</v>
      </c>
    </row>
    <row r="5460">
      <c r="J5460" t="inlineStr">
        <is>
          <t>M</t>
        </is>
      </c>
      <c r="K5460" t="n">
        <v>2026</v>
      </c>
      <c r="L5460" t="n">
        <v>6</v>
      </c>
      <c r="M5460" t="inlineStr">
        <is>
          <t>Todos</t>
        </is>
      </c>
      <c r="N5460" t="inlineStr">
        <is>
          <t>Esfiharia</t>
        </is>
      </c>
      <c r="O5460" t="n">
        <v>5</v>
      </c>
      <c r="P5460" t="n">
        <v>16</v>
      </c>
      <c r="Q5460" t="n">
        <v>0</v>
      </c>
    </row>
    <row r="5461">
      <c r="J5461" t="inlineStr">
        <is>
          <t>A</t>
        </is>
      </c>
      <c r="K5461" t="n">
        <v>2026</v>
      </c>
      <c r="L5461" t="n">
        <v>7</v>
      </c>
      <c r="M5461" t="inlineStr">
        <is>
          <t>Todos</t>
        </is>
      </c>
      <c r="N5461" t="inlineStr">
        <is>
          <t>Esfiharia</t>
        </is>
      </c>
      <c r="O5461" t="n">
        <v>12</v>
      </c>
      <c r="P5461" t="n">
        <v>114</v>
      </c>
      <c r="Q5461" t="n">
        <v>6</v>
      </c>
    </row>
    <row r="5462">
      <c r="J5462" t="inlineStr">
        <is>
          <t>M</t>
        </is>
      </c>
      <c r="K5462" t="n">
        <v>2026</v>
      </c>
      <c r="L5462" t="n">
        <v>7</v>
      </c>
      <c r="M5462" t="inlineStr">
        <is>
          <t>Todos</t>
        </is>
      </c>
      <c r="N5462" t="inlineStr">
        <is>
          <t>Esfiharia</t>
        </is>
      </c>
      <c r="O5462" t="n">
        <v>8</v>
      </c>
      <c r="P5462" t="n">
        <v>17</v>
      </c>
      <c r="Q5462" t="n">
        <v>0</v>
      </c>
    </row>
    <row r="5463">
      <c r="J5463" t="inlineStr">
        <is>
          <t>A</t>
        </is>
      </c>
      <c r="K5463" t="n">
        <v>2026</v>
      </c>
      <c r="L5463" t="n">
        <v>8</v>
      </c>
      <c r="M5463" t="inlineStr">
        <is>
          <t>Todos</t>
        </is>
      </c>
      <c r="N5463" t="inlineStr">
        <is>
          <t>Esfiharia</t>
        </is>
      </c>
      <c r="O5463" t="n">
        <v>12</v>
      </c>
      <c r="P5463" t="n">
        <v>132</v>
      </c>
      <c r="Q5463" t="n">
        <v>6</v>
      </c>
    </row>
    <row r="5464">
      <c r="J5464" t="inlineStr">
        <is>
          <t>M</t>
        </is>
      </c>
      <c r="K5464" t="n">
        <v>2026</v>
      </c>
      <c r="L5464" t="n">
        <v>8</v>
      </c>
      <c r="M5464" t="inlineStr">
        <is>
          <t>Todos</t>
        </is>
      </c>
      <c r="N5464" t="inlineStr">
        <is>
          <t>Esfiharia</t>
        </is>
      </c>
      <c r="O5464" t="n">
        <v>5</v>
      </c>
      <c r="P5464" t="n">
        <v>18</v>
      </c>
      <c r="Q5464" t="n">
        <v>0</v>
      </c>
    </row>
    <row r="5465">
      <c r="J5465" t="inlineStr">
        <is>
          <t>A</t>
        </is>
      </c>
      <c r="K5465" t="n">
        <v>2026</v>
      </c>
      <c r="L5465" t="n">
        <v>9</v>
      </c>
      <c r="M5465" t="inlineStr">
        <is>
          <t>Todos</t>
        </is>
      </c>
      <c r="N5465" t="inlineStr">
        <is>
          <t>Esfiharia</t>
        </is>
      </c>
      <c r="O5465" t="n">
        <v>12</v>
      </c>
      <c r="P5465" t="n">
        <v>151</v>
      </c>
      <c r="Q5465" t="n">
        <v>6</v>
      </c>
    </row>
    <row r="5466">
      <c r="J5466" t="inlineStr">
        <is>
          <t>M</t>
        </is>
      </c>
      <c r="K5466" t="n">
        <v>2026</v>
      </c>
      <c r="L5466" t="n">
        <v>9</v>
      </c>
      <c r="M5466" t="inlineStr">
        <is>
          <t>Todos</t>
        </is>
      </c>
      <c r="N5466" t="inlineStr">
        <is>
          <t>Esfiharia</t>
        </is>
      </c>
      <c r="O5466" t="n">
        <v>6</v>
      </c>
      <c r="P5466" t="n">
        <v>19</v>
      </c>
      <c r="Q5466" t="n">
        <v>0</v>
      </c>
    </row>
    <row r="5467">
      <c r="J5467" t="inlineStr">
        <is>
          <t>A</t>
        </is>
      </c>
      <c r="K5467" t="n">
        <v>2026</v>
      </c>
      <c r="L5467" t="n">
        <v>10</v>
      </c>
      <c r="M5467" t="inlineStr">
        <is>
          <t>Todos</t>
        </is>
      </c>
      <c r="N5467" t="inlineStr">
        <is>
          <t>Esfiharia</t>
        </is>
      </c>
      <c r="O5467" t="n">
        <v>12</v>
      </c>
      <c r="P5467" t="n">
        <v>151</v>
      </c>
      <c r="Q5467" t="n">
        <v>6</v>
      </c>
    </row>
    <row r="5468">
      <c r="J5468" t="inlineStr">
        <is>
          <t>A</t>
        </is>
      </c>
      <c r="K5468" t="n">
        <v>2026</v>
      </c>
      <c r="L5468" t="n">
        <v>11</v>
      </c>
      <c r="M5468" t="inlineStr">
        <is>
          <t>Todos</t>
        </is>
      </c>
      <c r="N5468" t="inlineStr">
        <is>
          <t>Esfiharia</t>
        </is>
      </c>
      <c r="O5468" t="n">
        <v>12</v>
      </c>
      <c r="P5468" t="n">
        <v>151</v>
      </c>
      <c r="Q5468" t="n">
        <v>6</v>
      </c>
    </row>
    <row r="5469">
      <c r="J5469" t="inlineStr">
        <is>
          <t>A</t>
        </is>
      </c>
      <c r="K5469" t="n">
        <v>2026</v>
      </c>
      <c r="L5469" t="n">
        <v>12</v>
      </c>
      <c r="M5469" t="inlineStr">
        <is>
          <t>Todos</t>
        </is>
      </c>
      <c r="N5469" t="inlineStr">
        <is>
          <t>Esfiharia</t>
        </is>
      </c>
      <c r="O5469" t="n">
        <v>12</v>
      </c>
      <c r="P5469" t="n">
        <v>151</v>
      </c>
      <c r="Q5469" t="n">
        <v>6</v>
      </c>
    </row>
    <row r="5470">
      <c r="J5470" t="inlineStr">
        <is>
          <t>A</t>
        </is>
      </c>
      <c r="K5470" t="n">
        <v>2026</v>
      </c>
      <c r="L5470" t="n">
        <v>1</v>
      </c>
      <c r="M5470" t="inlineStr">
        <is>
          <t>Todos</t>
        </is>
      </c>
      <c r="N5470" t="inlineStr">
        <is>
          <t>Lanchonete / Cafeteria</t>
        </is>
      </c>
      <c r="O5470" t="n">
        <v>14</v>
      </c>
      <c r="P5470" t="n">
        <v>22</v>
      </c>
      <c r="Q5470" t="n">
        <v>3</v>
      </c>
    </row>
    <row r="5471">
      <c r="J5471" t="inlineStr">
        <is>
          <t>M</t>
        </is>
      </c>
      <c r="K5471" t="n">
        <v>2026</v>
      </c>
      <c r="L5471" t="n">
        <v>1</v>
      </c>
      <c r="M5471" t="inlineStr">
        <is>
          <t>Todos</t>
        </is>
      </c>
      <c r="N5471" t="inlineStr">
        <is>
          <t>Lanchonete / Cafeteria</t>
        </is>
      </c>
      <c r="O5471" t="n">
        <v>14</v>
      </c>
      <c r="P5471" t="n">
        <v>22</v>
      </c>
      <c r="Q5471" t="n">
        <v>0</v>
      </c>
    </row>
    <row r="5472">
      <c r="J5472" t="inlineStr">
        <is>
          <t>A</t>
        </is>
      </c>
      <c r="K5472" t="n">
        <v>2026</v>
      </c>
      <c r="L5472" t="n">
        <v>2</v>
      </c>
      <c r="M5472" t="inlineStr">
        <is>
          <t>Todos</t>
        </is>
      </c>
      <c r="N5472" t="inlineStr">
        <is>
          <t>Lanchonete / Cafeteria</t>
        </is>
      </c>
      <c r="O5472" t="n">
        <v>21</v>
      </c>
      <c r="P5472" t="n">
        <v>47</v>
      </c>
      <c r="Q5472" t="n">
        <v>4</v>
      </c>
    </row>
    <row r="5473">
      <c r="J5473" t="inlineStr">
        <is>
          <t>M</t>
        </is>
      </c>
      <c r="K5473" t="n">
        <v>2026</v>
      </c>
      <c r="L5473" t="n">
        <v>2</v>
      </c>
      <c r="M5473" t="inlineStr">
        <is>
          <t>Todos</t>
        </is>
      </c>
      <c r="N5473" t="inlineStr">
        <is>
          <t>Lanchonete / Cafeteria</t>
        </is>
      </c>
      <c r="O5473" t="n">
        <v>15</v>
      </c>
      <c r="P5473" t="n">
        <v>25</v>
      </c>
      <c r="Q5473" t="n">
        <v>0</v>
      </c>
    </row>
    <row r="5474">
      <c r="J5474" t="inlineStr">
        <is>
          <t>A</t>
        </is>
      </c>
      <c r="K5474" t="n">
        <v>2026</v>
      </c>
      <c r="L5474" t="n">
        <v>3</v>
      </c>
      <c r="M5474" t="inlineStr">
        <is>
          <t>Todos</t>
        </is>
      </c>
      <c r="N5474" t="inlineStr">
        <is>
          <t>Lanchonete / Cafeteria</t>
        </is>
      </c>
      <c r="O5474" t="n">
        <v>27</v>
      </c>
      <c r="P5474" t="n">
        <v>78</v>
      </c>
      <c r="Q5474" t="n">
        <v>7</v>
      </c>
    </row>
    <row r="5475">
      <c r="J5475" t="inlineStr">
        <is>
          <t>M</t>
        </is>
      </c>
      <c r="K5475" t="n">
        <v>2026</v>
      </c>
      <c r="L5475" t="n">
        <v>3</v>
      </c>
      <c r="M5475" t="inlineStr">
        <is>
          <t>Todos</t>
        </is>
      </c>
      <c r="N5475" t="inlineStr">
        <is>
          <t>Lanchonete / Cafeteria</t>
        </is>
      </c>
      <c r="O5475" t="n">
        <v>18</v>
      </c>
      <c r="P5475" t="n">
        <v>31</v>
      </c>
      <c r="Q5475" t="n">
        <v>0</v>
      </c>
    </row>
    <row r="5476">
      <c r="J5476" t="inlineStr">
        <is>
          <t>A</t>
        </is>
      </c>
      <c r="K5476" t="n">
        <v>2026</v>
      </c>
      <c r="L5476" t="n">
        <v>4</v>
      </c>
      <c r="M5476" t="inlineStr">
        <is>
          <t>Todos</t>
        </is>
      </c>
      <c r="N5476" t="inlineStr">
        <is>
          <t>Lanchonete / Cafeteria</t>
        </is>
      </c>
      <c r="O5476" t="n">
        <v>35</v>
      </c>
      <c r="P5476" t="n">
        <v>108</v>
      </c>
      <c r="Q5476" t="n">
        <v>13</v>
      </c>
    </row>
    <row r="5477">
      <c r="J5477" t="inlineStr">
        <is>
          <t>M</t>
        </is>
      </c>
      <c r="K5477" t="n">
        <v>2026</v>
      </c>
      <c r="L5477" t="n">
        <v>4</v>
      </c>
      <c r="M5477" t="inlineStr">
        <is>
          <t>Todos</t>
        </is>
      </c>
      <c r="N5477" t="inlineStr">
        <is>
          <t>Lanchonete / Cafeteria</t>
        </is>
      </c>
      <c r="O5477" t="n">
        <v>16</v>
      </c>
      <c r="P5477" t="n">
        <v>30</v>
      </c>
      <c r="Q5477" t="n">
        <v>0</v>
      </c>
    </row>
    <row r="5478">
      <c r="J5478" t="inlineStr">
        <is>
          <t>A</t>
        </is>
      </c>
      <c r="K5478" t="n">
        <v>2026</v>
      </c>
      <c r="L5478" t="n">
        <v>5</v>
      </c>
      <c r="M5478" t="inlineStr">
        <is>
          <t>Todos</t>
        </is>
      </c>
      <c r="N5478" t="inlineStr">
        <is>
          <t>Lanchonete / Cafeteria</t>
        </is>
      </c>
      <c r="O5478" t="n">
        <v>40</v>
      </c>
      <c r="P5478" t="n">
        <v>144</v>
      </c>
      <c r="Q5478" t="n">
        <v>16</v>
      </c>
    </row>
    <row r="5479">
      <c r="J5479" t="inlineStr">
        <is>
          <t>M</t>
        </is>
      </c>
      <c r="K5479" t="n">
        <v>2026</v>
      </c>
      <c r="L5479" t="n">
        <v>5</v>
      </c>
      <c r="M5479" t="inlineStr">
        <is>
          <t>Todos</t>
        </is>
      </c>
      <c r="N5479" t="inlineStr">
        <is>
          <t>Lanchonete / Cafeteria</t>
        </is>
      </c>
      <c r="O5479" t="n">
        <v>20</v>
      </c>
      <c r="P5479" t="n">
        <v>36</v>
      </c>
      <c r="Q5479" t="n">
        <v>0</v>
      </c>
    </row>
    <row r="5480">
      <c r="J5480" t="inlineStr">
        <is>
          <t>A</t>
        </is>
      </c>
      <c r="K5480" t="n">
        <v>2026</v>
      </c>
      <c r="L5480" t="n">
        <v>6</v>
      </c>
      <c r="M5480" t="inlineStr">
        <is>
          <t>Todos</t>
        </is>
      </c>
      <c r="N5480" t="inlineStr">
        <is>
          <t>Lanchonete / Cafeteria</t>
        </is>
      </c>
      <c r="O5480" t="n">
        <v>46</v>
      </c>
      <c r="P5480" t="n">
        <v>196</v>
      </c>
      <c r="Q5480" t="n">
        <v>22</v>
      </c>
    </row>
    <row r="5481">
      <c r="J5481" t="inlineStr">
        <is>
          <t>M</t>
        </is>
      </c>
      <c r="K5481" t="n">
        <v>2026</v>
      </c>
      <c r="L5481" t="n">
        <v>6</v>
      </c>
      <c r="M5481" t="inlineStr">
        <is>
          <t>Todos</t>
        </is>
      </c>
      <c r="N5481" t="inlineStr">
        <is>
          <t>Lanchonete / Cafeteria</t>
        </is>
      </c>
      <c r="O5481" t="n">
        <v>23</v>
      </c>
      <c r="P5481" t="n">
        <v>52</v>
      </c>
      <c r="Q5481" t="n">
        <v>0</v>
      </c>
    </row>
    <row r="5482">
      <c r="J5482" t="inlineStr">
        <is>
          <t>A</t>
        </is>
      </c>
      <c r="K5482" t="n">
        <v>2026</v>
      </c>
      <c r="L5482" t="n">
        <v>7</v>
      </c>
      <c r="M5482" t="inlineStr">
        <is>
          <t>Todos</t>
        </is>
      </c>
      <c r="N5482" t="inlineStr">
        <is>
          <t>Lanchonete / Cafeteria</t>
        </is>
      </c>
      <c r="O5482" t="n">
        <v>52</v>
      </c>
      <c r="P5482" t="n">
        <v>245</v>
      </c>
      <c r="Q5482" t="n">
        <v>27</v>
      </c>
    </row>
    <row r="5483">
      <c r="J5483" t="inlineStr">
        <is>
          <t>M</t>
        </is>
      </c>
      <c r="K5483" t="n">
        <v>2026</v>
      </c>
      <c r="L5483" t="n">
        <v>7</v>
      </c>
      <c r="M5483" t="inlineStr">
        <is>
          <t>Todos</t>
        </is>
      </c>
      <c r="N5483" t="inlineStr">
        <is>
          <t>Lanchonete / Cafeteria</t>
        </is>
      </c>
      <c r="O5483" t="n">
        <v>22</v>
      </c>
      <c r="P5483" t="n">
        <v>49</v>
      </c>
      <c r="Q5483" t="n">
        <v>0</v>
      </c>
    </row>
    <row r="5484">
      <c r="J5484" t="inlineStr">
        <is>
          <t>A</t>
        </is>
      </c>
      <c r="K5484" t="n">
        <v>2026</v>
      </c>
      <c r="L5484" t="n">
        <v>8</v>
      </c>
      <c r="M5484" t="inlineStr">
        <is>
          <t>Todos</t>
        </is>
      </c>
      <c r="N5484" t="inlineStr">
        <is>
          <t>Lanchonete / Cafeteria</t>
        </is>
      </c>
      <c r="O5484" t="n">
        <v>53</v>
      </c>
      <c r="P5484" t="n">
        <v>278</v>
      </c>
      <c r="Q5484" t="n">
        <v>28</v>
      </c>
    </row>
    <row r="5485">
      <c r="J5485" t="inlineStr">
        <is>
          <t>M</t>
        </is>
      </c>
      <c r="K5485" t="n">
        <v>2026</v>
      </c>
      <c r="L5485" t="n">
        <v>8</v>
      </c>
      <c r="M5485" t="inlineStr">
        <is>
          <t>Todos</t>
        </is>
      </c>
      <c r="N5485" t="inlineStr">
        <is>
          <t>Lanchonete / Cafeteria</t>
        </is>
      </c>
      <c r="O5485" t="n">
        <v>15</v>
      </c>
      <c r="P5485" t="n">
        <v>33</v>
      </c>
      <c r="Q5485" t="n">
        <v>0</v>
      </c>
    </row>
    <row r="5486">
      <c r="J5486" t="inlineStr">
        <is>
          <t>A</t>
        </is>
      </c>
      <c r="K5486" t="n">
        <v>2026</v>
      </c>
      <c r="L5486" t="n">
        <v>9</v>
      </c>
      <c r="M5486" t="inlineStr">
        <is>
          <t>Todos</t>
        </is>
      </c>
      <c r="N5486" t="inlineStr">
        <is>
          <t>Lanchonete / Cafeteria</t>
        </is>
      </c>
      <c r="O5486" t="n">
        <v>54</v>
      </c>
      <c r="P5486" t="n">
        <v>312</v>
      </c>
      <c r="Q5486" t="n">
        <v>28</v>
      </c>
    </row>
    <row r="5487">
      <c r="J5487" t="inlineStr">
        <is>
          <t>M</t>
        </is>
      </c>
      <c r="K5487" t="n">
        <v>2026</v>
      </c>
      <c r="L5487" t="n">
        <v>9</v>
      </c>
      <c r="M5487" t="inlineStr">
        <is>
          <t>Todos</t>
        </is>
      </c>
      <c r="N5487" t="inlineStr">
        <is>
          <t>Lanchonete / Cafeteria</t>
        </is>
      </c>
      <c r="O5487" t="n">
        <v>12</v>
      </c>
      <c r="P5487" t="n">
        <v>34</v>
      </c>
      <c r="Q5487" t="n">
        <v>0</v>
      </c>
    </row>
    <row r="5488">
      <c r="J5488" t="inlineStr">
        <is>
          <t>A</t>
        </is>
      </c>
      <c r="K5488" t="n">
        <v>2026</v>
      </c>
      <c r="L5488" t="n">
        <v>10</v>
      </c>
      <c r="M5488" t="inlineStr">
        <is>
          <t>Todos</t>
        </is>
      </c>
      <c r="N5488" t="inlineStr">
        <is>
          <t>Lanchonete / Cafeteria</t>
        </is>
      </c>
      <c r="O5488" t="n">
        <v>54</v>
      </c>
      <c r="P5488" t="n">
        <v>312</v>
      </c>
      <c r="Q5488" t="n">
        <v>28</v>
      </c>
    </row>
    <row r="5489">
      <c r="J5489" t="inlineStr">
        <is>
          <t>A</t>
        </is>
      </c>
      <c r="K5489" t="n">
        <v>2026</v>
      </c>
      <c r="L5489" t="n">
        <v>11</v>
      </c>
      <c r="M5489" t="inlineStr">
        <is>
          <t>Todos</t>
        </is>
      </c>
      <c r="N5489" t="inlineStr">
        <is>
          <t>Lanchonete / Cafeteria</t>
        </is>
      </c>
      <c r="O5489" t="n">
        <v>54</v>
      </c>
      <c r="P5489" t="n">
        <v>312</v>
      </c>
      <c r="Q5489" t="n">
        <v>28</v>
      </c>
    </row>
    <row r="5490">
      <c r="J5490" t="inlineStr">
        <is>
          <t>A</t>
        </is>
      </c>
      <c r="K5490" t="n">
        <v>2026</v>
      </c>
      <c r="L5490" t="n">
        <v>12</v>
      </c>
      <c r="M5490" t="inlineStr">
        <is>
          <t>Todos</t>
        </is>
      </c>
      <c r="N5490" t="inlineStr">
        <is>
          <t>Lanchonete / Cafeteria</t>
        </is>
      </c>
      <c r="O5490" t="n">
        <v>54</v>
      </c>
      <c r="P5490" t="n">
        <v>312</v>
      </c>
      <c r="Q5490" t="n">
        <v>28</v>
      </c>
    </row>
    <row r="5491">
      <c r="J5491" t="inlineStr">
        <is>
          <t>A</t>
        </is>
      </c>
      <c r="K5491" t="n">
        <v>2026</v>
      </c>
      <c r="L5491" t="n">
        <v>1</v>
      </c>
      <c r="M5491" t="inlineStr">
        <is>
          <t>Todos</t>
        </is>
      </c>
      <c r="N5491" t="inlineStr">
        <is>
          <t>Padaria</t>
        </is>
      </c>
      <c r="O5491" t="n">
        <v>6</v>
      </c>
      <c r="P5491" t="n">
        <v>13</v>
      </c>
      <c r="Q5491" t="n">
        <v>0</v>
      </c>
    </row>
    <row r="5492">
      <c r="J5492" t="inlineStr">
        <is>
          <t>M</t>
        </is>
      </c>
      <c r="K5492" t="n">
        <v>2026</v>
      </c>
      <c r="L5492" t="n">
        <v>1</v>
      </c>
      <c r="M5492" t="inlineStr">
        <is>
          <t>Todos</t>
        </is>
      </c>
      <c r="N5492" t="inlineStr">
        <is>
          <t>Padaria</t>
        </is>
      </c>
      <c r="O5492" t="n">
        <v>6</v>
      </c>
      <c r="P5492" t="n">
        <v>13</v>
      </c>
      <c r="Q5492" t="n">
        <v>0</v>
      </c>
    </row>
    <row r="5493">
      <c r="J5493" t="inlineStr">
        <is>
          <t>A</t>
        </is>
      </c>
      <c r="K5493" t="n">
        <v>2026</v>
      </c>
      <c r="L5493" t="n">
        <v>2</v>
      </c>
      <c r="M5493" t="inlineStr">
        <is>
          <t>Todos</t>
        </is>
      </c>
      <c r="N5493" t="inlineStr">
        <is>
          <t>Padaria</t>
        </is>
      </c>
      <c r="O5493" t="n">
        <v>10</v>
      </c>
      <c r="P5493" t="n">
        <v>28</v>
      </c>
      <c r="Q5493" t="n">
        <v>1</v>
      </c>
    </row>
    <row r="5494">
      <c r="J5494" t="inlineStr">
        <is>
          <t>M</t>
        </is>
      </c>
      <c r="K5494" t="n">
        <v>2026</v>
      </c>
      <c r="L5494" t="n">
        <v>2</v>
      </c>
      <c r="M5494" t="inlineStr">
        <is>
          <t>Todos</t>
        </is>
      </c>
      <c r="N5494" t="inlineStr">
        <is>
          <t>Padaria</t>
        </is>
      </c>
      <c r="O5494" t="n">
        <v>8</v>
      </c>
      <c r="P5494" t="n">
        <v>15</v>
      </c>
      <c r="Q5494" t="n">
        <v>0</v>
      </c>
    </row>
    <row r="5495">
      <c r="J5495" t="inlineStr">
        <is>
          <t>A</t>
        </is>
      </c>
      <c r="K5495" t="n">
        <v>2026</v>
      </c>
      <c r="L5495" t="n">
        <v>3</v>
      </c>
      <c r="M5495" t="inlineStr">
        <is>
          <t>Todos</t>
        </is>
      </c>
      <c r="N5495" t="inlineStr">
        <is>
          <t>Padaria</t>
        </is>
      </c>
      <c r="O5495" t="n">
        <v>14</v>
      </c>
      <c r="P5495" t="n">
        <v>48</v>
      </c>
      <c r="Q5495" t="n">
        <v>4</v>
      </c>
    </row>
    <row r="5496">
      <c r="J5496" t="inlineStr">
        <is>
          <t>M</t>
        </is>
      </c>
      <c r="K5496" t="n">
        <v>2026</v>
      </c>
      <c r="L5496" t="n">
        <v>3</v>
      </c>
      <c r="M5496" t="inlineStr">
        <is>
          <t>Todos</t>
        </is>
      </c>
      <c r="N5496" t="inlineStr">
        <is>
          <t>Padaria</t>
        </is>
      </c>
      <c r="O5496" t="n">
        <v>11</v>
      </c>
      <c r="P5496" t="n">
        <v>20</v>
      </c>
      <c r="Q5496" t="n">
        <v>0</v>
      </c>
    </row>
    <row r="5497">
      <c r="J5497" t="inlineStr">
        <is>
          <t>A</t>
        </is>
      </c>
      <c r="K5497" t="n">
        <v>2026</v>
      </c>
      <c r="L5497" t="n">
        <v>4</v>
      </c>
      <c r="M5497" t="inlineStr">
        <is>
          <t>Todos</t>
        </is>
      </c>
      <c r="N5497" t="inlineStr">
        <is>
          <t>Padaria</t>
        </is>
      </c>
      <c r="O5497" t="n">
        <v>18</v>
      </c>
      <c r="P5497" t="n">
        <v>63</v>
      </c>
      <c r="Q5497" t="n">
        <v>7</v>
      </c>
    </row>
    <row r="5498">
      <c r="J5498" t="inlineStr">
        <is>
          <t>M</t>
        </is>
      </c>
      <c r="K5498" t="n">
        <v>2026</v>
      </c>
      <c r="L5498" t="n">
        <v>4</v>
      </c>
      <c r="M5498" t="inlineStr">
        <is>
          <t>Todos</t>
        </is>
      </c>
      <c r="N5498" t="inlineStr">
        <is>
          <t>Padaria</t>
        </is>
      </c>
      <c r="O5498" t="n">
        <v>10</v>
      </c>
      <c r="P5498" t="n">
        <v>15</v>
      </c>
      <c r="Q5498" t="n">
        <v>0</v>
      </c>
    </row>
    <row r="5499">
      <c r="J5499" t="inlineStr">
        <is>
          <t>A</t>
        </is>
      </c>
      <c r="K5499" t="n">
        <v>2026</v>
      </c>
      <c r="L5499" t="n">
        <v>5</v>
      </c>
      <c r="M5499" t="inlineStr">
        <is>
          <t>Todos</t>
        </is>
      </c>
      <c r="N5499" t="inlineStr">
        <is>
          <t>Padaria</t>
        </is>
      </c>
      <c r="O5499" t="n">
        <v>19</v>
      </c>
      <c r="P5499" t="n">
        <v>83</v>
      </c>
      <c r="Q5499" t="n">
        <v>8</v>
      </c>
    </row>
    <row r="5500">
      <c r="J5500" t="inlineStr">
        <is>
          <t>M</t>
        </is>
      </c>
      <c r="K5500" t="n">
        <v>2026</v>
      </c>
      <c r="L5500" t="n">
        <v>5</v>
      </c>
      <c r="M5500" t="inlineStr">
        <is>
          <t>Todos</t>
        </is>
      </c>
      <c r="N5500" t="inlineStr">
        <is>
          <t>Padaria</t>
        </is>
      </c>
      <c r="O5500" t="n">
        <v>10</v>
      </c>
      <c r="P5500" t="n">
        <v>20</v>
      </c>
      <c r="Q5500" t="n">
        <v>0</v>
      </c>
    </row>
    <row r="5501">
      <c r="J5501" t="inlineStr">
        <is>
          <t>A</t>
        </is>
      </c>
      <c r="K5501" t="n">
        <v>2026</v>
      </c>
      <c r="L5501" t="n">
        <v>6</v>
      </c>
      <c r="M5501" t="inlineStr">
        <is>
          <t>Todos</t>
        </is>
      </c>
      <c r="N5501" t="inlineStr">
        <is>
          <t>Padaria</t>
        </is>
      </c>
      <c r="O5501" t="n">
        <v>21</v>
      </c>
      <c r="P5501" t="n">
        <v>108</v>
      </c>
      <c r="Q5501" t="n">
        <v>10</v>
      </c>
    </row>
    <row r="5502">
      <c r="J5502" t="inlineStr">
        <is>
          <t>M</t>
        </is>
      </c>
      <c r="K5502" t="n">
        <v>2026</v>
      </c>
      <c r="L5502" t="n">
        <v>6</v>
      </c>
      <c r="M5502" t="inlineStr">
        <is>
          <t>Todos</t>
        </is>
      </c>
      <c r="N5502" t="inlineStr">
        <is>
          <t>Padaria</t>
        </is>
      </c>
      <c r="O5502" t="n">
        <v>12</v>
      </c>
      <c r="P5502" t="n">
        <v>25</v>
      </c>
      <c r="Q5502" t="n">
        <v>0</v>
      </c>
    </row>
    <row r="5503">
      <c r="J5503" t="inlineStr">
        <is>
          <t>A</t>
        </is>
      </c>
      <c r="K5503" t="n">
        <v>2026</v>
      </c>
      <c r="L5503" t="n">
        <v>7</v>
      </c>
      <c r="M5503" t="inlineStr">
        <is>
          <t>Todos</t>
        </is>
      </c>
      <c r="N5503" t="inlineStr">
        <is>
          <t>Padaria</t>
        </is>
      </c>
      <c r="O5503" t="n">
        <v>27</v>
      </c>
      <c r="P5503" t="n">
        <v>134</v>
      </c>
      <c r="Q5503" t="n">
        <v>16</v>
      </c>
    </row>
    <row r="5504">
      <c r="J5504" t="inlineStr">
        <is>
          <t>M</t>
        </is>
      </c>
      <c r="K5504" t="n">
        <v>2026</v>
      </c>
      <c r="L5504" t="n">
        <v>7</v>
      </c>
      <c r="M5504" t="inlineStr">
        <is>
          <t>Todos</t>
        </is>
      </c>
      <c r="N5504" t="inlineStr">
        <is>
          <t>Padaria</t>
        </is>
      </c>
      <c r="O5504" t="n">
        <v>17</v>
      </c>
      <c r="P5504" t="n">
        <v>26</v>
      </c>
      <c r="Q5504" t="n">
        <v>0</v>
      </c>
    </row>
    <row r="5505">
      <c r="J5505" t="inlineStr">
        <is>
          <t>A</t>
        </is>
      </c>
      <c r="K5505" t="n">
        <v>2026</v>
      </c>
      <c r="L5505" t="n">
        <v>8</v>
      </c>
      <c r="M5505" t="inlineStr">
        <is>
          <t>Todos</t>
        </is>
      </c>
      <c r="N5505" t="inlineStr">
        <is>
          <t>Padaria</t>
        </is>
      </c>
      <c r="O5505" t="n">
        <v>27</v>
      </c>
      <c r="P5505" t="n">
        <v>143</v>
      </c>
      <c r="Q5505" t="n">
        <v>16</v>
      </c>
    </row>
    <row r="5506">
      <c r="J5506" t="inlineStr">
        <is>
          <t>M</t>
        </is>
      </c>
      <c r="K5506" t="n">
        <v>2026</v>
      </c>
      <c r="L5506" t="n">
        <v>8</v>
      </c>
      <c r="M5506" t="inlineStr">
        <is>
          <t>Todos</t>
        </is>
      </c>
      <c r="N5506" t="inlineStr">
        <is>
          <t>Padaria</t>
        </is>
      </c>
      <c r="O5506" t="n">
        <v>5</v>
      </c>
      <c r="P5506" t="n">
        <v>9</v>
      </c>
      <c r="Q5506" t="n">
        <v>0</v>
      </c>
    </row>
    <row r="5507">
      <c r="J5507" t="inlineStr">
        <is>
          <t>A</t>
        </is>
      </c>
      <c r="K5507" t="n">
        <v>2026</v>
      </c>
      <c r="L5507" t="n">
        <v>9</v>
      </c>
      <c r="M5507" t="inlineStr">
        <is>
          <t>Todos</t>
        </is>
      </c>
      <c r="N5507" t="inlineStr">
        <is>
          <t>Padaria</t>
        </is>
      </c>
      <c r="O5507" t="n">
        <v>27</v>
      </c>
      <c r="P5507" t="n">
        <v>152</v>
      </c>
      <c r="Q5507" t="n">
        <v>16</v>
      </c>
    </row>
    <row r="5508">
      <c r="J5508" t="inlineStr">
        <is>
          <t>M</t>
        </is>
      </c>
      <c r="K5508" t="n">
        <v>2026</v>
      </c>
      <c r="L5508" t="n">
        <v>9</v>
      </c>
      <c r="M5508" t="inlineStr">
        <is>
          <t>Todos</t>
        </is>
      </c>
      <c r="N5508" t="inlineStr">
        <is>
          <t>Padaria</t>
        </is>
      </c>
      <c r="O5508" t="n">
        <v>4</v>
      </c>
      <c r="P5508" t="n">
        <v>9</v>
      </c>
      <c r="Q5508" t="n">
        <v>0</v>
      </c>
    </row>
    <row r="5509">
      <c r="J5509" t="inlineStr">
        <is>
          <t>A</t>
        </is>
      </c>
      <c r="K5509" t="n">
        <v>2026</v>
      </c>
      <c r="L5509" t="n">
        <v>10</v>
      </c>
      <c r="M5509" t="inlineStr">
        <is>
          <t>Todos</t>
        </is>
      </c>
      <c r="N5509" t="inlineStr">
        <is>
          <t>Padaria</t>
        </is>
      </c>
      <c r="O5509" t="n">
        <v>27</v>
      </c>
      <c r="P5509" t="n">
        <v>152</v>
      </c>
      <c r="Q5509" t="n">
        <v>16</v>
      </c>
    </row>
    <row r="5510">
      <c r="J5510" t="inlineStr">
        <is>
          <t>A</t>
        </is>
      </c>
      <c r="K5510" t="n">
        <v>2026</v>
      </c>
      <c r="L5510" t="n">
        <v>11</v>
      </c>
      <c r="M5510" t="inlineStr">
        <is>
          <t>Todos</t>
        </is>
      </c>
      <c r="N5510" t="inlineStr">
        <is>
          <t>Padaria</t>
        </is>
      </c>
      <c r="O5510" t="n">
        <v>27</v>
      </c>
      <c r="P5510" t="n">
        <v>152</v>
      </c>
      <c r="Q5510" t="n">
        <v>16</v>
      </c>
    </row>
    <row r="5511">
      <c r="J5511" t="inlineStr">
        <is>
          <t>A</t>
        </is>
      </c>
      <c r="K5511" t="n">
        <v>2026</v>
      </c>
      <c r="L5511" t="n">
        <v>12</v>
      </c>
      <c r="M5511" t="inlineStr">
        <is>
          <t>Todos</t>
        </is>
      </c>
      <c r="N5511" t="inlineStr">
        <is>
          <t>Padaria</t>
        </is>
      </c>
      <c r="O5511" t="n">
        <v>27</v>
      </c>
      <c r="P5511" t="n">
        <v>152</v>
      </c>
      <c r="Q5511" t="n">
        <v>16</v>
      </c>
    </row>
    <row r="5512">
      <c r="J5512" t="inlineStr">
        <is>
          <t>A</t>
        </is>
      </c>
      <c r="K5512" t="n">
        <v>2026</v>
      </c>
      <c r="L5512" t="n">
        <v>1</v>
      </c>
      <c r="M5512" t="inlineStr">
        <is>
          <t>Todos</t>
        </is>
      </c>
      <c r="N5512" t="inlineStr">
        <is>
          <t>Supermercado</t>
        </is>
      </c>
      <c r="O5512" t="n">
        <v>4</v>
      </c>
      <c r="P5512" t="n">
        <v>9</v>
      </c>
      <c r="Q5512" t="n">
        <v>1</v>
      </c>
    </row>
    <row r="5513">
      <c r="J5513" t="inlineStr">
        <is>
          <t>M</t>
        </is>
      </c>
      <c r="K5513" t="n">
        <v>2026</v>
      </c>
      <c r="L5513" t="n">
        <v>1</v>
      </c>
      <c r="M5513" t="inlineStr">
        <is>
          <t>Todos</t>
        </is>
      </c>
      <c r="N5513" t="inlineStr">
        <is>
          <t>Supermercado</t>
        </is>
      </c>
      <c r="O5513" t="n">
        <v>4</v>
      </c>
      <c r="P5513" t="n">
        <v>9</v>
      </c>
      <c r="Q5513" t="n">
        <v>0</v>
      </c>
    </row>
    <row r="5514">
      <c r="J5514" t="inlineStr">
        <is>
          <t>A</t>
        </is>
      </c>
      <c r="K5514" t="n">
        <v>2026</v>
      </c>
      <c r="L5514" t="n">
        <v>2</v>
      </c>
      <c r="M5514" t="inlineStr">
        <is>
          <t>Todos</t>
        </is>
      </c>
      <c r="N5514" t="inlineStr">
        <is>
          <t>Supermercado</t>
        </is>
      </c>
      <c r="O5514" t="n">
        <v>5</v>
      </c>
      <c r="P5514" t="n">
        <v>19</v>
      </c>
      <c r="Q5514" t="n">
        <v>1</v>
      </c>
    </row>
    <row r="5515">
      <c r="J5515" t="inlineStr">
        <is>
          <t>M</t>
        </is>
      </c>
      <c r="K5515" t="n">
        <v>2026</v>
      </c>
      <c r="L5515" t="n">
        <v>2</v>
      </c>
      <c r="M5515" t="inlineStr">
        <is>
          <t>Todos</t>
        </is>
      </c>
      <c r="N5515" t="inlineStr">
        <is>
          <t>Supermercado</t>
        </is>
      </c>
      <c r="O5515" t="n">
        <v>4</v>
      </c>
      <c r="P5515" t="n">
        <v>10</v>
      </c>
      <c r="Q5515" t="n">
        <v>0</v>
      </c>
    </row>
    <row r="5516">
      <c r="J5516" t="inlineStr">
        <is>
          <t>A</t>
        </is>
      </c>
      <c r="K5516" t="n">
        <v>2026</v>
      </c>
      <c r="L5516" t="n">
        <v>3</v>
      </c>
      <c r="M5516" t="inlineStr">
        <is>
          <t>Todos</t>
        </is>
      </c>
      <c r="N5516" t="inlineStr">
        <is>
          <t>Supermercado</t>
        </is>
      </c>
      <c r="O5516" t="n">
        <v>7</v>
      </c>
      <c r="P5516" t="n">
        <v>29</v>
      </c>
      <c r="Q5516" t="n">
        <v>3</v>
      </c>
    </row>
    <row r="5517">
      <c r="J5517" t="inlineStr">
        <is>
          <t>M</t>
        </is>
      </c>
      <c r="K5517" t="n">
        <v>2026</v>
      </c>
      <c r="L5517" t="n">
        <v>3</v>
      </c>
      <c r="M5517" t="inlineStr">
        <is>
          <t>Todos</t>
        </is>
      </c>
      <c r="N5517" t="inlineStr">
        <is>
          <t>Supermercado</t>
        </is>
      </c>
      <c r="O5517" t="n">
        <v>4</v>
      </c>
      <c r="P5517" t="n">
        <v>10</v>
      </c>
      <c r="Q5517" t="n">
        <v>0</v>
      </c>
    </row>
    <row r="5518">
      <c r="J5518" t="inlineStr">
        <is>
          <t>A</t>
        </is>
      </c>
      <c r="K5518" t="n">
        <v>2026</v>
      </c>
      <c r="L5518" t="n">
        <v>4</v>
      </c>
      <c r="M5518" t="inlineStr">
        <is>
          <t>Todos</t>
        </is>
      </c>
      <c r="N5518" t="inlineStr">
        <is>
          <t>Supermercado</t>
        </is>
      </c>
      <c r="O5518" t="n">
        <v>7</v>
      </c>
      <c r="P5518" t="n">
        <v>36</v>
      </c>
      <c r="Q5518" t="n">
        <v>3</v>
      </c>
    </row>
    <row r="5519">
      <c r="J5519" t="inlineStr">
        <is>
          <t>M</t>
        </is>
      </c>
      <c r="K5519" t="n">
        <v>2026</v>
      </c>
      <c r="L5519" t="n">
        <v>4</v>
      </c>
      <c r="M5519" t="inlineStr">
        <is>
          <t>Todos</t>
        </is>
      </c>
      <c r="N5519" t="inlineStr">
        <is>
          <t>Supermercado</t>
        </is>
      </c>
      <c r="O5519" t="n">
        <v>3</v>
      </c>
      <c r="P5519" t="n">
        <v>7</v>
      </c>
      <c r="Q5519" t="n">
        <v>0</v>
      </c>
    </row>
    <row r="5520">
      <c r="J5520" t="inlineStr">
        <is>
          <t>A</t>
        </is>
      </c>
      <c r="K5520" t="n">
        <v>2026</v>
      </c>
      <c r="L5520" t="n">
        <v>5</v>
      </c>
      <c r="M5520" t="inlineStr">
        <is>
          <t>Todos</t>
        </is>
      </c>
      <c r="N5520" t="inlineStr">
        <is>
          <t>Supermercado</t>
        </is>
      </c>
      <c r="O5520" t="n">
        <v>7</v>
      </c>
      <c r="P5520" t="n">
        <v>45</v>
      </c>
      <c r="Q5520" t="n">
        <v>3</v>
      </c>
    </row>
    <row r="5521">
      <c r="J5521" t="inlineStr">
        <is>
          <t>M</t>
        </is>
      </c>
      <c r="K5521" t="n">
        <v>2026</v>
      </c>
      <c r="L5521" t="n">
        <v>5</v>
      </c>
      <c r="M5521" t="inlineStr">
        <is>
          <t>Todos</t>
        </is>
      </c>
      <c r="N5521" t="inlineStr">
        <is>
          <t>Supermercado</t>
        </is>
      </c>
      <c r="O5521" t="n">
        <v>3</v>
      </c>
      <c r="P5521" t="n">
        <v>9</v>
      </c>
      <c r="Q5521" t="n">
        <v>0</v>
      </c>
    </row>
    <row r="5522">
      <c r="J5522" t="inlineStr">
        <is>
          <t>A</t>
        </is>
      </c>
      <c r="K5522" t="n">
        <v>2026</v>
      </c>
      <c r="L5522" t="n">
        <v>6</v>
      </c>
      <c r="M5522" t="inlineStr">
        <is>
          <t>Todos</t>
        </is>
      </c>
      <c r="N5522" t="inlineStr">
        <is>
          <t>Supermercado</t>
        </is>
      </c>
      <c r="O5522" t="n">
        <v>12</v>
      </c>
      <c r="P5522" t="n">
        <v>61</v>
      </c>
      <c r="Q5522" t="n">
        <v>7</v>
      </c>
    </row>
    <row r="5523">
      <c r="J5523" t="inlineStr">
        <is>
          <t>M</t>
        </is>
      </c>
      <c r="K5523" t="n">
        <v>2026</v>
      </c>
      <c r="L5523" t="n">
        <v>6</v>
      </c>
      <c r="M5523" t="inlineStr">
        <is>
          <t>Todos</t>
        </is>
      </c>
      <c r="N5523" t="inlineStr">
        <is>
          <t>Supermercado</t>
        </is>
      </c>
      <c r="O5523" t="n">
        <v>8</v>
      </c>
      <c r="P5523" t="n">
        <v>16</v>
      </c>
      <c r="Q5523" t="n">
        <v>0</v>
      </c>
    </row>
    <row r="5524">
      <c r="J5524" t="inlineStr">
        <is>
          <t>A</t>
        </is>
      </c>
      <c r="K5524" t="n">
        <v>2026</v>
      </c>
      <c r="L5524" t="n">
        <v>7</v>
      </c>
      <c r="M5524" t="inlineStr">
        <is>
          <t>Todos</t>
        </is>
      </c>
      <c r="N5524" t="inlineStr">
        <is>
          <t>Supermercado</t>
        </is>
      </c>
      <c r="O5524" t="n">
        <v>14</v>
      </c>
      <c r="P5524" t="n">
        <v>77</v>
      </c>
      <c r="Q5524" t="n">
        <v>9</v>
      </c>
    </row>
    <row r="5525">
      <c r="J5525" t="inlineStr">
        <is>
          <t>M</t>
        </is>
      </c>
      <c r="K5525" t="n">
        <v>2026</v>
      </c>
      <c r="L5525" t="n">
        <v>7</v>
      </c>
      <c r="M5525" t="inlineStr">
        <is>
          <t>Todos</t>
        </is>
      </c>
      <c r="N5525" t="inlineStr">
        <is>
          <t>Supermercado</t>
        </is>
      </c>
      <c r="O5525" t="n">
        <v>8</v>
      </c>
      <c r="P5525" t="n">
        <v>16</v>
      </c>
      <c r="Q5525" t="n">
        <v>0</v>
      </c>
    </row>
    <row r="5526">
      <c r="J5526" t="inlineStr">
        <is>
          <t>A</t>
        </is>
      </c>
      <c r="K5526" t="n">
        <v>2026</v>
      </c>
      <c r="L5526" t="n">
        <v>8</v>
      </c>
      <c r="M5526" t="inlineStr">
        <is>
          <t>Todos</t>
        </is>
      </c>
      <c r="N5526" t="inlineStr">
        <is>
          <t>Supermercado</t>
        </is>
      </c>
      <c r="O5526" t="n">
        <v>14</v>
      </c>
      <c r="P5526" t="n">
        <v>88</v>
      </c>
      <c r="Q5526" t="n">
        <v>9</v>
      </c>
    </row>
    <row r="5527">
      <c r="J5527" t="inlineStr">
        <is>
          <t>M</t>
        </is>
      </c>
      <c r="K5527" t="n">
        <v>2026</v>
      </c>
      <c r="L5527" t="n">
        <v>8</v>
      </c>
      <c r="M5527" t="inlineStr">
        <is>
          <t>Todos</t>
        </is>
      </c>
      <c r="N5527" t="inlineStr">
        <is>
          <t>Supermercado</t>
        </is>
      </c>
      <c r="O5527" t="n">
        <v>5</v>
      </c>
      <c r="P5527" t="n">
        <v>11</v>
      </c>
      <c r="Q5527" t="n">
        <v>0</v>
      </c>
    </row>
    <row r="5528">
      <c r="J5528" t="inlineStr">
        <is>
          <t>A</t>
        </is>
      </c>
      <c r="K5528" t="n">
        <v>2026</v>
      </c>
      <c r="L5528" t="n">
        <v>9</v>
      </c>
      <c r="M5528" t="inlineStr">
        <is>
          <t>Todos</t>
        </is>
      </c>
      <c r="N5528" t="inlineStr">
        <is>
          <t>Supermercado</t>
        </is>
      </c>
      <c r="O5528" t="n">
        <v>14</v>
      </c>
      <c r="P5528" t="n">
        <v>98</v>
      </c>
      <c r="Q5528" t="n">
        <v>9</v>
      </c>
    </row>
    <row r="5529">
      <c r="J5529" t="inlineStr">
        <is>
          <t>M</t>
        </is>
      </c>
      <c r="K5529" t="n">
        <v>2026</v>
      </c>
      <c r="L5529" t="n">
        <v>9</v>
      </c>
      <c r="M5529" t="inlineStr">
        <is>
          <t>Todos</t>
        </is>
      </c>
      <c r="N5529" t="inlineStr">
        <is>
          <t>Supermercado</t>
        </is>
      </c>
      <c r="O5529" t="n">
        <v>6</v>
      </c>
      <c r="P5529" t="n">
        <v>10</v>
      </c>
      <c r="Q5529" t="n">
        <v>0</v>
      </c>
    </row>
    <row r="5530">
      <c r="J5530" t="inlineStr">
        <is>
          <t>A</t>
        </is>
      </c>
      <c r="K5530" t="n">
        <v>2026</v>
      </c>
      <c r="L5530" t="n">
        <v>10</v>
      </c>
      <c r="M5530" t="inlineStr">
        <is>
          <t>Todos</t>
        </is>
      </c>
      <c r="N5530" t="inlineStr">
        <is>
          <t>Supermercado</t>
        </is>
      </c>
      <c r="O5530" t="n">
        <v>14</v>
      </c>
      <c r="P5530" t="n">
        <v>98</v>
      </c>
      <c r="Q5530" t="n">
        <v>9</v>
      </c>
    </row>
    <row r="5531">
      <c r="J5531" t="inlineStr">
        <is>
          <t>A</t>
        </is>
      </c>
      <c r="K5531" t="n">
        <v>2026</v>
      </c>
      <c r="L5531" t="n">
        <v>11</v>
      </c>
      <c r="M5531" t="inlineStr">
        <is>
          <t>Todos</t>
        </is>
      </c>
      <c r="N5531" t="inlineStr">
        <is>
          <t>Supermercado</t>
        </is>
      </c>
      <c r="O5531" t="n">
        <v>14</v>
      </c>
      <c r="P5531" t="n">
        <v>98</v>
      </c>
      <c r="Q5531" t="n">
        <v>9</v>
      </c>
    </row>
    <row r="5532">
      <c r="J5532" t="inlineStr">
        <is>
          <t>A</t>
        </is>
      </c>
      <c r="K5532" t="n">
        <v>2026</v>
      </c>
      <c r="L5532" t="n">
        <v>12</v>
      </c>
      <c r="M5532" t="inlineStr">
        <is>
          <t>Todos</t>
        </is>
      </c>
      <c r="N5532" t="inlineStr">
        <is>
          <t>Supermercado</t>
        </is>
      </c>
      <c r="O5532" t="n">
        <v>14</v>
      </c>
      <c r="P5532" t="n">
        <v>98</v>
      </c>
      <c r="Q5532" t="n">
        <v>9</v>
      </c>
    </row>
    <row r="5533">
      <c r="J5533" t="inlineStr">
        <is>
          <t>A</t>
        </is>
      </c>
      <c r="K5533" t="n">
        <v>2026</v>
      </c>
      <c r="L5533" t="n">
        <v>1</v>
      </c>
      <c r="M5533" t="inlineStr">
        <is>
          <t>Todos</t>
        </is>
      </c>
      <c r="N5533" t="inlineStr">
        <is>
          <t>Rotisserie</t>
        </is>
      </c>
      <c r="O5533" t="n">
        <v>1</v>
      </c>
      <c r="P5533" t="n">
        <v>4</v>
      </c>
      <c r="Q5533" t="n">
        <v>0</v>
      </c>
    </row>
    <row r="5534">
      <c r="J5534" t="inlineStr">
        <is>
          <t>M</t>
        </is>
      </c>
      <c r="K5534" t="n">
        <v>2026</v>
      </c>
      <c r="L5534" t="n">
        <v>1</v>
      </c>
      <c r="M5534" t="inlineStr">
        <is>
          <t>Todos</t>
        </is>
      </c>
      <c r="N5534" t="inlineStr">
        <is>
          <t>Rotisserie</t>
        </is>
      </c>
      <c r="O5534" t="n">
        <v>1</v>
      </c>
      <c r="P5534" t="n">
        <v>4</v>
      </c>
      <c r="Q5534" t="n">
        <v>0</v>
      </c>
    </row>
    <row r="5535">
      <c r="J5535" t="inlineStr">
        <is>
          <t>A</t>
        </is>
      </c>
      <c r="K5535" t="n">
        <v>2026</v>
      </c>
      <c r="L5535" t="n">
        <v>2</v>
      </c>
      <c r="M5535" t="inlineStr">
        <is>
          <t>Todos</t>
        </is>
      </c>
      <c r="N5535" t="inlineStr">
        <is>
          <t>Rotisserie</t>
        </is>
      </c>
      <c r="O5535" t="n">
        <v>1</v>
      </c>
      <c r="P5535" t="n">
        <v>6</v>
      </c>
      <c r="Q5535" t="n">
        <v>0</v>
      </c>
    </row>
    <row r="5536">
      <c r="J5536" t="inlineStr">
        <is>
          <t>M</t>
        </is>
      </c>
      <c r="K5536" t="n">
        <v>2026</v>
      </c>
      <c r="L5536" t="n">
        <v>2</v>
      </c>
      <c r="M5536" t="inlineStr">
        <is>
          <t>Todos</t>
        </is>
      </c>
      <c r="N5536" t="inlineStr">
        <is>
          <t>Rotisserie</t>
        </is>
      </c>
      <c r="O5536" t="n">
        <v>1</v>
      </c>
      <c r="P5536" t="n">
        <v>2</v>
      </c>
      <c r="Q5536" t="n">
        <v>0</v>
      </c>
    </row>
    <row r="5537">
      <c r="J5537" t="inlineStr">
        <is>
          <t>A</t>
        </is>
      </c>
      <c r="K5537" t="n">
        <v>2026</v>
      </c>
      <c r="L5537" t="n">
        <v>3</v>
      </c>
      <c r="M5537" t="inlineStr">
        <is>
          <t>Todos</t>
        </is>
      </c>
      <c r="N5537" t="inlineStr">
        <is>
          <t>Rotisserie</t>
        </is>
      </c>
      <c r="O5537" t="n">
        <v>2</v>
      </c>
      <c r="P5537" t="n">
        <v>11</v>
      </c>
      <c r="Q5537" t="n">
        <v>1</v>
      </c>
    </row>
    <row r="5538">
      <c r="J5538" t="inlineStr">
        <is>
          <t>M</t>
        </is>
      </c>
      <c r="K5538" t="n">
        <v>2026</v>
      </c>
      <c r="L5538" t="n">
        <v>3</v>
      </c>
      <c r="M5538" t="inlineStr">
        <is>
          <t>Todos</t>
        </is>
      </c>
      <c r="N5538" t="inlineStr">
        <is>
          <t>Rotisserie</t>
        </is>
      </c>
      <c r="O5538" t="n">
        <v>2</v>
      </c>
      <c r="P5538" t="n">
        <v>5</v>
      </c>
      <c r="Q5538" t="n">
        <v>0</v>
      </c>
    </row>
    <row r="5539">
      <c r="J5539" t="inlineStr">
        <is>
          <t>A</t>
        </is>
      </c>
      <c r="K5539" t="n">
        <v>2026</v>
      </c>
      <c r="L5539" t="n">
        <v>4</v>
      </c>
      <c r="M5539" t="inlineStr">
        <is>
          <t>Todos</t>
        </is>
      </c>
      <c r="N5539" t="inlineStr">
        <is>
          <t>Rotisserie</t>
        </is>
      </c>
      <c r="O5539" t="n">
        <v>7</v>
      </c>
      <c r="P5539" t="n">
        <v>23</v>
      </c>
      <c r="Q5539" t="n">
        <v>2</v>
      </c>
    </row>
    <row r="5540">
      <c r="J5540" t="inlineStr">
        <is>
          <t>M</t>
        </is>
      </c>
      <c r="K5540" t="n">
        <v>2026</v>
      </c>
      <c r="L5540" t="n">
        <v>4</v>
      </c>
      <c r="M5540" t="inlineStr">
        <is>
          <t>Todos</t>
        </is>
      </c>
      <c r="N5540" t="inlineStr">
        <is>
          <t>Rotisserie</t>
        </is>
      </c>
      <c r="O5540" t="n">
        <v>6</v>
      </c>
      <c r="P5540" t="n">
        <v>12</v>
      </c>
      <c r="Q5540" t="n">
        <v>0</v>
      </c>
    </row>
    <row r="5541">
      <c r="J5541" t="inlineStr">
        <is>
          <t>A</t>
        </is>
      </c>
      <c r="K5541" t="n">
        <v>2026</v>
      </c>
      <c r="L5541" t="n">
        <v>5</v>
      </c>
      <c r="M5541" t="inlineStr">
        <is>
          <t>Todos</t>
        </is>
      </c>
      <c r="N5541" t="inlineStr">
        <is>
          <t>Rotisserie</t>
        </is>
      </c>
      <c r="O5541" t="n">
        <v>7</v>
      </c>
      <c r="P5541" t="n">
        <v>35</v>
      </c>
      <c r="Q5541" t="n">
        <v>2</v>
      </c>
    </row>
    <row r="5542">
      <c r="J5542" t="inlineStr">
        <is>
          <t>M</t>
        </is>
      </c>
      <c r="K5542" t="n">
        <v>2026</v>
      </c>
      <c r="L5542" t="n">
        <v>5</v>
      </c>
      <c r="M5542" t="inlineStr">
        <is>
          <t>Todos</t>
        </is>
      </c>
      <c r="N5542" t="inlineStr">
        <is>
          <t>Rotisserie</t>
        </is>
      </c>
      <c r="O5542" t="n">
        <v>5</v>
      </c>
      <c r="P5542" t="n">
        <v>12</v>
      </c>
      <c r="Q5542" t="n">
        <v>0</v>
      </c>
    </row>
    <row r="5543">
      <c r="J5543" t="inlineStr">
        <is>
          <t>A</t>
        </is>
      </c>
      <c r="K5543" t="n">
        <v>2026</v>
      </c>
      <c r="L5543" t="n">
        <v>6</v>
      </c>
      <c r="M5543" t="inlineStr">
        <is>
          <t>Todos</t>
        </is>
      </c>
      <c r="N5543" t="inlineStr">
        <is>
          <t>Rotisserie</t>
        </is>
      </c>
      <c r="O5543" t="n">
        <v>7</v>
      </c>
      <c r="P5543" t="n">
        <v>54</v>
      </c>
      <c r="Q5543" t="n">
        <v>2</v>
      </c>
    </row>
    <row r="5544">
      <c r="J5544" t="inlineStr">
        <is>
          <t>M</t>
        </is>
      </c>
      <c r="K5544" t="n">
        <v>2026</v>
      </c>
      <c r="L5544" t="n">
        <v>6</v>
      </c>
      <c r="M5544" t="inlineStr">
        <is>
          <t>Todos</t>
        </is>
      </c>
      <c r="N5544" t="inlineStr">
        <is>
          <t>Rotisserie</t>
        </is>
      </c>
      <c r="O5544" t="n">
        <v>6</v>
      </c>
      <c r="P5544" t="n">
        <v>19</v>
      </c>
      <c r="Q5544" t="n">
        <v>0</v>
      </c>
    </row>
    <row r="5545">
      <c r="J5545" t="inlineStr">
        <is>
          <t>A</t>
        </is>
      </c>
      <c r="K5545" t="n">
        <v>2026</v>
      </c>
      <c r="L5545" t="n">
        <v>7</v>
      </c>
      <c r="M5545" t="inlineStr">
        <is>
          <t>Todos</t>
        </is>
      </c>
      <c r="N5545" t="inlineStr">
        <is>
          <t>Rotisserie</t>
        </is>
      </c>
      <c r="O5545" t="n">
        <v>7</v>
      </c>
      <c r="P5545" t="n">
        <v>66</v>
      </c>
      <c r="Q5545" t="n">
        <v>2</v>
      </c>
    </row>
    <row r="5546">
      <c r="J5546" t="inlineStr">
        <is>
          <t>M</t>
        </is>
      </c>
      <c r="K5546" t="n">
        <v>2026</v>
      </c>
      <c r="L5546" t="n">
        <v>7</v>
      </c>
      <c r="M5546" t="inlineStr">
        <is>
          <t>Todos</t>
        </is>
      </c>
      <c r="N5546" t="inlineStr">
        <is>
          <t>Rotisserie</t>
        </is>
      </c>
      <c r="O5546" t="n">
        <v>6</v>
      </c>
      <c r="P5546" t="n">
        <v>12</v>
      </c>
      <c r="Q5546" t="n">
        <v>0</v>
      </c>
    </row>
    <row r="5547">
      <c r="J5547" t="inlineStr">
        <is>
          <t>A</t>
        </is>
      </c>
      <c r="K5547" t="n">
        <v>2026</v>
      </c>
      <c r="L5547" t="n">
        <v>8</v>
      </c>
      <c r="M5547" t="inlineStr">
        <is>
          <t>Todos</t>
        </is>
      </c>
      <c r="N5547" t="inlineStr">
        <is>
          <t>Rotisserie</t>
        </is>
      </c>
      <c r="O5547" t="n">
        <v>8</v>
      </c>
      <c r="P5547" t="n">
        <v>80</v>
      </c>
      <c r="Q5547" t="n">
        <v>3</v>
      </c>
    </row>
    <row r="5548">
      <c r="J5548" t="inlineStr">
        <is>
          <t>M</t>
        </is>
      </c>
      <c r="K5548" t="n">
        <v>2026</v>
      </c>
      <c r="L5548" t="n">
        <v>8</v>
      </c>
      <c r="M5548" t="inlineStr">
        <is>
          <t>Todos</t>
        </is>
      </c>
      <c r="N5548" t="inlineStr">
        <is>
          <t>Rotisserie</t>
        </is>
      </c>
      <c r="O5548" t="n">
        <v>6</v>
      </c>
      <c r="P5548" t="n">
        <v>14</v>
      </c>
      <c r="Q5548" t="n">
        <v>0</v>
      </c>
    </row>
    <row r="5549">
      <c r="J5549" t="inlineStr">
        <is>
          <t>A</t>
        </is>
      </c>
      <c r="K5549" t="n">
        <v>2026</v>
      </c>
      <c r="L5549" t="n">
        <v>9</v>
      </c>
      <c r="M5549" t="inlineStr">
        <is>
          <t>Todos</t>
        </is>
      </c>
      <c r="N5549" t="inlineStr">
        <is>
          <t>Rotisserie</t>
        </is>
      </c>
      <c r="O5549" t="n">
        <v>8</v>
      </c>
      <c r="P5549" t="n">
        <v>92</v>
      </c>
      <c r="Q5549" t="n">
        <v>3</v>
      </c>
    </row>
    <row r="5550">
      <c r="J5550" t="inlineStr">
        <is>
          <t>M</t>
        </is>
      </c>
      <c r="K5550" t="n">
        <v>2026</v>
      </c>
      <c r="L5550" t="n">
        <v>9</v>
      </c>
      <c r="M5550" t="inlineStr">
        <is>
          <t>Todos</t>
        </is>
      </c>
      <c r="N5550" t="inlineStr">
        <is>
          <t>Rotisserie</t>
        </is>
      </c>
      <c r="O5550" t="n">
        <v>6</v>
      </c>
      <c r="P5550" t="n">
        <v>12</v>
      </c>
      <c r="Q5550" t="n">
        <v>0</v>
      </c>
    </row>
    <row r="5551">
      <c r="J5551" t="inlineStr">
        <is>
          <t>A</t>
        </is>
      </c>
      <c r="K5551" t="n">
        <v>2026</v>
      </c>
      <c r="L5551" t="n">
        <v>10</v>
      </c>
      <c r="M5551" t="inlineStr">
        <is>
          <t>Todos</t>
        </is>
      </c>
      <c r="N5551" t="inlineStr">
        <is>
          <t>Rotisserie</t>
        </is>
      </c>
      <c r="O5551" t="n">
        <v>8</v>
      </c>
      <c r="P5551" t="n">
        <v>92</v>
      </c>
      <c r="Q5551" t="n">
        <v>3</v>
      </c>
    </row>
    <row r="5552">
      <c r="J5552" t="inlineStr">
        <is>
          <t>A</t>
        </is>
      </c>
      <c r="K5552" t="n">
        <v>2026</v>
      </c>
      <c r="L5552" t="n">
        <v>11</v>
      </c>
      <c r="M5552" t="inlineStr">
        <is>
          <t>Todos</t>
        </is>
      </c>
      <c r="N5552" t="inlineStr">
        <is>
          <t>Rotisserie</t>
        </is>
      </c>
      <c r="O5552" t="n">
        <v>8</v>
      </c>
      <c r="P5552" t="n">
        <v>92</v>
      </c>
      <c r="Q5552" t="n">
        <v>3</v>
      </c>
    </row>
    <row r="5553">
      <c r="J5553" t="inlineStr">
        <is>
          <t>A</t>
        </is>
      </c>
      <c r="K5553" t="n">
        <v>2026</v>
      </c>
      <c r="L5553" t="n">
        <v>12</v>
      </c>
      <c r="M5553" t="inlineStr">
        <is>
          <t>Todos</t>
        </is>
      </c>
      <c r="N5553" t="inlineStr">
        <is>
          <t>Rotisserie</t>
        </is>
      </c>
      <c r="O5553" t="n">
        <v>8</v>
      </c>
      <c r="P5553" t="n">
        <v>92</v>
      </c>
      <c r="Q5553" t="n">
        <v>3</v>
      </c>
    </row>
    <row r="5554">
      <c r="J5554" t="inlineStr">
        <is>
          <t>A</t>
        </is>
      </c>
      <c r="K5554" t="n">
        <v>2026</v>
      </c>
      <c r="L5554" t="n">
        <v>1</v>
      </c>
      <c r="M5554" t="inlineStr">
        <is>
          <t>Todos</t>
        </is>
      </c>
      <c r="N5554" t="inlineStr">
        <is>
          <t>Mercearia / Sacolão</t>
        </is>
      </c>
      <c r="O5554" t="n">
        <v>2</v>
      </c>
      <c r="P5554" t="n">
        <v>3</v>
      </c>
      <c r="Q5554" t="n">
        <v>0</v>
      </c>
    </row>
    <row r="5555">
      <c r="J5555" t="inlineStr">
        <is>
          <t>M</t>
        </is>
      </c>
      <c r="K5555" t="n">
        <v>2026</v>
      </c>
      <c r="L5555" t="n">
        <v>1</v>
      </c>
      <c r="M5555" t="inlineStr">
        <is>
          <t>Todos</t>
        </is>
      </c>
      <c r="N5555" t="inlineStr">
        <is>
          <t>Mercearia / Sacolão</t>
        </is>
      </c>
      <c r="O5555" t="n">
        <v>2</v>
      </c>
      <c r="P5555" t="n">
        <v>3</v>
      </c>
      <c r="Q5555" t="n">
        <v>0</v>
      </c>
    </row>
    <row r="5556">
      <c r="J5556" t="inlineStr">
        <is>
          <t>A</t>
        </is>
      </c>
      <c r="K5556" t="n">
        <v>2026</v>
      </c>
      <c r="L5556" t="n">
        <v>2</v>
      </c>
      <c r="M5556" t="inlineStr">
        <is>
          <t>Todos</t>
        </is>
      </c>
      <c r="N5556" t="inlineStr">
        <is>
          <t>Mercearia / Sacolão</t>
        </is>
      </c>
      <c r="O5556" t="n">
        <v>2</v>
      </c>
      <c r="P5556" t="n">
        <v>5</v>
      </c>
      <c r="Q5556" t="n">
        <v>0</v>
      </c>
    </row>
    <row r="5557">
      <c r="J5557" t="inlineStr">
        <is>
          <t>M</t>
        </is>
      </c>
      <c r="K5557" t="n">
        <v>2026</v>
      </c>
      <c r="L5557" t="n">
        <v>2</v>
      </c>
      <c r="M5557" t="inlineStr">
        <is>
          <t>Todos</t>
        </is>
      </c>
      <c r="N5557" t="inlineStr">
        <is>
          <t>Mercearia / Sacolão</t>
        </is>
      </c>
      <c r="O5557" t="n">
        <v>1</v>
      </c>
      <c r="P5557" t="n">
        <v>2</v>
      </c>
      <c r="Q5557" t="n">
        <v>0</v>
      </c>
    </row>
    <row r="5558">
      <c r="J5558" t="inlineStr">
        <is>
          <t>A</t>
        </is>
      </c>
      <c r="K5558" t="n">
        <v>2026</v>
      </c>
      <c r="L5558" t="n">
        <v>3</v>
      </c>
      <c r="M5558" t="inlineStr">
        <is>
          <t>Todos</t>
        </is>
      </c>
      <c r="N5558" t="inlineStr">
        <is>
          <t>Mercearia / Sacolão</t>
        </is>
      </c>
      <c r="O5558" t="n">
        <v>2</v>
      </c>
      <c r="P5558" t="n">
        <v>8</v>
      </c>
      <c r="Q5558" t="n">
        <v>0</v>
      </c>
    </row>
    <row r="5559">
      <c r="J5559" t="inlineStr">
        <is>
          <t>M</t>
        </is>
      </c>
      <c r="K5559" t="n">
        <v>2026</v>
      </c>
      <c r="L5559" t="n">
        <v>3</v>
      </c>
      <c r="M5559" t="inlineStr">
        <is>
          <t>Todos</t>
        </is>
      </c>
      <c r="N5559" t="inlineStr">
        <is>
          <t>Mercearia / Sacolão</t>
        </is>
      </c>
      <c r="O5559" t="n">
        <v>1</v>
      </c>
      <c r="P5559" t="n">
        <v>3</v>
      </c>
      <c r="Q5559" t="n">
        <v>0</v>
      </c>
    </row>
    <row r="5560">
      <c r="J5560" t="inlineStr">
        <is>
          <t>A</t>
        </is>
      </c>
      <c r="K5560" t="n">
        <v>2026</v>
      </c>
      <c r="L5560" t="n">
        <v>4</v>
      </c>
      <c r="M5560" t="inlineStr">
        <is>
          <t>Todos</t>
        </is>
      </c>
      <c r="N5560" t="inlineStr">
        <is>
          <t>Mercearia / Sacolão</t>
        </is>
      </c>
      <c r="O5560" t="n">
        <v>2</v>
      </c>
      <c r="P5560" t="n">
        <v>9</v>
      </c>
      <c r="Q5560" t="n">
        <v>0</v>
      </c>
    </row>
    <row r="5561">
      <c r="J5561" t="inlineStr">
        <is>
          <t>M</t>
        </is>
      </c>
      <c r="K5561" t="n">
        <v>2026</v>
      </c>
      <c r="L5561" t="n">
        <v>4</v>
      </c>
      <c r="M5561" t="inlineStr">
        <is>
          <t>Todos</t>
        </is>
      </c>
      <c r="N5561" t="inlineStr">
        <is>
          <t>Mercearia / Sacolão</t>
        </is>
      </c>
      <c r="O5561" t="n">
        <v>1</v>
      </c>
      <c r="P5561" t="n">
        <v>1</v>
      </c>
      <c r="Q5561" t="n">
        <v>0</v>
      </c>
    </row>
    <row r="5562">
      <c r="J5562" t="inlineStr">
        <is>
          <t>A</t>
        </is>
      </c>
      <c r="K5562" t="n">
        <v>2026</v>
      </c>
      <c r="L5562" t="n">
        <v>5</v>
      </c>
      <c r="M5562" t="inlineStr">
        <is>
          <t>Todos</t>
        </is>
      </c>
      <c r="N5562" t="inlineStr">
        <is>
          <t>Mercearia / Sacolão</t>
        </is>
      </c>
      <c r="O5562" t="n">
        <v>3</v>
      </c>
      <c r="P5562" t="n">
        <v>13</v>
      </c>
      <c r="Q5562" t="n">
        <v>0</v>
      </c>
    </row>
    <row r="5563">
      <c r="J5563" t="inlineStr">
        <is>
          <t>M</t>
        </is>
      </c>
      <c r="K5563" t="n">
        <v>2026</v>
      </c>
      <c r="L5563" t="n">
        <v>5</v>
      </c>
      <c r="M5563" t="inlineStr">
        <is>
          <t>Todos</t>
        </is>
      </c>
      <c r="N5563" t="inlineStr">
        <is>
          <t>Mercearia / Sacolão</t>
        </is>
      </c>
      <c r="O5563" t="n">
        <v>3</v>
      </c>
      <c r="P5563" t="n">
        <v>4</v>
      </c>
      <c r="Q5563" t="n">
        <v>0</v>
      </c>
    </row>
    <row r="5564">
      <c r="J5564" t="inlineStr">
        <is>
          <t>A</t>
        </is>
      </c>
      <c r="K5564" t="n">
        <v>2026</v>
      </c>
      <c r="L5564" t="n">
        <v>6</v>
      </c>
      <c r="M5564" t="inlineStr">
        <is>
          <t>Todos</t>
        </is>
      </c>
      <c r="N5564" t="inlineStr">
        <is>
          <t>Mercearia / Sacolão</t>
        </is>
      </c>
      <c r="O5564" t="n">
        <v>4</v>
      </c>
      <c r="P5564" t="n">
        <v>20</v>
      </c>
      <c r="Q5564" t="n">
        <v>1</v>
      </c>
    </row>
    <row r="5565">
      <c r="J5565" t="inlineStr">
        <is>
          <t>M</t>
        </is>
      </c>
      <c r="K5565" t="n">
        <v>2026</v>
      </c>
      <c r="L5565" t="n">
        <v>6</v>
      </c>
      <c r="M5565" t="inlineStr">
        <is>
          <t>Todos</t>
        </is>
      </c>
      <c r="N5565" t="inlineStr">
        <is>
          <t>Mercearia / Sacolão</t>
        </is>
      </c>
      <c r="O5565" t="n">
        <v>2</v>
      </c>
      <c r="P5565" t="n">
        <v>7</v>
      </c>
      <c r="Q5565" t="n">
        <v>0</v>
      </c>
    </row>
    <row r="5566">
      <c r="J5566" t="inlineStr">
        <is>
          <t>A</t>
        </is>
      </c>
      <c r="K5566" t="n">
        <v>2026</v>
      </c>
      <c r="L5566" t="n">
        <v>7</v>
      </c>
      <c r="M5566" t="inlineStr">
        <is>
          <t>Todos</t>
        </is>
      </c>
      <c r="N5566" t="inlineStr">
        <is>
          <t>Mercearia / Sacolão</t>
        </is>
      </c>
      <c r="O5566" t="n">
        <v>6</v>
      </c>
      <c r="P5566" t="n">
        <v>28</v>
      </c>
      <c r="Q5566" t="n">
        <v>3</v>
      </c>
    </row>
    <row r="5567">
      <c r="J5567" t="inlineStr">
        <is>
          <t>M</t>
        </is>
      </c>
      <c r="K5567" t="n">
        <v>2026</v>
      </c>
      <c r="L5567" t="n">
        <v>7</v>
      </c>
      <c r="M5567" t="inlineStr">
        <is>
          <t>Todos</t>
        </is>
      </c>
      <c r="N5567" t="inlineStr">
        <is>
          <t>Mercearia / Sacolão</t>
        </is>
      </c>
      <c r="O5567" t="n">
        <v>4</v>
      </c>
      <c r="P5567" t="n">
        <v>8</v>
      </c>
      <c r="Q5567" t="n">
        <v>0</v>
      </c>
    </row>
    <row r="5568">
      <c r="J5568" t="inlineStr">
        <is>
          <t>A</t>
        </is>
      </c>
      <c r="K5568" t="n">
        <v>2026</v>
      </c>
      <c r="L5568" t="n">
        <v>8</v>
      </c>
      <c r="M5568" t="inlineStr">
        <is>
          <t>Todos</t>
        </is>
      </c>
      <c r="N5568" t="inlineStr">
        <is>
          <t>Mercearia / Sacolão</t>
        </is>
      </c>
      <c r="O5568" t="n">
        <v>6</v>
      </c>
      <c r="P5568" t="n">
        <v>36</v>
      </c>
      <c r="Q5568" t="n">
        <v>3</v>
      </c>
    </row>
    <row r="5569">
      <c r="J5569" t="inlineStr">
        <is>
          <t>M</t>
        </is>
      </c>
      <c r="K5569" t="n">
        <v>2026</v>
      </c>
      <c r="L5569" t="n">
        <v>8</v>
      </c>
      <c r="M5569" t="inlineStr">
        <is>
          <t>Todos</t>
        </is>
      </c>
      <c r="N5569" t="inlineStr">
        <is>
          <t>Mercearia / Sacolão</t>
        </is>
      </c>
      <c r="O5569" t="n">
        <v>3</v>
      </c>
      <c r="P5569" t="n">
        <v>8</v>
      </c>
      <c r="Q5569" t="n">
        <v>0</v>
      </c>
    </row>
    <row r="5570">
      <c r="J5570" t="inlineStr">
        <is>
          <t>A</t>
        </is>
      </c>
      <c r="K5570" t="n">
        <v>2026</v>
      </c>
      <c r="L5570" t="n">
        <v>9</v>
      </c>
      <c r="M5570" t="inlineStr">
        <is>
          <t>Todos</t>
        </is>
      </c>
      <c r="N5570" t="inlineStr">
        <is>
          <t>Mercearia / Sacolão</t>
        </is>
      </c>
      <c r="O5570" t="n">
        <v>6</v>
      </c>
      <c r="P5570" t="n">
        <v>43</v>
      </c>
      <c r="Q5570" t="n">
        <v>3</v>
      </c>
    </row>
    <row r="5571">
      <c r="J5571" t="inlineStr">
        <is>
          <t>M</t>
        </is>
      </c>
      <c r="K5571" t="n">
        <v>2026</v>
      </c>
      <c r="L5571" t="n">
        <v>9</v>
      </c>
      <c r="M5571" t="inlineStr">
        <is>
          <t>Todos</t>
        </is>
      </c>
      <c r="N5571" t="inlineStr">
        <is>
          <t>Mercearia / Sacolão</t>
        </is>
      </c>
      <c r="O5571" t="n">
        <v>2</v>
      </c>
      <c r="P5571" t="n">
        <v>7</v>
      </c>
      <c r="Q5571" t="n">
        <v>0</v>
      </c>
    </row>
    <row r="5572">
      <c r="J5572" t="inlineStr">
        <is>
          <t>A</t>
        </is>
      </c>
      <c r="K5572" t="n">
        <v>2026</v>
      </c>
      <c r="L5572" t="n">
        <v>10</v>
      </c>
      <c r="M5572" t="inlineStr">
        <is>
          <t>Todos</t>
        </is>
      </c>
      <c r="N5572" t="inlineStr">
        <is>
          <t>Mercearia / Sacolão</t>
        </is>
      </c>
      <c r="O5572" t="n">
        <v>6</v>
      </c>
      <c r="P5572" t="n">
        <v>43</v>
      </c>
      <c r="Q5572" t="n">
        <v>3</v>
      </c>
    </row>
    <row r="5573">
      <c r="J5573" t="inlineStr">
        <is>
          <t>A</t>
        </is>
      </c>
      <c r="K5573" t="n">
        <v>2026</v>
      </c>
      <c r="L5573" t="n">
        <v>11</v>
      </c>
      <c r="M5573" t="inlineStr">
        <is>
          <t>Todos</t>
        </is>
      </c>
      <c r="N5573" t="inlineStr">
        <is>
          <t>Mercearia / Sacolão</t>
        </is>
      </c>
      <c r="O5573" t="n">
        <v>6</v>
      </c>
      <c r="P5573" t="n">
        <v>43</v>
      </c>
      <c r="Q5573" t="n">
        <v>3</v>
      </c>
    </row>
    <row r="5574">
      <c r="J5574" t="inlineStr">
        <is>
          <t>A</t>
        </is>
      </c>
      <c r="K5574" t="n">
        <v>2026</v>
      </c>
      <c r="L5574" t="n">
        <v>12</v>
      </c>
      <c r="M5574" t="inlineStr">
        <is>
          <t>Todos</t>
        </is>
      </c>
      <c r="N5574" t="inlineStr">
        <is>
          <t>Mercearia / Sacolão</t>
        </is>
      </c>
      <c r="O5574" t="n">
        <v>6</v>
      </c>
      <c r="P5574" t="n">
        <v>43</v>
      </c>
      <c r="Q5574" t="n">
        <v>3</v>
      </c>
    </row>
    <row r="5575">
      <c r="J5575" t="inlineStr">
        <is>
          <t>A</t>
        </is>
      </c>
      <c r="K5575" t="n">
        <v>2026</v>
      </c>
      <c r="L5575" t="n">
        <v>1</v>
      </c>
      <c r="M5575" t="inlineStr">
        <is>
          <t>Todos</t>
        </is>
      </c>
      <c r="N5575" t="inlineStr">
        <is>
          <t>Buffet</t>
        </is>
      </c>
      <c r="O5575" t="n">
        <v>3</v>
      </c>
      <c r="P5575" t="n">
        <v>4</v>
      </c>
      <c r="Q5575" t="n">
        <v>0</v>
      </c>
    </row>
    <row r="5576">
      <c r="J5576" t="inlineStr">
        <is>
          <t>M</t>
        </is>
      </c>
      <c r="K5576" t="n">
        <v>2026</v>
      </c>
      <c r="L5576" t="n">
        <v>1</v>
      </c>
      <c r="M5576" t="inlineStr">
        <is>
          <t>Todos</t>
        </is>
      </c>
      <c r="N5576" t="inlineStr">
        <is>
          <t>Buffet</t>
        </is>
      </c>
      <c r="O5576" t="n">
        <v>3</v>
      </c>
      <c r="P5576" t="n">
        <v>4</v>
      </c>
      <c r="Q5576" t="n">
        <v>0</v>
      </c>
    </row>
    <row r="5577">
      <c r="J5577" t="inlineStr">
        <is>
          <t>A</t>
        </is>
      </c>
      <c r="K5577" t="n">
        <v>2026</v>
      </c>
      <c r="L5577" t="n">
        <v>2</v>
      </c>
      <c r="M5577" t="inlineStr">
        <is>
          <t>Todos</t>
        </is>
      </c>
      <c r="N5577" t="inlineStr">
        <is>
          <t>Buffet</t>
        </is>
      </c>
      <c r="O5577" t="n">
        <v>5</v>
      </c>
      <c r="P5577" t="n">
        <v>11</v>
      </c>
      <c r="Q5577" t="n">
        <v>1</v>
      </c>
    </row>
    <row r="5578">
      <c r="J5578" t="inlineStr">
        <is>
          <t>M</t>
        </is>
      </c>
      <c r="K5578" t="n">
        <v>2026</v>
      </c>
      <c r="L5578" t="n">
        <v>2</v>
      </c>
      <c r="M5578" t="inlineStr">
        <is>
          <t>Todos</t>
        </is>
      </c>
      <c r="N5578" t="inlineStr">
        <is>
          <t>Buffet</t>
        </is>
      </c>
      <c r="O5578" t="n">
        <v>5</v>
      </c>
      <c r="P5578" t="n">
        <v>7</v>
      </c>
      <c r="Q5578" t="n">
        <v>0</v>
      </c>
    </row>
    <row r="5579">
      <c r="J5579" t="inlineStr">
        <is>
          <t>A</t>
        </is>
      </c>
      <c r="K5579" t="n">
        <v>2026</v>
      </c>
      <c r="L5579" t="n">
        <v>3</v>
      </c>
      <c r="M5579" t="inlineStr">
        <is>
          <t>Todos</t>
        </is>
      </c>
      <c r="N5579" t="inlineStr">
        <is>
          <t>Buffet</t>
        </is>
      </c>
      <c r="O5579" t="n">
        <v>6</v>
      </c>
      <c r="P5579" t="n">
        <v>18</v>
      </c>
      <c r="Q5579" t="n">
        <v>2</v>
      </c>
    </row>
    <row r="5580">
      <c r="J5580" t="inlineStr">
        <is>
          <t>M</t>
        </is>
      </c>
      <c r="K5580" t="n">
        <v>2026</v>
      </c>
      <c r="L5580" t="n">
        <v>3</v>
      </c>
      <c r="M5580" t="inlineStr">
        <is>
          <t>Todos</t>
        </is>
      </c>
      <c r="N5580" t="inlineStr">
        <is>
          <t>Buffet</t>
        </is>
      </c>
      <c r="O5580" t="n">
        <v>4</v>
      </c>
      <c r="P5580" t="n">
        <v>7</v>
      </c>
      <c r="Q5580" t="n">
        <v>0</v>
      </c>
    </row>
    <row r="5581">
      <c r="J5581" t="inlineStr">
        <is>
          <t>A</t>
        </is>
      </c>
      <c r="K5581" t="n">
        <v>2026</v>
      </c>
      <c r="L5581" t="n">
        <v>4</v>
      </c>
      <c r="M5581" t="inlineStr">
        <is>
          <t>Todos</t>
        </is>
      </c>
      <c r="N5581" t="inlineStr">
        <is>
          <t>Buffet</t>
        </is>
      </c>
      <c r="O5581" t="n">
        <v>9</v>
      </c>
      <c r="P5581" t="n">
        <v>28</v>
      </c>
      <c r="Q5581" t="n">
        <v>3</v>
      </c>
    </row>
    <row r="5582">
      <c r="J5582" t="inlineStr">
        <is>
          <t>M</t>
        </is>
      </c>
      <c r="K5582" t="n">
        <v>2026</v>
      </c>
      <c r="L5582" t="n">
        <v>4</v>
      </c>
      <c r="M5582" t="inlineStr">
        <is>
          <t>Todos</t>
        </is>
      </c>
      <c r="N5582" t="inlineStr">
        <is>
          <t>Buffet</t>
        </is>
      </c>
      <c r="O5582" t="n">
        <v>5</v>
      </c>
      <c r="P5582" t="n">
        <v>10</v>
      </c>
      <c r="Q5582" t="n">
        <v>0</v>
      </c>
    </row>
    <row r="5583">
      <c r="J5583" t="inlineStr">
        <is>
          <t>A</t>
        </is>
      </c>
      <c r="K5583" t="n">
        <v>2026</v>
      </c>
      <c r="L5583" t="n">
        <v>5</v>
      </c>
      <c r="M5583" t="inlineStr">
        <is>
          <t>Todos</t>
        </is>
      </c>
      <c r="N5583" t="inlineStr">
        <is>
          <t>Buffet</t>
        </is>
      </c>
      <c r="O5583" t="n">
        <v>11</v>
      </c>
      <c r="P5583" t="n">
        <v>41</v>
      </c>
      <c r="Q5583" t="n">
        <v>4</v>
      </c>
    </row>
    <row r="5584">
      <c r="J5584" t="inlineStr">
        <is>
          <t>M</t>
        </is>
      </c>
      <c r="K5584" t="n">
        <v>2026</v>
      </c>
      <c r="L5584" t="n">
        <v>5</v>
      </c>
      <c r="M5584" t="inlineStr">
        <is>
          <t>Todos</t>
        </is>
      </c>
      <c r="N5584" t="inlineStr">
        <is>
          <t>Buffet</t>
        </is>
      </c>
      <c r="O5584" t="n">
        <v>6</v>
      </c>
      <c r="P5584" t="n">
        <v>13</v>
      </c>
      <c r="Q5584" t="n">
        <v>0</v>
      </c>
    </row>
    <row r="5585">
      <c r="J5585" t="inlineStr">
        <is>
          <t>A</t>
        </is>
      </c>
      <c r="K5585" t="n">
        <v>2026</v>
      </c>
      <c r="L5585" t="n">
        <v>6</v>
      </c>
      <c r="M5585" t="inlineStr">
        <is>
          <t>Todos</t>
        </is>
      </c>
      <c r="N5585" t="inlineStr">
        <is>
          <t>Buffet</t>
        </is>
      </c>
      <c r="O5585" t="n">
        <v>16</v>
      </c>
      <c r="P5585" t="n">
        <v>57</v>
      </c>
      <c r="Q5585" t="n">
        <v>7</v>
      </c>
    </row>
    <row r="5586">
      <c r="J5586" t="inlineStr">
        <is>
          <t>M</t>
        </is>
      </c>
      <c r="K5586" t="n">
        <v>2026</v>
      </c>
      <c r="L5586" t="n">
        <v>6</v>
      </c>
      <c r="M5586" t="inlineStr">
        <is>
          <t>Todos</t>
        </is>
      </c>
      <c r="N5586" t="inlineStr">
        <is>
          <t>Buffet</t>
        </is>
      </c>
      <c r="O5586" t="n">
        <v>7</v>
      </c>
      <c r="P5586" t="n">
        <v>16</v>
      </c>
      <c r="Q5586" t="n">
        <v>0</v>
      </c>
    </row>
    <row r="5587">
      <c r="J5587" t="inlineStr">
        <is>
          <t>A</t>
        </is>
      </c>
      <c r="K5587" t="n">
        <v>2026</v>
      </c>
      <c r="L5587" t="n">
        <v>7</v>
      </c>
      <c r="M5587" t="inlineStr">
        <is>
          <t>Todos</t>
        </is>
      </c>
      <c r="N5587" t="inlineStr">
        <is>
          <t>Buffet</t>
        </is>
      </c>
      <c r="O5587" t="n">
        <v>16</v>
      </c>
      <c r="P5587" t="n">
        <v>67</v>
      </c>
      <c r="Q5587" t="n">
        <v>7</v>
      </c>
    </row>
    <row r="5588">
      <c r="J5588" t="inlineStr">
        <is>
          <t>M</t>
        </is>
      </c>
      <c r="K5588" t="n">
        <v>2026</v>
      </c>
      <c r="L5588" t="n">
        <v>7</v>
      </c>
      <c r="M5588" t="inlineStr">
        <is>
          <t>Todos</t>
        </is>
      </c>
      <c r="N5588" t="inlineStr">
        <is>
          <t>Buffet</t>
        </is>
      </c>
      <c r="O5588" t="n">
        <v>5</v>
      </c>
      <c r="P5588" t="n">
        <v>10</v>
      </c>
      <c r="Q5588" t="n">
        <v>0</v>
      </c>
    </row>
    <row r="5589">
      <c r="J5589" t="inlineStr">
        <is>
          <t>A</t>
        </is>
      </c>
      <c r="K5589" t="n">
        <v>2026</v>
      </c>
      <c r="L5589" t="n">
        <v>8</v>
      </c>
      <c r="M5589" t="inlineStr">
        <is>
          <t>Todos</t>
        </is>
      </c>
      <c r="N5589" t="inlineStr">
        <is>
          <t>Buffet</t>
        </is>
      </c>
      <c r="O5589" t="n">
        <v>17</v>
      </c>
      <c r="P5589" t="n">
        <v>77</v>
      </c>
      <c r="Q5589" t="n">
        <v>8</v>
      </c>
    </row>
    <row r="5590">
      <c r="J5590" t="inlineStr">
        <is>
          <t>M</t>
        </is>
      </c>
      <c r="K5590" t="n">
        <v>2026</v>
      </c>
      <c r="L5590" t="n">
        <v>8</v>
      </c>
      <c r="M5590" t="inlineStr">
        <is>
          <t>Todos</t>
        </is>
      </c>
      <c r="N5590" t="inlineStr">
        <is>
          <t>Buffet</t>
        </is>
      </c>
      <c r="O5590" t="n">
        <v>4</v>
      </c>
      <c r="P5590" t="n">
        <v>10</v>
      </c>
      <c r="Q5590" t="n">
        <v>0</v>
      </c>
    </row>
    <row r="5591">
      <c r="J5591" t="inlineStr">
        <is>
          <t>A</t>
        </is>
      </c>
      <c r="K5591" t="n">
        <v>2026</v>
      </c>
      <c r="L5591" t="n">
        <v>9</v>
      </c>
      <c r="M5591" t="inlineStr">
        <is>
          <t>Todos</t>
        </is>
      </c>
      <c r="N5591" t="inlineStr">
        <is>
          <t>Buffet</t>
        </is>
      </c>
      <c r="O5591" t="n">
        <v>17</v>
      </c>
      <c r="P5591" t="n">
        <v>84</v>
      </c>
      <c r="Q5591" t="n">
        <v>8</v>
      </c>
    </row>
    <row r="5592">
      <c r="J5592" t="inlineStr">
        <is>
          <t>M</t>
        </is>
      </c>
      <c r="K5592" t="n">
        <v>2026</v>
      </c>
      <c r="L5592" t="n">
        <v>9</v>
      </c>
      <c r="M5592" t="inlineStr">
        <is>
          <t>Todos</t>
        </is>
      </c>
      <c r="N5592" t="inlineStr">
        <is>
          <t>Buffet</t>
        </is>
      </c>
      <c r="O5592" t="n">
        <v>2</v>
      </c>
      <c r="P5592" t="n">
        <v>7</v>
      </c>
      <c r="Q5592" t="n">
        <v>0</v>
      </c>
    </row>
    <row r="5593">
      <c r="J5593" t="inlineStr">
        <is>
          <t>A</t>
        </is>
      </c>
      <c r="K5593" t="n">
        <v>2026</v>
      </c>
      <c r="L5593" t="n">
        <v>10</v>
      </c>
      <c r="M5593" t="inlineStr">
        <is>
          <t>Todos</t>
        </is>
      </c>
      <c r="N5593" t="inlineStr">
        <is>
          <t>Buffet</t>
        </is>
      </c>
      <c r="O5593" t="n">
        <v>17</v>
      </c>
      <c r="P5593" t="n">
        <v>84</v>
      </c>
      <c r="Q5593" t="n">
        <v>8</v>
      </c>
    </row>
    <row r="5594">
      <c r="J5594" t="inlineStr">
        <is>
          <t>A</t>
        </is>
      </c>
      <c r="K5594" t="n">
        <v>2026</v>
      </c>
      <c r="L5594" t="n">
        <v>11</v>
      </c>
      <c r="M5594" t="inlineStr">
        <is>
          <t>Todos</t>
        </is>
      </c>
      <c r="N5594" t="inlineStr">
        <is>
          <t>Buffet</t>
        </is>
      </c>
      <c r="O5594" t="n">
        <v>17</v>
      </c>
      <c r="P5594" t="n">
        <v>84</v>
      </c>
      <c r="Q5594" t="n">
        <v>8</v>
      </c>
    </row>
    <row r="5595">
      <c r="J5595" t="inlineStr">
        <is>
          <t>A</t>
        </is>
      </c>
      <c r="K5595" t="n">
        <v>2026</v>
      </c>
      <c r="L5595" t="n">
        <v>12</v>
      </c>
      <c r="M5595" t="inlineStr">
        <is>
          <t>Todos</t>
        </is>
      </c>
      <c r="N5595" t="inlineStr">
        <is>
          <t>Buffet</t>
        </is>
      </c>
      <c r="O5595" t="n">
        <v>17</v>
      </c>
      <c r="P5595" t="n">
        <v>84</v>
      </c>
      <c r="Q5595" t="n">
        <v>8</v>
      </c>
    </row>
    <row r="5596">
      <c r="J5596" t="inlineStr">
        <is>
          <t>A</t>
        </is>
      </c>
      <c r="K5596" t="n">
        <v>2026</v>
      </c>
      <c r="L5596" t="n">
        <v>1</v>
      </c>
      <c r="M5596" t="inlineStr">
        <is>
          <t>Todos</t>
        </is>
      </c>
      <c r="N5596" t="inlineStr">
        <is>
          <t>Hotel / Motel / Pousada</t>
        </is>
      </c>
      <c r="O5596" t="n">
        <v>10</v>
      </c>
      <c r="P5596" t="n">
        <v>11</v>
      </c>
      <c r="Q5596" t="n">
        <v>1</v>
      </c>
    </row>
    <row r="5597">
      <c r="J5597" t="inlineStr">
        <is>
          <t>M</t>
        </is>
      </c>
      <c r="K5597" t="n">
        <v>2026</v>
      </c>
      <c r="L5597" t="n">
        <v>1</v>
      </c>
      <c r="M5597" t="inlineStr">
        <is>
          <t>Todos</t>
        </is>
      </c>
      <c r="N5597" t="inlineStr">
        <is>
          <t>Hotel / Motel / Pousada</t>
        </is>
      </c>
      <c r="O5597" t="n">
        <v>10</v>
      </c>
      <c r="P5597" t="n">
        <v>11</v>
      </c>
      <c r="Q5597" t="n">
        <v>0</v>
      </c>
    </row>
    <row r="5598">
      <c r="J5598" t="inlineStr">
        <is>
          <t>A</t>
        </is>
      </c>
      <c r="K5598" t="n">
        <v>2026</v>
      </c>
      <c r="L5598" t="n">
        <v>2</v>
      </c>
      <c r="M5598" t="inlineStr">
        <is>
          <t>Todos</t>
        </is>
      </c>
      <c r="N5598" t="inlineStr">
        <is>
          <t>Hotel / Motel / Pousada</t>
        </is>
      </c>
      <c r="O5598" t="n">
        <v>15</v>
      </c>
      <c r="P5598" t="n">
        <v>20</v>
      </c>
      <c r="Q5598" t="n">
        <v>3</v>
      </c>
    </row>
    <row r="5599">
      <c r="J5599" t="inlineStr">
        <is>
          <t>M</t>
        </is>
      </c>
      <c r="K5599" t="n">
        <v>2026</v>
      </c>
      <c r="L5599" t="n">
        <v>2</v>
      </c>
      <c r="M5599" t="inlineStr">
        <is>
          <t>Todos</t>
        </is>
      </c>
      <c r="N5599" t="inlineStr">
        <is>
          <t>Hotel / Motel / Pousada</t>
        </is>
      </c>
      <c r="O5599" t="n">
        <v>9</v>
      </c>
      <c r="P5599" t="n">
        <v>9</v>
      </c>
      <c r="Q5599" t="n">
        <v>0</v>
      </c>
    </row>
    <row r="5600">
      <c r="J5600" t="inlineStr">
        <is>
          <t>A</t>
        </is>
      </c>
      <c r="K5600" t="n">
        <v>2026</v>
      </c>
      <c r="L5600" t="n">
        <v>3</v>
      </c>
      <c r="M5600" t="inlineStr">
        <is>
          <t>Todos</t>
        </is>
      </c>
      <c r="N5600" t="inlineStr">
        <is>
          <t>Hotel / Motel / Pousada</t>
        </is>
      </c>
      <c r="O5600" t="n">
        <v>20</v>
      </c>
      <c r="P5600" t="n">
        <v>40</v>
      </c>
      <c r="Q5600" t="n">
        <v>5</v>
      </c>
    </row>
    <row r="5601">
      <c r="J5601" t="inlineStr">
        <is>
          <t>M</t>
        </is>
      </c>
      <c r="K5601" t="n">
        <v>2026</v>
      </c>
      <c r="L5601" t="n">
        <v>3</v>
      </c>
      <c r="M5601" t="inlineStr">
        <is>
          <t>Todos</t>
        </is>
      </c>
      <c r="N5601" t="inlineStr">
        <is>
          <t>Hotel / Motel / Pousada</t>
        </is>
      </c>
      <c r="O5601" t="n">
        <v>13</v>
      </c>
      <c r="P5601" t="n">
        <v>20</v>
      </c>
      <c r="Q5601" t="n">
        <v>0</v>
      </c>
    </row>
    <row r="5602">
      <c r="J5602" t="inlineStr">
        <is>
          <t>A</t>
        </is>
      </c>
      <c r="K5602" t="n">
        <v>2026</v>
      </c>
      <c r="L5602" t="n">
        <v>4</v>
      </c>
      <c r="M5602" t="inlineStr">
        <is>
          <t>Todos</t>
        </is>
      </c>
      <c r="N5602" t="inlineStr">
        <is>
          <t>Hotel / Motel / Pousada</t>
        </is>
      </c>
      <c r="O5602" t="n">
        <v>23</v>
      </c>
      <c r="P5602" t="n">
        <v>46</v>
      </c>
      <c r="Q5602" t="n">
        <v>7</v>
      </c>
    </row>
    <row r="5603">
      <c r="J5603" t="inlineStr">
        <is>
          <t>M</t>
        </is>
      </c>
      <c r="K5603" t="n">
        <v>2026</v>
      </c>
      <c r="L5603" t="n">
        <v>4</v>
      </c>
      <c r="M5603" t="inlineStr">
        <is>
          <t>Todos</t>
        </is>
      </c>
      <c r="N5603" t="inlineStr">
        <is>
          <t>Hotel / Motel / Pousada</t>
        </is>
      </c>
      <c r="O5603" t="n">
        <v>6</v>
      </c>
      <c r="P5603" t="n">
        <v>6</v>
      </c>
      <c r="Q5603" t="n">
        <v>0</v>
      </c>
    </row>
    <row r="5604">
      <c r="J5604" t="inlineStr">
        <is>
          <t>A</t>
        </is>
      </c>
      <c r="K5604" t="n">
        <v>2026</v>
      </c>
      <c r="L5604" t="n">
        <v>5</v>
      </c>
      <c r="M5604" t="inlineStr">
        <is>
          <t>Todos</t>
        </is>
      </c>
      <c r="N5604" t="inlineStr">
        <is>
          <t>Hotel / Motel / Pousada</t>
        </is>
      </c>
      <c r="O5604" t="n">
        <v>28</v>
      </c>
      <c r="P5604" t="n">
        <v>52</v>
      </c>
      <c r="Q5604" t="n">
        <v>11</v>
      </c>
    </row>
    <row r="5605">
      <c r="J5605" t="inlineStr">
        <is>
          <t>M</t>
        </is>
      </c>
      <c r="K5605" t="n">
        <v>2026</v>
      </c>
      <c r="L5605" t="n">
        <v>5</v>
      </c>
      <c r="M5605" t="inlineStr">
        <is>
          <t>Todos</t>
        </is>
      </c>
      <c r="N5605" t="inlineStr">
        <is>
          <t>Hotel / Motel / Pousada</t>
        </is>
      </c>
      <c r="O5605" t="n">
        <v>5</v>
      </c>
      <c r="P5605" t="n">
        <v>6</v>
      </c>
      <c r="Q5605" t="n">
        <v>0</v>
      </c>
    </row>
    <row r="5606">
      <c r="J5606" t="inlineStr">
        <is>
          <t>A</t>
        </is>
      </c>
      <c r="K5606" t="n">
        <v>2026</v>
      </c>
      <c r="L5606" t="n">
        <v>6</v>
      </c>
      <c r="M5606" t="inlineStr">
        <is>
          <t>Todos</t>
        </is>
      </c>
      <c r="N5606" t="inlineStr">
        <is>
          <t>Hotel / Motel / Pousada</t>
        </is>
      </c>
      <c r="O5606" t="n">
        <v>34</v>
      </c>
      <c r="P5606" t="n">
        <v>74</v>
      </c>
      <c r="Q5606" t="n">
        <v>16</v>
      </c>
    </row>
    <row r="5607">
      <c r="J5607" t="inlineStr">
        <is>
          <t>M</t>
        </is>
      </c>
      <c r="K5607" t="n">
        <v>2026</v>
      </c>
      <c r="L5607" t="n">
        <v>6</v>
      </c>
      <c r="M5607" t="inlineStr">
        <is>
          <t>Todos</t>
        </is>
      </c>
      <c r="N5607" t="inlineStr">
        <is>
          <t>Hotel / Motel / Pousada</t>
        </is>
      </c>
      <c r="O5607" t="n">
        <v>14</v>
      </c>
      <c r="P5607" t="n">
        <v>22</v>
      </c>
      <c r="Q5607" t="n">
        <v>0</v>
      </c>
    </row>
    <row r="5608">
      <c r="J5608" t="inlineStr">
        <is>
          <t>A</t>
        </is>
      </c>
      <c r="K5608" t="n">
        <v>2026</v>
      </c>
      <c r="L5608" t="n">
        <v>7</v>
      </c>
      <c r="M5608" t="inlineStr">
        <is>
          <t>Todos</t>
        </is>
      </c>
      <c r="N5608" t="inlineStr">
        <is>
          <t>Hotel / Motel / Pousada</t>
        </is>
      </c>
      <c r="O5608" t="n">
        <v>40</v>
      </c>
      <c r="P5608" t="n">
        <v>99</v>
      </c>
      <c r="Q5608" t="n">
        <v>20</v>
      </c>
    </row>
    <row r="5609">
      <c r="J5609" t="inlineStr">
        <is>
          <t>M</t>
        </is>
      </c>
      <c r="K5609" t="n">
        <v>2026</v>
      </c>
      <c r="L5609" t="n">
        <v>7</v>
      </c>
      <c r="M5609" t="inlineStr">
        <is>
          <t>Todos</t>
        </is>
      </c>
      <c r="N5609" t="inlineStr">
        <is>
          <t>Hotel / Motel / Pousada</t>
        </is>
      </c>
      <c r="O5609" t="n">
        <v>18</v>
      </c>
      <c r="P5609" t="n">
        <v>25</v>
      </c>
      <c r="Q5609" t="n">
        <v>0</v>
      </c>
    </row>
    <row r="5610">
      <c r="J5610" t="inlineStr">
        <is>
          <t>A</t>
        </is>
      </c>
      <c r="K5610" t="n">
        <v>2026</v>
      </c>
      <c r="L5610" t="n">
        <v>8</v>
      </c>
      <c r="M5610" t="inlineStr">
        <is>
          <t>Todos</t>
        </is>
      </c>
      <c r="N5610" t="inlineStr">
        <is>
          <t>Hotel / Motel / Pousada</t>
        </is>
      </c>
      <c r="O5610" t="n">
        <v>40</v>
      </c>
      <c r="P5610" t="n">
        <v>99</v>
      </c>
      <c r="Q5610" t="n">
        <v>20</v>
      </c>
    </row>
    <row r="5611">
      <c r="J5611" t="inlineStr">
        <is>
          <t>A</t>
        </is>
      </c>
      <c r="K5611" t="n">
        <v>2026</v>
      </c>
      <c r="L5611" t="n">
        <v>9</v>
      </c>
      <c r="M5611" t="inlineStr">
        <is>
          <t>Todos</t>
        </is>
      </c>
      <c r="N5611" t="inlineStr">
        <is>
          <t>Hotel / Motel / Pousada</t>
        </is>
      </c>
      <c r="O5611" t="n">
        <v>40</v>
      </c>
      <c r="P5611" t="n">
        <v>99</v>
      </c>
      <c r="Q5611" t="n">
        <v>20</v>
      </c>
    </row>
    <row r="5612">
      <c r="J5612" t="inlineStr">
        <is>
          <t>A</t>
        </is>
      </c>
      <c r="K5612" t="n">
        <v>2026</v>
      </c>
      <c r="L5612" t="n">
        <v>10</v>
      </c>
      <c r="M5612" t="inlineStr">
        <is>
          <t>Todos</t>
        </is>
      </c>
      <c r="N5612" t="inlineStr">
        <is>
          <t>Hotel / Motel / Pousada</t>
        </is>
      </c>
      <c r="O5612" t="n">
        <v>40</v>
      </c>
      <c r="P5612" t="n">
        <v>99</v>
      </c>
      <c r="Q5612" t="n">
        <v>20</v>
      </c>
    </row>
    <row r="5613">
      <c r="J5613" t="inlineStr">
        <is>
          <t>A</t>
        </is>
      </c>
      <c r="K5613" t="n">
        <v>2026</v>
      </c>
      <c r="L5613" t="n">
        <v>11</v>
      </c>
      <c r="M5613" t="inlineStr">
        <is>
          <t>Todos</t>
        </is>
      </c>
      <c r="N5613" t="inlineStr">
        <is>
          <t>Hotel / Motel / Pousada</t>
        </is>
      </c>
      <c r="O5613" t="n">
        <v>40</v>
      </c>
      <c r="P5613" t="n">
        <v>99</v>
      </c>
      <c r="Q5613" t="n">
        <v>20</v>
      </c>
    </row>
    <row r="5614">
      <c r="J5614" t="inlineStr">
        <is>
          <t>A</t>
        </is>
      </c>
      <c r="K5614" t="n">
        <v>2026</v>
      </c>
      <c r="L5614" t="n">
        <v>12</v>
      </c>
      <c r="M5614" t="inlineStr">
        <is>
          <t>Todos</t>
        </is>
      </c>
      <c r="N5614" t="inlineStr">
        <is>
          <t>Hotel / Motel / Pousada</t>
        </is>
      </c>
      <c r="O5614" t="n">
        <v>40</v>
      </c>
      <c r="P5614" t="n">
        <v>99</v>
      </c>
      <c r="Q5614" t="n">
        <v>20</v>
      </c>
    </row>
    <row r="5615">
      <c r="J5615" t="inlineStr">
        <is>
          <t>A</t>
        </is>
      </c>
      <c r="K5615" t="n">
        <v>2026</v>
      </c>
      <c r="L5615" t="n">
        <v>1</v>
      </c>
      <c r="M5615" t="inlineStr">
        <is>
          <t>Todos</t>
        </is>
      </c>
      <c r="N5615" t="inlineStr">
        <is>
          <t>Hamburgueria</t>
        </is>
      </c>
      <c r="O5615" t="n">
        <v>1</v>
      </c>
      <c r="P5615" t="n">
        <v>1</v>
      </c>
      <c r="Q5615" t="n">
        <v>1</v>
      </c>
    </row>
    <row r="5616">
      <c r="J5616" t="inlineStr">
        <is>
          <t>M</t>
        </is>
      </c>
      <c r="K5616" t="n">
        <v>2026</v>
      </c>
      <c r="L5616" t="n">
        <v>1</v>
      </c>
      <c r="M5616" t="inlineStr">
        <is>
          <t>Todos</t>
        </is>
      </c>
      <c r="N5616" t="inlineStr">
        <is>
          <t>Hamburgueria</t>
        </is>
      </c>
      <c r="O5616" t="n">
        <v>1</v>
      </c>
      <c r="P5616" t="n">
        <v>1</v>
      </c>
      <c r="Q5616" t="n">
        <v>0</v>
      </c>
    </row>
    <row r="5617">
      <c r="J5617" t="inlineStr">
        <is>
          <t>A</t>
        </is>
      </c>
      <c r="K5617" t="n">
        <v>2026</v>
      </c>
      <c r="L5617" t="n">
        <v>2</v>
      </c>
      <c r="M5617" t="inlineStr">
        <is>
          <t>Todos</t>
        </is>
      </c>
      <c r="N5617" t="inlineStr">
        <is>
          <t>Hamburgueria</t>
        </is>
      </c>
      <c r="O5617" t="n">
        <v>1</v>
      </c>
      <c r="P5617" t="n">
        <v>2</v>
      </c>
      <c r="Q5617" t="n">
        <v>1</v>
      </c>
    </row>
    <row r="5618">
      <c r="J5618" t="inlineStr">
        <is>
          <t>M</t>
        </is>
      </c>
      <c r="K5618" t="n">
        <v>2026</v>
      </c>
      <c r="L5618" t="n">
        <v>2</v>
      </c>
      <c r="M5618" t="inlineStr">
        <is>
          <t>Todos</t>
        </is>
      </c>
      <c r="N5618" t="inlineStr">
        <is>
          <t>Hamburgueria</t>
        </is>
      </c>
      <c r="O5618" t="n">
        <v>1</v>
      </c>
      <c r="P5618" t="n">
        <v>1</v>
      </c>
      <c r="Q5618" t="n">
        <v>0</v>
      </c>
    </row>
    <row r="5619">
      <c r="J5619" t="inlineStr">
        <is>
          <t>A</t>
        </is>
      </c>
      <c r="K5619" t="n">
        <v>2026</v>
      </c>
      <c r="L5619" t="n">
        <v>3</v>
      </c>
      <c r="M5619" t="inlineStr">
        <is>
          <t>Todos</t>
        </is>
      </c>
      <c r="N5619" t="inlineStr">
        <is>
          <t>Hamburgueria</t>
        </is>
      </c>
      <c r="O5619" t="n">
        <v>3</v>
      </c>
      <c r="P5619" t="n">
        <v>6</v>
      </c>
      <c r="Q5619" t="n">
        <v>2</v>
      </c>
    </row>
    <row r="5620">
      <c r="J5620" t="inlineStr">
        <is>
          <t>M</t>
        </is>
      </c>
      <c r="K5620" t="n">
        <v>2026</v>
      </c>
      <c r="L5620" t="n">
        <v>3</v>
      </c>
      <c r="M5620" t="inlineStr">
        <is>
          <t>Todos</t>
        </is>
      </c>
      <c r="N5620" t="inlineStr">
        <is>
          <t>Hamburgueria</t>
        </is>
      </c>
      <c r="O5620" t="n">
        <v>2</v>
      </c>
      <c r="P5620" t="n">
        <v>4</v>
      </c>
      <c r="Q5620" t="n">
        <v>0</v>
      </c>
    </row>
    <row r="5621">
      <c r="J5621" t="inlineStr">
        <is>
          <t>A</t>
        </is>
      </c>
      <c r="K5621" t="n">
        <v>2026</v>
      </c>
      <c r="L5621" t="n">
        <v>4</v>
      </c>
      <c r="M5621" t="inlineStr">
        <is>
          <t>Todos</t>
        </is>
      </c>
      <c r="N5621" t="inlineStr">
        <is>
          <t>Hamburgueria</t>
        </is>
      </c>
      <c r="O5621" t="n">
        <v>5</v>
      </c>
      <c r="P5621" t="n">
        <v>14</v>
      </c>
      <c r="Q5621" t="n">
        <v>4</v>
      </c>
    </row>
    <row r="5622">
      <c r="J5622" t="inlineStr">
        <is>
          <t>M</t>
        </is>
      </c>
      <c r="K5622" t="n">
        <v>2026</v>
      </c>
      <c r="L5622" t="n">
        <v>4</v>
      </c>
      <c r="M5622" t="inlineStr">
        <is>
          <t>Todos</t>
        </is>
      </c>
      <c r="N5622" t="inlineStr">
        <is>
          <t>Hamburgueria</t>
        </is>
      </c>
      <c r="O5622" t="n">
        <v>3</v>
      </c>
      <c r="P5622" t="n">
        <v>8</v>
      </c>
      <c r="Q5622" t="n">
        <v>0</v>
      </c>
    </row>
    <row r="5623">
      <c r="J5623" t="inlineStr">
        <is>
          <t>A</t>
        </is>
      </c>
      <c r="K5623" t="n">
        <v>2026</v>
      </c>
      <c r="L5623" t="n">
        <v>5</v>
      </c>
      <c r="M5623" t="inlineStr">
        <is>
          <t>Todos</t>
        </is>
      </c>
      <c r="N5623" t="inlineStr">
        <is>
          <t>Hamburgueria</t>
        </is>
      </c>
      <c r="O5623" t="n">
        <v>7</v>
      </c>
      <c r="P5623" t="n">
        <v>21</v>
      </c>
      <c r="Q5623" t="n">
        <v>6</v>
      </c>
    </row>
    <row r="5624">
      <c r="J5624" t="inlineStr">
        <is>
          <t>M</t>
        </is>
      </c>
      <c r="K5624" t="n">
        <v>2026</v>
      </c>
      <c r="L5624" t="n">
        <v>5</v>
      </c>
      <c r="M5624" t="inlineStr">
        <is>
          <t>Todos</t>
        </is>
      </c>
      <c r="N5624" t="inlineStr">
        <is>
          <t>Hamburgueria</t>
        </is>
      </c>
      <c r="O5624" t="n">
        <v>4</v>
      </c>
      <c r="P5624" t="n">
        <v>7</v>
      </c>
      <c r="Q5624" t="n">
        <v>0</v>
      </c>
    </row>
    <row r="5625">
      <c r="J5625" t="inlineStr">
        <is>
          <t>A</t>
        </is>
      </c>
      <c r="K5625" t="n">
        <v>2026</v>
      </c>
      <c r="L5625" t="n">
        <v>6</v>
      </c>
      <c r="M5625" t="inlineStr">
        <is>
          <t>Todos</t>
        </is>
      </c>
      <c r="N5625" t="inlineStr">
        <is>
          <t>Hamburgueria</t>
        </is>
      </c>
      <c r="O5625" t="n">
        <v>10</v>
      </c>
      <c r="P5625" t="n">
        <v>31</v>
      </c>
      <c r="Q5625" t="n">
        <v>9</v>
      </c>
    </row>
    <row r="5626">
      <c r="J5626" t="inlineStr">
        <is>
          <t>M</t>
        </is>
      </c>
      <c r="K5626" t="n">
        <v>2026</v>
      </c>
      <c r="L5626" t="n">
        <v>6</v>
      </c>
      <c r="M5626" t="inlineStr">
        <is>
          <t>Todos</t>
        </is>
      </c>
      <c r="N5626" t="inlineStr">
        <is>
          <t>Hamburgueria</t>
        </is>
      </c>
      <c r="O5626" t="n">
        <v>7</v>
      </c>
      <c r="P5626" t="n">
        <v>10</v>
      </c>
      <c r="Q5626" t="n">
        <v>0</v>
      </c>
    </row>
    <row r="5627">
      <c r="J5627" t="inlineStr">
        <is>
          <t>A</t>
        </is>
      </c>
      <c r="K5627" t="n">
        <v>2026</v>
      </c>
      <c r="L5627" t="n">
        <v>7</v>
      </c>
      <c r="M5627" t="inlineStr">
        <is>
          <t>Todos</t>
        </is>
      </c>
      <c r="N5627" t="inlineStr">
        <is>
          <t>Hamburgueria</t>
        </is>
      </c>
      <c r="O5627" t="n">
        <v>15</v>
      </c>
      <c r="P5627" t="n">
        <v>46</v>
      </c>
      <c r="Q5627" t="n">
        <v>14</v>
      </c>
    </row>
    <row r="5628">
      <c r="J5628" t="inlineStr">
        <is>
          <t>M</t>
        </is>
      </c>
      <c r="K5628" t="n">
        <v>2026</v>
      </c>
      <c r="L5628" t="n">
        <v>7</v>
      </c>
      <c r="M5628" t="inlineStr">
        <is>
          <t>Todos</t>
        </is>
      </c>
      <c r="N5628" t="inlineStr">
        <is>
          <t>Hamburgueria</t>
        </is>
      </c>
      <c r="O5628" t="n">
        <v>9</v>
      </c>
      <c r="P5628" t="n">
        <v>15</v>
      </c>
      <c r="Q5628" t="n">
        <v>0</v>
      </c>
    </row>
    <row r="5629">
      <c r="J5629" t="inlineStr">
        <is>
          <t>A</t>
        </is>
      </c>
      <c r="K5629" t="n">
        <v>2026</v>
      </c>
      <c r="L5629" t="n">
        <v>8</v>
      </c>
      <c r="M5629" t="inlineStr">
        <is>
          <t>Todos</t>
        </is>
      </c>
      <c r="N5629" t="inlineStr">
        <is>
          <t>Hamburgueria</t>
        </is>
      </c>
      <c r="O5629" t="n">
        <v>15</v>
      </c>
      <c r="P5629" t="n">
        <v>58</v>
      </c>
      <c r="Q5629" t="n">
        <v>14</v>
      </c>
    </row>
    <row r="5630">
      <c r="J5630" t="inlineStr">
        <is>
          <t>M</t>
        </is>
      </c>
      <c r="K5630" t="n">
        <v>2026</v>
      </c>
      <c r="L5630" t="n">
        <v>8</v>
      </c>
      <c r="M5630" t="inlineStr">
        <is>
          <t>Todos</t>
        </is>
      </c>
      <c r="N5630" t="inlineStr">
        <is>
          <t>Hamburgueria</t>
        </is>
      </c>
      <c r="O5630" t="n">
        <v>6</v>
      </c>
      <c r="P5630" t="n">
        <v>12</v>
      </c>
      <c r="Q5630" t="n">
        <v>0</v>
      </c>
    </row>
    <row r="5631">
      <c r="J5631" t="inlineStr">
        <is>
          <t>A</t>
        </is>
      </c>
      <c r="K5631" t="n">
        <v>2026</v>
      </c>
      <c r="L5631" t="n">
        <v>9</v>
      </c>
      <c r="M5631" t="inlineStr">
        <is>
          <t>Todos</t>
        </is>
      </c>
      <c r="N5631" t="inlineStr">
        <is>
          <t>Hamburgueria</t>
        </is>
      </c>
      <c r="O5631" t="n">
        <v>16</v>
      </c>
      <c r="P5631" t="n">
        <v>64</v>
      </c>
      <c r="Q5631" t="n">
        <v>15</v>
      </c>
    </row>
    <row r="5632">
      <c r="J5632" t="inlineStr">
        <is>
          <t>M</t>
        </is>
      </c>
      <c r="K5632" t="n">
        <v>2026</v>
      </c>
      <c r="L5632" t="n">
        <v>9</v>
      </c>
      <c r="M5632" t="inlineStr">
        <is>
          <t>Todos</t>
        </is>
      </c>
      <c r="N5632" t="inlineStr">
        <is>
          <t>Hamburgueria</t>
        </is>
      </c>
      <c r="O5632" t="n">
        <v>5</v>
      </c>
      <c r="P5632" t="n">
        <v>6</v>
      </c>
      <c r="Q5632" t="n">
        <v>0</v>
      </c>
    </row>
    <row r="5633">
      <c r="J5633" t="inlineStr">
        <is>
          <t>A</t>
        </is>
      </c>
      <c r="K5633" t="n">
        <v>2026</v>
      </c>
      <c r="L5633" t="n">
        <v>10</v>
      </c>
      <c r="M5633" t="inlineStr">
        <is>
          <t>Todos</t>
        </is>
      </c>
      <c r="N5633" t="inlineStr">
        <is>
          <t>Hamburgueria</t>
        </is>
      </c>
      <c r="O5633" t="n">
        <v>16</v>
      </c>
      <c r="P5633" t="n">
        <v>64</v>
      </c>
      <c r="Q5633" t="n">
        <v>15</v>
      </c>
    </row>
    <row r="5634">
      <c r="J5634" t="inlineStr">
        <is>
          <t>A</t>
        </is>
      </c>
      <c r="K5634" t="n">
        <v>2026</v>
      </c>
      <c r="L5634" t="n">
        <v>11</v>
      </c>
      <c r="M5634" t="inlineStr">
        <is>
          <t>Todos</t>
        </is>
      </c>
      <c r="N5634" t="inlineStr">
        <is>
          <t>Hamburgueria</t>
        </is>
      </c>
      <c r="O5634" t="n">
        <v>16</v>
      </c>
      <c r="P5634" t="n">
        <v>64</v>
      </c>
      <c r="Q5634" t="n">
        <v>15</v>
      </c>
    </row>
    <row r="5635">
      <c r="J5635" t="inlineStr">
        <is>
          <t>A</t>
        </is>
      </c>
      <c r="K5635" t="n">
        <v>2026</v>
      </c>
      <c r="L5635" t="n">
        <v>12</v>
      </c>
      <c r="M5635" t="inlineStr">
        <is>
          <t>Todos</t>
        </is>
      </c>
      <c r="N5635" t="inlineStr">
        <is>
          <t>Hamburgueria</t>
        </is>
      </c>
      <c r="O5635" t="n">
        <v>16</v>
      </c>
      <c r="P5635" t="n">
        <v>64</v>
      </c>
      <c r="Q5635" t="n">
        <v>15</v>
      </c>
    </row>
    <row r="5636">
      <c r="J5636" t="inlineStr">
        <is>
          <t>A</t>
        </is>
      </c>
      <c r="K5636" t="n">
        <v>2026</v>
      </c>
      <c r="L5636" t="n">
        <v>3</v>
      </c>
      <c r="M5636" t="inlineStr">
        <is>
          <t>Todos</t>
        </is>
      </c>
      <c r="N5636" t="inlineStr">
        <is>
          <t>Laticínios / Distribuidor</t>
        </is>
      </c>
      <c r="O5636" t="n">
        <v>2</v>
      </c>
      <c r="P5636" t="n">
        <v>2</v>
      </c>
      <c r="Q5636" t="n">
        <v>1</v>
      </c>
    </row>
    <row r="5637">
      <c r="J5637" t="inlineStr">
        <is>
          <t>M</t>
        </is>
      </c>
      <c r="K5637" t="n">
        <v>2026</v>
      </c>
      <c r="L5637" t="n">
        <v>3</v>
      </c>
      <c r="M5637" t="inlineStr">
        <is>
          <t>Todos</t>
        </is>
      </c>
      <c r="N5637" t="inlineStr">
        <is>
          <t>Laticínios / Distribuidor</t>
        </is>
      </c>
      <c r="O5637" t="n">
        <v>2</v>
      </c>
      <c r="P5637" t="n">
        <v>2</v>
      </c>
      <c r="Q5637" t="n">
        <v>0</v>
      </c>
    </row>
    <row r="5638">
      <c r="J5638" t="inlineStr">
        <is>
          <t>A</t>
        </is>
      </c>
      <c r="K5638" t="n">
        <v>2026</v>
      </c>
      <c r="L5638" t="n">
        <v>4</v>
      </c>
      <c r="M5638" t="inlineStr">
        <is>
          <t>Todos</t>
        </is>
      </c>
      <c r="N5638" t="inlineStr">
        <is>
          <t>Laticínios / Distribuidor</t>
        </is>
      </c>
      <c r="O5638" t="n">
        <v>2</v>
      </c>
      <c r="P5638" t="n">
        <v>2</v>
      </c>
      <c r="Q5638" t="n">
        <v>1</v>
      </c>
    </row>
    <row r="5639">
      <c r="J5639" t="inlineStr">
        <is>
          <t>A</t>
        </is>
      </c>
      <c r="K5639" t="n">
        <v>2026</v>
      </c>
      <c r="L5639" t="n">
        <v>5</v>
      </c>
      <c r="M5639" t="inlineStr">
        <is>
          <t>Todos</t>
        </is>
      </c>
      <c r="N5639" t="inlineStr">
        <is>
          <t>Laticínios / Distribuidor</t>
        </is>
      </c>
      <c r="O5639" t="n">
        <v>2</v>
      </c>
      <c r="P5639" t="n">
        <v>2</v>
      </c>
      <c r="Q5639" t="n">
        <v>1</v>
      </c>
    </row>
    <row r="5640">
      <c r="J5640" t="inlineStr">
        <is>
          <t>A</t>
        </is>
      </c>
      <c r="K5640" t="n">
        <v>2026</v>
      </c>
      <c r="L5640" t="n">
        <v>6</v>
      </c>
      <c r="M5640" t="inlineStr">
        <is>
          <t>Todos</t>
        </is>
      </c>
      <c r="N5640" t="inlineStr">
        <is>
          <t>Laticínios / Distribuidor</t>
        </is>
      </c>
      <c r="O5640" t="n">
        <v>2</v>
      </c>
      <c r="P5640" t="n">
        <v>2</v>
      </c>
      <c r="Q5640" t="n">
        <v>1</v>
      </c>
    </row>
    <row r="5641">
      <c r="J5641" t="inlineStr">
        <is>
          <t>A</t>
        </is>
      </c>
      <c r="K5641" t="n">
        <v>2026</v>
      </c>
      <c r="L5641" t="n">
        <v>7</v>
      </c>
      <c r="M5641" t="inlineStr">
        <is>
          <t>Todos</t>
        </is>
      </c>
      <c r="N5641" t="inlineStr">
        <is>
          <t>Laticínios / Distribuidor</t>
        </is>
      </c>
      <c r="O5641" t="n">
        <v>2</v>
      </c>
      <c r="P5641" t="n">
        <v>2</v>
      </c>
      <c r="Q5641" t="n">
        <v>1</v>
      </c>
    </row>
    <row r="5642">
      <c r="J5642" t="inlineStr">
        <is>
          <t>A</t>
        </is>
      </c>
      <c r="K5642" t="n">
        <v>2026</v>
      </c>
      <c r="L5642" t="n">
        <v>8</v>
      </c>
      <c r="M5642" t="inlineStr">
        <is>
          <t>Todos</t>
        </is>
      </c>
      <c r="N5642" t="inlineStr">
        <is>
          <t>Laticínios / Distribuidor</t>
        </is>
      </c>
      <c r="O5642" t="n">
        <v>2</v>
      </c>
      <c r="P5642" t="n">
        <v>2</v>
      </c>
      <c r="Q5642" t="n">
        <v>1</v>
      </c>
    </row>
    <row r="5643">
      <c r="J5643" t="inlineStr">
        <is>
          <t>A</t>
        </is>
      </c>
      <c r="K5643" t="n">
        <v>2026</v>
      </c>
      <c r="L5643" t="n">
        <v>9</v>
      </c>
      <c r="M5643" t="inlineStr">
        <is>
          <t>Todos</t>
        </is>
      </c>
      <c r="N5643" t="inlineStr">
        <is>
          <t>Laticínios / Distribuidor</t>
        </is>
      </c>
      <c r="O5643" t="n">
        <v>2</v>
      </c>
      <c r="P5643" t="n">
        <v>2</v>
      </c>
      <c r="Q5643" t="n">
        <v>1</v>
      </c>
    </row>
    <row r="5644">
      <c r="J5644" t="inlineStr">
        <is>
          <t>A</t>
        </is>
      </c>
      <c r="K5644" t="n">
        <v>2026</v>
      </c>
      <c r="L5644" t="n">
        <v>10</v>
      </c>
      <c r="M5644" t="inlineStr">
        <is>
          <t>Todos</t>
        </is>
      </c>
      <c r="N5644" t="inlineStr">
        <is>
          <t>Laticínios / Distribuidor</t>
        </is>
      </c>
      <c r="O5644" t="n">
        <v>2</v>
      </c>
      <c r="P5644" t="n">
        <v>2</v>
      </c>
      <c r="Q5644" t="n">
        <v>1</v>
      </c>
    </row>
    <row r="5645">
      <c r="J5645" t="inlineStr">
        <is>
          <t>A</t>
        </is>
      </c>
      <c r="K5645" t="n">
        <v>2026</v>
      </c>
      <c r="L5645" t="n">
        <v>11</v>
      </c>
      <c r="M5645" t="inlineStr">
        <is>
          <t>Todos</t>
        </is>
      </c>
      <c r="N5645" t="inlineStr">
        <is>
          <t>Laticínios / Distribuidor</t>
        </is>
      </c>
      <c r="O5645" t="n">
        <v>2</v>
      </c>
      <c r="P5645" t="n">
        <v>2</v>
      </c>
      <c r="Q5645" t="n">
        <v>1</v>
      </c>
    </row>
    <row r="5646">
      <c r="J5646" t="inlineStr">
        <is>
          <t>A</t>
        </is>
      </c>
      <c r="K5646" t="n">
        <v>2026</v>
      </c>
      <c r="L5646" t="n">
        <v>12</v>
      </c>
      <c r="M5646" t="inlineStr">
        <is>
          <t>Todos</t>
        </is>
      </c>
      <c r="N5646" t="inlineStr">
        <is>
          <t>Laticínios / Distribuidor</t>
        </is>
      </c>
      <c r="O5646" t="n">
        <v>2</v>
      </c>
      <c r="P5646" t="n">
        <v>2</v>
      </c>
      <c r="Q5646" t="n">
        <v>1</v>
      </c>
    </row>
    <row r="5647">
      <c r="J5647" t="inlineStr">
        <is>
          <t>A</t>
        </is>
      </c>
      <c r="K5647" t="n">
        <v>2026</v>
      </c>
      <c r="L5647" t="n">
        <v>3</v>
      </c>
      <c r="M5647" t="inlineStr">
        <is>
          <t>Todos</t>
        </is>
      </c>
      <c r="N5647" t="inlineStr">
        <is>
          <t>Cozinha Oriental</t>
        </is>
      </c>
      <c r="O5647" t="n">
        <v>1</v>
      </c>
      <c r="P5647" t="n">
        <v>1</v>
      </c>
      <c r="Q5647" t="n">
        <v>0</v>
      </c>
    </row>
    <row r="5648">
      <c r="J5648" t="inlineStr">
        <is>
          <t>M</t>
        </is>
      </c>
      <c r="K5648" t="n">
        <v>2026</v>
      </c>
      <c r="L5648" t="n">
        <v>3</v>
      </c>
      <c r="M5648" t="inlineStr">
        <is>
          <t>Todos</t>
        </is>
      </c>
      <c r="N5648" t="inlineStr">
        <is>
          <t>Cozinha Oriental</t>
        </is>
      </c>
      <c r="O5648" t="n">
        <v>1</v>
      </c>
      <c r="P5648" t="n">
        <v>1</v>
      </c>
      <c r="Q5648" t="n">
        <v>0</v>
      </c>
    </row>
    <row r="5649">
      <c r="J5649" t="inlineStr">
        <is>
          <t>A</t>
        </is>
      </c>
      <c r="K5649" t="n">
        <v>2026</v>
      </c>
      <c r="L5649" t="n">
        <v>4</v>
      </c>
      <c r="M5649" t="inlineStr">
        <is>
          <t>Todos</t>
        </is>
      </c>
      <c r="N5649" t="inlineStr">
        <is>
          <t>Cozinha Oriental</t>
        </is>
      </c>
      <c r="O5649" t="n">
        <v>1</v>
      </c>
      <c r="P5649" t="n">
        <v>2</v>
      </c>
      <c r="Q5649" t="n">
        <v>0</v>
      </c>
    </row>
    <row r="5650">
      <c r="J5650" t="inlineStr">
        <is>
          <t>M</t>
        </is>
      </c>
      <c r="K5650" t="n">
        <v>2026</v>
      </c>
      <c r="L5650" t="n">
        <v>4</v>
      </c>
      <c r="M5650" t="inlineStr">
        <is>
          <t>Todos</t>
        </is>
      </c>
      <c r="N5650" t="inlineStr">
        <is>
          <t>Cozinha Oriental</t>
        </is>
      </c>
      <c r="O5650" t="n">
        <v>1</v>
      </c>
      <c r="P5650" t="n">
        <v>1</v>
      </c>
      <c r="Q5650" t="n">
        <v>0</v>
      </c>
    </row>
    <row r="5651">
      <c r="J5651" t="inlineStr">
        <is>
          <t>A</t>
        </is>
      </c>
      <c r="K5651" t="n">
        <v>2026</v>
      </c>
      <c r="L5651" t="n">
        <v>5</v>
      </c>
      <c r="M5651" t="inlineStr">
        <is>
          <t>Todos</t>
        </is>
      </c>
      <c r="N5651" t="inlineStr">
        <is>
          <t>Cozinha Oriental</t>
        </is>
      </c>
      <c r="O5651" t="n">
        <v>1</v>
      </c>
      <c r="P5651" t="n">
        <v>2</v>
      </c>
      <c r="Q5651" t="n">
        <v>0</v>
      </c>
    </row>
    <row r="5652">
      <c r="J5652" t="inlineStr">
        <is>
          <t>A</t>
        </is>
      </c>
      <c r="K5652" t="n">
        <v>2026</v>
      </c>
      <c r="L5652" t="n">
        <v>6</v>
      </c>
      <c r="M5652" t="inlineStr">
        <is>
          <t>Todos</t>
        </is>
      </c>
      <c r="N5652" t="inlineStr">
        <is>
          <t>Cozinha Oriental</t>
        </is>
      </c>
      <c r="O5652" t="n">
        <v>1</v>
      </c>
      <c r="P5652" t="n">
        <v>3</v>
      </c>
      <c r="Q5652" t="n">
        <v>0</v>
      </c>
    </row>
    <row r="5653">
      <c r="J5653" t="inlineStr">
        <is>
          <t>M</t>
        </is>
      </c>
      <c r="K5653" t="n">
        <v>2026</v>
      </c>
      <c r="L5653" t="n">
        <v>6</v>
      </c>
      <c r="M5653" t="inlineStr">
        <is>
          <t>Todos</t>
        </is>
      </c>
      <c r="N5653" t="inlineStr">
        <is>
          <t>Cozinha Oriental</t>
        </is>
      </c>
      <c r="O5653" t="n">
        <v>1</v>
      </c>
      <c r="P5653" t="n">
        <v>1</v>
      </c>
      <c r="Q5653" t="n">
        <v>0</v>
      </c>
    </row>
    <row r="5654">
      <c r="J5654" t="inlineStr">
        <is>
          <t>A</t>
        </is>
      </c>
      <c r="K5654" t="n">
        <v>2026</v>
      </c>
      <c r="L5654" t="n">
        <v>7</v>
      </c>
      <c r="M5654" t="inlineStr">
        <is>
          <t>Todos</t>
        </is>
      </c>
      <c r="N5654" t="inlineStr">
        <is>
          <t>Cozinha Oriental</t>
        </is>
      </c>
      <c r="O5654" t="n">
        <v>1</v>
      </c>
      <c r="P5654" t="n">
        <v>5</v>
      </c>
      <c r="Q5654" t="n">
        <v>0</v>
      </c>
    </row>
    <row r="5655">
      <c r="J5655" t="inlineStr">
        <is>
          <t>M</t>
        </is>
      </c>
      <c r="K5655" t="n">
        <v>2026</v>
      </c>
      <c r="L5655" t="n">
        <v>7</v>
      </c>
      <c r="M5655" t="inlineStr">
        <is>
          <t>Todos</t>
        </is>
      </c>
      <c r="N5655" t="inlineStr">
        <is>
          <t>Cozinha Oriental</t>
        </is>
      </c>
      <c r="O5655" t="n">
        <v>1</v>
      </c>
      <c r="P5655" t="n">
        <v>2</v>
      </c>
      <c r="Q5655" t="n">
        <v>0</v>
      </c>
    </row>
    <row r="5656">
      <c r="J5656" t="inlineStr">
        <is>
          <t>A</t>
        </is>
      </c>
      <c r="K5656" t="n">
        <v>2026</v>
      </c>
      <c r="L5656" t="n">
        <v>8</v>
      </c>
      <c r="M5656" t="inlineStr">
        <is>
          <t>Todos</t>
        </is>
      </c>
      <c r="N5656" t="inlineStr">
        <is>
          <t>Cozinha Oriental</t>
        </is>
      </c>
      <c r="O5656" t="n">
        <v>2</v>
      </c>
      <c r="P5656" t="n">
        <v>8</v>
      </c>
      <c r="Q5656" t="n">
        <v>1</v>
      </c>
    </row>
    <row r="5657">
      <c r="J5657" t="inlineStr">
        <is>
          <t>M</t>
        </is>
      </c>
      <c r="K5657" t="n">
        <v>2026</v>
      </c>
      <c r="L5657" t="n">
        <v>8</v>
      </c>
      <c r="M5657" t="inlineStr">
        <is>
          <t>Todos</t>
        </is>
      </c>
      <c r="N5657" t="inlineStr">
        <is>
          <t>Cozinha Oriental</t>
        </is>
      </c>
      <c r="O5657" t="n">
        <v>2</v>
      </c>
      <c r="P5657" t="n">
        <v>3</v>
      </c>
      <c r="Q5657" t="n">
        <v>0</v>
      </c>
    </row>
    <row r="5658">
      <c r="J5658" t="inlineStr">
        <is>
          <t>A</t>
        </is>
      </c>
      <c r="K5658" t="n">
        <v>2026</v>
      </c>
      <c r="L5658" t="n">
        <v>9</v>
      </c>
      <c r="M5658" t="inlineStr">
        <is>
          <t>Todos</t>
        </is>
      </c>
      <c r="N5658" t="inlineStr">
        <is>
          <t>Cozinha Oriental</t>
        </is>
      </c>
      <c r="O5658" t="n">
        <v>2</v>
      </c>
      <c r="P5658" t="n">
        <v>9</v>
      </c>
      <c r="Q5658" t="n">
        <v>1</v>
      </c>
    </row>
    <row r="5659">
      <c r="J5659" t="inlineStr">
        <is>
          <t>M</t>
        </is>
      </c>
      <c r="K5659" t="n">
        <v>2026</v>
      </c>
      <c r="L5659" t="n">
        <v>9</v>
      </c>
      <c r="M5659" t="inlineStr">
        <is>
          <t>Todos</t>
        </is>
      </c>
      <c r="N5659" t="inlineStr">
        <is>
          <t>Cozinha Oriental</t>
        </is>
      </c>
      <c r="O5659" t="n">
        <v>1</v>
      </c>
      <c r="P5659" t="n">
        <v>1</v>
      </c>
      <c r="Q5659" t="n">
        <v>0</v>
      </c>
    </row>
    <row r="5660">
      <c r="J5660" t="inlineStr">
        <is>
          <t>A</t>
        </is>
      </c>
      <c r="K5660" t="n">
        <v>2026</v>
      </c>
      <c r="L5660" t="n">
        <v>10</v>
      </c>
      <c r="M5660" t="inlineStr">
        <is>
          <t>Todos</t>
        </is>
      </c>
      <c r="N5660" t="inlineStr">
        <is>
          <t>Cozinha Oriental</t>
        </is>
      </c>
      <c r="O5660" t="n">
        <v>2</v>
      </c>
      <c r="P5660" t="n">
        <v>9</v>
      </c>
      <c r="Q5660" t="n">
        <v>1</v>
      </c>
    </row>
    <row r="5661">
      <c r="J5661" t="inlineStr">
        <is>
          <t>A</t>
        </is>
      </c>
      <c r="K5661" t="n">
        <v>2026</v>
      </c>
      <c r="L5661" t="n">
        <v>11</v>
      </c>
      <c r="M5661" t="inlineStr">
        <is>
          <t>Todos</t>
        </is>
      </c>
      <c r="N5661" t="inlineStr">
        <is>
          <t>Cozinha Oriental</t>
        </is>
      </c>
      <c r="O5661" t="n">
        <v>2</v>
      </c>
      <c r="P5661" t="n">
        <v>9</v>
      </c>
      <c r="Q5661" t="n">
        <v>1</v>
      </c>
    </row>
    <row r="5662">
      <c r="J5662" t="inlineStr">
        <is>
          <t>A</t>
        </is>
      </c>
      <c r="K5662" t="n">
        <v>2026</v>
      </c>
      <c r="L5662" t="n">
        <v>12</v>
      </c>
      <c r="M5662" t="inlineStr">
        <is>
          <t>Todos</t>
        </is>
      </c>
      <c r="N5662" t="inlineStr">
        <is>
          <t>Cozinha Oriental</t>
        </is>
      </c>
      <c r="O5662" t="n">
        <v>2</v>
      </c>
      <c r="P5662" t="n">
        <v>9</v>
      </c>
      <c r="Q5662" t="n">
        <v>1</v>
      </c>
    </row>
    <row r="5663">
      <c r="J5663" t="inlineStr">
        <is>
          <t>A</t>
        </is>
      </c>
      <c r="K5663" t="n">
        <v>2026</v>
      </c>
      <c r="L5663" t="n">
        <v>3</v>
      </c>
      <c r="M5663" t="inlineStr">
        <is>
          <t>Todos</t>
        </is>
      </c>
      <c r="N5663" t="inlineStr">
        <is>
          <t>Adega</t>
        </is>
      </c>
      <c r="O5663" t="n">
        <v>1</v>
      </c>
      <c r="P5663" t="n">
        <v>2</v>
      </c>
      <c r="Q5663" t="n">
        <v>1</v>
      </c>
    </row>
    <row r="5664">
      <c r="J5664" t="inlineStr">
        <is>
          <t>M</t>
        </is>
      </c>
      <c r="K5664" t="n">
        <v>2026</v>
      </c>
      <c r="L5664" t="n">
        <v>3</v>
      </c>
      <c r="M5664" t="inlineStr">
        <is>
          <t>Todos</t>
        </is>
      </c>
      <c r="N5664" t="inlineStr">
        <is>
          <t>Adega</t>
        </is>
      </c>
      <c r="O5664" t="n">
        <v>1</v>
      </c>
      <c r="P5664" t="n">
        <v>2</v>
      </c>
      <c r="Q5664" t="n">
        <v>0</v>
      </c>
    </row>
    <row r="5665">
      <c r="J5665" t="inlineStr">
        <is>
          <t>A</t>
        </is>
      </c>
      <c r="K5665" t="n">
        <v>2026</v>
      </c>
      <c r="L5665" t="n">
        <v>4</v>
      </c>
      <c r="M5665" t="inlineStr">
        <is>
          <t>Todos</t>
        </is>
      </c>
      <c r="N5665" t="inlineStr">
        <is>
          <t>Adega</t>
        </is>
      </c>
      <c r="O5665" t="n">
        <v>1</v>
      </c>
      <c r="P5665" t="n">
        <v>4</v>
      </c>
      <c r="Q5665" t="n">
        <v>1</v>
      </c>
    </row>
    <row r="5666">
      <c r="J5666" t="inlineStr">
        <is>
          <t>M</t>
        </is>
      </c>
      <c r="K5666" t="n">
        <v>2026</v>
      </c>
      <c r="L5666" t="n">
        <v>4</v>
      </c>
      <c r="M5666" t="inlineStr">
        <is>
          <t>Todos</t>
        </is>
      </c>
      <c r="N5666" t="inlineStr">
        <is>
          <t>Adega</t>
        </is>
      </c>
      <c r="O5666" t="n">
        <v>1</v>
      </c>
      <c r="P5666" t="n">
        <v>2</v>
      </c>
      <c r="Q5666" t="n">
        <v>0</v>
      </c>
    </row>
    <row r="5667">
      <c r="J5667" t="inlineStr">
        <is>
          <t>A</t>
        </is>
      </c>
      <c r="K5667" t="n">
        <v>2026</v>
      </c>
      <c r="L5667" t="n">
        <v>5</v>
      </c>
      <c r="M5667" t="inlineStr">
        <is>
          <t>Todos</t>
        </is>
      </c>
      <c r="N5667" t="inlineStr">
        <is>
          <t>Adega</t>
        </is>
      </c>
      <c r="O5667" t="n">
        <v>2</v>
      </c>
      <c r="P5667" t="n">
        <v>9</v>
      </c>
      <c r="Q5667" t="n">
        <v>2</v>
      </c>
    </row>
    <row r="5668">
      <c r="J5668" t="inlineStr">
        <is>
          <t>M</t>
        </is>
      </c>
      <c r="K5668" t="n">
        <v>2026</v>
      </c>
      <c r="L5668" t="n">
        <v>5</v>
      </c>
      <c r="M5668" t="inlineStr">
        <is>
          <t>Todos</t>
        </is>
      </c>
      <c r="N5668" t="inlineStr">
        <is>
          <t>Adega</t>
        </is>
      </c>
      <c r="O5668" t="n">
        <v>2</v>
      </c>
      <c r="P5668" t="n">
        <v>5</v>
      </c>
      <c r="Q5668" t="n">
        <v>0</v>
      </c>
    </row>
    <row r="5669">
      <c r="J5669" t="inlineStr">
        <is>
          <t>A</t>
        </is>
      </c>
      <c r="K5669" t="n">
        <v>2026</v>
      </c>
      <c r="L5669" t="n">
        <v>6</v>
      </c>
      <c r="M5669" t="inlineStr">
        <is>
          <t>Todos</t>
        </is>
      </c>
      <c r="N5669" t="inlineStr">
        <is>
          <t>Adega</t>
        </is>
      </c>
      <c r="O5669" t="n">
        <v>2</v>
      </c>
      <c r="P5669" t="n">
        <v>11</v>
      </c>
      <c r="Q5669" t="n">
        <v>2</v>
      </c>
    </row>
    <row r="5670">
      <c r="J5670" t="inlineStr">
        <is>
          <t>M</t>
        </is>
      </c>
      <c r="K5670" t="n">
        <v>2026</v>
      </c>
      <c r="L5670" t="n">
        <v>6</v>
      </c>
      <c r="M5670" t="inlineStr">
        <is>
          <t>Todos</t>
        </is>
      </c>
      <c r="N5670" t="inlineStr">
        <is>
          <t>Adega</t>
        </is>
      </c>
      <c r="O5670" t="n">
        <v>1</v>
      </c>
      <c r="P5670" t="n">
        <v>2</v>
      </c>
      <c r="Q5670" t="n">
        <v>0</v>
      </c>
    </row>
    <row r="5671">
      <c r="J5671" t="inlineStr">
        <is>
          <t>A</t>
        </is>
      </c>
      <c r="K5671" t="n">
        <v>2026</v>
      </c>
      <c r="L5671" t="n">
        <v>7</v>
      </c>
      <c r="M5671" t="inlineStr">
        <is>
          <t>Todos</t>
        </is>
      </c>
      <c r="N5671" t="inlineStr">
        <is>
          <t>Adega</t>
        </is>
      </c>
      <c r="O5671" t="n">
        <v>2</v>
      </c>
      <c r="P5671" t="n">
        <v>14</v>
      </c>
      <c r="Q5671" t="n">
        <v>2</v>
      </c>
    </row>
    <row r="5672">
      <c r="J5672" t="inlineStr">
        <is>
          <t>M</t>
        </is>
      </c>
      <c r="K5672" t="n">
        <v>2026</v>
      </c>
      <c r="L5672" t="n">
        <v>7</v>
      </c>
      <c r="M5672" t="inlineStr">
        <is>
          <t>Todos</t>
        </is>
      </c>
      <c r="N5672" t="inlineStr">
        <is>
          <t>Adega</t>
        </is>
      </c>
      <c r="O5672" t="n">
        <v>1</v>
      </c>
      <c r="P5672" t="n">
        <v>3</v>
      </c>
      <c r="Q5672" t="n">
        <v>0</v>
      </c>
    </row>
    <row r="5673">
      <c r="J5673" t="inlineStr">
        <is>
          <t>A</t>
        </is>
      </c>
      <c r="K5673" t="n">
        <v>2026</v>
      </c>
      <c r="L5673" t="n">
        <v>8</v>
      </c>
      <c r="M5673" t="inlineStr">
        <is>
          <t>Todos</t>
        </is>
      </c>
      <c r="N5673" t="inlineStr">
        <is>
          <t>Adega</t>
        </is>
      </c>
      <c r="O5673" t="n">
        <v>2</v>
      </c>
      <c r="P5673" t="n">
        <v>17</v>
      </c>
      <c r="Q5673" t="n">
        <v>2</v>
      </c>
    </row>
    <row r="5674">
      <c r="J5674" t="inlineStr">
        <is>
          <t>M</t>
        </is>
      </c>
      <c r="K5674" t="n">
        <v>2026</v>
      </c>
      <c r="L5674" t="n">
        <v>8</v>
      </c>
      <c r="M5674" t="inlineStr">
        <is>
          <t>Todos</t>
        </is>
      </c>
      <c r="N5674" t="inlineStr">
        <is>
          <t>Adega</t>
        </is>
      </c>
      <c r="O5674" t="n">
        <v>1</v>
      </c>
      <c r="P5674" t="n">
        <v>3</v>
      </c>
      <c r="Q5674" t="n">
        <v>0</v>
      </c>
    </row>
    <row r="5675">
      <c r="J5675" t="inlineStr">
        <is>
          <t>A</t>
        </is>
      </c>
      <c r="K5675" t="n">
        <v>2026</v>
      </c>
      <c r="L5675" t="n">
        <v>9</v>
      </c>
      <c r="M5675" t="inlineStr">
        <is>
          <t>Todos</t>
        </is>
      </c>
      <c r="N5675" t="inlineStr">
        <is>
          <t>Adega</t>
        </is>
      </c>
      <c r="O5675" t="n">
        <v>2</v>
      </c>
      <c r="P5675" t="n">
        <v>18</v>
      </c>
      <c r="Q5675" t="n">
        <v>2</v>
      </c>
    </row>
    <row r="5676">
      <c r="J5676" t="inlineStr">
        <is>
          <t>M</t>
        </is>
      </c>
      <c r="K5676" t="n">
        <v>2026</v>
      </c>
      <c r="L5676" t="n">
        <v>9</v>
      </c>
      <c r="M5676" t="inlineStr">
        <is>
          <t>Todos</t>
        </is>
      </c>
      <c r="N5676" t="inlineStr">
        <is>
          <t>Adega</t>
        </is>
      </c>
      <c r="O5676" t="n">
        <v>1</v>
      </c>
      <c r="P5676" t="n">
        <v>1</v>
      </c>
      <c r="Q5676" t="n">
        <v>0</v>
      </c>
    </row>
    <row r="5677">
      <c r="J5677" t="inlineStr">
        <is>
          <t>A</t>
        </is>
      </c>
      <c r="K5677" t="n">
        <v>2026</v>
      </c>
      <c r="L5677" t="n">
        <v>10</v>
      </c>
      <c r="M5677" t="inlineStr">
        <is>
          <t>Todos</t>
        </is>
      </c>
      <c r="N5677" t="inlineStr">
        <is>
          <t>Adega</t>
        </is>
      </c>
      <c r="O5677" t="n">
        <v>2</v>
      </c>
      <c r="P5677" t="n">
        <v>18</v>
      </c>
      <c r="Q5677" t="n">
        <v>2</v>
      </c>
    </row>
    <row r="5678">
      <c r="J5678" t="inlineStr">
        <is>
          <t>A</t>
        </is>
      </c>
      <c r="K5678" t="n">
        <v>2026</v>
      </c>
      <c r="L5678" t="n">
        <v>11</v>
      </c>
      <c r="M5678" t="inlineStr">
        <is>
          <t>Todos</t>
        </is>
      </c>
      <c r="N5678" t="inlineStr">
        <is>
          <t>Adega</t>
        </is>
      </c>
      <c r="O5678" t="n">
        <v>2</v>
      </c>
      <c r="P5678" t="n">
        <v>18</v>
      </c>
      <c r="Q5678" t="n">
        <v>2</v>
      </c>
    </row>
    <row r="5679">
      <c r="J5679" t="inlineStr">
        <is>
          <t>A</t>
        </is>
      </c>
      <c r="K5679" t="n">
        <v>2026</v>
      </c>
      <c r="L5679" t="n">
        <v>12</v>
      </c>
      <c r="M5679" t="inlineStr">
        <is>
          <t>Todos</t>
        </is>
      </c>
      <c r="N5679" t="inlineStr">
        <is>
          <t>Adega</t>
        </is>
      </c>
      <c r="O5679" t="n">
        <v>2</v>
      </c>
      <c r="P5679" t="n">
        <v>18</v>
      </c>
      <c r="Q5679" t="n">
        <v>2</v>
      </c>
    </row>
    <row r="5680">
      <c r="J5680" t="inlineStr">
        <is>
          <t>A</t>
        </is>
      </c>
      <c r="K5680" t="n">
        <v>2026</v>
      </c>
      <c r="L5680" t="n">
        <v>1</v>
      </c>
      <c r="M5680" t="inlineStr">
        <is>
          <t>Todos</t>
        </is>
      </c>
      <c r="N5680" t="inlineStr">
        <is>
          <t>Bar / Chopperia</t>
        </is>
      </c>
      <c r="O5680" t="n">
        <v>1</v>
      </c>
      <c r="P5680" t="n">
        <v>1</v>
      </c>
      <c r="Q5680" t="n">
        <v>0</v>
      </c>
    </row>
    <row r="5681">
      <c r="J5681" t="inlineStr">
        <is>
          <t>M</t>
        </is>
      </c>
      <c r="K5681" t="n">
        <v>2026</v>
      </c>
      <c r="L5681" t="n">
        <v>1</v>
      </c>
      <c r="M5681" t="inlineStr">
        <is>
          <t>Todos</t>
        </is>
      </c>
      <c r="N5681" t="inlineStr">
        <is>
          <t>Bar / Chopperia</t>
        </is>
      </c>
      <c r="O5681" t="n">
        <v>1</v>
      </c>
      <c r="P5681" t="n">
        <v>1</v>
      </c>
      <c r="Q5681" t="n">
        <v>0</v>
      </c>
    </row>
    <row r="5682">
      <c r="J5682" t="inlineStr">
        <is>
          <t>A</t>
        </is>
      </c>
      <c r="K5682" t="n">
        <v>2026</v>
      </c>
      <c r="L5682" t="n">
        <v>2</v>
      </c>
      <c r="M5682" t="inlineStr">
        <is>
          <t>Todos</t>
        </is>
      </c>
      <c r="N5682" t="inlineStr">
        <is>
          <t>Bar / Chopperia</t>
        </is>
      </c>
      <c r="O5682" t="n">
        <v>5</v>
      </c>
      <c r="P5682" t="n">
        <v>5</v>
      </c>
      <c r="Q5682" t="n">
        <v>3</v>
      </c>
    </row>
    <row r="5683">
      <c r="J5683" t="inlineStr">
        <is>
          <t>M</t>
        </is>
      </c>
      <c r="K5683" t="n">
        <v>2026</v>
      </c>
      <c r="L5683" t="n">
        <v>2</v>
      </c>
      <c r="M5683" t="inlineStr">
        <is>
          <t>Todos</t>
        </is>
      </c>
      <c r="N5683" t="inlineStr">
        <is>
          <t>Bar / Chopperia</t>
        </is>
      </c>
      <c r="O5683" t="n">
        <v>4</v>
      </c>
      <c r="P5683" t="n">
        <v>4</v>
      </c>
      <c r="Q5683" t="n">
        <v>0</v>
      </c>
    </row>
    <row r="5684">
      <c r="J5684" t="inlineStr">
        <is>
          <t>A</t>
        </is>
      </c>
      <c r="K5684" t="n">
        <v>2026</v>
      </c>
      <c r="L5684" t="n">
        <v>3</v>
      </c>
      <c r="M5684" t="inlineStr">
        <is>
          <t>Todos</t>
        </is>
      </c>
      <c r="N5684" t="inlineStr">
        <is>
          <t>Bar / Chopperia</t>
        </is>
      </c>
      <c r="O5684" t="n">
        <v>5</v>
      </c>
      <c r="P5684" t="n">
        <v>7</v>
      </c>
      <c r="Q5684" t="n">
        <v>3</v>
      </c>
    </row>
    <row r="5685">
      <c r="J5685" t="inlineStr">
        <is>
          <t>M</t>
        </is>
      </c>
      <c r="K5685" t="n">
        <v>2026</v>
      </c>
      <c r="L5685" t="n">
        <v>3</v>
      </c>
      <c r="M5685" t="inlineStr">
        <is>
          <t>Todos</t>
        </is>
      </c>
      <c r="N5685" t="inlineStr">
        <is>
          <t>Bar / Chopperia</t>
        </is>
      </c>
      <c r="O5685" t="n">
        <v>1</v>
      </c>
      <c r="P5685" t="n">
        <v>2</v>
      </c>
      <c r="Q5685" t="n">
        <v>0</v>
      </c>
    </row>
    <row r="5686">
      <c r="J5686" t="inlineStr">
        <is>
          <t>A</t>
        </is>
      </c>
      <c r="K5686" t="n">
        <v>2026</v>
      </c>
      <c r="L5686" t="n">
        <v>4</v>
      </c>
      <c r="M5686" t="inlineStr">
        <is>
          <t>Todos</t>
        </is>
      </c>
      <c r="N5686" t="inlineStr">
        <is>
          <t>Bar / Chopperia</t>
        </is>
      </c>
      <c r="O5686" t="n">
        <v>6</v>
      </c>
      <c r="P5686" t="n">
        <v>12</v>
      </c>
      <c r="Q5686" t="n">
        <v>4</v>
      </c>
    </row>
    <row r="5687">
      <c r="J5687" t="inlineStr">
        <is>
          <t>M</t>
        </is>
      </c>
      <c r="K5687" t="n">
        <v>2026</v>
      </c>
      <c r="L5687" t="n">
        <v>4</v>
      </c>
      <c r="M5687" t="inlineStr">
        <is>
          <t>Todos</t>
        </is>
      </c>
      <c r="N5687" t="inlineStr">
        <is>
          <t>Bar / Chopperia</t>
        </is>
      </c>
      <c r="O5687" t="n">
        <v>2</v>
      </c>
      <c r="P5687" t="n">
        <v>5</v>
      </c>
      <c r="Q5687" t="n">
        <v>0</v>
      </c>
    </row>
    <row r="5688">
      <c r="J5688" t="inlineStr">
        <is>
          <t>A</t>
        </is>
      </c>
      <c r="K5688" t="n">
        <v>2026</v>
      </c>
      <c r="L5688" t="n">
        <v>5</v>
      </c>
      <c r="M5688" t="inlineStr">
        <is>
          <t>Todos</t>
        </is>
      </c>
      <c r="N5688" t="inlineStr">
        <is>
          <t>Bar / Chopperia</t>
        </is>
      </c>
      <c r="O5688" t="n">
        <v>8</v>
      </c>
      <c r="P5688" t="n">
        <v>17</v>
      </c>
      <c r="Q5688" t="n">
        <v>6</v>
      </c>
    </row>
    <row r="5689">
      <c r="J5689" t="inlineStr">
        <is>
          <t>M</t>
        </is>
      </c>
      <c r="K5689" t="n">
        <v>2026</v>
      </c>
      <c r="L5689" t="n">
        <v>5</v>
      </c>
      <c r="M5689" t="inlineStr">
        <is>
          <t>Todos</t>
        </is>
      </c>
      <c r="N5689" t="inlineStr">
        <is>
          <t>Bar / Chopperia</t>
        </is>
      </c>
      <c r="O5689" t="n">
        <v>5</v>
      </c>
      <c r="P5689" t="n">
        <v>5</v>
      </c>
      <c r="Q5689" t="n">
        <v>0</v>
      </c>
    </row>
    <row r="5690">
      <c r="J5690" t="inlineStr">
        <is>
          <t>A</t>
        </is>
      </c>
      <c r="K5690" t="n">
        <v>2026</v>
      </c>
      <c r="L5690" t="n">
        <v>6</v>
      </c>
      <c r="M5690" t="inlineStr">
        <is>
          <t>Todos</t>
        </is>
      </c>
      <c r="N5690" t="inlineStr">
        <is>
          <t>Bar / Chopperia</t>
        </is>
      </c>
      <c r="O5690" t="n">
        <v>9</v>
      </c>
      <c r="P5690" t="n">
        <v>22</v>
      </c>
      <c r="Q5690" t="n">
        <v>7</v>
      </c>
    </row>
    <row r="5691">
      <c r="J5691" t="inlineStr">
        <is>
          <t>M</t>
        </is>
      </c>
      <c r="K5691" t="n">
        <v>2026</v>
      </c>
      <c r="L5691" t="n">
        <v>6</v>
      </c>
      <c r="M5691" t="inlineStr">
        <is>
          <t>Todos</t>
        </is>
      </c>
      <c r="N5691" t="inlineStr">
        <is>
          <t>Bar / Chopperia</t>
        </is>
      </c>
      <c r="O5691" t="n">
        <v>4</v>
      </c>
      <c r="P5691" t="n">
        <v>5</v>
      </c>
      <c r="Q5691" t="n">
        <v>0</v>
      </c>
    </row>
    <row r="5692">
      <c r="J5692" t="inlineStr">
        <is>
          <t>A</t>
        </is>
      </c>
      <c r="K5692" t="n">
        <v>2026</v>
      </c>
      <c r="L5692" t="n">
        <v>7</v>
      </c>
      <c r="M5692" t="inlineStr">
        <is>
          <t>Todos</t>
        </is>
      </c>
      <c r="N5692" t="inlineStr">
        <is>
          <t>Bar / Chopperia</t>
        </is>
      </c>
      <c r="O5692" t="n">
        <v>11</v>
      </c>
      <c r="P5692" t="n">
        <v>29</v>
      </c>
      <c r="Q5692" t="n">
        <v>9</v>
      </c>
    </row>
    <row r="5693">
      <c r="J5693" t="inlineStr">
        <is>
          <t>M</t>
        </is>
      </c>
      <c r="K5693" t="n">
        <v>2026</v>
      </c>
      <c r="L5693" t="n">
        <v>7</v>
      </c>
      <c r="M5693" t="inlineStr">
        <is>
          <t>Todos</t>
        </is>
      </c>
      <c r="N5693" t="inlineStr">
        <is>
          <t>Bar / Chopperia</t>
        </is>
      </c>
      <c r="O5693" t="n">
        <v>5</v>
      </c>
      <c r="P5693" t="n">
        <v>7</v>
      </c>
      <c r="Q5693" t="n">
        <v>0</v>
      </c>
    </row>
    <row r="5694">
      <c r="J5694" t="inlineStr">
        <is>
          <t>A</t>
        </is>
      </c>
      <c r="K5694" t="n">
        <v>2026</v>
      </c>
      <c r="L5694" t="n">
        <v>8</v>
      </c>
      <c r="M5694" t="inlineStr">
        <is>
          <t>Todos</t>
        </is>
      </c>
      <c r="N5694" t="inlineStr">
        <is>
          <t>Bar / Chopperia</t>
        </is>
      </c>
      <c r="O5694" t="n">
        <v>11</v>
      </c>
      <c r="P5694" t="n">
        <v>31</v>
      </c>
      <c r="Q5694" t="n">
        <v>9</v>
      </c>
    </row>
    <row r="5695">
      <c r="J5695" t="inlineStr">
        <is>
          <t>M</t>
        </is>
      </c>
      <c r="K5695" t="n">
        <v>2026</v>
      </c>
      <c r="L5695" t="n">
        <v>8</v>
      </c>
      <c r="M5695" t="inlineStr">
        <is>
          <t>Todos</t>
        </is>
      </c>
      <c r="N5695" t="inlineStr">
        <is>
          <t>Bar / Chopperia</t>
        </is>
      </c>
      <c r="O5695" t="n">
        <v>2</v>
      </c>
      <c r="P5695" t="n">
        <v>2</v>
      </c>
      <c r="Q5695" t="n">
        <v>0</v>
      </c>
    </row>
    <row r="5696">
      <c r="J5696" t="inlineStr">
        <is>
          <t>A</t>
        </is>
      </c>
      <c r="K5696" t="n">
        <v>2026</v>
      </c>
      <c r="L5696" t="n">
        <v>9</v>
      </c>
      <c r="M5696" t="inlineStr">
        <is>
          <t>Todos</t>
        </is>
      </c>
      <c r="N5696" t="inlineStr">
        <is>
          <t>Bar / Chopperia</t>
        </is>
      </c>
      <c r="O5696" t="n">
        <v>11</v>
      </c>
      <c r="P5696" t="n">
        <v>31</v>
      </c>
      <c r="Q5696" t="n">
        <v>9</v>
      </c>
    </row>
    <row r="5697">
      <c r="J5697" t="inlineStr">
        <is>
          <t>A</t>
        </is>
      </c>
      <c r="K5697" t="n">
        <v>2026</v>
      </c>
      <c r="L5697" t="n">
        <v>10</v>
      </c>
      <c r="M5697" t="inlineStr">
        <is>
          <t>Todos</t>
        </is>
      </c>
      <c r="N5697" t="inlineStr">
        <is>
          <t>Bar / Chopperia</t>
        </is>
      </c>
      <c r="O5697" t="n">
        <v>11</v>
      </c>
      <c r="P5697" t="n">
        <v>31</v>
      </c>
      <c r="Q5697" t="n">
        <v>9</v>
      </c>
    </row>
    <row r="5698">
      <c r="J5698" t="inlineStr">
        <is>
          <t>A</t>
        </is>
      </c>
      <c r="K5698" t="n">
        <v>2026</v>
      </c>
      <c r="L5698" t="n">
        <v>11</v>
      </c>
      <c r="M5698" t="inlineStr">
        <is>
          <t>Todos</t>
        </is>
      </c>
      <c r="N5698" t="inlineStr">
        <is>
          <t>Bar / Chopperia</t>
        </is>
      </c>
      <c r="O5698" t="n">
        <v>11</v>
      </c>
      <c r="P5698" t="n">
        <v>31</v>
      </c>
      <c r="Q5698" t="n">
        <v>9</v>
      </c>
    </row>
    <row r="5699">
      <c r="J5699" t="inlineStr">
        <is>
          <t>A</t>
        </is>
      </c>
      <c r="K5699" t="n">
        <v>2026</v>
      </c>
      <c r="L5699" t="n">
        <v>12</v>
      </c>
      <c r="M5699" t="inlineStr">
        <is>
          <t>Todos</t>
        </is>
      </c>
      <c r="N5699" t="inlineStr">
        <is>
          <t>Bar / Chopperia</t>
        </is>
      </c>
      <c r="O5699" t="n">
        <v>11</v>
      </c>
      <c r="P5699" t="n">
        <v>31</v>
      </c>
      <c r="Q5699" t="n">
        <v>9</v>
      </c>
    </row>
    <row r="5700">
      <c r="J5700" t="inlineStr">
        <is>
          <t>A</t>
        </is>
      </c>
      <c r="K5700" t="n">
        <v>2026</v>
      </c>
      <c r="L5700" t="n">
        <v>1</v>
      </c>
      <c r="M5700" t="inlineStr">
        <is>
          <t>Todos</t>
        </is>
      </c>
      <c r="N5700" t="inlineStr">
        <is>
          <t>Confeitaria</t>
        </is>
      </c>
      <c r="O5700" t="n">
        <v>3</v>
      </c>
      <c r="P5700" t="n">
        <v>3</v>
      </c>
      <c r="Q5700" t="n">
        <v>1</v>
      </c>
    </row>
    <row r="5701">
      <c r="J5701" t="inlineStr">
        <is>
          <t>M</t>
        </is>
      </c>
      <c r="K5701" t="n">
        <v>2026</v>
      </c>
      <c r="L5701" t="n">
        <v>1</v>
      </c>
      <c r="M5701" t="inlineStr">
        <is>
          <t>Todos</t>
        </is>
      </c>
      <c r="N5701" t="inlineStr">
        <is>
          <t>Confeitaria</t>
        </is>
      </c>
      <c r="O5701" t="n">
        <v>3</v>
      </c>
      <c r="P5701" t="n">
        <v>3</v>
      </c>
      <c r="Q5701" t="n">
        <v>0</v>
      </c>
    </row>
    <row r="5702">
      <c r="J5702" t="inlineStr">
        <is>
          <t>A</t>
        </is>
      </c>
      <c r="K5702" t="n">
        <v>2026</v>
      </c>
      <c r="L5702" t="n">
        <v>2</v>
      </c>
      <c r="M5702" t="inlineStr">
        <is>
          <t>Todos</t>
        </is>
      </c>
      <c r="N5702" t="inlineStr">
        <is>
          <t>Confeitaria</t>
        </is>
      </c>
      <c r="O5702" t="n">
        <v>4</v>
      </c>
      <c r="P5702" t="n">
        <v>6</v>
      </c>
      <c r="Q5702" t="n">
        <v>2</v>
      </c>
    </row>
    <row r="5703">
      <c r="J5703" t="inlineStr">
        <is>
          <t>M</t>
        </is>
      </c>
      <c r="K5703" t="n">
        <v>2026</v>
      </c>
      <c r="L5703" t="n">
        <v>2</v>
      </c>
      <c r="M5703" t="inlineStr">
        <is>
          <t>Todos</t>
        </is>
      </c>
      <c r="N5703" t="inlineStr">
        <is>
          <t>Confeitaria</t>
        </is>
      </c>
      <c r="O5703" t="n">
        <v>3</v>
      </c>
      <c r="P5703" t="n">
        <v>3</v>
      </c>
      <c r="Q5703" t="n">
        <v>0</v>
      </c>
    </row>
    <row r="5704">
      <c r="J5704" t="inlineStr">
        <is>
          <t>A</t>
        </is>
      </c>
      <c r="K5704" t="n">
        <v>2026</v>
      </c>
      <c r="L5704" t="n">
        <v>3</v>
      </c>
      <c r="M5704" t="inlineStr">
        <is>
          <t>Todos</t>
        </is>
      </c>
      <c r="N5704" t="inlineStr">
        <is>
          <t>Confeitaria</t>
        </is>
      </c>
      <c r="O5704" t="n">
        <v>6</v>
      </c>
      <c r="P5704" t="n">
        <v>13</v>
      </c>
      <c r="Q5704" t="n">
        <v>3</v>
      </c>
    </row>
    <row r="5705">
      <c r="J5705" t="inlineStr">
        <is>
          <t>M</t>
        </is>
      </c>
      <c r="K5705" t="n">
        <v>2026</v>
      </c>
      <c r="L5705" t="n">
        <v>3</v>
      </c>
      <c r="M5705" t="inlineStr">
        <is>
          <t>Todos</t>
        </is>
      </c>
      <c r="N5705" t="inlineStr">
        <is>
          <t>Confeitaria</t>
        </is>
      </c>
      <c r="O5705" t="n">
        <v>5</v>
      </c>
      <c r="P5705" t="n">
        <v>7</v>
      </c>
      <c r="Q5705" t="n">
        <v>0</v>
      </c>
    </row>
    <row r="5706">
      <c r="J5706" t="inlineStr">
        <is>
          <t>A</t>
        </is>
      </c>
      <c r="K5706" t="n">
        <v>2026</v>
      </c>
      <c r="L5706" t="n">
        <v>4</v>
      </c>
      <c r="M5706" t="inlineStr">
        <is>
          <t>Todos</t>
        </is>
      </c>
      <c r="N5706" t="inlineStr">
        <is>
          <t>Confeitaria</t>
        </is>
      </c>
      <c r="O5706" t="n">
        <v>6</v>
      </c>
      <c r="P5706" t="n">
        <v>13</v>
      </c>
      <c r="Q5706" t="n">
        <v>3</v>
      </c>
    </row>
    <row r="5707">
      <c r="J5707" t="inlineStr">
        <is>
          <t>A</t>
        </is>
      </c>
      <c r="K5707" t="n">
        <v>2026</v>
      </c>
      <c r="L5707" t="n">
        <v>5</v>
      </c>
      <c r="M5707" t="inlineStr">
        <is>
          <t>Todos</t>
        </is>
      </c>
      <c r="N5707" t="inlineStr">
        <is>
          <t>Confeitaria</t>
        </is>
      </c>
      <c r="O5707" t="n">
        <v>6</v>
      </c>
      <c r="P5707" t="n">
        <v>14</v>
      </c>
      <c r="Q5707" t="n">
        <v>3</v>
      </c>
    </row>
    <row r="5708">
      <c r="J5708" t="inlineStr">
        <is>
          <t>M</t>
        </is>
      </c>
      <c r="K5708" t="n">
        <v>2026</v>
      </c>
      <c r="L5708" t="n">
        <v>5</v>
      </c>
      <c r="M5708" t="inlineStr">
        <is>
          <t>Todos</t>
        </is>
      </c>
      <c r="N5708" t="inlineStr">
        <is>
          <t>Confeitaria</t>
        </is>
      </c>
      <c r="O5708" t="n">
        <v>1</v>
      </c>
      <c r="P5708" t="n">
        <v>1</v>
      </c>
      <c r="Q5708" t="n">
        <v>0</v>
      </c>
    </row>
    <row r="5709">
      <c r="J5709" t="inlineStr">
        <is>
          <t>A</t>
        </is>
      </c>
      <c r="K5709" t="n">
        <v>2026</v>
      </c>
      <c r="L5709" t="n">
        <v>6</v>
      </c>
      <c r="M5709" t="inlineStr">
        <is>
          <t>Todos</t>
        </is>
      </c>
      <c r="N5709" t="inlineStr">
        <is>
          <t>Confeitaria</t>
        </is>
      </c>
      <c r="O5709" t="n">
        <v>7</v>
      </c>
      <c r="P5709" t="n">
        <v>15</v>
      </c>
      <c r="Q5709" t="n">
        <v>4</v>
      </c>
    </row>
    <row r="5710">
      <c r="J5710" t="inlineStr">
        <is>
          <t>M</t>
        </is>
      </c>
      <c r="K5710" t="n">
        <v>2026</v>
      </c>
      <c r="L5710" t="n">
        <v>6</v>
      </c>
      <c r="M5710" t="inlineStr">
        <is>
          <t>Todos</t>
        </is>
      </c>
      <c r="N5710" t="inlineStr">
        <is>
          <t>Confeitaria</t>
        </is>
      </c>
      <c r="O5710" t="n">
        <v>1</v>
      </c>
      <c r="P5710" t="n">
        <v>1</v>
      </c>
      <c r="Q5710" t="n">
        <v>0</v>
      </c>
    </row>
    <row r="5711">
      <c r="J5711" t="inlineStr">
        <is>
          <t>A</t>
        </is>
      </c>
      <c r="K5711" t="n">
        <v>2026</v>
      </c>
      <c r="L5711" t="n">
        <v>7</v>
      </c>
      <c r="M5711" t="inlineStr">
        <is>
          <t>Todos</t>
        </is>
      </c>
      <c r="N5711" t="inlineStr">
        <is>
          <t>Confeitaria</t>
        </is>
      </c>
      <c r="O5711" t="n">
        <v>7</v>
      </c>
      <c r="P5711" t="n">
        <v>16</v>
      </c>
      <c r="Q5711" t="n">
        <v>4</v>
      </c>
    </row>
    <row r="5712">
      <c r="J5712" t="inlineStr">
        <is>
          <t>M</t>
        </is>
      </c>
      <c r="K5712" t="n">
        <v>2026</v>
      </c>
      <c r="L5712" t="n">
        <v>7</v>
      </c>
      <c r="M5712" t="inlineStr">
        <is>
          <t>Todos</t>
        </is>
      </c>
      <c r="N5712" t="inlineStr">
        <is>
          <t>Confeitaria</t>
        </is>
      </c>
      <c r="O5712" t="n">
        <v>1</v>
      </c>
      <c r="P5712" t="n">
        <v>1</v>
      </c>
      <c r="Q5712" t="n">
        <v>0</v>
      </c>
    </row>
    <row r="5713">
      <c r="J5713" t="inlineStr">
        <is>
          <t>A</t>
        </is>
      </c>
      <c r="K5713" t="n">
        <v>2026</v>
      </c>
      <c r="L5713" t="n">
        <v>8</v>
      </c>
      <c r="M5713" t="inlineStr">
        <is>
          <t>Todos</t>
        </is>
      </c>
      <c r="N5713" t="inlineStr">
        <is>
          <t>Confeitaria</t>
        </is>
      </c>
      <c r="O5713" t="n">
        <v>7</v>
      </c>
      <c r="P5713" t="n">
        <v>16</v>
      </c>
      <c r="Q5713" t="n">
        <v>4</v>
      </c>
    </row>
    <row r="5714">
      <c r="J5714" t="inlineStr">
        <is>
          <t>A</t>
        </is>
      </c>
      <c r="K5714" t="n">
        <v>2026</v>
      </c>
      <c r="L5714" t="n">
        <v>9</v>
      </c>
      <c r="M5714" t="inlineStr">
        <is>
          <t>Todos</t>
        </is>
      </c>
      <c r="N5714" t="inlineStr">
        <is>
          <t>Confeitaria</t>
        </is>
      </c>
      <c r="O5714" t="n">
        <v>7</v>
      </c>
      <c r="P5714" t="n">
        <v>16</v>
      </c>
      <c r="Q5714" t="n">
        <v>4</v>
      </c>
    </row>
    <row r="5715">
      <c r="J5715" t="inlineStr">
        <is>
          <t>A</t>
        </is>
      </c>
      <c r="K5715" t="n">
        <v>2026</v>
      </c>
      <c r="L5715" t="n">
        <v>10</v>
      </c>
      <c r="M5715" t="inlineStr">
        <is>
          <t>Todos</t>
        </is>
      </c>
      <c r="N5715" t="inlineStr">
        <is>
          <t>Confeitaria</t>
        </is>
      </c>
      <c r="O5715" t="n">
        <v>7</v>
      </c>
      <c r="P5715" t="n">
        <v>16</v>
      </c>
      <c r="Q5715" t="n">
        <v>4</v>
      </c>
    </row>
    <row r="5716">
      <c r="J5716" t="inlineStr">
        <is>
          <t>A</t>
        </is>
      </c>
      <c r="K5716" t="n">
        <v>2026</v>
      </c>
      <c r="L5716" t="n">
        <v>11</v>
      </c>
      <c r="M5716" t="inlineStr">
        <is>
          <t>Todos</t>
        </is>
      </c>
      <c r="N5716" t="inlineStr">
        <is>
          <t>Confeitaria</t>
        </is>
      </c>
      <c r="O5716" t="n">
        <v>7</v>
      </c>
      <c r="P5716" t="n">
        <v>16</v>
      </c>
      <c r="Q5716" t="n">
        <v>4</v>
      </c>
    </row>
    <row r="5717">
      <c r="J5717" t="inlineStr">
        <is>
          <t>A</t>
        </is>
      </c>
      <c r="K5717" t="n">
        <v>2026</v>
      </c>
      <c r="L5717" t="n">
        <v>12</v>
      </c>
      <c r="M5717" t="inlineStr">
        <is>
          <t>Todos</t>
        </is>
      </c>
      <c r="N5717" t="inlineStr">
        <is>
          <t>Confeitaria</t>
        </is>
      </c>
      <c r="O5717" t="n">
        <v>7</v>
      </c>
      <c r="P5717" t="n">
        <v>16</v>
      </c>
      <c r="Q5717" t="n">
        <v>4</v>
      </c>
    </row>
    <row r="5718">
      <c r="J5718" t="inlineStr">
        <is>
          <t>A</t>
        </is>
      </c>
      <c r="K5718" t="n">
        <v>2026</v>
      </c>
      <c r="L5718" t="n">
        <v>4</v>
      </c>
      <c r="M5718" t="inlineStr">
        <is>
          <t>Todos</t>
        </is>
      </c>
      <c r="N5718" t="inlineStr">
        <is>
          <t>Distribuidor Alimentos</t>
        </is>
      </c>
      <c r="O5718" t="n">
        <v>2</v>
      </c>
      <c r="P5718" t="n">
        <v>3</v>
      </c>
      <c r="Q5718" t="n">
        <v>1</v>
      </c>
    </row>
    <row r="5719">
      <c r="J5719" t="inlineStr">
        <is>
          <t>M</t>
        </is>
      </c>
      <c r="K5719" t="n">
        <v>2026</v>
      </c>
      <c r="L5719" t="n">
        <v>4</v>
      </c>
      <c r="M5719" t="inlineStr">
        <is>
          <t>Todos</t>
        </is>
      </c>
      <c r="N5719" t="inlineStr">
        <is>
          <t>Distribuidor Alimentos</t>
        </is>
      </c>
      <c r="O5719" t="n">
        <v>2</v>
      </c>
      <c r="P5719" t="n">
        <v>3</v>
      </c>
      <c r="Q5719" t="n">
        <v>0</v>
      </c>
    </row>
    <row r="5720">
      <c r="J5720" t="inlineStr">
        <is>
          <t>A</t>
        </is>
      </c>
      <c r="K5720" t="n">
        <v>2026</v>
      </c>
      <c r="L5720" t="n">
        <v>5</v>
      </c>
      <c r="M5720" t="inlineStr">
        <is>
          <t>Todos</t>
        </is>
      </c>
      <c r="N5720" t="inlineStr">
        <is>
          <t>Distribuidor Alimentos</t>
        </is>
      </c>
      <c r="O5720" t="n">
        <v>3</v>
      </c>
      <c r="P5720" t="n">
        <v>6</v>
      </c>
      <c r="Q5720" t="n">
        <v>1</v>
      </c>
    </row>
    <row r="5721">
      <c r="J5721" t="inlineStr">
        <is>
          <t>M</t>
        </is>
      </c>
      <c r="K5721" t="n">
        <v>2026</v>
      </c>
      <c r="L5721" t="n">
        <v>5</v>
      </c>
      <c r="M5721" t="inlineStr">
        <is>
          <t>Todos</t>
        </is>
      </c>
      <c r="N5721" t="inlineStr">
        <is>
          <t>Distribuidor Alimentos</t>
        </is>
      </c>
      <c r="O5721" t="n">
        <v>2</v>
      </c>
      <c r="P5721" t="n">
        <v>3</v>
      </c>
      <c r="Q5721" t="n">
        <v>0</v>
      </c>
    </row>
    <row r="5722">
      <c r="J5722" t="inlineStr">
        <is>
          <t>A</t>
        </is>
      </c>
      <c r="K5722" t="n">
        <v>2026</v>
      </c>
      <c r="L5722" t="n">
        <v>6</v>
      </c>
      <c r="M5722" t="inlineStr">
        <is>
          <t>Todos</t>
        </is>
      </c>
      <c r="N5722" t="inlineStr">
        <is>
          <t>Distribuidor Alimentos</t>
        </is>
      </c>
      <c r="O5722" t="n">
        <v>3</v>
      </c>
      <c r="P5722" t="n">
        <v>6</v>
      </c>
      <c r="Q5722" t="n">
        <v>1</v>
      </c>
    </row>
    <row r="5723">
      <c r="J5723" t="inlineStr">
        <is>
          <t>A</t>
        </is>
      </c>
      <c r="K5723" t="n">
        <v>2026</v>
      </c>
      <c r="L5723" t="n">
        <v>7</v>
      </c>
      <c r="M5723" t="inlineStr">
        <is>
          <t>Todos</t>
        </is>
      </c>
      <c r="N5723" t="inlineStr">
        <is>
          <t>Distribuidor Alimentos</t>
        </is>
      </c>
      <c r="O5723" t="n">
        <v>3</v>
      </c>
      <c r="P5723" t="n">
        <v>10</v>
      </c>
      <c r="Q5723" t="n">
        <v>1</v>
      </c>
    </row>
    <row r="5724">
      <c r="J5724" t="inlineStr">
        <is>
          <t>M</t>
        </is>
      </c>
      <c r="K5724" t="n">
        <v>2026</v>
      </c>
      <c r="L5724" t="n">
        <v>7</v>
      </c>
      <c r="M5724" t="inlineStr">
        <is>
          <t>Todos</t>
        </is>
      </c>
      <c r="N5724" t="inlineStr">
        <is>
          <t>Distribuidor Alimentos</t>
        </is>
      </c>
      <c r="O5724" t="n">
        <v>2</v>
      </c>
      <c r="P5724" t="n">
        <v>4</v>
      </c>
      <c r="Q5724" t="n">
        <v>0</v>
      </c>
    </row>
    <row r="5725">
      <c r="J5725" t="inlineStr">
        <is>
          <t>A</t>
        </is>
      </c>
      <c r="K5725" t="n">
        <v>2026</v>
      </c>
      <c r="L5725" t="n">
        <v>8</v>
      </c>
      <c r="M5725" t="inlineStr">
        <is>
          <t>Todos</t>
        </is>
      </c>
      <c r="N5725" t="inlineStr">
        <is>
          <t>Distribuidor Alimentos</t>
        </is>
      </c>
      <c r="O5725" t="n">
        <v>3</v>
      </c>
      <c r="P5725" t="n">
        <v>11</v>
      </c>
      <c r="Q5725" t="n">
        <v>1</v>
      </c>
    </row>
    <row r="5726">
      <c r="J5726" t="inlineStr">
        <is>
          <t>M</t>
        </is>
      </c>
      <c r="K5726" t="n">
        <v>2026</v>
      </c>
      <c r="L5726" t="n">
        <v>8</v>
      </c>
      <c r="M5726" t="inlineStr">
        <is>
          <t>Todos</t>
        </is>
      </c>
      <c r="N5726" t="inlineStr">
        <is>
          <t>Distribuidor Alimentos</t>
        </is>
      </c>
      <c r="O5726" t="n">
        <v>1</v>
      </c>
      <c r="P5726" t="n">
        <v>1</v>
      </c>
      <c r="Q5726" t="n">
        <v>0</v>
      </c>
    </row>
    <row r="5727">
      <c r="J5727" t="inlineStr">
        <is>
          <t>A</t>
        </is>
      </c>
      <c r="K5727" t="n">
        <v>2026</v>
      </c>
      <c r="L5727" t="n">
        <v>9</v>
      </c>
      <c r="M5727" t="inlineStr">
        <is>
          <t>Todos</t>
        </is>
      </c>
      <c r="N5727" t="inlineStr">
        <is>
          <t>Distribuidor Alimentos</t>
        </is>
      </c>
      <c r="O5727" t="n">
        <v>4</v>
      </c>
      <c r="P5727" t="n">
        <v>14</v>
      </c>
      <c r="Q5727" t="n">
        <v>2</v>
      </c>
    </row>
    <row r="5728">
      <c r="J5728" t="inlineStr">
        <is>
          <t>M</t>
        </is>
      </c>
      <c r="K5728" t="n">
        <v>2026</v>
      </c>
      <c r="L5728" t="n">
        <v>9</v>
      </c>
      <c r="M5728" t="inlineStr">
        <is>
          <t>Todos</t>
        </is>
      </c>
      <c r="N5728" t="inlineStr">
        <is>
          <t>Distribuidor Alimentos</t>
        </is>
      </c>
      <c r="O5728" t="n">
        <v>2</v>
      </c>
      <c r="P5728" t="n">
        <v>3</v>
      </c>
      <c r="Q5728" t="n">
        <v>0</v>
      </c>
    </row>
    <row r="5729">
      <c r="J5729" t="inlineStr">
        <is>
          <t>A</t>
        </is>
      </c>
      <c r="K5729" t="n">
        <v>2026</v>
      </c>
      <c r="L5729" t="n">
        <v>10</v>
      </c>
      <c r="M5729" t="inlineStr">
        <is>
          <t>Todos</t>
        </is>
      </c>
      <c r="N5729" t="inlineStr">
        <is>
          <t>Distribuidor Alimentos</t>
        </is>
      </c>
      <c r="O5729" t="n">
        <v>4</v>
      </c>
      <c r="P5729" t="n">
        <v>14</v>
      </c>
      <c r="Q5729" t="n">
        <v>2</v>
      </c>
    </row>
    <row r="5730">
      <c r="J5730" t="inlineStr">
        <is>
          <t>A</t>
        </is>
      </c>
      <c r="K5730" t="n">
        <v>2026</v>
      </c>
      <c r="L5730" t="n">
        <v>11</v>
      </c>
      <c r="M5730" t="inlineStr">
        <is>
          <t>Todos</t>
        </is>
      </c>
      <c r="N5730" t="inlineStr">
        <is>
          <t>Distribuidor Alimentos</t>
        </is>
      </c>
      <c r="O5730" t="n">
        <v>4</v>
      </c>
      <c r="P5730" t="n">
        <v>14</v>
      </c>
      <c r="Q5730" t="n">
        <v>2</v>
      </c>
    </row>
    <row r="5731">
      <c r="J5731" t="inlineStr">
        <is>
          <t>A</t>
        </is>
      </c>
      <c r="K5731" t="n">
        <v>2026</v>
      </c>
      <c r="L5731" t="n">
        <v>12</v>
      </c>
      <c r="M5731" t="inlineStr">
        <is>
          <t>Todos</t>
        </is>
      </c>
      <c r="N5731" t="inlineStr">
        <is>
          <t>Distribuidor Alimentos</t>
        </is>
      </c>
      <c r="O5731" t="n">
        <v>4</v>
      </c>
      <c r="P5731" t="n">
        <v>14</v>
      </c>
      <c r="Q5731" t="n">
        <v>2</v>
      </c>
    </row>
    <row r="5732">
      <c r="J5732" t="inlineStr">
        <is>
          <t>A</t>
        </is>
      </c>
      <c r="K5732" t="n">
        <v>2026</v>
      </c>
      <c r="L5732" t="n">
        <v>1</v>
      </c>
      <c r="M5732" t="inlineStr">
        <is>
          <t>Todos</t>
        </is>
      </c>
      <c r="N5732" t="inlineStr">
        <is>
          <t>Churrascaria</t>
        </is>
      </c>
      <c r="O5732" t="n">
        <v>2</v>
      </c>
      <c r="P5732" t="n">
        <v>2</v>
      </c>
      <c r="Q5732" t="n">
        <v>0</v>
      </c>
    </row>
    <row r="5733">
      <c r="J5733" t="inlineStr">
        <is>
          <t>M</t>
        </is>
      </c>
      <c r="K5733" t="n">
        <v>2026</v>
      </c>
      <c r="L5733" t="n">
        <v>1</v>
      </c>
      <c r="M5733" t="inlineStr">
        <is>
          <t>Todos</t>
        </is>
      </c>
      <c r="N5733" t="inlineStr">
        <is>
          <t>Churrascaria</t>
        </is>
      </c>
      <c r="O5733" t="n">
        <v>2</v>
      </c>
      <c r="P5733" t="n">
        <v>2</v>
      </c>
      <c r="Q5733" t="n">
        <v>0</v>
      </c>
    </row>
    <row r="5734">
      <c r="J5734" t="inlineStr">
        <is>
          <t>A</t>
        </is>
      </c>
      <c r="K5734" t="n">
        <v>2026</v>
      </c>
      <c r="L5734" t="n">
        <v>2</v>
      </c>
      <c r="M5734" t="inlineStr">
        <is>
          <t>Todos</t>
        </is>
      </c>
      <c r="N5734" t="inlineStr">
        <is>
          <t>Churrascaria</t>
        </is>
      </c>
      <c r="O5734" t="n">
        <v>4</v>
      </c>
      <c r="P5734" t="n">
        <v>8</v>
      </c>
      <c r="Q5734" t="n">
        <v>0</v>
      </c>
    </row>
    <row r="5735">
      <c r="J5735" t="inlineStr">
        <is>
          <t>M</t>
        </is>
      </c>
      <c r="K5735" t="n">
        <v>2026</v>
      </c>
      <c r="L5735" t="n">
        <v>2</v>
      </c>
      <c r="M5735" t="inlineStr">
        <is>
          <t>Todos</t>
        </is>
      </c>
      <c r="N5735" t="inlineStr">
        <is>
          <t>Churrascaria</t>
        </is>
      </c>
      <c r="O5735" t="n">
        <v>3</v>
      </c>
      <c r="P5735" t="n">
        <v>6</v>
      </c>
      <c r="Q5735" t="n">
        <v>0</v>
      </c>
    </row>
    <row r="5736">
      <c r="J5736" t="inlineStr">
        <is>
          <t>A</t>
        </is>
      </c>
      <c r="K5736" t="n">
        <v>2026</v>
      </c>
      <c r="L5736" t="n">
        <v>3</v>
      </c>
      <c r="M5736" t="inlineStr">
        <is>
          <t>Todos</t>
        </is>
      </c>
      <c r="N5736" t="inlineStr">
        <is>
          <t>Churrascaria</t>
        </is>
      </c>
      <c r="O5736" t="n">
        <v>4</v>
      </c>
      <c r="P5736" t="n">
        <v>12</v>
      </c>
      <c r="Q5736" t="n">
        <v>0</v>
      </c>
    </row>
    <row r="5737">
      <c r="J5737" t="inlineStr">
        <is>
          <t>M</t>
        </is>
      </c>
      <c r="K5737" t="n">
        <v>2026</v>
      </c>
      <c r="L5737" t="n">
        <v>3</v>
      </c>
      <c r="M5737" t="inlineStr">
        <is>
          <t>Todos</t>
        </is>
      </c>
      <c r="N5737" t="inlineStr">
        <is>
          <t>Churrascaria</t>
        </is>
      </c>
      <c r="O5737" t="n">
        <v>2</v>
      </c>
      <c r="P5737" t="n">
        <v>4</v>
      </c>
      <c r="Q5737" t="n">
        <v>0</v>
      </c>
    </row>
    <row r="5738">
      <c r="J5738" t="inlineStr">
        <is>
          <t>A</t>
        </is>
      </c>
      <c r="K5738" t="n">
        <v>2026</v>
      </c>
      <c r="L5738" t="n">
        <v>4</v>
      </c>
      <c r="M5738" t="inlineStr">
        <is>
          <t>Todos</t>
        </is>
      </c>
      <c r="N5738" t="inlineStr">
        <is>
          <t>Churrascaria</t>
        </is>
      </c>
      <c r="O5738" t="n">
        <v>5</v>
      </c>
      <c r="P5738" t="n">
        <v>13</v>
      </c>
      <c r="Q5738" t="n">
        <v>1</v>
      </c>
    </row>
    <row r="5739">
      <c r="J5739" t="inlineStr">
        <is>
          <t>M</t>
        </is>
      </c>
      <c r="K5739" t="n">
        <v>2026</v>
      </c>
      <c r="L5739" t="n">
        <v>4</v>
      </c>
      <c r="M5739" t="inlineStr">
        <is>
          <t>Todos</t>
        </is>
      </c>
      <c r="N5739" t="inlineStr">
        <is>
          <t>Churrascaria</t>
        </is>
      </c>
      <c r="O5739" t="n">
        <v>1</v>
      </c>
      <c r="P5739" t="n">
        <v>1</v>
      </c>
      <c r="Q5739" t="n">
        <v>0</v>
      </c>
    </row>
    <row r="5740">
      <c r="J5740" t="inlineStr">
        <is>
          <t>A</t>
        </is>
      </c>
      <c r="K5740" t="n">
        <v>2026</v>
      </c>
      <c r="L5740" t="n">
        <v>5</v>
      </c>
      <c r="M5740" t="inlineStr">
        <is>
          <t>Todos</t>
        </is>
      </c>
      <c r="N5740" t="inlineStr">
        <is>
          <t>Churrascaria</t>
        </is>
      </c>
      <c r="O5740" t="n">
        <v>6</v>
      </c>
      <c r="P5740" t="n">
        <v>21</v>
      </c>
      <c r="Q5740" t="n">
        <v>2</v>
      </c>
    </row>
    <row r="5741">
      <c r="J5741" t="inlineStr">
        <is>
          <t>M</t>
        </is>
      </c>
      <c r="K5741" t="n">
        <v>2026</v>
      </c>
      <c r="L5741" t="n">
        <v>5</v>
      </c>
      <c r="M5741" t="inlineStr">
        <is>
          <t>Todos</t>
        </is>
      </c>
      <c r="N5741" t="inlineStr">
        <is>
          <t>Churrascaria</t>
        </is>
      </c>
      <c r="O5741" t="n">
        <v>4</v>
      </c>
      <c r="P5741" t="n">
        <v>8</v>
      </c>
      <c r="Q5741" t="n">
        <v>0</v>
      </c>
    </row>
    <row r="5742">
      <c r="J5742" t="inlineStr">
        <is>
          <t>A</t>
        </is>
      </c>
      <c r="K5742" t="n">
        <v>2026</v>
      </c>
      <c r="L5742" t="n">
        <v>6</v>
      </c>
      <c r="M5742" t="inlineStr">
        <is>
          <t>Todos</t>
        </is>
      </c>
      <c r="N5742" t="inlineStr">
        <is>
          <t>Churrascaria</t>
        </is>
      </c>
      <c r="O5742" t="n">
        <v>6</v>
      </c>
      <c r="P5742" t="n">
        <v>23</v>
      </c>
      <c r="Q5742" t="n">
        <v>2</v>
      </c>
    </row>
    <row r="5743">
      <c r="J5743" t="inlineStr">
        <is>
          <t>M</t>
        </is>
      </c>
      <c r="K5743" t="n">
        <v>2026</v>
      </c>
      <c r="L5743" t="n">
        <v>6</v>
      </c>
      <c r="M5743" t="inlineStr">
        <is>
          <t>Todos</t>
        </is>
      </c>
      <c r="N5743" t="inlineStr">
        <is>
          <t>Churrascaria</t>
        </is>
      </c>
      <c r="O5743" t="n">
        <v>2</v>
      </c>
      <c r="P5743" t="n">
        <v>2</v>
      </c>
      <c r="Q5743" t="n">
        <v>0</v>
      </c>
    </row>
    <row r="5744">
      <c r="J5744" t="inlineStr">
        <is>
          <t>A</t>
        </is>
      </c>
      <c r="K5744" t="n">
        <v>2026</v>
      </c>
      <c r="L5744" t="n">
        <v>7</v>
      </c>
      <c r="M5744" t="inlineStr">
        <is>
          <t>Todos</t>
        </is>
      </c>
      <c r="N5744" t="inlineStr">
        <is>
          <t>Churrascaria</t>
        </is>
      </c>
      <c r="O5744" t="n">
        <v>6</v>
      </c>
      <c r="P5744" t="n">
        <v>24</v>
      </c>
      <c r="Q5744" t="n">
        <v>2</v>
      </c>
    </row>
    <row r="5745">
      <c r="J5745" t="inlineStr">
        <is>
          <t>M</t>
        </is>
      </c>
      <c r="K5745" t="n">
        <v>2026</v>
      </c>
      <c r="L5745" t="n">
        <v>7</v>
      </c>
      <c r="M5745" t="inlineStr">
        <is>
          <t>Todos</t>
        </is>
      </c>
      <c r="N5745" t="inlineStr">
        <is>
          <t>Churrascaria</t>
        </is>
      </c>
      <c r="O5745" t="n">
        <v>1</v>
      </c>
      <c r="P5745" t="n">
        <v>1</v>
      </c>
      <c r="Q5745" t="n">
        <v>0</v>
      </c>
    </row>
    <row r="5746">
      <c r="J5746" t="inlineStr">
        <is>
          <t>A</t>
        </is>
      </c>
      <c r="K5746" t="n">
        <v>2026</v>
      </c>
      <c r="L5746" t="n">
        <v>8</v>
      </c>
      <c r="M5746" t="inlineStr">
        <is>
          <t>Todos</t>
        </is>
      </c>
      <c r="N5746" t="inlineStr">
        <is>
          <t>Churrascaria</t>
        </is>
      </c>
      <c r="O5746" t="n">
        <v>6</v>
      </c>
      <c r="P5746" t="n">
        <v>24</v>
      </c>
      <c r="Q5746" t="n">
        <v>2</v>
      </c>
    </row>
    <row r="5747">
      <c r="J5747" t="inlineStr">
        <is>
          <t>A</t>
        </is>
      </c>
      <c r="K5747" t="n">
        <v>2026</v>
      </c>
      <c r="L5747" t="n">
        <v>9</v>
      </c>
      <c r="M5747" t="inlineStr">
        <is>
          <t>Todos</t>
        </is>
      </c>
      <c r="N5747" t="inlineStr">
        <is>
          <t>Churrascaria</t>
        </is>
      </c>
      <c r="O5747" t="n">
        <v>7</v>
      </c>
      <c r="P5747" t="n">
        <v>25</v>
      </c>
      <c r="Q5747" t="n">
        <v>2</v>
      </c>
    </row>
    <row r="5748">
      <c r="J5748" t="inlineStr">
        <is>
          <t>M</t>
        </is>
      </c>
      <c r="K5748" t="n">
        <v>2026</v>
      </c>
      <c r="L5748" t="n">
        <v>9</v>
      </c>
      <c r="M5748" t="inlineStr">
        <is>
          <t>Todos</t>
        </is>
      </c>
      <c r="N5748" t="inlineStr">
        <is>
          <t>Churrascaria</t>
        </is>
      </c>
      <c r="O5748" t="n">
        <v>1</v>
      </c>
      <c r="P5748" t="n">
        <v>1</v>
      </c>
      <c r="Q5748" t="n">
        <v>0</v>
      </c>
    </row>
    <row r="5749">
      <c r="J5749" t="inlineStr">
        <is>
          <t>A</t>
        </is>
      </c>
      <c r="K5749" t="n">
        <v>2026</v>
      </c>
      <c r="L5749" t="n">
        <v>10</v>
      </c>
      <c r="M5749" t="inlineStr">
        <is>
          <t>Todos</t>
        </is>
      </c>
      <c r="N5749" t="inlineStr">
        <is>
          <t>Churrascaria</t>
        </is>
      </c>
      <c r="O5749" t="n">
        <v>7</v>
      </c>
      <c r="P5749" t="n">
        <v>25</v>
      </c>
      <c r="Q5749" t="n">
        <v>2</v>
      </c>
    </row>
    <row r="5750">
      <c r="J5750" t="inlineStr">
        <is>
          <t>A</t>
        </is>
      </c>
      <c r="K5750" t="n">
        <v>2026</v>
      </c>
      <c r="L5750" t="n">
        <v>11</v>
      </c>
      <c r="M5750" t="inlineStr">
        <is>
          <t>Todos</t>
        </is>
      </c>
      <c r="N5750" t="inlineStr">
        <is>
          <t>Churrascaria</t>
        </is>
      </c>
      <c r="O5750" t="n">
        <v>7</v>
      </c>
      <c r="P5750" t="n">
        <v>25</v>
      </c>
      <c r="Q5750" t="n">
        <v>2</v>
      </c>
    </row>
    <row r="5751">
      <c r="J5751" t="inlineStr">
        <is>
          <t>A</t>
        </is>
      </c>
      <c r="K5751" t="n">
        <v>2026</v>
      </c>
      <c r="L5751" t="n">
        <v>12</v>
      </c>
      <c r="M5751" t="inlineStr">
        <is>
          <t>Todos</t>
        </is>
      </c>
      <c r="N5751" t="inlineStr">
        <is>
          <t>Churrascaria</t>
        </is>
      </c>
      <c r="O5751" t="n">
        <v>7</v>
      </c>
      <c r="P5751" t="n">
        <v>25</v>
      </c>
      <c r="Q5751" t="n">
        <v>2</v>
      </c>
    </row>
    <row r="5752">
      <c r="J5752" t="inlineStr">
        <is>
          <t>A</t>
        </is>
      </c>
      <c r="K5752" t="n">
        <v>2026</v>
      </c>
      <c r="L5752" t="n">
        <v>1</v>
      </c>
      <c r="M5752" t="inlineStr">
        <is>
          <t>Todos</t>
        </is>
      </c>
      <c r="N5752" t="inlineStr">
        <is>
          <t>Não Selecionado</t>
        </is>
      </c>
      <c r="O5752" t="n">
        <v>2</v>
      </c>
      <c r="P5752" t="n">
        <v>2</v>
      </c>
      <c r="Q5752" t="n">
        <v>0</v>
      </c>
    </row>
    <row r="5753">
      <c r="J5753" t="inlineStr">
        <is>
          <t>M</t>
        </is>
      </c>
      <c r="K5753" t="n">
        <v>2026</v>
      </c>
      <c r="L5753" t="n">
        <v>1</v>
      </c>
      <c r="M5753" t="inlineStr">
        <is>
          <t>Todos</t>
        </is>
      </c>
      <c r="N5753" t="inlineStr">
        <is>
          <t>Não Selecionado</t>
        </is>
      </c>
      <c r="O5753" t="n">
        <v>2</v>
      </c>
      <c r="P5753" t="n">
        <v>2</v>
      </c>
      <c r="Q5753" t="n">
        <v>0</v>
      </c>
    </row>
    <row r="5754">
      <c r="J5754" t="inlineStr">
        <is>
          <t>A</t>
        </is>
      </c>
      <c r="K5754" t="n">
        <v>2026</v>
      </c>
      <c r="L5754" t="n">
        <v>2</v>
      </c>
      <c r="M5754" t="inlineStr">
        <is>
          <t>Todos</t>
        </is>
      </c>
      <c r="N5754" t="inlineStr">
        <is>
          <t>Não Selecionado</t>
        </is>
      </c>
      <c r="O5754" t="n">
        <v>3</v>
      </c>
      <c r="P5754" t="n">
        <v>3</v>
      </c>
      <c r="Q5754" t="n">
        <v>0</v>
      </c>
    </row>
    <row r="5755">
      <c r="J5755" t="inlineStr">
        <is>
          <t>M</t>
        </is>
      </c>
      <c r="K5755" t="n">
        <v>2026</v>
      </c>
      <c r="L5755" t="n">
        <v>2</v>
      </c>
      <c r="M5755" t="inlineStr">
        <is>
          <t>Todos</t>
        </is>
      </c>
      <c r="N5755" t="inlineStr">
        <is>
          <t>Não Selecionado</t>
        </is>
      </c>
      <c r="O5755" t="n">
        <v>1</v>
      </c>
      <c r="P5755" t="n">
        <v>1</v>
      </c>
      <c r="Q5755" t="n">
        <v>0</v>
      </c>
    </row>
    <row r="5756">
      <c r="J5756" t="inlineStr">
        <is>
          <t>A</t>
        </is>
      </c>
      <c r="K5756" t="n">
        <v>2026</v>
      </c>
      <c r="L5756" t="n">
        <v>3</v>
      </c>
      <c r="M5756" t="inlineStr">
        <is>
          <t>Todos</t>
        </is>
      </c>
      <c r="N5756" t="inlineStr">
        <is>
          <t>Não Selecionado</t>
        </is>
      </c>
      <c r="O5756" t="n">
        <v>3</v>
      </c>
      <c r="P5756" t="n">
        <v>9</v>
      </c>
      <c r="Q5756" t="n">
        <v>0</v>
      </c>
    </row>
    <row r="5757">
      <c r="J5757" t="inlineStr">
        <is>
          <t>M</t>
        </is>
      </c>
      <c r="K5757" t="n">
        <v>2026</v>
      </c>
      <c r="L5757" t="n">
        <v>3</v>
      </c>
      <c r="M5757" t="inlineStr">
        <is>
          <t>Todos</t>
        </is>
      </c>
      <c r="N5757" t="inlineStr">
        <is>
          <t>Não Selecionado</t>
        </is>
      </c>
      <c r="O5757" t="n">
        <v>3</v>
      </c>
      <c r="P5757" t="n">
        <v>6</v>
      </c>
      <c r="Q5757" t="n">
        <v>0</v>
      </c>
    </row>
    <row r="5758">
      <c r="J5758" t="inlineStr">
        <is>
          <t>A</t>
        </is>
      </c>
      <c r="K5758" t="n">
        <v>2026</v>
      </c>
      <c r="L5758" t="n">
        <v>4</v>
      </c>
      <c r="M5758" t="inlineStr">
        <is>
          <t>Todos</t>
        </is>
      </c>
      <c r="N5758" t="inlineStr">
        <is>
          <t>Não Selecionado</t>
        </is>
      </c>
      <c r="O5758" t="n">
        <v>3</v>
      </c>
      <c r="P5758" t="n">
        <v>9</v>
      </c>
      <c r="Q5758" t="n">
        <v>0</v>
      </c>
    </row>
    <row r="5759">
      <c r="J5759" t="inlineStr">
        <is>
          <t>A</t>
        </is>
      </c>
      <c r="K5759" t="n">
        <v>2026</v>
      </c>
      <c r="L5759" t="n">
        <v>5</v>
      </c>
      <c r="M5759" t="inlineStr">
        <is>
          <t>Todos</t>
        </is>
      </c>
      <c r="N5759" t="inlineStr">
        <is>
          <t>Não Selecionado</t>
        </is>
      </c>
      <c r="O5759" t="n">
        <v>3</v>
      </c>
      <c r="P5759" t="n">
        <v>9</v>
      </c>
      <c r="Q5759" t="n">
        <v>0</v>
      </c>
    </row>
    <row r="5760">
      <c r="J5760" t="inlineStr">
        <is>
          <t>A</t>
        </is>
      </c>
      <c r="K5760" t="n">
        <v>2026</v>
      </c>
      <c r="L5760" t="n">
        <v>6</v>
      </c>
      <c r="M5760" t="inlineStr">
        <is>
          <t>Todos</t>
        </is>
      </c>
      <c r="N5760" t="inlineStr">
        <is>
          <t>Não Selecionado</t>
        </is>
      </c>
      <c r="O5760" t="n">
        <v>3</v>
      </c>
      <c r="P5760" t="n">
        <v>9</v>
      </c>
      <c r="Q5760" t="n">
        <v>0</v>
      </c>
    </row>
    <row r="5761">
      <c r="J5761" t="inlineStr">
        <is>
          <t>A</t>
        </is>
      </c>
      <c r="K5761" t="n">
        <v>2026</v>
      </c>
      <c r="L5761" t="n">
        <v>7</v>
      </c>
      <c r="M5761" t="inlineStr">
        <is>
          <t>Todos</t>
        </is>
      </c>
      <c r="N5761" t="inlineStr">
        <is>
          <t>Não Selecionado</t>
        </is>
      </c>
      <c r="O5761" t="n">
        <v>3</v>
      </c>
      <c r="P5761" t="n">
        <v>9</v>
      </c>
      <c r="Q5761" t="n">
        <v>0</v>
      </c>
    </row>
    <row r="5762">
      <c r="J5762" t="inlineStr">
        <is>
          <t>A</t>
        </is>
      </c>
      <c r="K5762" t="n">
        <v>2026</v>
      </c>
      <c r="L5762" t="n">
        <v>8</v>
      </c>
      <c r="M5762" t="inlineStr">
        <is>
          <t>Todos</t>
        </is>
      </c>
      <c r="N5762" t="inlineStr">
        <is>
          <t>Não Selecionado</t>
        </is>
      </c>
      <c r="O5762" t="n">
        <v>3</v>
      </c>
      <c r="P5762" t="n">
        <v>9</v>
      </c>
      <c r="Q5762" t="n">
        <v>0</v>
      </c>
    </row>
    <row r="5763">
      <c r="J5763" t="inlineStr">
        <is>
          <t>A</t>
        </is>
      </c>
      <c r="K5763" t="n">
        <v>2026</v>
      </c>
      <c r="L5763" t="n">
        <v>9</v>
      </c>
      <c r="M5763" t="inlineStr">
        <is>
          <t>Todos</t>
        </is>
      </c>
      <c r="N5763" t="inlineStr">
        <is>
          <t>Não Selecionado</t>
        </is>
      </c>
      <c r="O5763" t="n">
        <v>3</v>
      </c>
      <c r="P5763" t="n">
        <v>9</v>
      </c>
      <c r="Q5763" t="n">
        <v>0</v>
      </c>
    </row>
    <row r="5764">
      <c r="J5764" t="inlineStr">
        <is>
          <t>A</t>
        </is>
      </c>
      <c r="K5764" t="n">
        <v>2026</v>
      </c>
      <c r="L5764" t="n">
        <v>10</v>
      </c>
      <c r="M5764" t="inlineStr">
        <is>
          <t>Todos</t>
        </is>
      </c>
      <c r="N5764" t="inlineStr">
        <is>
          <t>Não Selecionado</t>
        </is>
      </c>
      <c r="O5764" t="n">
        <v>3</v>
      </c>
      <c r="P5764" t="n">
        <v>9</v>
      </c>
      <c r="Q5764" t="n">
        <v>0</v>
      </c>
    </row>
    <row r="5765">
      <c r="J5765" t="inlineStr">
        <is>
          <t>A</t>
        </is>
      </c>
      <c r="K5765" t="n">
        <v>2026</v>
      </c>
      <c r="L5765" t="n">
        <v>11</v>
      </c>
      <c r="M5765" t="inlineStr">
        <is>
          <t>Todos</t>
        </is>
      </c>
      <c r="N5765" t="inlineStr">
        <is>
          <t>Não Selecionado</t>
        </is>
      </c>
      <c r="O5765" t="n">
        <v>3</v>
      </c>
      <c r="P5765" t="n">
        <v>9</v>
      </c>
      <c r="Q5765" t="n">
        <v>0</v>
      </c>
    </row>
    <row r="5766">
      <c r="J5766" t="inlineStr">
        <is>
          <t>A</t>
        </is>
      </c>
      <c r="K5766" t="n">
        <v>2026</v>
      </c>
      <c r="L5766" t="n">
        <v>12</v>
      </c>
      <c r="M5766" t="inlineStr">
        <is>
          <t>Todos</t>
        </is>
      </c>
      <c r="N5766" t="inlineStr">
        <is>
          <t>Não Selecionado</t>
        </is>
      </c>
      <c r="O5766" t="n">
        <v>3</v>
      </c>
      <c r="P5766" t="n">
        <v>9</v>
      </c>
      <c r="Q5766" t="n">
        <v>0</v>
      </c>
    </row>
    <row r="5767">
      <c r="J5767" t="inlineStr">
        <is>
          <t>A</t>
        </is>
      </c>
      <c r="K5767" t="n">
        <v>2026</v>
      </c>
      <c r="L5767" t="n">
        <v>7</v>
      </c>
      <c r="M5767" t="inlineStr">
        <is>
          <t>Todos</t>
        </is>
      </c>
      <c r="N5767" t="inlineStr">
        <is>
          <t>Hospital / Casa de Repouso</t>
        </is>
      </c>
      <c r="O5767" t="n">
        <v>1</v>
      </c>
      <c r="P5767" t="n">
        <v>2</v>
      </c>
      <c r="Q5767" t="n">
        <v>1</v>
      </c>
    </row>
    <row r="5768">
      <c r="J5768" t="inlineStr">
        <is>
          <t>M</t>
        </is>
      </c>
      <c r="K5768" t="n">
        <v>2026</v>
      </c>
      <c r="L5768" t="n">
        <v>7</v>
      </c>
      <c r="M5768" t="inlineStr">
        <is>
          <t>Todos</t>
        </is>
      </c>
      <c r="N5768" t="inlineStr">
        <is>
          <t>Hospital / Casa de Repouso</t>
        </is>
      </c>
      <c r="O5768" t="n">
        <v>1</v>
      </c>
      <c r="P5768" t="n">
        <v>2</v>
      </c>
      <c r="Q5768" t="n">
        <v>0</v>
      </c>
    </row>
    <row r="5769">
      <c r="J5769" t="inlineStr">
        <is>
          <t>A</t>
        </is>
      </c>
      <c r="K5769" t="n">
        <v>2026</v>
      </c>
      <c r="L5769" t="n">
        <v>8</v>
      </c>
      <c r="M5769" t="inlineStr">
        <is>
          <t>Todos</t>
        </is>
      </c>
      <c r="N5769" t="inlineStr">
        <is>
          <t>Hospital / Casa de Repouso</t>
        </is>
      </c>
      <c r="O5769" t="n">
        <v>1</v>
      </c>
      <c r="P5769" t="n">
        <v>2</v>
      </c>
      <c r="Q5769" t="n">
        <v>1</v>
      </c>
    </row>
    <row r="5770">
      <c r="J5770" t="inlineStr">
        <is>
          <t>A</t>
        </is>
      </c>
      <c r="K5770" t="n">
        <v>2026</v>
      </c>
      <c r="L5770" t="n">
        <v>9</v>
      </c>
      <c r="M5770" t="inlineStr">
        <is>
          <t>Todos</t>
        </is>
      </c>
      <c r="N5770" t="inlineStr">
        <is>
          <t>Hospital / Casa de Repouso</t>
        </is>
      </c>
      <c r="O5770" t="n">
        <v>1</v>
      </c>
      <c r="P5770" t="n">
        <v>2</v>
      </c>
      <c r="Q5770" t="n">
        <v>1</v>
      </c>
    </row>
    <row r="5771">
      <c r="J5771" t="inlineStr">
        <is>
          <t>A</t>
        </is>
      </c>
      <c r="K5771" t="n">
        <v>2026</v>
      </c>
      <c r="L5771" t="n">
        <v>10</v>
      </c>
      <c r="M5771" t="inlineStr">
        <is>
          <t>Todos</t>
        </is>
      </c>
      <c r="N5771" t="inlineStr">
        <is>
          <t>Hospital / Casa de Repouso</t>
        </is>
      </c>
      <c r="O5771" t="n">
        <v>1</v>
      </c>
      <c r="P5771" t="n">
        <v>2</v>
      </c>
      <c r="Q5771" t="n">
        <v>1</v>
      </c>
    </row>
    <row r="5772">
      <c r="J5772" t="inlineStr">
        <is>
          <t>A</t>
        </is>
      </c>
      <c r="K5772" t="n">
        <v>2026</v>
      </c>
      <c r="L5772" t="n">
        <v>11</v>
      </c>
      <c r="M5772" t="inlineStr">
        <is>
          <t>Todos</t>
        </is>
      </c>
      <c r="N5772" t="inlineStr">
        <is>
          <t>Hospital / Casa de Repouso</t>
        </is>
      </c>
      <c r="O5772" t="n">
        <v>1</v>
      </c>
      <c r="P5772" t="n">
        <v>2</v>
      </c>
      <c r="Q5772" t="n">
        <v>1</v>
      </c>
    </row>
    <row r="5773">
      <c r="J5773" t="inlineStr">
        <is>
          <t>A</t>
        </is>
      </c>
      <c r="K5773" t="n">
        <v>2026</v>
      </c>
      <c r="L5773" t="n">
        <v>12</v>
      </c>
      <c r="M5773" t="inlineStr">
        <is>
          <t>Todos</t>
        </is>
      </c>
      <c r="N5773" t="inlineStr">
        <is>
          <t>Hospital / Casa de Repouso</t>
        </is>
      </c>
      <c r="O5773" t="n">
        <v>1</v>
      </c>
      <c r="P5773" t="n">
        <v>2</v>
      </c>
      <c r="Q5773" t="n">
        <v>1</v>
      </c>
    </row>
    <row r="5774">
      <c r="J5774" t="inlineStr">
        <is>
          <t>A</t>
        </is>
      </c>
      <c r="K5774" t="n">
        <v>2026</v>
      </c>
      <c r="L5774" t="n">
        <v>1</v>
      </c>
      <c r="M5774" t="inlineStr">
        <is>
          <t>Todos</t>
        </is>
      </c>
      <c r="N5774" t="inlineStr">
        <is>
          <t>Clube / Associação Desportiva</t>
        </is>
      </c>
      <c r="O5774" t="n">
        <v>1</v>
      </c>
      <c r="P5774" t="n">
        <v>1</v>
      </c>
      <c r="Q5774" t="n">
        <v>0</v>
      </c>
    </row>
    <row r="5775">
      <c r="J5775" t="inlineStr">
        <is>
          <t>M</t>
        </is>
      </c>
      <c r="K5775" t="n">
        <v>2026</v>
      </c>
      <c r="L5775" t="n">
        <v>1</v>
      </c>
      <c r="M5775" t="inlineStr">
        <is>
          <t>Todos</t>
        </is>
      </c>
      <c r="N5775" t="inlineStr">
        <is>
          <t>Clube / Associação Desportiva</t>
        </is>
      </c>
      <c r="O5775" t="n">
        <v>1</v>
      </c>
      <c r="P5775" t="n">
        <v>1</v>
      </c>
      <c r="Q5775" t="n">
        <v>0</v>
      </c>
    </row>
    <row r="5776">
      <c r="J5776" t="inlineStr">
        <is>
          <t>A</t>
        </is>
      </c>
      <c r="K5776" t="n">
        <v>2026</v>
      </c>
      <c r="L5776" t="n">
        <v>2</v>
      </c>
      <c r="M5776" t="inlineStr">
        <is>
          <t>Todos</t>
        </is>
      </c>
      <c r="N5776" t="inlineStr">
        <is>
          <t>Clube / Associação Desportiva</t>
        </is>
      </c>
      <c r="O5776" t="n">
        <v>3</v>
      </c>
      <c r="P5776" t="n">
        <v>3</v>
      </c>
      <c r="Q5776" t="n">
        <v>1</v>
      </c>
    </row>
    <row r="5777">
      <c r="J5777" t="inlineStr">
        <is>
          <t>M</t>
        </is>
      </c>
      <c r="K5777" t="n">
        <v>2026</v>
      </c>
      <c r="L5777" t="n">
        <v>2</v>
      </c>
      <c r="M5777" t="inlineStr">
        <is>
          <t>Todos</t>
        </is>
      </c>
      <c r="N5777" t="inlineStr">
        <is>
          <t>Clube / Associação Desportiva</t>
        </is>
      </c>
      <c r="O5777" t="n">
        <v>2</v>
      </c>
      <c r="P5777" t="n">
        <v>2</v>
      </c>
      <c r="Q5777" t="n">
        <v>0</v>
      </c>
    </row>
    <row r="5778">
      <c r="J5778" t="inlineStr">
        <is>
          <t>A</t>
        </is>
      </c>
      <c r="K5778" t="n">
        <v>2026</v>
      </c>
      <c r="L5778" t="n">
        <v>3</v>
      </c>
      <c r="M5778" t="inlineStr">
        <is>
          <t>Todos</t>
        </is>
      </c>
      <c r="N5778" t="inlineStr">
        <is>
          <t>Clube / Associação Desportiva</t>
        </is>
      </c>
      <c r="O5778" t="n">
        <v>3</v>
      </c>
      <c r="P5778" t="n">
        <v>4</v>
      </c>
      <c r="Q5778" t="n">
        <v>1</v>
      </c>
    </row>
    <row r="5779">
      <c r="J5779" t="inlineStr">
        <is>
          <t>M</t>
        </is>
      </c>
      <c r="K5779" t="n">
        <v>2026</v>
      </c>
      <c r="L5779" t="n">
        <v>3</v>
      </c>
      <c r="M5779" t="inlineStr">
        <is>
          <t>Todos</t>
        </is>
      </c>
      <c r="N5779" t="inlineStr">
        <is>
          <t>Clube / Associação Desportiva</t>
        </is>
      </c>
      <c r="O5779" t="n">
        <v>1</v>
      </c>
      <c r="P5779" t="n">
        <v>1</v>
      </c>
      <c r="Q5779" t="n">
        <v>0</v>
      </c>
    </row>
    <row r="5780">
      <c r="J5780" t="inlineStr">
        <is>
          <t>A</t>
        </is>
      </c>
      <c r="K5780" t="n">
        <v>2026</v>
      </c>
      <c r="L5780" t="n">
        <v>4</v>
      </c>
      <c r="M5780" t="inlineStr">
        <is>
          <t>Todos</t>
        </is>
      </c>
      <c r="N5780" t="inlineStr">
        <is>
          <t>Clube / Associação Desportiva</t>
        </is>
      </c>
      <c r="O5780" t="n">
        <v>3</v>
      </c>
      <c r="P5780" t="n">
        <v>4</v>
      </c>
      <c r="Q5780" t="n">
        <v>1</v>
      </c>
    </row>
    <row r="5781">
      <c r="J5781" t="inlineStr">
        <is>
          <t>A</t>
        </is>
      </c>
      <c r="K5781" t="n">
        <v>2026</v>
      </c>
      <c r="L5781" t="n">
        <v>5</v>
      </c>
      <c r="M5781" t="inlineStr">
        <is>
          <t>Todos</t>
        </is>
      </c>
      <c r="N5781" t="inlineStr">
        <is>
          <t>Clube / Associação Desportiva</t>
        </is>
      </c>
      <c r="O5781" t="n">
        <v>3</v>
      </c>
      <c r="P5781" t="n">
        <v>5</v>
      </c>
      <c r="Q5781" t="n">
        <v>1</v>
      </c>
    </row>
    <row r="5782">
      <c r="J5782" t="inlineStr">
        <is>
          <t>M</t>
        </is>
      </c>
      <c r="K5782" t="n">
        <v>2026</v>
      </c>
      <c r="L5782" t="n">
        <v>5</v>
      </c>
      <c r="M5782" t="inlineStr">
        <is>
          <t>Todos</t>
        </is>
      </c>
      <c r="N5782" t="inlineStr">
        <is>
          <t>Clube / Associação Desportiva</t>
        </is>
      </c>
      <c r="O5782" t="n">
        <v>1</v>
      </c>
      <c r="P5782" t="n">
        <v>1</v>
      </c>
      <c r="Q5782" t="n">
        <v>0</v>
      </c>
    </row>
    <row r="5783">
      <c r="J5783" t="inlineStr">
        <is>
          <t>A</t>
        </is>
      </c>
      <c r="K5783" t="n">
        <v>2026</v>
      </c>
      <c r="L5783" t="n">
        <v>6</v>
      </c>
      <c r="M5783" t="inlineStr">
        <is>
          <t>Todos</t>
        </is>
      </c>
      <c r="N5783" t="inlineStr">
        <is>
          <t>Clube / Associação Desportiva</t>
        </is>
      </c>
      <c r="O5783" t="n">
        <v>3</v>
      </c>
      <c r="P5783" t="n">
        <v>6</v>
      </c>
      <c r="Q5783" t="n">
        <v>1</v>
      </c>
    </row>
    <row r="5784">
      <c r="J5784" t="inlineStr">
        <is>
          <t>M</t>
        </is>
      </c>
      <c r="K5784" t="n">
        <v>2026</v>
      </c>
      <c r="L5784" t="n">
        <v>6</v>
      </c>
      <c r="M5784" t="inlineStr">
        <is>
          <t>Todos</t>
        </is>
      </c>
      <c r="N5784" t="inlineStr">
        <is>
          <t>Clube / Associação Desportiva</t>
        </is>
      </c>
      <c r="O5784" t="n">
        <v>1</v>
      </c>
      <c r="P5784" t="n">
        <v>1</v>
      </c>
      <c r="Q5784" t="n">
        <v>0</v>
      </c>
    </row>
    <row r="5785">
      <c r="J5785" t="inlineStr">
        <is>
          <t>A</t>
        </is>
      </c>
      <c r="K5785" t="n">
        <v>2026</v>
      </c>
      <c r="L5785" t="n">
        <v>7</v>
      </c>
      <c r="M5785" t="inlineStr">
        <is>
          <t>Todos</t>
        </is>
      </c>
      <c r="N5785" t="inlineStr">
        <is>
          <t>Clube / Associação Desportiva</t>
        </is>
      </c>
      <c r="O5785" t="n">
        <v>3</v>
      </c>
      <c r="P5785" t="n">
        <v>7</v>
      </c>
      <c r="Q5785" t="n">
        <v>1</v>
      </c>
    </row>
    <row r="5786">
      <c r="J5786" t="inlineStr">
        <is>
          <t>M</t>
        </is>
      </c>
      <c r="K5786" t="n">
        <v>2026</v>
      </c>
      <c r="L5786" t="n">
        <v>7</v>
      </c>
      <c r="M5786" t="inlineStr">
        <is>
          <t>Todos</t>
        </is>
      </c>
      <c r="N5786" t="inlineStr">
        <is>
          <t>Clube / Associação Desportiva</t>
        </is>
      </c>
      <c r="O5786" t="n">
        <v>1</v>
      </c>
      <c r="P5786" t="n">
        <v>1</v>
      </c>
      <c r="Q5786" t="n">
        <v>0</v>
      </c>
    </row>
    <row r="5787">
      <c r="J5787" t="inlineStr">
        <is>
          <t>A</t>
        </is>
      </c>
      <c r="K5787" t="n">
        <v>2026</v>
      </c>
      <c r="L5787" t="n">
        <v>8</v>
      </c>
      <c r="M5787" t="inlineStr">
        <is>
          <t>Todos</t>
        </is>
      </c>
      <c r="N5787" t="inlineStr">
        <is>
          <t>Clube / Associação Desportiva</t>
        </is>
      </c>
      <c r="O5787" t="n">
        <v>3</v>
      </c>
      <c r="P5787" t="n">
        <v>7</v>
      </c>
      <c r="Q5787" t="n">
        <v>1</v>
      </c>
    </row>
    <row r="5788">
      <c r="J5788" t="inlineStr">
        <is>
          <t>A</t>
        </is>
      </c>
      <c r="K5788" t="n">
        <v>2026</v>
      </c>
      <c r="L5788" t="n">
        <v>9</v>
      </c>
      <c r="M5788" t="inlineStr">
        <is>
          <t>Todos</t>
        </is>
      </c>
      <c r="N5788" t="inlineStr">
        <is>
          <t>Clube / Associação Desportiva</t>
        </is>
      </c>
      <c r="O5788" t="n">
        <v>3</v>
      </c>
      <c r="P5788" t="n">
        <v>7</v>
      </c>
      <c r="Q5788" t="n">
        <v>1</v>
      </c>
    </row>
    <row r="5789">
      <c r="J5789" t="inlineStr">
        <is>
          <t>A</t>
        </is>
      </c>
      <c r="K5789" t="n">
        <v>2026</v>
      </c>
      <c r="L5789" t="n">
        <v>10</v>
      </c>
      <c r="M5789" t="inlineStr">
        <is>
          <t>Todos</t>
        </is>
      </c>
      <c r="N5789" t="inlineStr">
        <is>
          <t>Clube / Associação Desportiva</t>
        </is>
      </c>
      <c r="O5789" t="n">
        <v>3</v>
      </c>
      <c r="P5789" t="n">
        <v>7</v>
      </c>
      <c r="Q5789" t="n">
        <v>1</v>
      </c>
    </row>
    <row r="5790">
      <c r="J5790" t="inlineStr">
        <is>
          <t>A</t>
        </is>
      </c>
      <c r="K5790" t="n">
        <v>2026</v>
      </c>
      <c r="L5790" t="n">
        <v>11</v>
      </c>
      <c r="M5790" t="inlineStr">
        <is>
          <t>Todos</t>
        </is>
      </c>
      <c r="N5790" t="inlineStr">
        <is>
          <t>Clube / Associação Desportiva</t>
        </is>
      </c>
      <c r="O5790" t="n">
        <v>3</v>
      </c>
      <c r="P5790" t="n">
        <v>7</v>
      </c>
      <c r="Q5790" t="n">
        <v>1</v>
      </c>
    </row>
    <row r="5791">
      <c r="J5791" t="inlineStr">
        <is>
          <t>A</t>
        </is>
      </c>
      <c r="K5791" t="n">
        <v>2026</v>
      </c>
      <c r="L5791" t="n">
        <v>12</v>
      </c>
      <c r="M5791" t="inlineStr">
        <is>
          <t>Todos</t>
        </is>
      </c>
      <c r="N5791" t="inlineStr">
        <is>
          <t>Clube / Associação Desportiva</t>
        </is>
      </c>
      <c r="O5791" t="n">
        <v>3</v>
      </c>
      <c r="P5791" t="n">
        <v>7</v>
      </c>
      <c r="Q5791" t="n">
        <v>1</v>
      </c>
    </row>
    <row r="5792">
      <c r="J5792" t="inlineStr">
        <is>
          <t>A</t>
        </is>
      </c>
      <c r="K5792" t="n">
        <v>2026</v>
      </c>
      <c r="L5792" t="n">
        <v>7</v>
      </c>
      <c r="M5792" t="inlineStr">
        <is>
          <t>Todos</t>
        </is>
      </c>
      <c r="N5792" t="inlineStr">
        <is>
          <t>Casa Noturna</t>
        </is>
      </c>
      <c r="O5792" t="n">
        <v>2</v>
      </c>
      <c r="P5792" t="n">
        <v>2</v>
      </c>
      <c r="Q5792" t="n">
        <v>1</v>
      </c>
    </row>
    <row r="5793">
      <c r="J5793" t="inlineStr">
        <is>
          <t>M</t>
        </is>
      </c>
      <c r="K5793" t="n">
        <v>2026</v>
      </c>
      <c r="L5793" t="n">
        <v>7</v>
      </c>
      <c r="M5793" t="inlineStr">
        <is>
          <t>Todos</t>
        </is>
      </c>
      <c r="N5793" t="inlineStr">
        <is>
          <t>Casa Noturna</t>
        </is>
      </c>
      <c r="O5793" t="n">
        <v>2</v>
      </c>
      <c r="P5793" t="n">
        <v>2</v>
      </c>
      <c r="Q5793" t="n">
        <v>0</v>
      </c>
    </row>
    <row r="5794">
      <c r="J5794" t="inlineStr">
        <is>
          <t>A</t>
        </is>
      </c>
      <c r="K5794" t="n">
        <v>2026</v>
      </c>
      <c r="L5794" t="n">
        <v>8</v>
      </c>
      <c r="M5794" t="inlineStr">
        <is>
          <t>Todos</t>
        </is>
      </c>
      <c r="N5794" t="inlineStr">
        <is>
          <t>Casa Noturna</t>
        </is>
      </c>
      <c r="O5794" t="n">
        <v>2</v>
      </c>
      <c r="P5794" t="n">
        <v>2</v>
      </c>
      <c r="Q5794" t="n">
        <v>1</v>
      </c>
    </row>
    <row r="5795">
      <c r="J5795" t="inlineStr">
        <is>
          <t>A</t>
        </is>
      </c>
      <c r="K5795" t="n">
        <v>2026</v>
      </c>
      <c r="L5795" t="n">
        <v>9</v>
      </c>
      <c r="M5795" t="inlineStr">
        <is>
          <t>Todos</t>
        </is>
      </c>
      <c r="N5795" t="inlineStr">
        <is>
          <t>Casa Noturna</t>
        </is>
      </c>
      <c r="O5795" t="n">
        <v>2</v>
      </c>
      <c r="P5795" t="n">
        <v>2</v>
      </c>
      <c r="Q5795" t="n">
        <v>1</v>
      </c>
    </row>
    <row r="5796">
      <c r="J5796" t="inlineStr">
        <is>
          <t>A</t>
        </is>
      </c>
      <c r="K5796" t="n">
        <v>2026</v>
      </c>
      <c r="L5796" t="n">
        <v>10</v>
      </c>
      <c r="M5796" t="inlineStr">
        <is>
          <t>Todos</t>
        </is>
      </c>
      <c r="N5796" t="inlineStr">
        <is>
          <t>Casa Noturna</t>
        </is>
      </c>
      <c r="O5796" t="n">
        <v>2</v>
      </c>
      <c r="P5796" t="n">
        <v>2</v>
      </c>
      <c r="Q5796" t="n">
        <v>1</v>
      </c>
    </row>
    <row r="5797">
      <c r="J5797" t="inlineStr">
        <is>
          <t>A</t>
        </is>
      </c>
      <c r="K5797" t="n">
        <v>2026</v>
      </c>
      <c r="L5797" t="n">
        <v>11</v>
      </c>
      <c r="M5797" t="inlineStr">
        <is>
          <t>Todos</t>
        </is>
      </c>
      <c r="N5797" t="inlineStr">
        <is>
          <t>Casa Noturna</t>
        </is>
      </c>
      <c r="O5797" t="n">
        <v>2</v>
      </c>
      <c r="P5797" t="n">
        <v>2</v>
      </c>
      <c r="Q5797" t="n">
        <v>1</v>
      </c>
    </row>
    <row r="5798">
      <c r="J5798" t="inlineStr">
        <is>
          <t>A</t>
        </is>
      </c>
      <c r="K5798" t="n">
        <v>2026</v>
      </c>
      <c r="L5798" t="n">
        <v>12</v>
      </c>
      <c r="M5798" t="inlineStr">
        <is>
          <t>Todos</t>
        </is>
      </c>
      <c r="N5798" t="inlineStr">
        <is>
          <t>Casa Noturna</t>
        </is>
      </c>
      <c r="O5798" t="n">
        <v>2</v>
      </c>
      <c r="P5798" t="n">
        <v>2</v>
      </c>
      <c r="Q5798" t="n">
        <v>1</v>
      </c>
    </row>
    <row r="5799">
      <c r="J5799" t="inlineStr">
        <is>
          <t>A</t>
        </is>
      </c>
      <c r="K5799" t="n">
        <v>2026</v>
      </c>
      <c r="L5799" t="n">
        <v>5</v>
      </c>
      <c r="M5799" t="inlineStr">
        <is>
          <t>Todos</t>
        </is>
      </c>
      <c r="N5799" t="inlineStr">
        <is>
          <t>Instituição de Ensino</t>
        </is>
      </c>
      <c r="O5799" t="n">
        <v>1</v>
      </c>
      <c r="P5799" t="n">
        <v>2</v>
      </c>
      <c r="Q5799" t="n">
        <v>1</v>
      </c>
    </row>
    <row r="5800">
      <c r="J5800" t="inlineStr">
        <is>
          <t>M</t>
        </is>
      </c>
      <c r="K5800" t="n">
        <v>2026</v>
      </c>
      <c r="L5800" t="n">
        <v>5</v>
      </c>
      <c r="M5800" t="inlineStr">
        <is>
          <t>Todos</t>
        </is>
      </c>
      <c r="N5800" t="inlineStr">
        <is>
          <t>Instituição de Ensino</t>
        </is>
      </c>
      <c r="O5800" t="n">
        <v>1</v>
      </c>
      <c r="P5800" t="n">
        <v>2</v>
      </c>
      <c r="Q5800" t="n">
        <v>0</v>
      </c>
    </row>
    <row r="5801">
      <c r="J5801" t="inlineStr">
        <is>
          <t>A</t>
        </is>
      </c>
      <c r="K5801" t="n">
        <v>2026</v>
      </c>
      <c r="L5801" t="n">
        <v>6</v>
      </c>
      <c r="M5801" t="inlineStr">
        <is>
          <t>Todos</t>
        </is>
      </c>
      <c r="N5801" t="inlineStr">
        <is>
          <t>Instituição de Ensino</t>
        </is>
      </c>
      <c r="O5801" t="n">
        <v>1</v>
      </c>
      <c r="P5801" t="n">
        <v>4</v>
      </c>
      <c r="Q5801" t="n">
        <v>1</v>
      </c>
    </row>
    <row r="5802">
      <c r="J5802" t="inlineStr">
        <is>
          <t>M</t>
        </is>
      </c>
      <c r="K5802" t="n">
        <v>2026</v>
      </c>
      <c r="L5802" t="n">
        <v>6</v>
      </c>
      <c r="M5802" t="inlineStr">
        <is>
          <t>Todos</t>
        </is>
      </c>
      <c r="N5802" t="inlineStr">
        <is>
          <t>Instituição de Ensino</t>
        </is>
      </c>
      <c r="O5802" t="n">
        <v>1</v>
      </c>
      <c r="P5802" t="n">
        <v>2</v>
      </c>
      <c r="Q5802" t="n">
        <v>0</v>
      </c>
    </row>
    <row r="5803">
      <c r="J5803" t="inlineStr">
        <is>
          <t>A</t>
        </is>
      </c>
      <c r="K5803" t="n">
        <v>2026</v>
      </c>
      <c r="L5803" t="n">
        <v>7</v>
      </c>
      <c r="M5803" t="inlineStr">
        <is>
          <t>Todos</t>
        </is>
      </c>
      <c r="N5803" t="inlineStr">
        <is>
          <t>Instituição de Ensino</t>
        </is>
      </c>
      <c r="O5803" t="n">
        <v>1</v>
      </c>
      <c r="P5803" t="n">
        <v>5</v>
      </c>
      <c r="Q5803" t="n">
        <v>1</v>
      </c>
    </row>
    <row r="5804">
      <c r="J5804" t="inlineStr">
        <is>
          <t>M</t>
        </is>
      </c>
      <c r="K5804" t="n">
        <v>2026</v>
      </c>
      <c r="L5804" t="n">
        <v>7</v>
      </c>
      <c r="M5804" t="inlineStr">
        <is>
          <t>Todos</t>
        </is>
      </c>
      <c r="N5804" t="inlineStr">
        <is>
          <t>Instituição de Ensino</t>
        </is>
      </c>
      <c r="O5804" t="n">
        <v>1</v>
      </c>
      <c r="P5804" t="n">
        <v>1</v>
      </c>
      <c r="Q5804" t="n">
        <v>0</v>
      </c>
    </row>
    <row r="5805">
      <c r="J5805" t="inlineStr">
        <is>
          <t>A</t>
        </is>
      </c>
      <c r="K5805" t="n">
        <v>2026</v>
      </c>
      <c r="L5805" t="n">
        <v>8</v>
      </c>
      <c r="M5805" t="inlineStr">
        <is>
          <t>Todos</t>
        </is>
      </c>
      <c r="N5805" t="inlineStr">
        <is>
          <t>Instituição de Ensino</t>
        </is>
      </c>
      <c r="O5805" t="n">
        <v>1</v>
      </c>
      <c r="P5805" t="n">
        <v>5</v>
      </c>
      <c r="Q5805" t="n">
        <v>1</v>
      </c>
    </row>
    <row r="5806">
      <c r="J5806" t="inlineStr">
        <is>
          <t>A</t>
        </is>
      </c>
      <c r="K5806" t="n">
        <v>2026</v>
      </c>
      <c r="L5806" t="n">
        <v>9</v>
      </c>
      <c r="M5806" t="inlineStr">
        <is>
          <t>Todos</t>
        </is>
      </c>
      <c r="N5806" t="inlineStr">
        <is>
          <t>Instituição de Ensino</t>
        </is>
      </c>
      <c r="O5806" t="n">
        <v>1</v>
      </c>
      <c r="P5806" t="n">
        <v>5</v>
      </c>
      <c r="Q5806" t="n">
        <v>1</v>
      </c>
    </row>
    <row r="5807">
      <c r="J5807" t="inlineStr">
        <is>
          <t>A</t>
        </is>
      </c>
      <c r="K5807" t="n">
        <v>2026</v>
      </c>
      <c r="L5807" t="n">
        <v>10</v>
      </c>
      <c r="M5807" t="inlineStr">
        <is>
          <t>Todos</t>
        </is>
      </c>
      <c r="N5807" t="inlineStr">
        <is>
          <t>Instituição de Ensino</t>
        </is>
      </c>
      <c r="O5807" t="n">
        <v>1</v>
      </c>
      <c r="P5807" t="n">
        <v>5</v>
      </c>
      <c r="Q5807" t="n">
        <v>1</v>
      </c>
    </row>
    <row r="5808">
      <c r="J5808" t="inlineStr">
        <is>
          <t>A</t>
        </is>
      </c>
      <c r="K5808" t="n">
        <v>2026</v>
      </c>
      <c r="L5808" t="n">
        <v>11</v>
      </c>
      <c r="M5808" t="inlineStr">
        <is>
          <t>Todos</t>
        </is>
      </c>
      <c r="N5808" t="inlineStr">
        <is>
          <t>Instituição de Ensino</t>
        </is>
      </c>
      <c r="O5808" t="n">
        <v>1</v>
      </c>
      <c r="P5808" t="n">
        <v>5</v>
      </c>
      <c r="Q5808" t="n">
        <v>1</v>
      </c>
    </row>
    <row r="5809">
      <c r="J5809" t="inlineStr">
        <is>
          <t>A</t>
        </is>
      </c>
      <c r="K5809" t="n">
        <v>2026</v>
      </c>
      <c r="L5809" t="n">
        <v>12</v>
      </c>
      <c r="M5809" t="inlineStr">
        <is>
          <t>Todos</t>
        </is>
      </c>
      <c r="N5809" t="inlineStr">
        <is>
          <t>Instituição de Ensino</t>
        </is>
      </c>
      <c r="O5809" t="n">
        <v>1</v>
      </c>
      <c r="P5809" t="n">
        <v>5</v>
      </c>
      <c r="Q5809" t="n">
        <v>1</v>
      </c>
    </row>
    <row r="5810">
      <c r="J5810" t="inlineStr">
        <is>
          <t>A</t>
        </is>
      </c>
      <c r="K5810" t="n">
        <v>2026</v>
      </c>
      <c r="L5810" t="n">
        <v>7</v>
      </c>
      <c r="M5810" t="inlineStr">
        <is>
          <t>Todos</t>
        </is>
      </c>
      <c r="N5810" t="inlineStr">
        <is>
          <t>Colaborador</t>
        </is>
      </c>
      <c r="O5810" t="n">
        <v>1</v>
      </c>
      <c r="P5810" t="n">
        <v>1</v>
      </c>
      <c r="Q5810" t="n">
        <v>1</v>
      </c>
    </row>
    <row r="5811">
      <c r="J5811" t="inlineStr">
        <is>
          <t>M</t>
        </is>
      </c>
      <c r="K5811" t="n">
        <v>2026</v>
      </c>
      <c r="L5811" t="n">
        <v>7</v>
      </c>
      <c r="M5811" t="inlineStr">
        <is>
          <t>Todos</t>
        </is>
      </c>
      <c r="N5811" t="inlineStr">
        <is>
          <t>Colaborador</t>
        </is>
      </c>
      <c r="O5811" t="n">
        <v>1</v>
      </c>
      <c r="P5811" t="n">
        <v>1</v>
      </c>
      <c r="Q5811" t="n">
        <v>0</v>
      </c>
    </row>
    <row r="5812">
      <c r="J5812" t="inlineStr">
        <is>
          <t>A</t>
        </is>
      </c>
      <c r="K5812" t="n">
        <v>2026</v>
      </c>
      <c r="L5812" t="n">
        <v>8</v>
      </c>
      <c r="M5812" t="inlineStr">
        <is>
          <t>Todos</t>
        </is>
      </c>
      <c r="N5812" t="inlineStr">
        <is>
          <t>Colaborador</t>
        </is>
      </c>
      <c r="O5812" t="n">
        <v>1</v>
      </c>
      <c r="P5812" t="n">
        <v>1</v>
      </c>
      <c r="Q5812" t="n">
        <v>1</v>
      </c>
    </row>
    <row r="5813">
      <c r="J5813" t="inlineStr">
        <is>
          <t>A</t>
        </is>
      </c>
      <c r="K5813" t="n">
        <v>2026</v>
      </c>
      <c r="L5813" t="n">
        <v>9</v>
      </c>
      <c r="M5813" t="inlineStr">
        <is>
          <t>Todos</t>
        </is>
      </c>
      <c r="N5813" t="inlineStr">
        <is>
          <t>Colaborador</t>
        </is>
      </c>
      <c r="O5813" t="n">
        <v>1</v>
      </c>
      <c r="P5813" t="n">
        <v>1</v>
      </c>
      <c r="Q5813" t="n">
        <v>1</v>
      </c>
    </row>
    <row r="5814">
      <c r="J5814" t="inlineStr">
        <is>
          <t>A</t>
        </is>
      </c>
      <c r="K5814" t="n">
        <v>2026</v>
      </c>
      <c r="L5814" t="n">
        <v>10</v>
      </c>
      <c r="M5814" t="inlineStr">
        <is>
          <t>Todos</t>
        </is>
      </c>
      <c r="N5814" t="inlineStr">
        <is>
          <t>Colaborador</t>
        </is>
      </c>
      <c r="O5814" t="n">
        <v>1</v>
      </c>
      <c r="P5814" t="n">
        <v>1</v>
      </c>
      <c r="Q5814" t="n">
        <v>1</v>
      </c>
    </row>
    <row r="5815">
      <c r="J5815" t="inlineStr">
        <is>
          <t>A</t>
        </is>
      </c>
      <c r="K5815" t="n">
        <v>2026</v>
      </c>
      <c r="L5815" t="n">
        <v>11</v>
      </c>
      <c r="M5815" t="inlineStr">
        <is>
          <t>Todos</t>
        </is>
      </c>
      <c r="N5815" t="inlineStr">
        <is>
          <t>Colaborador</t>
        </is>
      </c>
      <c r="O5815" t="n">
        <v>1</v>
      </c>
      <c r="P5815" t="n">
        <v>1</v>
      </c>
      <c r="Q5815" t="n">
        <v>1</v>
      </c>
    </row>
    <row r="5816">
      <c r="J5816" t="inlineStr">
        <is>
          <t>A</t>
        </is>
      </c>
      <c r="K5816" t="n">
        <v>2026</v>
      </c>
      <c r="L5816" t="n">
        <v>12</v>
      </c>
      <c r="M5816" t="inlineStr">
        <is>
          <t>Todos</t>
        </is>
      </c>
      <c r="N5816" t="inlineStr">
        <is>
          <t>Colaborador</t>
        </is>
      </c>
      <c r="O5816" t="n">
        <v>1</v>
      </c>
      <c r="P5816" t="n">
        <v>1</v>
      </c>
      <c r="Q5816" t="n">
        <v>1</v>
      </c>
    </row>
    <row r="5817">
      <c r="J5817" t="inlineStr">
        <is>
          <t>A</t>
        </is>
      </c>
      <c r="K5817" t="n">
        <v>2026</v>
      </c>
      <c r="L5817" t="n">
        <v>5</v>
      </c>
      <c r="M5817" t="inlineStr">
        <is>
          <t>Todos</t>
        </is>
      </c>
      <c r="N5817" t="inlineStr">
        <is>
          <t>Instituição Religiosa</t>
        </is>
      </c>
      <c r="O5817" t="n">
        <v>1</v>
      </c>
      <c r="P5817" t="n">
        <v>1</v>
      </c>
      <c r="Q5817" t="n">
        <v>1</v>
      </c>
    </row>
    <row r="5818">
      <c r="J5818" t="inlineStr">
        <is>
          <t>M</t>
        </is>
      </c>
      <c r="K5818" t="n">
        <v>2026</v>
      </c>
      <c r="L5818" t="n">
        <v>5</v>
      </c>
      <c r="M5818" t="inlineStr">
        <is>
          <t>Todos</t>
        </is>
      </c>
      <c r="N5818" t="inlineStr">
        <is>
          <t>Instituição Religiosa</t>
        </is>
      </c>
      <c r="O5818" t="n">
        <v>1</v>
      </c>
      <c r="P5818" t="n">
        <v>1</v>
      </c>
      <c r="Q5818" t="n">
        <v>0</v>
      </c>
    </row>
    <row r="5819">
      <c r="J5819" t="inlineStr">
        <is>
          <t>A</t>
        </is>
      </c>
      <c r="K5819" t="n">
        <v>2026</v>
      </c>
      <c r="L5819" t="n">
        <v>6</v>
      </c>
      <c r="M5819" t="inlineStr">
        <is>
          <t>Todos</t>
        </is>
      </c>
      <c r="N5819" t="inlineStr">
        <is>
          <t>Instituição Religiosa</t>
        </is>
      </c>
      <c r="O5819" t="n">
        <v>1</v>
      </c>
      <c r="P5819" t="n">
        <v>1</v>
      </c>
      <c r="Q5819" t="n">
        <v>1</v>
      </c>
    </row>
    <row r="5820">
      <c r="J5820" t="inlineStr">
        <is>
          <t>A</t>
        </is>
      </c>
      <c r="K5820" t="n">
        <v>2026</v>
      </c>
      <c r="L5820" t="n">
        <v>7</v>
      </c>
      <c r="M5820" t="inlineStr">
        <is>
          <t>Todos</t>
        </is>
      </c>
      <c r="N5820" t="inlineStr">
        <is>
          <t>Instituição Religiosa</t>
        </is>
      </c>
      <c r="O5820" t="n">
        <v>1</v>
      </c>
      <c r="P5820" t="n">
        <v>1</v>
      </c>
      <c r="Q5820" t="n">
        <v>1</v>
      </c>
    </row>
    <row r="5821">
      <c r="J5821" t="inlineStr">
        <is>
          <t>A</t>
        </is>
      </c>
      <c r="K5821" t="n">
        <v>2026</v>
      </c>
      <c r="L5821" t="n">
        <v>8</v>
      </c>
      <c r="M5821" t="inlineStr">
        <is>
          <t>Todos</t>
        </is>
      </c>
      <c r="N5821" t="inlineStr">
        <is>
          <t>Instituição Religiosa</t>
        </is>
      </c>
      <c r="O5821" t="n">
        <v>1</v>
      </c>
      <c r="P5821" t="n">
        <v>1</v>
      </c>
      <c r="Q5821" t="n">
        <v>1</v>
      </c>
    </row>
    <row r="5822">
      <c r="J5822" t="inlineStr">
        <is>
          <t>A</t>
        </is>
      </c>
      <c r="K5822" t="n">
        <v>2026</v>
      </c>
      <c r="L5822" t="n">
        <v>9</v>
      </c>
      <c r="M5822" t="inlineStr">
        <is>
          <t>Todos</t>
        </is>
      </c>
      <c r="N5822" t="inlineStr">
        <is>
          <t>Instituição Religiosa</t>
        </is>
      </c>
      <c r="O5822" t="n">
        <v>1</v>
      </c>
      <c r="P5822" t="n">
        <v>1</v>
      </c>
      <c r="Q5822" t="n">
        <v>1</v>
      </c>
    </row>
    <row r="5823">
      <c r="J5823" t="inlineStr">
        <is>
          <t>A</t>
        </is>
      </c>
      <c r="K5823" t="n">
        <v>2026</v>
      </c>
      <c r="L5823" t="n">
        <v>10</v>
      </c>
      <c r="M5823" t="inlineStr">
        <is>
          <t>Todos</t>
        </is>
      </c>
      <c r="N5823" t="inlineStr">
        <is>
          <t>Instituição Religiosa</t>
        </is>
      </c>
      <c r="O5823" t="n">
        <v>1</v>
      </c>
      <c r="P5823" t="n">
        <v>1</v>
      </c>
      <c r="Q5823" t="n">
        <v>1</v>
      </c>
    </row>
    <row r="5824">
      <c r="J5824" t="inlineStr">
        <is>
          <t>A</t>
        </is>
      </c>
      <c r="K5824" t="n">
        <v>2026</v>
      </c>
      <c r="L5824" t="n">
        <v>11</v>
      </c>
      <c r="M5824" t="inlineStr">
        <is>
          <t>Todos</t>
        </is>
      </c>
      <c r="N5824" t="inlineStr">
        <is>
          <t>Instituição Religiosa</t>
        </is>
      </c>
      <c r="O5824" t="n">
        <v>1</v>
      </c>
      <c r="P5824" t="n">
        <v>1</v>
      </c>
      <c r="Q5824" t="n">
        <v>1</v>
      </c>
    </row>
    <row r="5825">
      <c r="J5825" t="inlineStr">
        <is>
          <t>A</t>
        </is>
      </c>
      <c r="K5825" t="n">
        <v>2026</v>
      </c>
      <c r="L5825" t="n">
        <v>12</v>
      </c>
      <c r="M5825" t="inlineStr">
        <is>
          <t>Todos</t>
        </is>
      </c>
      <c r="N5825" t="inlineStr">
        <is>
          <t>Instituição Religiosa</t>
        </is>
      </c>
      <c r="O5825" t="n">
        <v>1</v>
      </c>
      <c r="P5825" t="n">
        <v>1</v>
      </c>
      <c r="Q5825" t="n">
        <v>1</v>
      </c>
    </row>
    <row r="5826">
      <c r="J5826" t="inlineStr">
        <is>
          <t>A</t>
        </is>
      </c>
      <c r="K5826" t="n">
        <v>2026</v>
      </c>
      <c r="L5826" t="n">
        <v>7</v>
      </c>
      <c r="M5826" t="inlineStr">
        <is>
          <t>Todos</t>
        </is>
      </c>
      <c r="N5826" t="inlineStr">
        <is>
          <t>Orgão Público</t>
        </is>
      </c>
      <c r="O5826" t="n">
        <v>1</v>
      </c>
      <c r="P5826" t="n">
        <v>1</v>
      </c>
      <c r="Q5826" t="n">
        <v>0</v>
      </c>
    </row>
    <row r="5827">
      <c r="J5827" t="inlineStr">
        <is>
          <t>M</t>
        </is>
      </c>
      <c r="K5827" t="n">
        <v>2026</v>
      </c>
      <c r="L5827" t="n">
        <v>7</v>
      </c>
      <c r="M5827" t="inlineStr">
        <is>
          <t>Todos</t>
        </is>
      </c>
      <c r="N5827" t="inlineStr">
        <is>
          <t>Orgão Público</t>
        </is>
      </c>
      <c r="O5827" t="n">
        <v>1</v>
      </c>
      <c r="P5827" t="n">
        <v>1</v>
      </c>
      <c r="Q5827" t="n">
        <v>0</v>
      </c>
    </row>
    <row r="5828">
      <c r="J5828" t="inlineStr">
        <is>
          <t>A</t>
        </is>
      </c>
      <c r="K5828" t="n">
        <v>2026</v>
      </c>
      <c r="L5828" t="n">
        <v>8</v>
      </c>
      <c r="M5828" t="inlineStr">
        <is>
          <t>Todos</t>
        </is>
      </c>
      <c r="N5828" t="inlineStr">
        <is>
          <t>Orgão Público</t>
        </is>
      </c>
      <c r="O5828" t="n">
        <v>1</v>
      </c>
      <c r="P5828" t="n">
        <v>1</v>
      </c>
      <c r="Q5828" t="n">
        <v>0</v>
      </c>
    </row>
    <row r="5829">
      <c r="J5829" t="inlineStr">
        <is>
          <t>A</t>
        </is>
      </c>
      <c r="K5829" t="n">
        <v>2026</v>
      </c>
      <c r="L5829" t="n">
        <v>9</v>
      </c>
      <c r="M5829" t="inlineStr">
        <is>
          <t>Todos</t>
        </is>
      </c>
      <c r="N5829" t="inlineStr">
        <is>
          <t>Orgão Público</t>
        </is>
      </c>
      <c r="O5829" t="n">
        <v>1</v>
      </c>
      <c r="P5829" t="n">
        <v>1</v>
      </c>
      <c r="Q5829" t="n">
        <v>0</v>
      </c>
    </row>
    <row r="5830">
      <c r="J5830" t="inlineStr">
        <is>
          <t>A</t>
        </is>
      </c>
      <c r="K5830" t="n">
        <v>2026</v>
      </c>
      <c r="L5830" t="n">
        <v>10</v>
      </c>
      <c r="M5830" t="inlineStr">
        <is>
          <t>Todos</t>
        </is>
      </c>
      <c r="N5830" t="inlineStr">
        <is>
          <t>Orgão Público</t>
        </is>
      </c>
      <c r="O5830" t="n">
        <v>1</v>
      </c>
      <c r="P5830" t="n">
        <v>1</v>
      </c>
      <c r="Q5830" t="n">
        <v>0</v>
      </c>
    </row>
    <row r="5831">
      <c r="J5831" t="inlineStr">
        <is>
          <t>A</t>
        </is>
      </c>
      <c r="K5831" t="n">
        <v>2026</v>
      </c>
      <c r="L5831" t="n">
        <v>11</v>
      </c>
      <c r="M5831" t="inlineStr">
        <is>
          <t>Todos</t>
        </is>
      </c>
      <c r="N5831" t="inlineStr">
        <is>
          <t>Orgão Público</t>
        </is>
      </c>
      <c r="O5831" t="n">
        <v>1</v>
      </c>
      <c r="P5831" t="n">
        <v>1</v>
      </c>
      <c r="Q5831" t="n">
        <v>0</v>
      </c>
    </row>
    <row r="5832">
      <c r="J5832" t="inlineStr">
        <is>
          <t>A</t>
        </is>
      </c>
      <c r="K5832" t="n">
        <v>2026</v>
      </c>
      <c r="L5832" t="n">
        <v>12</v>
      </c>
      <c r="M5832" t="inlineStr">
        <is>
          <t>Todos</t>
        </is>
      </c>
      <c r="N5832" t="inlineStr">
        <is>
          <t>Orgão Público</t>
        </is>
      </c>
      <c r="O5832" t="n">
        <v>1</v>
      </c>
      <c r="P5832" t="n">
        <v>1</v>
      </c>
      <c r="Q5832" t="n">
        <v>0</v>
      </c>
    </row>
    <row r="5833">
      <c r="J5833" t="inlineStr">
        <is>
          <t>A</t>
        </is>
      </c>
      <c r="K5833" t="n">
        <v>2026</v>
      </c>
      <c r="L5833" t="n">
        <v>4</v>
      </c>
      <c r="M5833" t="inlineStr">
        <is>
          <t>Todos</t>
        </is>
      </c>
      <c r="N5833" t="inlineStr">
        <is>
          <t>Açougue</t>
        </is>
      </c>
      <c r="O5833" t="n">
        <v>1</v>
      </c>
      <c r="P5833" t="n">
        <v>1</v>
      </c>
      <c r="Q5833" t="n">
        <v>1</v>
      </c>
    </row>
    <row r="5834">
      <c r="J5834" t="inlineStr">
        <is>
          <t>M</t>
        </is>
      </c>
      <c r="K5834" t="n">
        <v>2026</v>
      </c>
      <c r="L5834" t="n">
        <v>4</v>
      </c>
      <c r="M5834" t="inlineStr">
        <is>
          <t>Todos</t>
        </is>
      </c>
      <c r="N5834" t="inlineStr">
        <is>
          <t>Açougue</t>
        </is>
      </c>
      <c r="O5834" t="n">
        <v>1</v>
      </c>
      <c r="P5834" t="n">
        <v>1</v>
      </c>
      <c r="Q5834" t="n">
        <v>0</v>
      </c>
    </row>
    <row r="5835">
      <c r="J5835" t="inlineStr">
        <is>
          <t>A</t>
        </is>
      </c>
      <c r="K5835" t="n">
        <v>2026</v>
      </c>
      <c r="L5835" t="n">
        <v>5</v>
      </c>
      <c r="M5835" t="inlineStr">
        <is>
          <t>Todos</t>
        </is>
      </c>
      <c r="N5835" t="inlineStr">
        <is>
          <t>Açougue</t>
        </is>
      </c>
      <c r="O5835" t="n">
        <v>1</v>
      </c>
      <c r="P5835" t="n">
        <v>1</v>
      </c>
      <c r="Q5835" t="n">
        <v>1</v>
      </c>
    </row>
    <row r="5836">
      <c r="J5836" t="inlineStr">
        <is>
          <t>A</t>
        </is>
      </c>
      <c r="K5836" t="n">
        <v>2026</v>
      </c>
      <c r="L5836" t="n">
        <v>6</v>
      </c>
      <c r="M5836" t="inlineStr">
        <is>
          <t>Todos</t>
        </is>
      </c>
      <c r="N5836" t="inlineStr">
        <is>
          <t>Açougue</t>
        </is>
      </c>
      <c r="O5836" t="n">
        <v>1</v>
      </c>
      <c r="P5836" t="n">
        <v>2</v>
      </c>
      <c r="Q5836" t="n">
        <v>1</v>
      </c>
    </row>
    <row r="5837">
      <c r="J5837" t="inlineStr">
        <is>
          <t>M</t>
        </is>
      </c>
      <c r="K5837" t="n">
        <v>2026</v>
      </c>
      <c r="L5837" t="n">
        <v>6</v>
      </c>
      <c r="M5837" t="inlineStr">
        <is>
          <t>Todos</t>
        </is>
      </c>
      <c r="N5837" t="inlineStr">
        <is>
          <t>Açougue</t>
        </is>
      </c>
      <c r="O5837" t="n">
        <v>1</v>
      </c>
      <c r="P5837" t="n">
        <v>1</v>
      </c>
      <c r="Q5837" t="n">
        <v>0</v>
      </c>
    </row>
    <row r="5838">
      <c r="J5838" t="inlineStr">
        <is>
          <t>A</t>
        </is>
      </c>
      <c r="K5838" t="n">
        <v>2026</v>
      </c>
      <c r="L5838" t="n">
        <v>7</v>
      </c>
      <c r="M5838" t="inlineStr">
        <is>
          <t>Todos</t>
        </is>
      </c>
      <c r="N5838" t="inlineStr">
        <is>
          <t>Açougue</t>
        </is>
      </c>
      <c r="O5838" t="n">
        <v>1</v>
      </c>
      <c r="P5838" t="n">
        <v>2</v>
      </c>
      <c r="Q5838" t="n">
        <v>1</v>
      </c>
    </row>
    <row r="5839">
      <c r="J5839" t="inlineStr">
        <is>
          <t>A</t>
        </is>
      </c>
      <c r="K5839" t="n">
        <v>2026</v>
      </c>
      <c r="L5839" t="n">
        <v>8</v>
      </c>
      <c r="M5839" t="inlineStr">
        <is>
          <t>Todos</t>
        </is>
      </c>
      <c r="N5839" t="inlineStr">
        <is>
          <t>Açougue</t>
        </is>
      </c>
      <c r="O5839" t="n">
        <v>1</v>
      </c>
      <c r="P5839" t="n">
        <v>2</v>
      </c>
      <c r="Q5839" t="n">
        <v>1</v>
      </c>
    </row>
    <row r="5840">
      <c r="J5840" t="inlineStr">
        <is>
          <t>A</t>
        </is>
      </c>
      <c r="K5840" t="n">
        <v>2026</v>
      </c>
      <c r="L5840" t="n">
        <v>9</v>
      </c>
      <c r="M5840" t="inlineStr">
        <is>
          <t>Todos</t>
        </is>
      </c>
      <c r="N5840" t="inlineStr">
        <is>
          <t>Açougue</t>
        </is>
      </c>
      <c r="O5840" t="n">
        <v>1</v>
      </c>
      <c r="P5840" t="n">
        <v>2</v>
      </c>
      <c r="Q5840" t="n">
        <v>1</v>
      </c>
    </row>
    <row r="5841">
      <c r="J5841" t="inlineStr">
        <is>
          <t>A</t>
        </is>
      </c>
      <c r="K5841" t="n">
        <v>2026</v>
      </c>
      <c r="L5841" t="n">
        <v>10</v>
      </c>
      <c r="M5841" t="inlineStr">
        <is>
          <t>Todos</t>
        </is>
      </c>
      <c r="N5841" t="inlineStr">
        <is>
          <t>Açougue</t>
        </is>
      </c>
      <c r="O5841" t="n">
        <v>1</v>
      </c>
      <c r="P5841" t="n">
        <v>2</v>
      </c>
      <c r="Q5841" t="n">
        <v>1</v>
      </c>
    </row>
    <row r="5842">
      <c r="J5842" t="inlineStr">
        <is>
          <t>A</t>
        </is>
      </c>
      <c r="K5842" t="n">
        <v>2026</v>
      </c>
      <c r="L5842" t="n">
        <v>11</v>
      </c>
      <c r="M5842" t="inlineStr">
        <is>
          <t>Todos</t>
        </is>
      </c>
      <c r="N5842" t="inlineStr">
        <is>
          <t>Açougue</t>
        </is>
      </c>
      <c r="O5842" t="n">
        <v>1</v>
      </c>
      <c r="P5842" t="n">
        <v>2</v>
      </c>
      <c r="Q5842" t="n">
        <v>1</v>
      </c>
    </row>
    <row r="5843">
      <c r="J5843" t="inlineStr">
        <is>
          <t>A</t>
        </is>
      </c>
      <c r="K5843" t="n">
        <v>2026</v>
      </c>
      <c r="L5843" t="n">
        <v>12</v>
      </c>
      <c r="M5843" t="inlineStr">
        <is>
          <t>Todos</t>
        </is>
      </c>
      <c r="N5843" t="inlineStr">
        <is>
          <t>Açougue</t>
        </is>
      </c>
      <c r="O5843" t="n">
        <v>1</v>
      </c>
      <c r="P5843" t="n">
        <v>2</v>
      </c>
      <c r="Q5843" t="n">
        <v>1</v>
      </c>
    </row>
    <row r="5844">
      <c r="J5844" t="inlineStr">
        <is>
          <t>A</t>
        </is>
      </c>
      <c r="K5844" t="n">
        <v>2026</v>
      </c>
      <c r="L5844" t="n">
        <v>1</v>
      </c>
      <c r="M5844" t="inlineStr">
        <is>
          <t>Muçarela Mozzana 2 kg</t>
        </is>
      </c>
      <c r="N5844" t="inlineStr">
        <is>
          <t>Todos</t>
        </is>
      </c>
      <c r="O5844" t="n">
        <v>87</v>
      </c>
      <c r="P5844" t="n">
        <v>204</v>
      </c>
      <c r="Q5844" t="n">
        <v>5</v>
      </c>
    </row>
    <row r="5845">
      <c r="J5845" t="inlineStr">
        <is>
          <t>M</t>
        </is>
      </c>
      <c r="K5845" t="n">
        <v>2026</v>
      </c>
      <c r="L5845" t="n">
        <v>1</v>
      </c>
      <c r="M5845" t="inlineStr">
        <is>
          <t>Muçarela Mozzana 2 kg</t>
        </is>
      </c>
      <c r="N5845" t="inlineStr">
        <is>
          <t>Todos</t>
        </is>
      </c>
      <c r="O5845" t="n">
        <v>87</v>
      </c>
      <c r="P5845" t="n">
        <v>204</v>
      </c>
      <c r="Q5845" t="n">
        <v>0</v>
      </c>
    </row>
    <row r="5846">
      <c r="J5846" t="inlineStr">
        <is>
          <t>A</t>
        </is>
      </c>
      <c r="K5846" t="n">
        <v>2026</v>
      </c>
      <c r="L5846" t="n">
        <v>2</v>
      </c>
      <c r="M5846" t="inlineStr">
        <is>
          <t>Muçarela Mozzana 2 kg</t>
        </is>
      </c>
      <c r="N5846" t="inlineStr">
        <is>
          <t>Todos</t>
        </is>
      </c>
      <c r="O5846" t="n">
        <v>105</v>
      </c>
      <c r="P5846" t="n">
        <v>434</v>
      </c>
      <c r="Q5846" t="n">
        <v>14</v>
      </c>
    </row>
    <row r="5847">
      <c r="J5847" t="inlineStr">
        <is>
          <t>M</t>
        </is>
      </c>
      <c r="K5847" t="n">
        <v>2026</v>
      </c>
      <c r="L5847" t="n">
        <v>2</v>
      </c>
      <c r="M5847" t="inlineStr">
        <is>
          <t>Muçarela Mozzana 2 kg</t>
        </is>
      </c>
      <c r="N5847" t="inlineStr">
        <is>
          <t>Todos</t>
        </is>
      </c>
      <c r="O5847" t="n">
        <v>83</v>
      </c>
      <c r="P5847" t="n">
        <v>230</v>
      </c>
      <c r="Q5847" t="n">
        <v>0</v>
      </c>
    </row>
    <row r="5848">
      <c r="J5848" t="inlineStr">
        <is>
          <t>A</t>
        </is>
      </c>
      <c r="K5848" t="n">
        <v>2026</v>
      </c>
      <c r="L5848" t="n">
        <v>3</v>
      </c>
      <c r="M5848" t="inlineStr">
        <is>
          <t>Muçarela Mozzana 2 kg</t>
        </is>
      </c>
      <c r="N5848" t="inlineStr">
        <is>
          <t>Todos</t>
        </is>
      </c>
      <c r="O5848" t="n">
        <v>144</v>
      </c>
      <c r="P5848" t="n">
        <v>761</v>
      </c>
      <c r="Q5848" t="n">
        <v>45</v>
      </c>
    </row>
    <row r="5849">
      <c r="J5849" t="inlineStr">
        <is>
          <t>M</t>
        </is>
      </c>
      <c r="K5849" t="n">
        <v>2026</v>
      </c>
      <c r="L5849" t="n">
        <v>3</v>
      </c>
      <c r="M5849" t="inlineStr">
        <is>
          <t>Muçarela Mozzana 2 kg</t>
        </is>
      </c>
      <c r="N5849" t="inlineStr">
        <is>
          <t>Todos</t>
        </is>
      </c>
      <c r="O5849" t="n">
        <v>120</v>
      </c>
      <c r="P5849" t="n">
        <v>327</v>
      </c>
      <c r="Q5849" t="n">
        <v>0</v>
      </c>
    </row>
    <row r="5850">
      <c r="J5850" t="inlineStr">
        <is>
          <t>A</t>
        </is>
      </c>
      <c r="K5850" t="n">
        <v>2026</v>
      </c>
      <c r="L5850" t="n">
        <v>4</v>
      </c>
      <c r="M5850" t="inlineStr">
        <is>
          <t>Muçarela Mozzana 2 kg</t>
        </is>
      </c>
      <c r="N5850" t="inlineStr">
        <is>
          <t>Todos</t>
        </is>
      </c>
      <c r="O5850" t="n">
        <v>189</v>
      </c>
      <c r="P5850" t="n">
        <v>1107</v>
      </c>
      <c r="Q5850" t="n">
        <v>78</v>
      </c>
    </row>
    <row r="5851">
      <c r="J5851" t="inlineStr">
        <is>
          <t>M</t>
        </is>
      </c>
      <c r="K5851" t="n">
        <v>2026</v>
      </c>
      <c r="L5851" t="n">
        <v>4</v>
      </c>
      <c r="M5851" t="inlineStr">
        <is>
          <t>Muçarela Mozzana 2 kg</t>
        </is>
      </c>
      <c r="N5851" t="inlineStr">
        <is>
          <t>Todos</t>
        </is>
      </c>
      <c r="O5851" t="n">
        <v>136</v>
      </c>
      <c r="P5851" t="n">
        <v>346</v>
      </c>
      <c r="Q5851" t="n">
        <v>0</v>
      </c>
    </row>
    <row r="5852">
      <c r="J5852" t="inlineStr">
        <is>
          <t>A</t>
        </is>
      </c>
      <c r="K5852" t="n">
        <v>2026</v>
      </c>
      <c r="L5852" t="n">
        <v>5</v>
      </c>
      <c r="M5852" t="inlineStr">
        <is>
          <t>Muçarela Mozzana 2 kg</t>
        </is>
      </c>
      <c r="N5852" t="inlineStr">
        <is>
          <t>Todos</t>
        </is>
      </c>
      <c r="O5852" t="n">
        <v>213</v>
      </c>
      <c r="P5852" t="n">
        <v>1458</v>
      </c>
      <c r="Q5852" t="n">
        <v>97</v>
      </c>
    </row>
    <row r="5853">
      <c r="J5853" t="inlineStr">
        <is>
          <t>M</t>
        </is>
      </c>
      <c r="K5853" t="n">
        <v>2026</v>
      </c>
      <c r="L5853" t="n">
        <v>5</v>
      </c>
      <c r="M5853" t="inlineStr">
        <is>
          <t>Muçarela Mozzana 2 kg</t>
        </is>
      </c>
      <c r="N5853" t="inlineStr">
        <is>
          <t>Todos</t>
        </is>
      </c>
      <c r="O5853" t="n">
        <v>131</v>
      </c>
      <c r="P5853" t="n">
        <v>351</v>
      </c>
      <c r="Q5853" t="n">
        <v>0</v>
      </c>
    </row>
    <row r="5854">
      <c r="J5854" t="inlineStr">
        <is>
          <t>A</t>
        </is>
      </c>
      <c r="K5854" t="n">
        <v>2026</v>
      </c>
      <c r="L5854" t="n">
        <v>6</v>
      </c>
      <c r="M5854" t="inlineStr">
        <is>
          <t>Muçarela Mozzana 2 kg</t>
        </is>
      </c>
      <c r="N5854" t="inlineStr">
        <is>
          <t>Todos</t>
        </is>
      </c>
      <c r="O5854" t="n">
        <v>255</v>
      </c>
      <c r="P5854" t="n">
        <v>1920</v>
      </c>
      <c r="Q5854" t="n">
        <v>134</v>
      </c>
    </row>
    <row r="5855">
      <c r="J5855" t="inlineStr">
        <is>
          <t>M</t>
        </is>
      </c>
      <c r="K5855" t="n">
        <v>2026</v>
      </c>
      <c r="L5855" t="n">
        <v>6</v>
      </c>
      <c r="M5855" t="inlineStr">
        <is>
          <t>Muçarela Mozzana 2 kg</t>
        </is>
      </c>
      <c r="N5855" t="inlineStr">
        <is>
          <t>Todos</t>
        </is>
      </c>
      <c r="O5855" t="n">
        <v>166</v>
      </c>
      <c r="P5855" t="n">
        <v>462</v>
      </c>
      <c r="Q5855" t="n">
        <v>0</v>
      </c>
    </row>
    <row r="5856">
      <c r="J5856" t="inlineStr">
        <is>
          <t>A</t>
        </is>
      </c>
      <c r="K5856" t="n">
        <v>2026</v>
      </c>
      <c r="L5856" t="n">
        <v>7</v>
      </c>
      <c r="M5856" t="inlineStr">
        <is>
          <t>Muçarela Mozzana 2 kg</t>
        </is>
      </c>
      <c r="N5856" t="inlineStr">
        <is>
          <t>Todos</t>
        </is>
      </c>
      <c r="O5856" t="n">
        <v>295</v>
      </c>
      <c r="P5856" t="n">
        <v>2383</v>
      </c>
      <c r="Q5856" t="n">
        <v>172</v>
      </c>
    </row>
    <row r="5857">
      <c r="J5857" t="inlineStr">
        <is>
          <t>M</t>
        </is>
      </c>
      <c r="K5857" t="n">
        <v>2026</v>
      </c>
      <c r="L5857" t="n">
        <v>7</v>
      </c>
      <c r="M5857" t="inlineStr">
        <is>
          <t>Muçarela Mozzana 2 kg</t>
        </is>
      </c>
      <c r="N5857" t="inlineStr">
        <is>
          <t>Todos</t>
        </is>
      </c>
      <c r="O5857" t="n">
        <v>182</v>
      </c>
      <c r="P5857" t="n">
        <v>463</v>
      </c>
      <c r="Q5857" t="n">
        <v>0</v>
      </c>
    </row>
    <row r="5858">
      <c r="J5858" t="inlineStr">
        <is>
          <t>A</t>
        </is>
      </c>
      <c r="K5858" t="n">
        <v>2026</v>
      </c>
      <c r="L5858" t="n">
        <v>8</v>
      </c>
      <c r="M5858" t="inlineStr">
        <is>
          <t>Muçarela Mozzana 2 kg</t>
        </is>
      </c>
      <c r="N5858" t="inlineStr">
        <is>
          <t>Todos</t>
        </is>
      </c>
      <c r="O5858" t="n">
        <v>325</v>
      </c>
      <c r="P5858" t="n">
        <v>2853</v>
      </c>
      <c r="Q5858" t="n">
        <v>201</v>
      </c>
    </row>
    <row r="5859">
      <c r="J5859" t="inlineStr">
        <is>
          <t>M</t>
        </is>
      </c>
      <c r="K5859" t="n">
        <v>2026</v>
      </c>
      <c r="L5859" t="n">
        <v>8</v>
      </c>
      <c r="M5859" t="inlineStr">
        <is>
          <t>Muçarela Mozzana 2 kg</t>
        </is>
      </c>
      <c r="N5859" t="inlineStr">
        <is>
          <t>Todos</t>
        </is>
      </c>
      <c r="O5859" t="n">
        <v>176</v>
      </c>
      <c r="P5859" t="n">
        <v>470</v>
      </c>
      <c r="Q5859" t="n">
        <v>0</v>
      </c>
    </row>
    <row r="5860">
      <c r="J5860" t="inlineStr">
        <is>
          <t>A</t>
        </is>
      </c>
      <c r="K5860" t="n">
        <v>2026</v>
      </c>
      <c r="L5860" t="n">
        <v>9</v>
      </c>
      <c r="M5860" t="inlineStr">
        <is>
          <t>Muçarela Mozzana 2 kg</t>
        </is>
      </c>
      <c r="N5860" t="inlineStr">
        <is>
          <t>Todos</t>
        </is>
      </c>
      <c r="O5860" t="n">
        <v>343</v>
      </c>
      <c r="P5860" t="n">
        <v>3354</v>
      </c>
      <c r="Q5860" t="n">
        <v>215</v>
      </c>
    </row>
    <row r="5861">
      <c r="J5861" t="inlineStr">
        <is>
          <t>M</t>
        </is>
      </c>
      <c r="K5861" t="n">
        <v>2026</v>
      </c>
      <c r="L5861" t="n">
        <v>9</v>
      </c>
      <c r="M5861" t="inlineStr">
        <is>
          <t>Muçarela Mozzana 2 kg</t>
        </is>
      </c>
      <c r="N5861" t="inlineStr">
        <is>
          <t>Todos</t>
        </is>
      </c>
      <c r="O5861" t="n">
        <v>167</v>
      </c>
      <c r="P5861" t="n">
        <v>501</v>
      </c>
      <c r="Q5861" t="n">
        <v>0</v>
      </c>
    </row>
    <row r="5862">
      <c r="J5862" t="inlineStr">
        <is>
          <t>A</t>
        </is>
      </c>
      <c r="K5862" t="n">
        <v>2026</v>
      </c>
      <c r="L5862" t="n">
        <v>10</v>
      </c>
      <c r="M5862" t="inlineStr">
        <is>
          <t>Muçarela Mozzana 2 kg</t>
        </is>
      </c>
      <c r="N5862" t="inlineStr">
        <is>
          <t>Todos</t>
        </is>
      </c>
      <c r="O5862" t="n">
        <v>343</v>
      </c>
      <c r="P5862" t="n">
        <v>3354</v>
      </c>
      <c r="Q5862" t="n">
        <v>215</v>
      </c>
    </row>
    <row r="5863">
      <c r="J5863" t="inlineStr">
        <is>
          <t>A</t>
        </is>
      </c>
      <c r="K5863" t="n">
        <v>2026</v>
      </c>
      <c r="L5863" t="n">
        <v>11</v>
      </c>
      <c r="M5863" t="inlineStr">
        <is>
          <t>Muçarela Mozzana 2 kg</t>
        </is>
      </c>
      <c r="N5863" t="inlineStr">
        <is>
          <t>Todos</t>
        </is>
      </c>
      <c r="O5863" t="n">
        <v>343</v>
      </c>
      <c r="P5863" t="n">
        <v>3354</v>
      </c>
      <c r="Q5863" t="n">
        <v>215</v>
      </c>
    </row>
    <row r="5864">
      <c r="J5864" t="inlineStr">
        <is>
          <t>A</t>
        </is>
      </c>
      <c r="K5864" t="n">
        <v>2026</v>
      </c>
      <c r="L5864" t="n">
        <v>12</v>
      </c>
      <c r="M5864" t="inlineStr">
        <is>
          <t>Muçarela Mozzana 2 kg</t>
        </is>
      </c>
      <c r="N5864" t="inlineStr">
        <is>
          <t>Todos</t>
        </is>
      </c>
      <c r="O5864" t="n">
        <v>343</v>
      </c>
      <c r="P5864" t="n">
        <v>3354</v>
      </c>
      <c r="Q5864" t="n">
        <v>215</v>
      </c>
    </row>
    <row r="5865">
      <c r="J5865" t="inlineStr">
        <is>
          <t>A</t>
        </is>
      </c>
      <c r="K5865" t="n">
        <v>2026</v>
      </c>
      <c r="L5865" t="n">
        <v>1</v>
      </c>
      <c r="M5865" t="inlineStr">
        <is>
          <t>Muçarela Mozzana 2 kg</t>
        </is>
      </c>
      <c r="N5865" t="inlineStr">
        <is>
          <t>Pizzaria</t>
        </is>
      </c>
      <c r="O5865" t="n">
        <v>38</v>
      </c>
      <c r="P5865" t="n">
        <v>90</v>
      </c>
      <c r="Q5865" t="n">
        <v>3</v>
      </c>
    </row>
    <row r="5866">
      <c r="J5866" t="inlineStr">
        <is>
          <t>M</t>
        </is>
      </c>
      <c r="K5866" t="n">
        <v>2026</v>
      </c>
      <c r="L5866" t="n">
        <v>1</v>
      </c>
      <c r="M5866" t="inlineStr">
        <is>
          <t>Muçarela Mozzana 2 kg</t>
        </is>
      </c>
      <c r="N5866" t="inlineStr">
        <is>
          <t>Pizzaria</t>
        </is>
      </c>
      <c r="O5866" t="n">
        <v>38</v>
      </c>
      <c r="P5866" t="n">
        <v>90</v>
      </c>
      <c r="Q5866" t="n">
        <v>0</v>
      </c>
    </row>
    <row r="5867">
      <c r="J5867" t="inlineStr">
        <is>
          <t>A</t>
        </is>
      </c>
      <c r="K5867" t="n">
        <v>2026</v>
      </c>
      <c r="L5867" t="n">
        <v>2</v>
      </c>
      <c r="M5867" t="inlineStr">
        <is>
          <t>Muçarela Mozzana 2 kg</t>
        </is>
      </c>
      <c r="N5867" t="inlineStr">
        <is>
          <t>Pizzaria</t>
        </is>
      </c>
      <c r="O5867" t="n">
        <v>47</v>
      </c>
      <c r="P5867" t="n">
        <v>197</v>
      </c>
      <c r="Q5867" t="n">
        <v>7</v>
      </c>
    </row>
    <row r="5868">
      <c r="J5868" t="inlineStr">
        <is>
          <t>M</t>
        </is>
      </c>
      <c r="K5868" t="n">
        <v>2026</v>
      </c>
      <c r="L5868" t="n">
        <v>2</v>
      </c>
      <c r="M5868" t="inlineStr">
        <is>
          <t>Muçarela Mozzana 2 kg</t>
        </is>
      </c>
      <c r="N5868" t="inlineStr">
        <is>
          <t>Pizzaria</t>
        </is>
      </c>
      <c r="O5868" t="n">
        <v>38</v>
      </c>
      <c r="P5868" t="n">
        <v>107</v>
      </c>
      <c r="Q5868" t="n">
        <v>0</v>
      </c>
    </row>
    <row r="5869">
      <c r="J5869" t="inlineStr">
        <is>
          <t>A</t>
        </is>
      </c>
      <c r="K5869" t="n">
        <v>2026</v>
      </c>
      <c r="L5869" t="n">
        <v>3</v>
      </c>
      <c r="M5869" t="inlineStr">
        <is>
          <t>Muçarela Mozzana 2 kg</t>
        </is>
      </c>
      <c r="N5869" t="inlineStr">
        <is>
          <t>Pizzaria</t>
        </is>
      </c>
      <c r="O5869" t="n">
        <v>69</v>
      </c>
      <c r="P5869" t="n">
        <v>361</v>
      </c>
      <c r="Q5869" t="n">
        <v>26</v>
      </c>
    </row>
    <row r="5870">
      <c r="J5870" t="inlineStr">
        <is>
          <t>M</t>
        </is>
      </c>
      <c r="K5870" t="n">
        <v>2026</v>
      </c>
      <c r="L5870" t="n">
        <v>3</v>
      </c>
      <c r="M5870" t="inlineStr">
        <is>
          <t>Muçarela Mozzana 2 kg</t>
        </is>
      </c>
      <c r="N5870" t="inlineStr">
        <is>
          <t>Pizzaria</t>
        </is>
      </c>
      <c r="O5870" t="n">
        <v>60</v>
      </c>
      <c r="P5870" t="n">
        <v>164</v>
      </c>
      <c r="Q5870" t="n">
        <v>0</v>
      </c>
    </row>
    <row r="5871">
      <c r="J5871" t="inlineStr">
        <is>
          <t>A</t>
        </is>
      </c>
      <c r="K5871" t="n">
        <v>2026</v>
      </c>
      <c r="L5871" t="n">
        <v>4</v>
      </c>
      <c r="M5871" t="inlineStr">
        <is>
          <t>Muçarela Mozzana 2 kg</t>
        </is>
      </c>
      <c r="N5871" t="inlineStr">
        <is>
          <t>Pizzaria</t>
        </is>
      </c>
      <c r="O5871" t="n">
        <v>92</v>
      </c>
      <c r="P5871" t="n">
        <v>551</v>
      </c>
      <c r="Q5871" t="n">
        <v>41</v>
      </c>
    </row>
    <row r="5872">
      <c r="J5872" t="inlineStr">
        <is>
          <t>M</t>
        </is>
      </c>
      <c r="K5872" t="n">
        <v>2026</v>
      </c>
      <c r="L5872" t="n">
        <v>4</v>
      </c>
      <c r="M5872" t="inlineStr">
        <is>
          <t>Muçarela Mozzana 2 kg</t>
        </is>
      </c>
      <c r="N5872" t="inlineStr">
        <is>
          <t>Pizzaria</t>
        </is>
      </c>
      <c r="O5872" t="n">
        <v>68</v>
      </c>
      <c r="P5872" t="n">
        <v>190</v>
      </c>
      <c r="Q5872" t="n">
        <v>0</v>
      </c>
    </row>
    <row r="5873">
      <c r="J5873" t="inlineStr">
        <is>
          <t>A</t>
        </is>
      </c>
      <c r="K5873" t="n">
        <v>2026</v>
      </c>
      <c r="L5873" t="n">
        <v>5</v>
      </c>
      <c r="M5873" t="inlineStr">
        <is>
          <t>Muçarela Mozzana 2 kg</t>
        </is>
      </c>
      <c r="N5873" t="inlineStr">
        <is>
          <t>Pizzaria</t>
        </is>
      </c>
      <c r="O5873" t="n">
        <v>105</v>
      </c>
      <c r="P5873" t="n">
        <v>735</v>
      </c>
      <c r="Q5873" t="n">
        <v>53</v>
      </c>
    </row>
    <row r="5874">
      <c r="J5874" t="inlineStr">
        <is>
          <t>M</t>
        </is>
      </c>
      <c r="K5874" t="n">
        <v>2026</v>
      </c>
      <c r="L5874" t="n">
        <v>5</v>
      </c>
      <c r="M5874" t="inlineStr">
        <is>
          <t>Muçarela Mozzana 2 kg</t>
        </is>
      </c>
      <c r="N5874" t="inlineStr">
        <is>
          <t>Pizzaria</t>
        </is>
      </c>
      <c r="O5874" t="n">
        <v>65</v>
      </c>
      <c r="P5874" t="n">
        <v>184</v>
      </c>
      <c r="Q5874" t="n">
        <v>0</v>
      </c>
    </row>
    <row r="5875">
      <c r="J5875" t="inlineStr">
        <is>
          <t>A</t>
        </is>
      </c>
      <c r="K5875" t="n">
        <v>2026</v>
      </c>
      <c r="L5875" t="n">
        <v>6</v>
      </c>
      <c r="M5875" t="inlineStr">
        <is>
          <t>Muçarela Mozzana 2 kg</t>
        </is>
      </c>
      <c r="N5875" t="inlineStr">
        <is>
          <t>Pizzaria</t>
        </is>
      </c>
      <c r="O5875" t="n">
        <v>125</v>
      </c>
      <c r="P5875" t="n">
        <v>980</v>
      </c>
      <c r="Q5875" t="n">
        <v>72</v>
      </c>
    </row>
    <row r="5876">
      <c r="J5876" t="inlineStr">
        <is>
          <t>M</t>
        </is>
      </c>
      <c r="K5876" t="n">
        <v>2026</v>
      </c>
      <c r="L5876" t="n">
        <v>6</v>
      </c>
      <c r="M5876" t="inlineStr">
        <is>
          <t>Muçarela Mozzana 2 kg</t>
        </is>
      </c>
      <c r="N5876" t="inlineStr">
        <is>
          <t>Pizzaria</t>
        </is>
      </c>
      <c r="O5876" t="n">
        <v>80</v>
      </c>
      <c r="P5876" t="n">
        <v>245</v>
      </c>
      <c r="Q5876" t="n">
        <v>0</v>
      </c>
    </row>
    <row r="5877">
      <c r="J5877" t="inlineStr">
        <is>
          <t>A</t>
        </is>
      </c>
      <c r="K5877" t="n">
        <v>2026</v>
      </c>
      <c r="L5877" t="n">
        <v>7</v>
      </c>
      <c r="M5877" t="inlineStr">
        <is>
          <t>Muçarela Mozzana 2 kg</t>
        </is>
      </c>
      <c r="N5877" t="inlineStr">
        <is>
          <t>Pizzaria</t>
        </is>
      </c>
      <c r="O5877" t="n">
        <v>146</v>
      </c>
      <c r="P5877" t="n">
        <v>1233</v>
      </c>
      <c r="Q5877" t="n">
        <v>93</v>
      </c>
    </row>
    <row r="5878">
      <c r="J5878" t="inlineStr">
        <is>
          <t>M</t>
        </is>
      </c>
      <c r="K5878" t="n">
        <v>2026</v>
      </c>
      <c r="L5878" t="n">
        <v>7</v>
      </c>
      <c r="M5878" t="inlineStr">
        <is>
          <t>Muçarela Mozzana 2 kg</t>
        </is>
      </c>
      <c r="N5878" t="inlineStr">
        <is>
          <t>Pizzaria</t>
        </is>
      </c>
      <c r="O5878" t="n">
        <v>88</v>
      </c>
      <c r="P5878" t="n">
        <v>253</v>
      </c>
      <c r="Q5878" t="n">
        <v>0</v>
      </c>
    </row>
    <row r="5879">
      <c r="J5879" t="inlineStr">
        <is>
          <t>A</t>
        </is>
      </c>
      <c r="K5879" t="n">
        <v>2026</v>
      </c>
      <c r="L5879" t="n">
        <v>8</v>
      </c>
      <c r="M5879" t="inlineStr">
        <is>
          <t>Muçarela Mozzana 2 kg</t>
        </is>
      </c>
      <c r="N5879" t="inlineStr">
        <is>
          <t>Pizzaria</t>
        </is>
      </c>
      <c r="O5879" t="n">
        <v>164</v>
      </c>
      <c r="P5879" t="n">
        <v>1486</v>
      </c>
      <c r="Q5879" t="n">
        <v>110</v>
      </c>
    </row>
    <row r="5880">
      <c r="J5880" t="inlineStr">
        <is>
          <t>M</t>
        </is>
      </c>
      <c r="K5880" t="n">
        <v>2026</v>
      </c>
      <c r="L5880" t="n">
        <v>8</v>
      </c>
      <c r="M5880" t="inlineStr">
        <is>
          <t>Muçarela Mozzana 2 kg</t>
        </is>
      </c>
      <c r="N5880" t="inlineStr">
        <is>
          <t>Pizzaria</t>
        </is>
      </c>
      <c r="O5880" t="n">
        <v>90</v>
      </c>
      <c r="P5880" t="n">
        <v>253</v>
      </c>
      <c r="Q5880" t="n">
        <v>0</v>
      </c>
    </row>
    <row r="5881">
      <c r="J5881" t="inlineStr">
        <is>
          <t>A</t>
        </is>
      </c>
      <c r="K5881" t="n">
        <v>2026</v>
      </c>
      <c r="L5881" t="n">
        <v>9</v>
      </c>
      <c r="M5881" t="inlineStr">
        <is>
          <t>Muçarela Mozzana 2 kg</t>
        </is>
      </c>
      <c r="N5881" t="inlineStr">
        <is>
          <t>Pizzaria</t>
        </is>
      </c>
      <c r="O5881" t="n">
        <v>174</v>
      </c>
      <c r="P5881" t="n">
        <v>1773</v>
      </c>
      <c r="Q5881" t="n">
        <v>120</v>
      </c>
    </row>
    <row r="5882">
      <c r="J5882" t="inlineStr">
        <is>
          <t>M</t>
        </is>
      </c>
      <c r="K5882" t="n">
        <v>2026</v>
      </c>
      <c r="L5882" t="n">
        <v>9</v>
      </c>
      <c r="M5882" t="inlineStr">
        <is>
          <t>Muçarela Mozzana 2 kg</t>
        </is>
      </c>
      <c r="N5882" t="inlineStr">
        <is>
          <t>Pizzaria</t>
        </is>
      </c>
      <c r="O5882" t="n">
        <v>87</v>
      </c>
      <c r="P5882" t="n">
        <v>287</v>
      </c>
      <c r="Q5882" t="n">
        <v>0</v>
      </c>
    </row>
    <row r="5883">
      <c r="J5883" t="inlineStr">
        <is>
          <t>A</t>
        </is>
      </c>
      <c r="K5883" t="n">
        <v>2026</v>
      </c>
      <c r="L5883" t="n">
        <v>10</v>
      </c>
      <c r="M5883" t="inlineStr">
        <is>
          <t>Muçarela Mozzana 2 kg</t>
        </is>
      </c>
      <c r="N5883" t="inlineStr">
        <is>
          <t>Pizzaria</t>
        </is>
      </c>
      <c r="O5883" t="n">
        <v>174</v>
      </c>
      <c r="P5883" t="n">
        <v>1773</v>
      </c>
      <c r="Q5883" t="n">
        <v>120</v>
      </c>
    </row>
    <row r="5884">
      <c r="J5884" t="inlineStr">
        <is>
          <t>A</t>
        </is>
      </c>
      <c r="K5884" t="n">
        <v>2026</v>
      </c>
      <c r="L5884" t="n">
        <v>11</v>
      </c>
      <c r="M5884" t="inlineStr">
        <is>
          <t>Muçarela Mozzana 2 kg</t>
        </is>
      </c>
      <c r="N5884" t="inlineStr">
        <is>
          <t>Pizzaria</t>
        </is>
      </c>
      <c r="O5884" t="n">
        <v>174</v>
      </c>
      <c r="P5884" t="n">
        <v>1773</v>
      </c>
      <c r="Q5884" t="n">
        <v>120</v>
      </c>
    </row>
    <row r="5885">
      <c r="J5885" t="inlineStr">
        <is>
          <t>A</t>
        </is>
      </c>
      <c r="K5885" t="n">
        <v>2026</v>
      </c>
      <c r="L5885" t="n">
        <v>12</v>
      </c>
      <c r="M5885" t="inlineStr">
        <is>
          <t>Muçarela Mozzana 2 kg</t>
        </is>
      </c>
      <c r="N5885" t="inlineStr">
        <is>
          <t>Pizzaria</t>
        </is>
      </c>
      <c r="O5885" t="n">
        <v>174</v>
      </c>
      <c r="P5885" t="n">
        <v>1773</v>
      </c>
      <c r="Q5885" t="n">
        <v>120</v>
      </c>
    </row>
    <row r="5886">
      <c r="J5886" t="inlineStr">
        <is>
          <t>A</t>
        </is>
      </c>
      <c r="K5886" t="n">
        <v>2026</v>
      </c>
      <c r="L5886" t="n">
        <v>1</v>
      </c>
      <c r="M5886" t="inlineStr">
        <is>
          <t>Muçarela Mozzana 2 kg</t>
        </is>
      </c>
      <c r="N5886" t="inlineStr">
        <is>
          <t>Restaurante / Cantina</t>
        </is>
      </c>
      <c r="O5886" t="n">
        <v>9</v>
      </c>
      <c r="P5886" t="n">
        <v>14</v>
      </c>
      <c r="Q5886" t="n">
        <v>1</v>
      </c>
    </row>
    <row r="5887">
      <c r="J5887" t="inlineStr">
        <is>
          <t>M</t>
        </is>
      </c>
      <c r="K5887" t="n">
        <v>2026</v>
      </c>
      <c r="L5887" t="n">
        <v>1</v>
      </c>
      <c r="M5887" t="inlineStr">
        <is>
          <t>Muçarela Mozzana 2 kg</t>
        </is>
      </c>
      <c r="N5887" t="inlineStr">
        <is>
          <t>Restaurante / Cantina</t>
        </is>
      </c>
      <c r="O5887" t="n">
        <v>9</v>
      </c>
      <c r="P5887" t="n">
        <v>14</v>
      </c>
      <c r="Q5887" t="n">
        <v>0</v>
      </c>
    </row>
    <row r="5888">
      <c r="J5888" t="inlineStr">
        <is>
          <t>A</t>
        </is>
      </c>
      <c r="K5888" t="n">
        <v>2026</v>
      </c>
      <c r="L5888" t="n">
        <v>2</v>
      </c>
      <c r="M5888" t="inlineStr">
        <is>
          <t>Muçarela Mozzana 2 kg</t>
        </is>
      </c>
      <c r="N5888" t="inlineStr">
        <is>
          <t>Restaurante / Cantina</t>
        </is>
      </c>
      <c r="O5888" t="n">
        <v>10</v>
      </c>
      <c r="P5888" t="n">
        <v>31</v>
      </c>
      <c r="Q5888" t="n">
        <v>2</v>
      </c>
    </row>
    <row r="5889">
      <c r="J5889" t="inlineStr">
        <is>
          <t>M</t>
        </is>
      </c>
      <c r="K5889" t="n">
        <v>2026</v>
      </c>
      <c r="L5889" t="n">
        <v>2</v>
      </c>
      <c r="M5889" t="inlineStr">
        <is>
          <t>Muçarela Mozzana 2 kg</t>
        </is>
      </c>
      <c r="N5889" t="inlineStr">
        <is>
          <t>Restaurante / Cantina</t>
        </is>
      </c>
      <c r="O5889" t="n">
        <v>7</v>
      </c>
      <c r="P5889" t="n">
        <v>17</v>
      </c>
      <c r="Q5889" t="n">
        <v>0</v>
      </c>
    </row>
    <row r="5890">
      <c r="J5890" t="inlineStr">
        <is>
          <t>A</t>
        </is>
      </c>
      <c r="K5890" t="n">
        <v>2026</v>
      </c>
      <c r="L5890" t="n">
        <v>3</v>
      </c>
      <c r="M5890" t="inlineStr">
        <is>
          <t>Muçarela Mozzana 2 kg</t>
        </is>
      </c>
      <c r="N5890" t="inlineStr">
        <is>
          <t>Restaurante / Cantina</t>
        </is>
      </c>
      <c r="O5890" t="n">
        <v>13</v>
      </c>
      <c r="P5890" t="n">
        <v>55</v>
      </c>
      <c r="Q5890" t="n">
        <v>5</v>
      </c>
    </row>
    <row r="5891">
      <c r="J5891" t="inlineStr">
        <is>
          <t>M</t>
        </is>
      </c>
      <c r="K5891" t="n">
        <v>2026</v>
      </c>
      <c r="L5891" t="n">
        <v>3</v>
      </c>
      <c r="M5891" t="inlineStr">
        <is>
          <t>Muçarela Mozzana 2 kg</t>
        </is>
      </c>
      <c r="N5891" t="inlineStr">
        <is>
          <t>Restaurante / Cantina</t>
        </is>
      </c>
      <c r="O5891" t="n">
        <v>9</v>
      </c>
      <c r="P5891" t="n">
        <v>24</v>
      </c>
      <c r="Q5891" t="n">
        <v>0</v>
      </c>
    </row>
    <row r="5892">
      <c r="J5892" t="inlineStr">
        <is>
          <t>A</t>
        </is>
      </c>
      <c r="K5892" t="n">
        <v>2026</v>
      </c>
      <c r="L5892" t="n">
        <v>4</v>
      </c>
      <c r="M5892" t="inlineStr">
        <is>
          <t>Muçarela Mozzana 2 kg</t>
        </is>
      </c>
      <c r="N5892" t="inlineStr">
        <is>
          <t>Restaurante / Cantina</t>
        </is>
      </c>
      <c r="O5892" t="n">
        <v>16</v>
      </c>
      <c r="P5892" t="n">
        <v>72</v>
      </c>
      <c r="Q5892" t="n">
        <v>5</v>
      </c>
    </row>
    <row r="5893">
      <c r="J5893" t="inlineStr">
        <is>
          <t>M</t>
        </is>
      </c>
      <c r="K5893" t="n">
        <v>2026</v>
      </c>
      <c r="L5893" t="n">
        <v>4</v>
      </c>
      <c r="M5893" t="inlineStr">
        <is>
          <t>Muçarela Mozzana 2 kg</t>
        </is>
      </c>
      <c r="N5893" t="inlineStr">
        <is>
          <t>Restaurante / Cantina</t>
        </is>
      </c>
      <c r="O5893" t="n">
        <v>7</v>
      </c>
      <c r="P5893" t="n">
        <v>17</v>
      </c>
      <c r="Q5893" t="n">
        <v>0</v>
      </c>
    </row>
    <row r="5894">
      <c r="J5894" t="inlineStr">
        <is>
          <t>A</t>
        </is>
      </c>
      <c r="K5894" t="n">
        <v>2026</v>
      </c>
      <c r="L5894" t="n">
        <v>5</v>
      </c>
      <c r="M5894" t="inlineStr">
        <is>
          <t>Muçarela Mozzana 2 kg</t>
        </is>
      </c>
      <c r="N5894" t="inlineStr">
        <is>
          <t>Restaurante / Cantina</t>
        </is>
      </c>
      <c r="O5894" t="n">
        <v>17</v>
      </c>
      <c r="P5894" t="n">
        <v>92</v>
      </c>
      <c r="Q5894" t="n">
        <v>6</v>
      </c>
    </row>
    <row r="5895">
      <c r="J5895" t="inlineStr">
        <is>
          <t>M</t>
        </is>
      </c>
      <c r="K5895" t="n">
        <v>2026</v>
      </c>
      <c r="L5895" t="n">
        <v>5</v>
      </c>
      <c r="M5895" t="inlineStr">
        <is>
          <t>Muçarela Mozzana 2 kg</t>
        </is>
      </c>
      <c r="N5895" t="inlineStr">
        <is>
          <t>Restaurante / Cantina</t>
        </is>
      </c>
      <c r="O5895" t="n">
        <v>8</v>
      </c>
      <c r="P5895" t="n">
        <v>20</v>
      </c>
      <c r="Q5895" t="n">
        <v>0</v>
      </c>
    </row>
    <row r="5896">
      <c r="J5896" t="inlineStr">
        <is>
          <t>A</t>
        </is>
      </c>
      <c r="K5896" t="n">
        <v>2026</v>
      </c>
      <c r="L5896" t="n">
        <v>6</v>
      </c>
      <c r="M5896" t="inlineStr">
        <is>
          <t>Muçarela Mozzana 2 kg</t>
        </is>
      </c>
      <c r="N5896" t="inlineStr">
        <is>
          <t>Restaurante / Cantina</t>
        </is>
      </c>
      <c r="O5896" t="n">
        <v>20</v>
      </c>
      <c r="P5896" t="n">
        <v>122</v>
      </c>
      <c r="Q5896" t="n">
        <v>9</v>
      </c>
    </row>
    <row r="5897">
      <c r="J5897" t="inlineStr">
        <is>
          <t>M</t>
        </is>
      </c>
      <c r="K5897" t="n">
        <v>2026</v>
      </c>
      <c r="L5897" t="n">
        <v>6</v>
      </c>
      <c r="M5897" t="inlineStr">
        <is>
          <t>Muçarela Mozzana 2 kg</t>
        </is>
      </c>
      <c r="N5897" t="inlineStr">
        <is>
          <t>Restaurante / Cantina</t>
        </is>
      </c>
      <c r="O5897" t="n">
        <v>11</v>
      </c>
      <c r="P5897" t="n">
        <v>30</v>
      </c>
      <c r="Q5897" t="n">
        <v>0</v>
      </c>
    </row>
    <row r="5898">
      <c r="J5898" t="inlineStr">
        <is>
          <t>A</t>
        </is>
      </c>
      <c r="K5898" t="n">
        <v>2026</v>
      </c>
      <c r="L5898" t="n">
        <v>7</v>
      </c>
      <c r="M5898" t="inlineStr">
        <is>
          <t>Muçarela Mozzana 2 kg</t>
        </is>
      </c>
      <c r="N5898" t="inlineStr">
        <is>
          <t>Restaurante / Cantina</t>
        </is>
      </c>
      <c r="O5898" t="n">
        <v>20</v>
      </c>
      <c r="P5898" t="n">
        <v>147</v>
      </c>
      <c r="Q5898" t="n">
        <v>9</v>
      </c>
    </row>
    <row r="5899">
      <c r="J5899" t="inlineStr">
        <is>
          <t>M</t>
        </is>
      </c>
      <c r="K5899" t="n">
        <v>2026</v>
      </c>
      <c r="L5899" t="n">
        <v>7</v>
      </c>
      <c r="M5899" t="inlineStr">
        <is>
          <t>Muçarela Mozzana 2 kg</t>
        </is>
      </c>
      <c r="N5899" t="inlineStr">
        <is>
          <t>Restaurante / Cantina</t>
        </is>
      </c>
      <c r="O5899" t="n">
        <v>9</v>
      </c>
      <c r="P5899" t="n">
        <v>25</v>
      </c>
      <c r="Q5899" t="n">
        <v>0</v>
      </c>
    </row>
    <row r="5900">
      <c r="J5900" t="inlineStr">
        <is>
          <t>A</t>
        </is>
      </c>
      <c r="K5900" t="n">
        <v>2026</v>
      </c>
      <c r="L5900" t="n">
        <v>8</v>
      </c>
      <c r="M5900" t="inlineStr">
        <is>
          <t>Muçarela Mozzana 2 kg</t>
        </is>
      </c>
      <c r="N5900" t="inlineStr">
        <is>
          <t>Restaurante / Cantina</t>
        </is>
      </c>
      <c r="O5900" t="n">
        <v>23</v>
      </c>
      <c r="P5900" t="n">
        <v>177</v>
      </c>
      <c r="Q5900" t="n">
        <v>12</v>
      </c>
    </row>
    <row r="5901">
      <c r="J5901" t="inlineStr">
        <is>
          <t>M</t>
        </is>
      </c>
      <c r="K5901" t="n">
        <v>2026</v>
      </c>
      <c r="L5901" t="n">
        <v>8</v>
      </c>
      <c r="M5901" t="inlineStr">
        <is>
          <t>Muçarela Mozzana 2 kg</t>
        </is>
      </c>
      <c r="N5901" t="inlineStr">
        <is>
          <t>Restaurante / Cantina</t>
        </is>
      </c>
      <c r="O5901" t="n">
        <v>11</v>
      </c>
      <c r="P5901" t="n">
        <v>30</v>
      </c>
      <c r="Q5901" t="n">
        <v>0</v>
      </c>
    </row>
    <row r="5902">
      <c r="J5902" t="inlineStr">
        <is>
          <t>A</t>
        </is>
      </c>
      <c r="K5902" t="n">
        <v>2026</v>
      </c>
      <c r="L5902" t="n">
        <v>9</v>
      </c>
      <c r="M5902" t="inlineStr">
        <is>
          <t>Muçarela Mozzana 2 kg</t>
        </is>
      </c>
      <c r="N5902" t="inlineStr">
        <is>
          <t>Restaurante / Cantina</t>
        </is>
      </c>
      <c r="O5902" t="n">
        <v>24</v>
      </c>
      <c r="P5902" t="n">
        <v>209</v>
      </c>
      <c r="Q5902" t="n">
        <v>12</v>
      </c>
    </row>
    <row r="5903">
      <c r="J5903" t="inlineStr">
        <is>
          <t>M</t>
        </is>
      </c>
      <c r="K5903" t="n">
        <v>2026</v>
      </c>
      <c r="L5903" t="n">
        <v>9</v>
      </c>
      <c r="M5903" t="inlineStr">
        <is>
          <t>Muçarela Mozzana 2 kg</t>
        </is>
      </c>
      <c r="N5903" t="inlineStr">
        <is>
          <t>Restaurante / Cantina</t>
        </is>
      </c>
      <c r="O5903" t="n">
        <v>10</v>
      </c>
      <c r="P5903" t="n">
        <v>32</v>
      </c>
      <c r="Q5903" t="n">
        <v>0</v>
      </c>
    </row>
    <row r="5904">
      <c r="J5904" t="inlineStr">
        <is>
          <t>A</t>
        </is>
      </c>
      <c r="K5904" t="n">
        <v>2026</v>
      </c>
      <c r="L5904" t="n">
        <v>10</v>
      </c>
      <c r="M5904" t="inlineStr">
        <is>
          <t>Muçarela Mozzana 2 kg</t>
        </is>
      </c>
      <c r="N5904" t="inlineStr">
        <is>
          <t>Restaurante / Cantina</t>
        </is>
      </c>
      <c r="O5904" t="n">
        <v>24</v>
      </c>
      <c r="P5904" t="n">
        <v>209</v>
      </c>
      <c r="Q5904" t="n">
        <v>12</v>
      </c>
    </row>
    <row r="5905">
      <c r="J5905" t="inlineStr">
        <is>
          <t>A</t>
        </is>
      </c>
      <c r="K5905" t="n">
        <v>2026</v>
      </c>
      <c r="L5905" t="n">
        <v>11</v>
      </c>
      <c r="M5905" t="inlineStr">
        <is>
          <t>Muçarela Mozzana 2 kg</t>
        </is>
      </c>
      <c r="N5905" t="inlineStr">
        <is>
          <t>Restaurante / Cantina</t>
        </is>
      </c>
      <c r="O5905" t="n">
        <v>24</v>
      </c>
      <c r="P5905" t="n">
        <v>209</v>
      </c>
      <c r="Q5905" t="n">
        <v>12</v>
      </c>
    </row>
    <row r="5906">
      <c r="J5906" t="inlineStr">
        <is>
          <t>A</t>
        </is>
      </c>
      <c r="K5906" t="n">
        <v>2026</v>
      </c>
      <c r="L5906" t="n">
        <v>12</v>
      </c>
      <c r="M5906" t="inlineStr">
        <is>
          <t>Muçarela Mozzana 2 kg</t>
        </is>
      </c>
      <c r="N5906" t="inlineStr">
        <is>
          <t>Restaurante / Cantina</t>
        </is>
      </c>
      <c r="O5906" t="n">
        <v>24</v>
      </c>
      <c r="P5906" t="n">
        <v>209</v>
      </c>
      <c r="Q5906" t="n">
        <v>12</v>
      </c>
    </row>
    <row r="5907">
      <c r="J5907" t="inlineStr">
        <is>
          <t>A</t>
        </is>
      </c>
      <c r="K5907" t="n">
        <v>2026</v>
      </c>
      <c r="L5907" t="n">
        <v>1</v>
      </c>
      <c r="M5907" t="inlineStr">
        <is>
          <t>Muçarela Mozzana 2 kg</t>
        </is>
      </c>
      <c r="N5907" t="inlineStr">
        <is>
          <t>Cozinha Industrial</t>
        </is>
      </c>
      <c r="O5907" t="n">
        <v>5</v>
      </c>
      <c r="P5907" t="n">
        <v>14</v>
      </c>
      <c r="Q5907" t="n">
        <v>0</v>
      </c>
    </row>
    <row r="5908">
      <c r="J5908" t="inlineStr">
        <is>
          <t>M</t>
        </is>
      </c>
      <c r="K5908" t="n">
        <v>2026</v>
      </c>
      <c r="L5908" t="n">
        <v>1</v>
      </c>
      <c r="M5908" t="inlineStr">
        <is>
          <t>Muçarela Mozzana 2 kg</t>
        </is>
      </c>
      <c r="N5908" t="inlineStr">
        <is>
          <t>Cozinha Industrial</t>
        </is>
      </c>
      <c r="O5908" t="n">
        <v>5</v>
      </c>
      <c r="P5908" t="n">
        <v>14</v>
      </c>
      <c r="Q5908" t="n">
        <v>0</v>
      </c>
    </row>
    <row r="5909">
      <c r="J5909" t="inlineStr">
        <is>
          <t>A</t>
        </is>
      </c>
      <c r="K5909" t="n">
        <v>2026</v>
      </c>
      <c r="L5909" t="n">
        <v>2</v>
      </c>
      <c r="M5909" t="inlineStr">
        <is>
          <t>Muçarela Mozzana 2 kg</t>
        </is>
      </c>
      <c r="N5909" t="inlineStr">
        <is>
          <t>Cozinha Industrial</t>
        </is>
      </c>
      <c r="O5909" t="n">
        <v>5</v>
      </c>
      <c r="P5909" t="n">
        <v>28</v>
      </c>
      <c r="Q5909" t="n">
        <v>0</v>
      </c>
    </row>
    <row r="5910">
      <c r="J5910" t="inlineStr">
        <is>
          <t>M</t>
        </is>
      </c>
      <c r="K5910" t="n">
        <v>2026</v>
      </c>
      <c r="L5910" t="n">
        <v>2</v>
      </c>
      <c r="M5910" t="inlineStr">
        <is>
          <t>Muçarela Mozzana 2 kg</t>
        </is>
      </c>
      <c r="N5910" t="inlineStr">
        <is>
          <t>Cozinha Industrial</t>
        </is>
      </c>
      <c r="O5910" t="n">
        <v>4</v>
      </c>
      <c r="P5910" t="n">
        <v>14</v>
      </c>
      <c r="Q5910" t="n">
        <v>0</v>
      </c>
    </row>
    <row r="5911">
      <c r="J5911" t="inlineStr">
        <is>
          <t>A</t>
        </is>
      </c>
      <c r="K5911" t="n">
        <v>2026</v>
      </c>
      <c r="L5911" t="n">
        <v>3</v>
      </c>
      <c r="M5911" t="inlineStr">
        <is>
          <t>Muçarela Mozzana 2 kg</t>
        </is>
      </c>
      <c r="N5911" t="inlineStr">
        <is>
          <t>Cozinha Industrial</t>
        </is>
      </c>
      <c r="O5911" t="n">
        <v>7</v>
      </c>
      <c r="P5911" t="n">
        <v>48</v>
      </c>
      <c r="Q5911" t="n">
        <v>1</v>
      </c>
    </row>
    <row r="5912">
      <c r="J5912" t="inlineStr">
        <is>
          <t>M</t>
        </is>
      </c>
      <c r="K5912" t="n">
        <v>2026</v>
      </c>
      <c r="L5912" t="n">
        <v>3</v>
      </c>
      <c r="M5912" t="inlineStr">
        <is>
          <t>Muçarela Mozzana 2 kg</t>
        </is>
      </c>
      <c r="N5912" t="inlineStr">
        <is>
          <t>Cozinha Industrial</t>
        </is>
      </c>
      <c r="O5912" t="n">
        <v>6</v>
      </c>
      <c r="P5912" t="n">
        <v>20</v>
      </c>
      <c r="Q5912" t="n">
        <v>0</v>
      </c>
    </row>
    <row r="5913">
      <c r="J5913" t="inlineStr">
        <is>
          <t>A</t>
        </is>
      </c>
      <c r="K5913" t="n">
        <v>2026</v>
      </c>
      <c r="L5913" t="n">
        <v>4</v>
      </c>
      <c r="M5913" t="inlineStr">
        <is>
          <t>Muçarela Mozzana 2 kg</t>
        </is>
      </c>
      <c r="N5913" t="inlineStr">
        <is>
          <t>Cozinha Industrial</t>
        </is>
      </c>
      <c r="O5913" t="n">
        <v>9</v>
      </c>
      <c r="P5913" t="n">
        <v>66</v>
      </c>
      <c r="Q5913" t="n">
        <v>1</v>
      </c>
    </row>
    <row r="5914">
      <c r="J5914" t="inlineStr">
        <is>
          <t>M</t>
        </is>
      </c>
      <c r="K5914" t="n">
        <v>2026</v>
      </c>
      <c r="L5914" t="n">
        <v>4</v>
      </c>
      <c r="M5914" t="inlineStr">
        <is>
          <t>Muçarela Mozzana 2 kg</t>
        </is>
      </c>
      <c r="N5914" t="inlineStr">
        <is>
          <t>Cozinha Industrial</t>
        </is>
      </c>
      <c r="O5914" t="n">
        <v>8</v>
      </c>
      <c r="P5914" t="n">
        <v>18</v>
      </c>
      <c r="Q5914" t="n">
        <v>0</v>
      </c>
    </row>
    <row r="5915">
      <c r="J5915" t="inlineStr">
        <is>
          <t>A</t>
        </is>
      </c>
      <c r="K5915" t="n">
        <v>2026</v>
      </c>
      <c r="L5915" t="n">
        <v>5</v>
      </c>
      <c r="M5915" t="inlineStr">
        <is>
          <t>Muçarela Mozzana 2 kg</t>
        </is>
      </c>
      <c r="N5915" t="inlineStr">
        <is>
          <t>Cozinha Industrial</t>
        </is>
      </c>
      <c r="O5915" t="n">
        <v>10</v>
      </c>
      <c r="P5915" t="n">
        <v>87</v>
      </c>
      <c r="Q5915" t="n">
        <v>2</v>
      </c>
    </row>
    <row r="5916">
      <c r="J5916" t="inlineStr">
        <is>
          <t>M</t>
        </is>
      </c>
      <c r="K5916" t="n">
        <v>2026</v>
      </c>
      <c r="L5916" t="n">
        <v>5</v>
      </c>
      <c r="M5916" t="inlineStr">
        <is>
          <t>Muçarela Mozzana 2 kg</t>
        </is>
      </c>
      <c r="N5916" t="inlineStr">
        <is>
          <t>Cozinha Industrial</t>
        </is>
      </c>
      <c r="O5916" t="n">
        <v>7</v>
      </c>
      <c r="P5916" t="n">
        <v>21</v>
      </c>
      <c r="Q5916" t="n">
        <v>0</v>
      </c>
    </row>
    <row r="5917">
      <c r="J5917" t="inlineStr">
        <is>
          <t>A</t>
        </is>
      </c>
      <c r="K5917" t="n">
        <v>2026</v>
      </c>
      <c r="L5917" t="n">
        <v>6</v>
      </c>
      <c r="M5917" t="inlineStr">
        <is>
          <t>Muçarela Mozzana 2 kg</t>
        </is>
      </c>
      <c r="N5917" t="inlineStr">
        <is>
          <t>Cozinha Industrial</t>
        </is>
      </c>
      <c r="O5917" t="n">
        <v>11</v>
      </c>
      <c r="P5917" t="n">
        <v>112</v>
      </c>
      <c r="Q5917" t="n">
        <v>3</v>
      </c>
    </row>
    <row r="5918">
      <c r="J5918" t="inlineStr">
        <is>
          <t>M</t>
        </is>
      </c>
      <c r="K5918" t="n">
        <v>2026</v>
      </c>
      <c r="L5918" t="n">
        <v>6</v>
      </c>
      <c r="M5918" t="inlineStr">
        <is>
          <t>Muçarela Mozzana 2 kg</t>
        </is>
      </c>
      <c r="N5918" t="inlineStr">
        <is>
          <t>Cozinha Industrial</t>
        </is>
      </c>
      <c r="O5918" t="n">
        <v>9</v>
      </c>
      <c r="P5918" t="n">
        <v>25</v>
      </c>
      <c r="Q5918" t="n">
        <v>0</v>
      </c>
    </row>
    <row r="5919">
      <c r="J5919" t="inlineStr">
        <is>
          <t>A</t>
        </is>
      </c>
      <c r="K5919" t="n">
        <v>2026</v>
      </c>
      <c r="L5919" t="n">
        <v>7</v>
      </c>
      <c r="M5919" t="inlineStr">
        <is>
          <t>Muçarela Mozzana 2 kg</t>
        </is>
      </c>
      <c r="N5919" t="inlineStr">
        <is>
          <t>Cozinha Industrial</t>
        </is>
      </c>
      <c r="O5919" t="n">
        <v>11</v>
      </c>
      <c r="P5919" t="n">
        <v>134</v>
      </c>
      <c r="Q5919" t="n">
        <v>3</v>
      </c>
    </row>
    <row r="5920">
      <c r="J5920" t="inlineStr">
        <is>
          <t>M</t>
        </is>
      </c>
      <c r="K5920" t="n">
        <v>2026</v>
      </c>
      <c r="L5920" t="n">
        <v>7</v>
      </c>
      <c r="M5920" t="inlineStr">
        <is>
          <t>Muçarela Mozzana 2 kg</t>
        </is>
      </c>
      <c r="N5920" t="inlineStr">
        <is>
          <t>Cozinha Industrial</t>
        </is>
      </c>
      <c r="O5920" t="n">
        <v>10</v>
      </c>
      <c r="P5920" t="n">
        <v>22</v>
      </c>
      <c r="Q5920" t="n">
        <v>0</v>
      </c>
    </row>
    <row r="5921">
      <c r="J5921" t="inlineStr">
        <is>
          <t>A</t>
        </is>
      </c>
      <c r="K5921" t="n">
        <v>2026</v>
      </c>
      <c r="L5921" t="n">
        <v>8</v>
      </c>
      <c r="M5921" t="inlineStr">
        <is>
          <t>Muçarela Mozzana 2 kg</t>
        </is>
      </c>
      <c r="N5921" t="inlineStr">
        <is>
          <t>Cozinha Industrial</t>
        </is>
      </c>
      <c r="O5921" t="n">
        <v>12</v>
      </c>
      <c r="P5921" t="n">
        <v>152</v>
      </c>
      <c r="Q5921" t="n">
        <v>4</v>
      </c>
    </row>
    <row r="5922">
      <c r="J5922" t="inlineStr">
        <is>
          <t>M</t>
        </is>
      </c>
      <c r="K5922" t="n">
        <v>2026</v>
      </c>
      <c r="L5922" t="n">
        <v>8</v>
      </c>
      <c r="M5922" t="inlineStr">
        <is>
          <t>Muçarela Mozzana 2 kg</t>
        </is>
      </c>
      <c r="N5922" t="inlineStr">
        <is>
          <t>Cozinha Industrial</t>
        </is>
      </c>
      <c r="O5922" t="n">
        <v>6</v>
      </c>
      <c r="P5922" t="n">
        <v>18</v>
      </c>
      <c r="Q5922" t="n">
        <v>0</v>
      </c>
    </row>
    <row r="5923">
      <c r="J5923" t="inlineStr">
        <is>
          <t>A</t>
        </is>
      </c>
      <c r="K5923" t="n">
        <v>2026</v>
      </c>
      <c r="L5923" t="n">
        <v>9</v>
      </c>
      <c r="M5923" t="inlineStr">
        <is>
          <t>Muçarela Mozzana 2 kg</t>
        </is>
      </c>
      <c r="N5923" t="inlineStr">
        <is>
          <t>Cozinha Industrial</t>
        </is>
      </c>
      <c r="O5923" t="n">
        <v>12</v>
      </c>
      <c r="P5923" t="n">
        <v>171</v>
      </c>
      <c r="Q5923" t="n">
        <v>4</v>
      </c>
    </row>
    <row r="5924">
      <c r="J5924" t="inlineStr">
        <is>
          <t>M</t>
        </is>
      </c>
      <c r="K5924" t="n">
        <v>2026</v>
      </c>
      <c r="L5924" t="n">
        <v>9</v>
      </c>
      <c r="M5924" t="inlineStr">
        <is>
          <t>Muçarela Mozzana 2 kg</t>
        </is>
      </c>
      <c r="N5924" t="inlineStr">
        <is>
          <t>Cozinha Industrial</t>
        </is>
      </c>
      <c r="O5924" t="n">
        <v>7</v>
      </c>
      <c r="P5924" t="n">
        <v>19</v>
      </c>
      <c r="Q5924" t="n">
        <v>0</v>
      </c>
    </row>
    <row r="5925">
      <c r="J5925" t="inlineStr">
        <is>
          <t>A</t>
        </is>
      </c>
      <c r="K5925" t="n">
        <v>2026</v>
      </c>
      <c r="L5925" t="n">
        <v>10</v>
      </c>
      <c r="M5925" t="inlineStr">
        <is>
          <t>Muçarela Mozzana 2 kg</t>
        </is>
      </c>
      <c r="N5925" t="inlineStr">
        <is>
          <t>Cozinha Industrial</t>
        </is>
      </c>
      <c r="O5925" t="n">
        <v>12</v>
      </c>
      <c r="P5925" t="n">
        <v>171</v>
      </c>
      <c r="Q5925" t="n">
        <v>4</v>
      </c>
    </row>
    <row r="5926">
      <c r="J5926" t="inlineStr">
        <is>
          <t>A</t>
        </is>
      </c>
      <c r="K5926" t="n">
        <v>2026</v>
      </c>
      <c r="L5926" t="n">
        <v>11</v>
      </c>
      <c r="M5926" t="inlineStr">
        <is>
          <t>Muçarela Mozzana 2 kg</t>
        </is>
      </c>
      <c r="N5926" t="inlineStr">
        <is>
          <t>Cozinha Industrial</t>
        </is>
      </c>
      <c r="O5926" t="n">
        <v>12</v>
      </c>
      <c r="P5926" t="n">
        <v>171</v>
      </c>
      <c r="Q5926" t="n">
        <v>4</v>
      </c>
    </row>
    <row r="5927">
      <c r="J5927" t="inlineStr">
        <is>
          <t>A</t>
        </is>
      </c>
      <c r="K5927" t="n">
        <v>2026</v>
      </c>
      <c r="L5927" t="n">
        <v>12</v>
      </c>
      <c r="M5927" t="inlineStr">
        <is>
          <t>Muçarela Mozzana 2 kg</t>
        </is>
      </c>
      <c r="N5927" t="inlineStr">
        <is>
          <t>Cozinha Industrial</t>
        </is>
      </c>
      <c r="O5927" t="n">
        <v>12</v>
      </c>
      <c r="P5927" t="n">
        <v>171</v>
      </c>
      <c r="Q5927" t="n">
        <v>4</v>
      </c>
    </row>
    <row r="5928">
      <c r="J5928" t="inlineStr">
        <is>
          <t>A</t>
        </is>
      </c>
      <c r="K5928" t="n">
        <v>2026</v>
      </c>
      <c r="L5928" t="n">
        <v>1</v>
      </c>
      <c r="M5928" t="inlineStr">
        <is>
          <t>Muçarela Mozzana 2 kg</t>
        </is>
      </c>
      <c r="N5928" t="inlineStr">
        <is>
          <t>Fábrica de Massas</t>
        </is>
      </c>
      <c r="O5928" t="n">
        <v>3</v>
      </c>
      <c r="P5928" t="n">
        <v>4</v>
      </c>
      <c r="Q5928" t="n">
        <v>0</v>
      </c>
    </row>
    <row r="5929">
      <c r="J5929" t="inlineStr">
        <is>
          <t>M</t>
        </is>
      </c>
      <c r="K5929" t="n">
        <v>2026</v>
      </c>
      <c r="L5929" t="n">
        <v>1</v>
      </c>
      <c r="M5929" t="inlineStr">
        <is>
          <t>Muçarela Mozzana 2 kg</t>
        </is>
      </c>
      <c r="N5929" t="inlineStr">
        <is>
          <t>Fábrica de Massas</t>
        </is>
      </c>
      <c r="O5929" t="n">
        <v>3</v>
      </c>
      <c r="P5929" t="n">
        <v>4</v>
      </c>
      <c r="Q5929" t="n">
        <v>0</v>
      </c>
    </row>
    <row r="5930">
      <c r="J5930" t="inlineStr">
        <is>
          <t>A</t>
        </is>
      </c>
      <c r="K5930" t="n">
        <v>2026</v>
      </c>
      <c r="L5930" t="n">
        <v>2</v>
      </c>
      <c r="M5930" t="inlineStr">
        <is>
          <t>Muçarela Mozzana 2 kg</t>
        </is>
      </c>
      <c r="N5930" t="inlineStr">
        <is>
          <t>Fábrica de Massas</t>
        </is>
      </c>
      <c r="O5930" t="n">
        <v>3</v>
      </c>
      <c r="P5930" t="n">
        <v>7</v>
      </c>
      <c r="Q5930" t="n">
        <v>0</v>
      </c>
    </row>
    <row r="5931">
      <c r="J5931" t="inlineStr">
        <is>
          <t>M</t>
        </is>
      </c>
      <c r="K5931" t="n">
        <v>2026</v>
      </c>
      <c r="L5931" t="n">
        <v>2</v>
      </c>
      <c r="M5931" t="inlineStr">
        <is>
          <t>Muçarela Mozzana 2 kg</t>
        </is>
      </c>
      <c r="N5931" t="inlineStr">
        <is>
          <t>Fábrica de Massas</t>
        </is>
      </c>
      <c r="O5931" t="n">
        <v>1</v>
      </c>
      <c r="P5931" t="n">
        <v>3</v>
      </c>
      <c r="Q5931" t="n">
        <v>0</v>
      </c>
    </row>
    <row r="5932">
      <c r="J5932" t="inlineStr">
        <is>
          <t>A</t>
        </is>
      </c>
      <c r="K5932" t="n">
        <v>2026</v>
      </c>
      <c r="L5932" t="n">
        <v>3</v>
      </c>
      <c r="M5932" t="inlineStr">
        <is>
          <t>Muçarela Mozzana 2 kg</t>
        </is>
      </c>
      <c r="N5932" t="inlineStr">
        <is>
          <t>Fábrica de Massas</t>
        </is>
      </c>
      <c r="O5932" t="n">
        <v>5</v>
      </c>
      <c r="P5932" t="n">
        <v>17</v>
      </c>
      <c r="Q5932" t="n">
        <v>1</v>
      </c>
    </row>
    <row r="5933">
      <c r="J5933" t="inlineStr">
        <is>
          <t>M</t>
        </is>
      </c>
      <c r="K5933" t="n">
        <v>2026</v>
      </c>
      <c r="L5933" t="n">
        <v>3</v>
      </c>
      <c r="M5933" t="inlineStr">
        <is>
          <t>Muçarela Mozzana 2 kg</t>
        </is>
      </c>
      <c r="N5933" t="inlineStr">
        <is>
          <t>Fábrica de Massas</t>
        </is>
      </c>
      <c r="O5933" t="n">
        <v>4</v>
      </c>
      <c r="P5933" t="n">
        <v>10</v>
      </c>
      <c r="Q5933" t="n">
        <v>0</v>
      </c>
    </row>
    <row r="5934">
      <c r="J5934" t="inlineStr">
        <is>
          <t>A</t>
        </is>
      </c>
      <c r="K5934" t="n">
        <v>2026</v>
      </c>
      <c r="L5934" t="n">
        <v>4</v>
      </c>
      <c r="M5934" t="inlineStr">
        <is>
          <t>Muçarela Mozzana 2 kg</t>
        </is>
      </c>
      <c r="N5934" t="inlineStr">
        <is>
          <t>Fábrica de Massas</t>
        </is>
      </c>
      <c r="O5934" t="n">
        <v>8</v>
      </c>
      <c r="P5934" t="n">
        <v>36</v>
      </c>
      <c r="Q5934" t="n">
        <v>3</v>
      </c>
    </row>
    <row r="5935">
      <c r="J5935" t="inlineStr">
        <is>
          <t>M</t>
        </is>
      </c>
      <c r="K5935" t="n">
        <v>2026</v>
      </c>
      <c r="L5935" t="n">
        <v>4</v>
      </c>
      <c r="M5935" t="inlineStr">
        <is>
          <t>Muçarela Mozzana 2 kg</t>
        </is>
      </c>
      <c r="N5935" t="inlineStr">
        <is>
          <t>Fábrica de Massas</t>
        </is>
      </c>
      <c r="O5935" t="n">
        <v>7</v>
      </c>
      <c r="P5935" t="n">
        <v>19</v>
      </c>
      <c r="Q5935" t="n">
        <v>0</v>
      </c>
    </row>
    <row r="5936">
      <c r="J5936" t="inlineStr">
        <is>
          <t>A</t>
        </is>
      </c>
      <c r="K5936" t="n">
        <v>2026</v>
      </c>
      <c r="L5936" t="n">
        <v>5</v>
      </c>
      <c r="M5936" t="inlineStr">
        <is>
          <t>Muçarela Mozzana 2 kg</t>
        </is>
      </c>
      <c r="N5936" t="inlineStr">
        <is>
          <t>Fábrica de Massas</t>
        </is>
      </c>
      <c r="O5936" t="n">
        <v>10</v>
      </c>
      <c r="P5936" t="n">
        <v>57</v>
      </c>
      <c r="Q5936" t="n">
        <v>4</v>
      </c>
    </row>
    <row r="5937">
      <c r="J5937" t="inlineStr">
        <is>
          <t>M</t>
        </is>
      </c>
      <c r="K5937" t="n">
        <v>2026</v>
      </c>
      <c r="L5937" t="n">
        <v>5</v>
      </c>
      <c r="M5937" t="inlineStr">
        <is>
          <t>Muçarela Mozzana 2 kg</t>
        </is>
      </c>
      <c r="N5937" t="inlineStr">
        <is>
          <t>Fábrica de Massas</t>
        </is>
      </c>
      <c r="O5937" t="n">
        <v>8</v>
      </c>
      <c r="P5937" t="n">
        <v>21</v>
      </c>
      <c r="Q5937" t="n">
        <v>0</v>
      </c>
    </row>
    <row r="5938">
      <c r="J5938" t="inlineStr">
        <is>
          <t>A</t>
        </is>
      </c>
      <c r="K5938" t="n">
        <v>2026</v>
      </c>
      <c r="L5938" t="n">
        <v>6</v>
      </c>
      <c r="M5938" t="inlineStr">
        <is>
          <t>Muçarela Mozzana 2 kg</t>
        </is>
      </c>
      <c r="N5938" t="inlineStr">
        <is>
          <t>Fábrica de Massas</t>
        </is>
      </c>
      <c r="O5938" t="n">
        <v>11</v>
      </c>
      <c r="P5938" t="n">
        <v>77</v>
      </c>
      <c r="Q5938" t="n">
        <v>5</v>
      </c>
    </row>
    <row r="5939">
      <c r="J5939" t="inlineStr">
        <is>
          <t>M</t>
        </is>
      </c>
      <c r="K5939" t="n">
        <v>2026</v>
      </c>
      <c r="L5939" t="n">
        <v>6</v>
      </c>
      <c r="M5939" t="inlineStr">
        <is>
          <t>Muçarela Mozzana 2 kg</t>
        </is>
      </c>
      <c r="N5939" t="inlineStr">
        <is>
          <t>Fábrica de Massas</t>
        </is>
      </c>
      <c r="O5939" t="n">
        <v>9</v>
      </c>
      <c r="P5939" t="n">
        <v>20</v>
      </c>
      <c r="Q5939" t="n">
        <v>0</v>
      </c>
    </row>
    <row r="5940">
      <c r="J5940" t="inlineStr">
        <is>
          <t>A</t>
        </is>
      </c>
      <c r="K5940" t="n">
        <v>2026</v>
      </c>
      <c r="L5940" t="n">
        <v>7</v>
      </c>
      <c r="M5940" t="inlineStr">
        <is>
          <t>Muçarela Mozzana 2 kg</t>
        </is>
      </c>
      <c r="N5940" t="inlineStr">
        <is>
          <t>Fábrica de Massas</t>
        </is>
      </c>
      <c r="O5940" t="n">
        <v>11</v>
      </c>
      <c r="P5940" t="n">
        <v>100</v>
      </c>
      <c r="Q5940" t="n">
        <v>5</v>
      </c>
    </row>
    <row r="5941">
      <c r="J5941" t="inlineStr">
        <is>
          <t>M</t>
        </is>
      </c>
      <c r="K5941" t="n">
        <v>2026</v>
      </c>
      <c r="L5941" t="n">
        <v>7</v>
      </c>
      <c r="M5941" t="inlineStr">
        <is>
          <t>Muçarela Mozzana 2 kg</t>
        </is>
      </c>
      <c r="N5941" t="inlineStr">
        <is>
          <t>Fábrica de Massas</t>
        </is>
      </c>
      <c r="O5941" t="n">
        <v>8</v>
      </c>
      <c r="P5941" t="n">
        <v>23</v>
      </c>
      <c r="Q5941" t="n">
        <v>0</v>
      </c>
    </row>
    <row r="5942">
      <c r="J5942" t="inlineStr">
        <is>
          <t>A</t>
        </is>
      </c>
      <c r="K5942" t="n">
        <v>2026</v>
      </c>
      <c r="L5942" t="n">
        <v>8</v>
      </c>
      <c r="M5942" t="inlineStr">
        <is>
          <t>Muçarela Mozzana 2 kg</t>
        </is>
      </c>
      <c r="N5942" t="inlineStr">
        <is>
          <t>Fábrica de Massas</t>
        </is>
      </c>
      <c r="O5942" t="n">
        <v>12</v>
      </c>
      <c r="P5942" t="n">
        <v>125</v>
      </c>
      <c r="Q5942" t="n">
        <v>6</v>
      </c>
    </row>
    <row r="5943">
      <c r="J5943" t="inlineStr">
        <is>
          <t>M</t>
        </is>
      </c>
      <c r="K5943" t="n">
        <v>2026</v>
      </c>
      <c r="L5943" t="n">
        <v>8</v>
      </c>
      <c r="M5943" t="inlineStr">
        <is>
          <t>Muçarela Mozzana 2 kg</t>
        </is>
      </c>
      <c r="N5943" t="inlineStr">
        <is>
          <t>Fábrica de Massas</t>
        </is>
      </c>
      <c r="O5943" t="n">
        <v>8</v>
      </c>
      <c r="P5943" t="n">
        <v>25</v>
      </c>
      <c r="Q5943" t="n">
        <v>0</v>
      </c>
    </row>
    <row r="5944">
      <c r="J5944" t="inlineStr">
        <is>
          <t>A</t>
        </is>
      </c>
      <c r="K5944" t="n">
        <v>2026</v>
      </c>
      <c r="L5944" t="n">
        <v>9</v>
      </c>
      <c r="M5944" t="inlineStr">
        <is>
          <t>Muçarela Mozzana 2 kg</t>
        </is>
      </c>
      <c r="N5944" t="inlineStr">
        <is>
          <t>Fábrica de Massas</t>
        </is>
      </c>
      <c r="O5944" t="n">
        <v>12</v>
      </c>
      <c r="P5944" t="n">
        <v>145</v>
      </c>
      <c r="Q5944" t="n">
        <v>6</v>
      </c>
    </row>
    <row r="5945">
      <c r="J5945" t="inlineStr">
        <is>
          <t>M</t>
        </is>
      </c>
      <c r="K5945" t="n">
        <v>2026</v>
      </c>
      <c r="L5945" t="n">
        <v>9</v>
      </c>
      <c r="M5945" t="inlineStr">
        <is>
          <t>Muçarela Mozzana 2 kg</t>
        </is>
      </c>
      <c r="N5945" t="inlineStr">
        <is>
          <t>Fábrica de Massas</t>
        </is>
      </c>
      <c r="O5945" t="n">
        <v>7</v>
      </c>
      <c r="P5945" t="n">
        <v>20</v>
      </c>
      <c r="Q5945" t="n">
        <v>0</v>
      </c>
    </row>
    <row r="5946">
      <c r="J5946" t="inlineStr">
        <is>
          <t>A</t>
        </is>
      </c>
      <c r="K5946" t="n">
        <v>2026</v>
      </c>
      <c r="L5946" t="n">
        <v>10</v>
      </c>
      <c r="M5946" t="inlineStr">
        <is>
          <t>Muçarela Mozzana 2 kg</t>
        </is>
      </c>
      <c r="N5946" t="inlineStr">
        <is>
          <t>Fábrica de Massas</t>
        </is>
      </c>
      <c r="O5946" t="n">
        <v>12</v>
      </c>
      <c r="P5946" t="n">
        <v>145</v>
      </c>
      <c r="Q5946" t="n">
        <v>6</v>
      </c>
    </row>
    <row r="5947">
      <c r="J5947" t="inlineStr">
        <is>
          <t>A</t>
        </is>
      </c>
      <c r="K5947" t="n">
        <v>2026</v>
      </c>
      <c r="L5947" t="n">
        <v>11</v>
      </c>
      <c r="M5947" t="inlineStr">
        <is>
          <t>Muçarela Mozzana 2 kg</t>
        </is>
      </c>
      <c r="N5947" t="inlineStr">
        <is>
          <t>Fábrica de Massas</t>
        </is>
      </c>
      <c r="O5947" t="n">
        <v>12</v>
      </c>
      <c r="P5947" t="n">
        <v>145</v>
      </c>
      <c r="Q5947" t="n">
        <v>6</v>
      </c>
    </row>
    <row r="5948">
      <c r="J5948" t="inlineStr">
        <is>
          <t>A</t>
        </is>
      </c>
      <c r="K5948" t="n">
        <v>2026</v>
      </c>
      <c r="L5948" t="n">
        <v>12</v>
      </c>
      <c r="M5948" t="inlineStr">
        <is>
          <t>Muçarela Mozzana 2 kg</t>
        </is>
      </c>
      <c r="N5948" t="inlineStr">
        <is>
          <t>Fábrica de Massas</t>
        </is>
      </c>
      <c r="O5948" t="n">
        <v>12</v>
      </c>
      <c r="P5948" t="n">
        <v>145</v>
      </c>
      <c r="Q5948" t="n">
        <v>6</v>
      </c>
    </row>
    <row r="5949">
      <c r="J5949" t="inlineStr">
        <is>
          <t>A</t>
        </is>
      </c>
      <c r="K5949" t="n">
        <v>2026</v>
      </c>
      <c r="L5949" t="n">
        <v>1</v>
      </c>
      <c r="M5949" t="inlineStr">
        <is>
          <t>Muçarela Mozzana 2 kg</t>
        </is>
      </c>
      <c r="N5949" t="inlineStr">
        <is>
          <t>Outros</t>
        </is>
      </c>
      <c r="O5949" t="n">
        <v>10</v>
      </c>
      <c r="P5949" t="n">
        <v>28</v>
      </c>
      <c r="Q5949" t="n">
        <v>0</v>
      </c>
    </row>
    <row r="5950">
      <c r="J5950" t="inlineStr">
        <is>
          <t>M</t>
        </is>
      </c>
      <c r="K5950" t="n">
        <v>2026</v>
      </c>
      <c r="L5950" t="n">
        <v>1</v>
      </c>
      <c r="M5950" t="inlineStr">
        <is>
          <t>Muçarela Mozzana 2 kg</t>
        </is>
      </c>
      <c r="N5950" t="inlineStr">
        <is>
          <t>Outros</t>
        </is>
      </c>
      <c r="O5950" t="n">
        <v>10</v>
      </c>
      <c r="P5950" t="n">
        <v>28</v>
      </c>
      <c r="Q5950" t="n">
        <v>0</v>
      </c>
    </row>
    <row r="5951">
      <c r="J5951" t="inlineStr">
        <is>
          <t>A</t>
        </is>
      </c>
      <c r="K5951" t="n">
        <v>2026</v>
      </c>
      <c r="L5951" t="n">
        <v>2</v>
      </c>
      <c r="M5951" t="inlineStr">
        <is>
          <t>Muçarela Mozzana 2 kg</t>
        </is>
      </c>
      <c r="N5951" t="inlineStr">
        <is>
          <t>Outros</t>
        </is>
      </c>
      <c r="O5951" t="n">
        <v>10</v>
      </c>
      <c r="P5951" t="n">
        <v>58</v>
      </c>
      <c r="Q5951" t="n">
        <v>0</v>
      </c>
    </row>
    <row r="5952">
      <c r="J5952" t="inlineStr">
        <is>
          <t>M</t>
        </is>
      </c>
      <c r="K5952" t="n">
        <v>2026</v>
      </c>
      <c r="L5952" t="n">
        <v>2</v>
      </c>
      <c r="M5952" t="inlineStr">
        <is>
          <t>Muçarela Mozzana 2 kg</t>
        </is>
      </c>
      <c r="N5952" t="inlineStr">
        <is>
          <t>Outros</t>
        </is>
      </c>
      <c r="O5952" t="n">
        <v>8</v>
      </c>
      <c r="P5952" t="n">
        <v>30</v>
      </c>
      <c r="Q5952" t="n">
        <v>0</v>
      </c>
    </row>
    <row r="5953">
      <c r="J5953" t="inlineStr">
        <is>
          <t>A</t>
        </is>
      </c>
      <c r="K5953" t="n">
        <v>2026</v>
      </c>
      <c r="L5953" t="n">
        <v>3</v>
      </c>
      <c r="M5953" t="inlineStr">
        <is>
          <t>Muçarela Mozzana 2 kg</t>
        </is>
      </c>
      <c r="N5953" t="inlineStr">
        <is>
          <t>Outros</t>
        </is>
      </c>
      <c r="O5953" t="n">
        <v>10</v>
      </c>
      <c r="P5953" t="n">
        <v>83</v>
      </c>
      <c r="Q5953" t="n">
        <v>0</v>
      </c>
    </row>
    <row r="5954">
      <c r="J5954" t="inlineStr">
        <is>
          <t>M</t>
        </is>
      </c>
      <c r="K5954" t="n">
        <v>2026</v>
      </c>
      <c r="L5954" t="n">
        <v>3</v>
      </c>
      <c r="M5954" t="inlineStr">
        <is>
          <t>Muçarela Mozzana 2 kg</t>
        </is>
      </c>
      <c r="N5954" t="inlineStr">
        <is>
          <t>Outros</t>
        </is>
      </c>
      <c r="O5954" t="n">
        <v>8</v>
      </c>
      <c r="P5954" t="n">
        <v>25</v>
      </c>
      <c r="Q5954" t="n">
        <v>0</v>
      </c>
    </row>
    <row r="5955">
      <c r="J5955" t="inlineStr">
        <is>
          <t>A</t>
        </is>
      </c>
      <c r="K5955" t="n">
        <v>2026</v>
      </c>
      <c r="L5955" t="n">
        <v>4</v>
      </c>
      <c r="M5955" t="inlineStr">
        <is>
          <t>Muçarela Mozzana 2 kg</t>
        </is>
      </c>
      <c r="N5955" t="inlineStr">
        <is>
          <t>Outros</t>
        </is>
      </c>
      <c r="O5955" t="n">
        <v>10</v>
      </c>
      <c r="P5955" t="n">
        <v>85</v>
      </c>
      <c r="Q5955" t="n">
        <v>0</v>
      </c>
    </row>
    <row r="5956">
      <c r="J5956" t="inlineStr">
        <is>
          <t>M</t>
        </is>
      </c>
      <c r="K5956" t="n">
        <v>2026</v>
      </c>
      <c r="L5956" t="n">
        <v>4</v>
      </c>
      <c r="M5956" t="inlineStr">
        <is>
          <t>Muçarela Mozzana 2 kg</t>
        </is>
      </c>
      <c r="N5956" t="inlineStr">
        <is>
          <t>Outros</t>
        </is>
      </c>
      <c r="O5956" t="n">
        <v>1</v>
      </c>
      <c r="P5956" t="n">
        <v>2</v>
      </c>
      <c r="Q5956" t="n">
        <v>0</v>
      </c>
    </row>
    <row r="5957">
      <c r="J5957" t="inlineStr">
        <is>
          <t>A</t>
        </is>
      </c>
      <c r="K5957" t="n">
        <v>2026</v>
      </c>
      <c r="L5957" t="n">
        <v>5</v>
      </c>
      <c r="M5957" t="inlineStr">
        <is>
          <t>Muçarela Mozzana 2 kg</t>
        </is>
      </c>
      <c r="N5957" t="inlineStr">
        <is>
          <t>Outros</t>
        </is>
      </c>
      <c r="O5957" t="n">
        <v>10</v>
      </c>
      <c r="P5957" t="n">
        <v>85</v>
      </c>
      <c r="Q5957" t="n">
        <v>0</v>
      </c>
    </row>
    <row r="5958">
      <c r="J5958" t="inlineStr">
        <is>
          <t>A</t>
        </is>
      </c>
      <c r="K5958" t="n">
        <v>2026</v>
      </c>
      <c r="L5958" t="n">
        <v>6</v>
      </c>
      <c r="M5958" t="inlineStr">
        <is>
          <t>Muçarela Mozzana 2 kg</t>
        </is>
      </c>
      <c r="N5958" t="inlineStr">
        <is>
          <t>Outros</t>
        </is>
      </c>
      <c r="O5958" t="n">
        <v>10</v>
      </c>
      <c r="P5958" t="n">
        <v>85</v>
      </c>
      <c r="Q5958" t="n">
        <v>0</v>
      </c>
    </row>
    <row r="5959">
      <c r="J5959" t="inlineStr">
        <is>
          <t>A</t>
        </is>
      </c>
      <c r="K5959" t="n">
        <v>2026</v>
      </c>
      <c r="L5959" t="n">
        <v>7</v>
      </c>
      <c r="M5959" t="inlineStr">
        <is>
          <t>Muçarela Mozzana 2 kg</t>
        </is>
      </c>
      <c r="N5959" t="inlineStr">
        <is>
          <t>Outros</t>
        </is>
      </c>
      <c r="O5959" t="n">
        <v>11</v>
      </c>
      <c r="P5959" t="n">
        <v>86</v>
      </c>
      <c r="Q5959" t="n">
        <v>1</v>
      </c>
    </row>
    <row r="5960">
      <c r="J5960" t="inlineStr">
        <is>
          <t>M</t>
        </is>
      </c>
      <c r="K5960" t="n">
        <v>2026</v>
      </c>
      <c r="L5960" t="n">
        <v>7</v>
      </c>
      <c r="M5960" t="inlineStr">
        <is>
          <t>Muçarela Mozzana 2 kg</t>
        </is>
      </c>
      <c r="N5960" t="inlineStr">
        <is>
          <t>Outros</t>
        </is>
      </c>
      <c r="O5960" t="n">
        <v>1</v>
      </c>
      <c r="P5960" t="n">
        <v>1</v>
      </c>
      <c r="Q5960" t="n">
        <v>0</v>
      </c>
    </row>
    <row r="5961">
      <c r="J5961" t="inlineStr">
        <is>
          <t>A</t>
        </is>
      </c>
      <c r="K5961" t="n">
        <v>2026</v>
      </c>
      <c r="L5961" t="n">
        <v>8</v>
      </c>
      <c r="M5961" t="inlineStr">
        <is>
          <t>Muçarela Mozzana 2 kg</t>
        </is>
      </c>
      <c r="N5961" t="inlineStr">
        <is>
          <t>Outros</t>
        </is>
      </c>
      <c r="O5961" t="n">
        <v>11</v>
      </c>
      <c r="P5961" t="n">
        <v>86</v>
      </c>
      <c r="Q5961" t="n">
        <v>1</v>
      </c>
    </row>
    <row r="5962">
      <c r="J5962" t="inlineStr">
        <is>
          <t>A</t>
        </is>
      </c>
      <c r="K5962" t="n">
        <v>2026</v>
      </c>
      <c r="L5962" t="n">
        <v>9</v>
      </c>
      <c r="M5962" t="inlineStr">
        <is>
          <t>Muçarela Mozzana 2 kg</t>
        </is>
      </c>
      <c r="N5962" t="inlineStr">
        <is>
          <t>Outros</t>
        </is>
      </c>
      <c r="O5962" t="n">
        <v>11</v>
      </c>
      <c r="P5962" t="n">
        <v>86</v>
      </c>
      <c r="Q5962" t="n">
        <v>1</v>
      </c>
    </row>
    <row r="5963">
      <c r="J5963" t="inlineStr">
        <is>
          <t>A</t>
        </is>
      </c>
      <c r="K5963" t="n">
        <v>2026</v>
      </c>
      <c r="L5963" t="n">
        <v>10</v>
      </c>
      <c r="M5963" t="inlineStr">
        <is>
          <t>Muçarela Mozzana 2 kg</t>
        </is>
      </c>
      <c r="N5963" t="inlineStr">
        <is>
          <t>Outros</t>
        </is>
      </c>
      <c r="O5963" t="n">
        <v>11</v>
      </c>
      <c r="P5963" t="n">
        <v>86</v>
      </c>
      <c r="Q5963" t="n">
        <v>1</v>
      </c>
    </row>
    <row r="5964">
      <c r="J5964" t="inlineStr">
        <is>
          <t>A</t>
        </is>
      </c>
      <c r="K5964" t="n">
        <v>2026</v>
      </c>
      <c r="L5964" t="n">
        <v>11</v>
      </c>
      <c r="M5964" t="inlineStr">
        <is>
          <t>Muçarela Mozzana 2 kg</t>
        </is>
      </c>
      <c r="N5964" t="inlineStr">
        <is>
          <t>Outros</t>
        </is>
      </c>
      <c r="O5964" t="n">
        <v>11</v>
      </c>
      <c r="P5964" t="n">
        <v>86</v>
      </c>
      <c r="Q5964" t="n">
        <v>1</v>
      </c>
    </row>
    <row r="5965">
      <c r="J5965" t="inlineStr">
        <is>
          <t>A</t>
        </is>
      </c>
      <c r="K5965" t="n">
        <v>2026</v>
      </c>
      <c r="L5965" t="n">
        <v>12</v>
      </c>
      <c r="M5965" t="inlineStr">
        <is>
          <t>Muçarela Mozzana 2 kg</t>
        </is>
      </c>
      <c r="N5965" t="inlineStr">
        <is>
          <t>Outros</t>
        </is>
      </c>
      <c r="O5965" t="n">
        <v>11</v>
      </c>
      <c r="P5965" t="n">
        <v>86</v>
      </c>
      <c r="Q5965" t="n">
        <v>1</v>
      </c>
    </row>
    <row r="5966">
      <c r="J5966" t="inlineStr">
        <is>
          <t>A</t>
        </is>
      </c>
      <c r="K5966" t="n">
        <v>2026</v>
      </c>
      <c r="L5966" t="n">
        <v>1</v>
      </c>
      <c r="M5966" t="inlineStr">
        <is>
          <t>Muçarela Mozzana 2 kg</t>
        </is>
      </c>
      <c r="N5966" t="inlineStr">
        <is>
          <t>Pessoa Física</t>
        </is>
      </c>
      <c r="O5966" t="n">
        <v>1</v>
      </c>
      <c r="P5966" t="n">
        <v>1</v>
      </c>
      <c r="Q5966" t="n">
        <v>0</v>
      </c>
    </row>
    <row r="5967">
      <c r="J5967" t="inlineStr">
        <is>
          <t>M</t>
        </is>
      </c>
      <c r="K5967" t="n">
        <v>2026</v>
      </c>
      <c r="L5967" t="n">
        <v>1</v>
      </c>
      <c r="M5967" t="inlineStr">
        <is>
          <t>Muçarela Mozzana 2 kg</t>
        </is>
      </c>
      <c r="N5967" t="inlineStr">
        <is>
          <t>Pessoa Física</t>
        </is>
      </c>
      <c r="O5967" t="n">
        <v>1</v>
      </c>
      <c r="P5967" t="n">
        <v>1</v>
      </c>
      <c r="Q5967" t="n">
        <v>0</v>
      </c>
    </row>
    <row r="5968">
      <c r="J5968" t="inlineStr">
        <is>
          <t>A</t>
        </is>
      </c>
      <c r="K5968" t="n">
        <v>2026</v>
      </c>
      <c r="L5968" t="n">
        <v>2</v>
      </c>
      <c r="M5968" t="inlineStr">
        <is>
          <t>Muçarela Mozzana 2 kg</t>
        </is>
      </c>
      <c r="N5968" t="inlineStr">
        <is>
          <t>Pessoa Física</t>
        </is>
      </c>
      <c r="O5968" t="n">
        <v>3</v>
      </c>
      <c r="P5968" t="n">
        <v>6</v>
      </c>
      <c r="Q5968" t="n">
        <v>2</v>
      </c>
    </row>
    <row r="5969">
      <c r="J5969" t="inlineStr">
        <is>
          <t>M</t>
        </is>
      </c>
      <c r="K5969" t="n">
        <v>2026</v>
      </c>
      <c r="L5969" t="n">
        <v>2</v>
      </c>
      <c r="M5969" t="inlineStr">
        <is>
          <t>Muçarela Mozzana 2 kg</t>
        </is>
      </c>
      <c r="N5969" t="inlineStr">
        <is>
          <t>Pessoa Física</t>
        </is>
      </c>
      <c r="O5969" t="n">
        <v>2</v>
      </c>
      <c r="P5969" t="n">
        <v>5</v>
      </c>
      <c r="Q5969" t="n">
        <v>0</v>
      </c>
    </row>
    <row r="5970">
      <c r="J5970" t="inlineStr">
        <is>
          <t>A</t>
        </is>
      </c>
      <c r="K5970" t="n">
        <v>2026</v>
      </c>
      <c r="L5970" t="n">
        <v>3</v>
      </c>
      <c r="M5970" t="inlineStr">
        <is>
          <t>Muçarela Mozzana 2 kg</t>
        </is>
      </c>
      <c r="N5970" t="inlineStr">
        <is>
          <t>Pessoa Física</t>
        </is>
      </c>
      <c r="O5970" t="n">
        <v>5</v>
      </c>
      <c r="P5970" t="n">
        <v>10</v>
      </c>
      <c r="Q5970" t="n">
        <v>3</v>
      </c>
    </row>
    <row r="5971">
      <c r="J5971" t="inlineStr">
        <is>
          <t>M</t>
        </is>
      </c>
      <c r="K5971" t="n">
        <v>2026</v>
      </c>
      <c r="L5971" t="n">
        <v>3</v>
      </c>
      <c r="M5971" t="inlineStr">
        <is>
          <t>Muçarela Mozzana 2 kg</t>
        </is>
      </c>
      <c r="N5971" t="inlineStr">
        <is>
          <t>Pessoa Física</t>
        </is>
      </c>
      <c r="O5971" t="n">
        <v>3</v>
      </c>
      <c r="P5971" t="n">
        <v>4</v>
      </c>
      <c r="Q5971" t="n">
        <v>0</v>
      </c>
    </row>
    <row r="5972">
      <c r="J5972" t="inlineStr">
        <is>
          <t>A</t>
        </is>
      </c>
      <c r="K5972" t="n">
        <v>2026</v>
      </c>
      <c r="L5972" t="n">
        <v>4</v>
      </c>
      <c r="M5972" t="inlineStr">
        <is>
          <t>Muçarela Mozzana 2 kg</t>
        </is>
      </c>
      <c r="N5972" t="inlineStr">
        <is>
          <t>Pessoa Física</t>
        </is>
      </c>
      <c r="O5972" t="n">
        <v>8</v>
      </c>
      <c r="P5972" t="n">
        <v>18</v>
      </c>
      <c r="Q5972" t="n">
        <v>6</v>
      </c>
    </row>
    <row r="5973">
      <c r="J5973" t="inlineStr">
        <is>
          <t>M</t>
        </is>
      </c>
      <c r="K5973" t="n">
        <v>2026</v>
      </c>
      <c r="L5973" t="n">
        <v>4</v>
      </c>
      <c r="M5973" t="inlineStr">
        <is>
          <t>Muçarela Mozzana 2 kg</t>
        </is>
      </c>
      <c r="N5973" t="inlineStr">
        <is>
          <t>Pessoa Física</t>
        </is>
      </c>
      <c r="O5973" t="n">
        <v>5</v>
      </c>
      <c r="P5973" t="n">
        <v>8</v>
      </c>
      <c r="Q5973" t="n">
        <v>0</v>
      </c>
    </row>
    <row r="5974">
      <c r="J5974" t="inlineStr">
        <is>
          <t>A</t>
        </is>
      </c>
      <c r="K5974" t="n">
        <v>2026</v>
      </c>
      <c r="L5974" t="n">
        <v>5</v>
      </c>
      <c r="M5974" t="inlineStr">
        <is>
          <t>Muçarela Mozzana 2 kg</t>
        </is>
      </c>
      <c r="N5974" t="inlineStr">
        <is>
          <t>Pessoa Física</t>
        </is>
      </c>
      <c r="O5974" t="n">
        <v>9</v>
      </c>
      <c r="P5974" t="n">
        <v>24</v>
      </c>
      <c r="Q5974" t="n">
        <v>6</v>
      </c>
    </row>
    <row r="5975">
      <c r="J5975" t="inlineStr">
        <is>
          <t>M</t>
        </is>
      </c>
      <c r="K5975" t="n">
        <v>2026</v>
      </c>
      <c r="L5975" t="n">
        <v>5</v>
      </c>
      <c r="M5975" t="inlineStr">
        <is>
          <t>Muçarela Mozzana 2 kg</t>
        </is>
      </c>
      <c r="N5975" t="inlineStr">
        <is>
          <t>Pessoa Física</t>
        </is>
      </c>
      <c r="O5975" t="n">
        <v>4</v>
      </c>
      <c r="P5975" t="n">
        <v>6</v>
      </c>
      <c r="Q5975" t="n">
        <v>0</v>
      </c>
    </row>
    <row r="5976">
      <c r="J5976" t="inlineStr">
        <is>
          <t>A</t>
        </is>
      </c>
      <c r="K5976" t="n">
        <v>2026</v>
      </c>
      <c r="L5976" t="n">
        <v>6</v>
      </c>
      <c r="M5976" t="inlineStr">
        <is>
          <t>Muçarela Mozzana 2 kg</t>
        </is>
      </c>
      <c r="N5976" t="inlineStr">
        <is>
          <t>Pessoa Física</t>
        </is>
      </c>
      <c r="O5976" t="n">
        <v>9</v>
      </c>
      <c r="P5976" t="n">
        <v>27</v>
      </c>
      <c r="Q5976" t="n">
        <v>6</v>
      </c>
    </row>
    <row r="5977">
      <c r="J5977" t="inlineStr">
        <is>
          <t>M</t>
        </is>
      </c>
      <c r="K5977" t="n">
        <v>2026</v>
      </c>
      <c r="L5977" t="n">
        <v>6</v>
      </c>
      <c r="M5977" t="inlineStr">
        <is>
          <t>Muçarela Mozzana 2 kg</t>
        </is>
      </c>
      <c r="N5977" t="inlineStr">
        <is>
          <t>Pessoa Física</t>
        </is>
      </c>
      <c r="O5977" t="n">
        <v>2</v>
      </c>
      <c r="P5977" t="n">
        <v>3</v>
      </c>
      <c r="Q5977" t="n">
        <v>0</v>
      </c>
    </row>
    <row r="5978">
      <c r="J5978" t="inlineStr">
        <is>
          <t>A</t>
        </is>
      </c>
      <c r="K5978" t="n">
        <v>2026</v>
      </c>
      <c r="L5978" t="n">
        <v>7</v>
      </c>
      <c r="M5978" t="inlineStr">
        <is>
          <t>Muçarela Mozzana 2 kg</t>
        </is>
      </c>
      <c r="N5978" t="inlineStr">
        <is>
          <t>Pessoa Física</t>
        </is>
      </c>
      <c r="O5978" t="n">
        <v>12</v>
      </c>
      <c r="P5978" t="n">
        <v>34</v>
      </c>
      <c r="Q5978" t="n">
        <v>8</v>
      </c>
    </row>
    <row r="5979">
      <c r="J5979" t="inlineStr">
        <is>
          <t>M</t>
        </is>
      </c>
      <c r="K5979" t="n">
        <v>2026</v>
      </c>
      <c r="L5979" t="n">
        <v>7</v>
      </c>
      <c r="M5979" t="inlineStr">
        <is>
          <t>Muçarela Mozzana 2 kg</t>
        </is>
      </c>
      <c r="N5979" t="inlineStr">
        <is>
          <t>Pessoa Física</t>
        </is>
      </c>
      <c r="O5979" t="n">
        <v>5</v>
      </c>
      <c r="P5979" t="n">
        <v>7</v>
      </c>
      <c r="Q5979" t="n">
        <v>0</v>
      </c>
    </row>
    <row r="5980">
      <c r="J5980" t="inlineStr">
        <is>
          <t>A</t>
        </is>
      </c>
      <c r="K5980" t="n">
        <v>2026</v>
      </c>
      <c r="L5980" t="n">
        <v>8</v>
      </c>
      <c r="M5980" t="inlineStr">
        <is>
          <t>Muçarela Mozzana 2 kg</t>
        </is>
      </c>
      <c r="N5980" t="inlineStr">
        <is>
          <t>Pessoa Física</t>
        </is>
      </c>
      <c r="O5980" t="n">
        <v>15</v>
      </c>
      <c r="P5980" t="n">
        <v>51</v>
      </c>
      <c r="Q5980" t="n">
        <v>11</v>
      </c>
    </row>
    <row r="5981">
      <c r="J5981" t="inlineStr">
        <is>
          <t>M</t>
        </is>
      </c>
      <c r="K5981" t="n">
        <v>2026</v>
      </c>
      <c r="L5981" t="n">
        <v>8</v>
      </c>
      <c r="M5981" t="inlineStr">
        <is>
          <t>Muçarela Mozzana 2 kg</t>
        </is>
      </c>
      <c r="N5981" t="inlineStr">
        <is>
          <t>Pessoa Física</t>
        </is>
      </c>
      <c r="O5981" t="n">
        <v>9</v>
      </c>
      <c r="P5981" t="n">
        <v>17</v>
      </c>
      <c r="Q5981" t="n">
        <v>0</v>
      </c>
    </row>
    <row r="5982">
      <c r="J5982" t="inlineStr">
        <is>
          <t>A</t>
        </is>
      </c>
      <c r="K5982" t="n">
        <v>2026</v>
      </c>
      <c r="L5982" t="n">
        <v>9</v>
      </c>
      <c r="M5982" t="inlineStr">
        <is>
          <t>Muçarela Mozzana 2 kg</t>
        </is>
      </c>
      <c r="N5982" t="inlineStr">
        <is>
          <t>Pessoa Física</t>
        </is>
      </c>
      <c r="O5982" t="n">
        <v>19</v>
      </c>
      <c r="P5982" t="n">
        <v>77</v>
      </c>
      <c r="Q5982" t="n">
        <v>14</v>
      </c>
    </row>
    <row r="5983">
      <c r="J5983" t="inlineStr">
        <is>
          <t>M</t>
        </is>
      </c>
      <c r="K5983" t="n">
        <v>2026</v>
      </c>
      <c r="L5983" t="n">
        <v>9</v>
      </c>
      <c r="M5983" t="inlineStr">
        <is>
          <t>Muçarela Mozzana 2 kg</t>
        </is>
      </c>
      <c r="N5983" t="inlineStr">
        <is>
          <t>Pessoa Física</t>
        </is>
      </c>
      <c r="O5983" t="n">
        <v>11</v>
      </c>
      <c r="P5983" t="n">
        <v>26</v>
      </c>
      <c r="Q5983" t="n">
        <v>0</v>
      </c>
    </row>
    <row r="5984">
      <c r="J5984" t="inlineStr">
        <is>
          <t>A</t>
        </is>
      </c>
      <c r="K5984" t="n">
        <v>2026</v>
      </c>
      <c r="L5984" t="n">
        <v>10</v>
      </c>
      <c r="M5984" t="inlineStr">
        <is>
          <t>Muçarela Mozzana 2 kg</t>
        </is>
      </c>
      <c r="N5984" t="inlineStr">
        <is>
          <t>Pessoa Física</t>
        </is>
      </c>
      <c r="O5984" t="n">
        <v>19</v>
      </c>
      <c r="P5984" t="n">
        <v>77</v>
      </c>
      <c r="Q5984" t="n">
        <v>14</v>
      </c>
    </row>
    <row r="5985">
      <c r="J5985" t="inlineStr">
        <is>
          <t>A</t>
        </is>
      </c>
      <c r="K5985" t="n">
        <v>2026</v>
      </c>
      <c r="L5985" t="n">
        <v>11</v>
      </c>
      <c r="M5985" t="inlineStr">
        <is>
          <t>Muçarela Mozzana 2 kg</t>
        </is>
      </c>
      <c r="N5985" t="inlineStr">
        <is>
          <t>Pessoa Física</t>
        </is>
      </c>
      <c r="O5985" t="n">
        <v>19</v>
      </c>
      <c r="P5985" t="n">
        <v>77</v>
      </c>
      <c r="Q5985" t="n">
        <v>14</v>
      </c>
    </row>
    <row r="5986">
      <c r="J5986" t="inlineStr">
        <is>
          <t>A</t>
        </is>
      </c>
      <c r="K5986" t="n">
        <v>2026</v>
      </c>
      <c r="L5986" t="n">
        <v>12</v>
      </c>
      <c r="M5986" t="inlineStr">
        <is>
          <t>Muçarela Mozzana 2 kg</t>
        </is>
      </c>
      <c r="N5986" t="inlineStr">
        <is>
          <t>Pessoa Física</t>
        </is>
      </c>
      <c r="O5986" t="n">
        <v>19</v>
      </c>
      <c r="P5986" t="n">
        <v>77</v>
      </c>
      <c r="Q5986" t="n">
        <v>14</v>
      </c>
    </row>
    <row r="5987">
      <c r="J5987" t="inlineStr">
        <is>
          <t>A</t>
        </is>
      </c>
      <c r="K5987" t="n">
        <v>2026</v>
      </c>
      <c r="L5987" t="n">
        <v>1</v>
      </c>
      <c r="M5987" t="inlineStr">
        <is>
          <t>Muçarela Mozzana 2 kg</t>
        </is>
      </c>
      <c r="N5987" t="inlineStr">
        <is>
          <t>Pastelaria</t>
        </is>
      </c>
      <c r="O5987" t="n">
        <v>3</v>
      </c>
      <c r="P5987" t="n">
        <v>12</v>
      </c>
      <c r="Q5987" t="n">
        <v>0</v>
      </c>
    </row>
    <row r="5988">
      <c r="J5988" t="inlineStr">
        <is>
          <t>M</t>
        </is>
      </c>
      <c r="K5988" t="n">
        <v>2026</v>
      </c>
      <c r="L5988" t="n">
        <v>1</v>
      </c>
      <c r="M5988" t="inlineStr">
        <is>
          <t>Muçarela Mozzana 2 kg</t>
        </is>
      </c>
      <c r="N5988" t="inlineStr">
        <is>
          <t>Pastelaria</t>
        </is>
      </c>
      <c r="O5988" t="n">
        <v>3</v>
      </c>
      <c r="P5988" t="n">
        <v>12</v>
      </c>
      <c r="Q5988" t="n">
        <v>0</v>
      </c>
    </row>
    <row r="5989">
      <c r="J5989" t="inlineStr">
        <is>
          <t>A</t>
        </is>
      </c>
      <c r="K5989" t="n">
        <v>2026</v>
      </c>
      <c r="L5989" t="n">
        <v>2</v>
      </c>
      <c r="M5989" t="inlineStr">
        <is>
          <t>Muçarela Mozzana 2 kg</t>
        </is>
      </c>
      <c r="N5989" t="inlineStr">
        <is>
          <t>Pastelaria</t>
        </is>
      </c>
      <c r="O5989" t="n">
        <v>3</v>
      </c>
      <c r="P5989" t="n">
        <v>21</v>
      </c>
      <c r="Q5989" t="n">
        <v>0</v>
      </c>
    </row>
    <row r="5990">
      <c r="J5990" t="inlineStr">
        <is>
          <t>M</t>
        </is>
      </c>
      <c r="K5990" t="n">
        <v>2026</v>
      </c>
      <c r="L5990" t="n">
        <v>2</v>
      </c>
      <c r="M5990" t="inlineStr">
        <is>
          <t>Muçarela Mozzana 2 kg</t>
        </is>
      </c>
      <c r="N5990" t="inlineStr">
        <is>
          <t>Pastelaria</t>
        </is>
      </c>
      <c r="O5990" t="n">
        <v>3</v>
      </c>
      <c r="P5990" t="n">
        <v>9</v>
      </c>
      <c r="Q5990" t="n">
        <v>0</v>
      </c>
    </row>
    <row r="5991">
      <c r="J5991" t="inlineStr">
        <is>
          <t>A</t>
        </is>
      </c>
      <c r="K5991" t="n">
        <v>2026</v>
      </c>
      <c r="L5991" t="n">
        <v>3</v>
      </c>
      <c r="M5991" t="inlineStr">
        <is>
          <t>Muçarela Mozzana 2 kg</t>
        </is>
      </c>
      <c r="N5991" t="inlineStr">
        <is>
          <t>Pastelaria</t>
        </is>
      </c>
      <c r="O5991" t="n">
        <v>5</v>
      </c>
      <c r="P5991" t="n">
        <v>38</v>
      </c>
      <c r="Q5991" t="n">
        <v>1</v>
      </c>
    </row>
    <row r="5992">
      <c r="J5992" t="inlineStr">
        <is>
          <t>M</t>
        </is>
      </c>
      <c r="K5992" t="n">
        <v>2026</v>
      </c>
      <c r="L5992" t="n">
        <v>3</v>
      </c>
      <c r="M5992" t="inlineStr">
        <is>
          <t>Muçarela Mozzana 2 kg</t>
        </is>
      </c>
      <c r="N5992" t="inlineStr">
        <is>
          <t>Pastelaria</t>
        </is>
      </c>
      <c r="O5992" t="n">
        <v>5</v>
      </c>
      <c r="P5992" t="n">
        <v>17</v>
      </c>
      <c r="Q5992" t="n">
        <v>0</v>
      </c>
    </row>
    <row r="5993">
      <c r="J5993" t="inlineStr">
        <is>
          <t>A</t>
        </is>
      </c>
      <c r="K5993" t="n">
        <v>2026</v>
      </c>
      <c r="L5993" t="n">
        <v>4</v>
      </c>
      <c r="M5993" t="inlineStr">
        <is>
          <t>Muçarela Mozzana 2 kg</t>
        </is>
      </c>
      <c r="N5993" t="inlineStr">
        <is>
          <t>Pastelaria</t>
        </is>
      </c>
      <c r="O5993" t="n">
        <v>5</v>
      </c>
      <c r="P5993" t="n">
        <v>52</v>
      </c>
      <c r="Q5993" t="n">
        <v>1</v>
      </c>
    </row>
    <row r="5994">
      <c r="J5994" t="inlineStr">
        <is>
          <t>M</t>
        </is>
      </c>
      <c r="K5994" t="n">
        <v>2026</v>
      </c>
      <c r="L5994" t="n">
        <v>4</v>
      </c>
      <c r="M5994" t="inlineStr">
        <is>
          <t>Muçarela Mozzana 2 kg</t>
        </is>
      </c>
      <c r="N5994" t="inlineStr">
        <is>
          <t>Pastelaria</t>
        </is>
      </c>
      <c r="O5994" t="n">
        <v>4</v>
      </c>
      <c r="P5994" t="n">
        <v>14</v>
      </c>
      <c r="Q5994" t="n">
        <v>0</v>
      </c>
    </row>
    <row r="5995">
      <c r="J5995" t="inlineStr">
        <is>
          <t>A</t>
        </is>
      </c>
      <c r="K5995" t="n">
        <v>2026</v>
      </c>
      <c r="L5995" t="n">
        <v>5</v>
      </c>
      <c r="M5995" t="inlineStr">
        <is>
          <t>Muçarela Mozzana 2 kg</t>
        </is>
      </c>
      <c r="N5995" t="inlineStr">
        <is>
          <t>Pastelaria</t>
        </is>
      </c>
      <c r="O5995" t="n">
        <v>7</v>
      </c>
      <c r="P5995" t="n">
        <v>65</v>
      </c>
      <c r="Q5995" t="n">
        <v>2</v>
      </c>
    </row>
    <row r="5996">
      <c r="J5996" t="inlineStr">
        <is>
          <t>M</t>
        </is>
      </c>
      <c r="K5996" t="n">
        <v>2026</v>
      </c>
      <c r="L5996" t="n">
        <v>5</v>
      </c>
      <c r="M5996" t="inlineStr">
        <is>
          <t>Muçarela Mozzana 2 kg</t>
        </is>
      </c>
      <c r="N5996" t="inlineStr">
        <is>
          <t>Pastelaria</t>
        </is>
      </c>
      <c r="O5996" t="n">
        <v>7</v>
      </c>
      <c r="P5996" t="n">
        <v>13</v>
      </c>
      <c r="Q5996" t="n">
        <v>0</v>
      </c>
    </row>
    <row r="5997">
      <c r="J5997" t="inlineStr">
        <is>
          <t>A</t>
        </is>
      </c>
      <c r="K5997" t="n">
        <v>2026</v>
      </c>
      <c r="L5997" t="n">
        <v>6</v>
      </c>
      <c r="M5997" t="inlineStr">
        <is>
          <t>Muçarela Mozzana 2 kg</t>
        </is>
      </c>
      <c r="N5997" t="inlineStr">
        <is>
          <t>Pastelaria</t>
        </is>
      </c>
      <c r="O5997" t="n">
        <v>8</v>
      </c>
      <c r="P5997" t="n">
        <v>85</v>
      </c>
      <c r="Q5997" t="n">
        <v>3</v>
      </c>
    </row>
    <row r="5998">
      <c r="J5998" t="inlineStr">
        <is>
          <t>M</t>
        </is>
      </c>
      <c r="K5998" t="n">
        <v>2026</v>
      </c>
      <c r="L5998" t="n">
        <v>6</v>
      </c>
      <c r="M5998" t="inlineStr">
        <is>
          <t>Muçarela Mozzana 2 kg</t>
        </is>
      </c>
      <c r="N5998" t="inlineStr">
        <is>
          <t>Pastelaria</t>
        </is>
      </c>
      <c r="O5998" t="n">
        <v>7</v>
      </c>
      <c r="P5998" t="n">
        <v>20</v>
      </c>
      <c r="Q5998" t="n">
        <v>0</v>
      </c>
    </row>
    <row r="5999">
      <c r="J5999" t="inlineStr">
        <is>
          <t>A</t>
        </is>
      </c>
      <c r="K5999" t="n">
        <v>2026</v>
      </c>
      <c r="L5999" t="n">
        <v>7</v>
      </c>
      <c r="M5999" t="inlineStr">
        <is>
          <t>Muçarela Mozzana 2 kg</t>
        </is>
      </c>
      <c r="N5999" t="inlineStr">
        <is>
          <t>Pastelaria</t>
        </is>
      </c>
      <c r="O5999" t="n">
        <v>10</v>
      </c>
      <c r="P5999" t="n">
        <v>103</v>
      </c>
      <c r="Q5999" t="n">
        <v>5</v>
      </c>
    </row>
    <row r="6000">
      <c r="J6000" t="inlineStr">
        <is>
          <t>M</t>
        </is>
      </c>
      <c r="K6000" t="n">
        <v>2026</v>
      </c>
      <c r="L6000" t="n">
        <v>7</v>
      </c>
      <c r="M6000" t="inlineStr">
        <is>
          <t>Muçarela Mozzana 2 kg</t>
        </is>
      </c>
      <c r="N6000" t="inlineStr">
        <is>
          <t>Pastelaria</t>
        </is>
      </c>
      <c r="O6000" t="n">
        <v>8</v>
      </c>
      <c r="P6000" t="n">
        <v>18</v>
      </c>
      <c r="Q6000" t="n">
        <v>0</v>
      </c>
    </row>
    <row r="6001">
      <c r="J6001" t="inlineStr">
        <is>
          <t>A</t>
        </is>
      </c>
      <c r="K6001" t="n">
        <v>2026</v>
      </c>
      <c r="L6001" t="n">
        <v>8</v>
      </c>
      <c r="M6001" t="inlineStr">
        <is>
          <t>Muçarela Mozzana 2 kg</t>
        </is>
      </c>
      <c r="N6001" t="inlineStr">
        <is>
          <t>Pastelaria</t>
        </is>
      </c>
      <c r="O6001" t="n">
        <v>12</v>
      </c>
      <c r="P6001" t="n">
        <v>123</v>
      </c>
      <c r="Q6001" t="n">
        <v>7</v>
      </c>
    </row>
    <row r="6002">
      <c r="J6002" t="inlineStr">
        <is>
          <t>M</t>
        </is>
      </c>
      <c r="K6002" t="n">
        <v>2026</v>
      </c>
      <c r="L6002" t="n">
        <v>8</v>
      </c>
      <c r="M6002" t="inlineStr">
        <is>
          <t>Muçarela Mozzana 2 kg</t>
        </is>
      </c>
      <c r="N6002" t="inlineStr">
        <is>
          <t>Pastelaria</t>
        </is>
      </c>
      <c r="O6002" t="n">
        <v>8</v>
      </c>
      <c r="P6002" t="n">
        <v>20</v>
      </c>
      <c r="Q6002" t="n">
        <v>0</v>
      </c>
    </row>
    <row r="6003">
      <c r="J6003" t="inlineStr">
        <is>
          <t>A</t>
        </is>
      </c>
      <c r="K6003" t="n">
        <v>2026</v>
      </c>
      <c r="L6003" t="n">
        <v>9</v>
      </c>
      <c r="M6003" t="inlineStr">
        <is>
          <t>Muçarela Mozzana 2 kg</t>
        </is>
      </c>
      <c r="N6003" t="inlineStr">
        <is>
          <t>Pastelaria</t>
        </is>
      </c>
      <c r="O6003" t="n">
        <v>12</v>
      </c>
      <c r="P6003" t="n">
        <v>139</v>
      </c>
      <c r="Q6003" t="n">
        <v>7</v>
      </c>
    </row>
    <row r="6004">
      <c r="J6004" t="inlineStr">
        <is>
          <t>M</t>
        </is>
      </c>
      <c r="K6004" t="n">
        <v>2026</v>
      </c>
      <c r="L6004" t="n">
        <v>9</v>
      </c>
      <c r="M6004" t="inlineStr">
        <is>
          <t>Muçarela Mozzana 2 kg</t>
        </is>
      </c>
      <c r="N6004" t="inlineStr">
        <is>
          <t>Pastelaria</t>
        </is>
      </c>
      <c r="O6004" t="n">
        <v>4</v>
      </c>
      <c r="P6004" t="n">
        <v>16</v>
      </c>
      <c r="Q6004" t="n">
        <v>0</v>
      </c>
    </row>
    <row r="6005">
      <c r="J6005" t="inlineStr">
        <is>
          <t>A</t>
        </is>
      </c>
      <c r="K6005" t="n">
        <v>2026</v>
      </c>
      <c r="L6005" t="n">
        <v>10</v>
      </c>
      <c r="M6005" t="inlineStr">
        <is>
          <t>Muçarela Mozzana 2 kg</t>
        </is>
      </c>
      <c r="N6005" t="inlineStr">
        <is>
          <t>Pastelaria</t>
        </is>
      </c>
      <c r="O6005" t="n">
        <v>12</v>
      </c>
      <c r="P6005" t="n">
        <v>139</v>
      </c>
      <c r="Q6005" t="n">
        <v>7</v>
      </c>
    </row>
    <row r="6006">
      <c r="J6006" t="inlineStr">
        <is>
          <t>A</t>
        </is>
      </c>
      <c r="K6006" t="n">
        <v>2026</v>
      </c>
      <c r="L6006" t="n">
        <v>11</v>
      </c>
      <c r="M6006" t="inlineStr">
        <is>
          <t>Muçarela Mozzana 2 kg</t>
        </is>
      </c>
      <c r="N6006" t="inlineStr">
        <is>
          <t>Pastelaria</t>
        </is>
      </c>
      <c r="O6006" t="n">
        <v>12</v>
      </c>
      <c r="P6006" t="n">
        <v>139</v>
      </c>
      <c r="Q6006" t="n">
        <v>7</v>
      </c>
    </row>
    <row r="6007">
      <c r="J6007" t="inlineStr">
        <is>
          <t>A</t>
        </is>
      </c>
      <c r="K6007" t="n">
        <v>2026</v>
      </c>
      <c r="L6007" t="n">
        <v>12</v>
      </c>
      <c r="M6007" t="inlineStr">
        <is>
          <t>Muçarela Mozzana 2 kg</t>
        </is>
      </c>
      <c r="N6007" t="inlineStr">
        <is>
          <t>Pastelaria</t>
        </is>
      </c>
      <c r="O6007" t="n">
        <v>12</v>
      </c>
      <c r="P6007" t="n">
        <v>139</v>
      </c>
      <c r="Q6007" t="n">
        <v>7</v>
      </c>
    </row>
    <row r="6008">
      <c r="J6008" t="inlineStr">
        <is>
          <t>A</t>
        </is>
      </c>
      <c r="K6008" t="n">
        <v>2026</v>
      </c>
      <c r="L6008" t="n">
        <v>1</v>
      </c>
      <c r="M6008" t="inlineStr">
        <is>
          <t>Muçarela Mozzana 2 kg</t>
        </is>
      </c>
      <c r="N6008" t="inlineStr">
        <is>
          <t>Esfiharia</t>
        </is>
      </c>
      <c r="O6008" t="n">
        <v>4</v>
      </c>
      <c r="P6008" t="n">
        <v>12</v>
      </c>
      <c r="Q6008" t="n">
        <v>0</v>
      </c>
    </row>
    <row r="6009">
      <c r="J6009" t="inlineStr">
        <is>
          <t>M</t>
        </is>
      </c>
      <c r="K6009" t="n">
        <v>2026</v>
      </c>
      <c r="L6009" t="n">
        <v>1</v>
      </c>
      <c r="M6009" t="inlineStr">
        <is>
          <t>Muçarela Mozzana 2 kg</t>
        </is>
      </c>
      <c r="N6009" t="inlineStr">
        <is>
          <t>Esfiharia</t>
        </is>
      </c>
      <c r="O6009" t="n">
        <v>4</v>
      </c>
      <c r="P6009" t="n">
        <v>12</v>
      </c>
      <c r="Q6009" t="n">
        <v>0</v>
      </c>
    </row>
    <row r="6010">
      <c r="J6010" t="inlineStr">
        <is>
          <t>A</t>
        </is>
      </c>
      <c r="K6010" t="n">
        <v>2026</v>
      </c>
      <c r="L6010" t="n">
        <v>2</v>
      </c>
      <c r="M6010" t="inlineStr">
        <is>
          <t>Muçarela Mozzana 2 kg</t>
        </is>
      </c>
      <c r="N6010" t="inlineStr">
        <is>
          <t>Esfiharia</t>
        </is>
      </c>
      <c r="O6010" t="n">
        <v>4</v>
      </c>
      <c r="P6010" t="n">
        <v>25</v>
      </c>
      <c r="Q6010" t="n">
        <v>0</v>
      </c>
    </row>
    <row r="6011">
      <c r="J6011" t="inlineStr">
        <is>
          <t>M</t>
        </is>
      </c>
      <c r="K6011" t="n">
        <v>2026</v>
      </c>
      <c r="L6011" t="n">
        <v>2</v>
      </c>
      <c r="M6011" t="inlineStr">
        <is>
          <t>Muçarela Mozzana 2 kg</t>
        </is>
      </c>
      <c r="N6011" t="inlineStr">
        <is>
          <t>Esfiharia</t>
        </is>
      </c>
      <c r="O6011" t="n">
        <v>4</v>
      </c>
      <c r="P6011" t="n">
        <v>13</v>
      </c>
      <c r="Q6011" t="n">
        <v>0</v>
      </c>
    </row>
    <row r="6012">
      <c r="J6012" t="inlineStr">
        <is>
          <t>A</t>
        </is>
      </c>
      <c r="K6012" t="n">
        <v>2026</v>
      </c>
      <c r="L6012" t="n">
        <v>3</v>
      </c>
      <c r="M6012" t="inlineStr">
        <is>
          <t>Muçarela Mozzana 2 kg</t>
        </is>
      </c>
      <c r="N6012" t="inlineStr">
        <is>
          <t>Esfiharia</t>
        </is>
      </c>
      <c r="O6012" t="n">
        <v>5</v>
      </c>
      <c r="P6012" t="n">
        <v>40</v>
      </c>
      <c r="Q6012" t="n">
        <v>1</v>
      </c>
    </row>
    <row r="6013">
      <c r="J6013" t="inlineStr">
        <is>
          <t>M</t>
        </is>
      </c>
      <c r="K6013" t="n">
        <v>2026</v>
      </c>
      <c r="L6013" t="n">
        <v>3</v>
      </c>
      <c r="M6013" t="inlineStr">
        <is>
          <t>Muçarela Mozzana 2 kg</t>
        </is>
      </c>
      <c r="N6013" t="inlineStr">
        <is>
          <t>Esfiharia</t>
        </is>
      </c>
      <c r="O6013" t="n">
        <v>5</v>
      </c>
      <c r="P6013" t="n">
        <v>15</v>
      </c>
      <c r="Q6013" t="n">
        <v>0</v>
      </c>
    </row>
    <row r="6014">
      <c r="J6014" t="inlineStr">
        <is>
          <t>A</t>
        </is>
      </c>
      <c r="K6014" t="n">
        <v>2026</v>
      </c>
      <c r="L6014" t="n">
        <v>4</v>
      </c>
      <c r="M6014" t="inlineStr">
        <is>
          <t>Muçarela Mozzana 2 kg</t>
        </is>
      </c>
      <c r="N6014" t="inlineStr">
        <is>
          <t>Esfiharia</t>
        </is>
      </c>
      <c r="O6014" t="n">
        <v>6</v>
      </c>
      <c r="P6014" t="n">
        <v>56</v>
      </c>
      <c r="Q6014" t="n">
        <v>2</v>
      </c>
    </row>
    <row r="6015">
      <c r="J6015" t="inlineStr">
        <is>
          <t>M</t>
        </is>
      </c>
      <c r="K6015" t="n">
        <v>2026</v>
      </c>
      <c r="L6015" t="n">
        <v>4</v>
      </c>
      <c r="M6015" t="inlineStr">
        <is>
          <t>Muçarela Mozzana 2 kg</t>
        </is>
      </c>
      <c r="N6015" t="inlineStr">
        <is>
          <t>Esfiharia</t>
        </is>
      </c>
      <c r="O6015" t="n">
        <v>5</v>
      </c>
      <c r="P6015" t="n">
        <v>16</v>
      </c>
      <c r="Q6015" t="n">
        <v>0</v>
      </c>
    </row>
    <row r="6016">
      <c r="J6016" t="inlineStr">
        <is>
          <t>A</t>
        </is>
      </c>
      <c r="K6016" t="n">
        <v>2026</v>
      </c>
      <c r="L6016" t="n">
        <v>5</v>
      </c>
      <c r="M6016" t="inlineStr">
        <is>
          <t>Muçarela Mozzana 2 kg</t>
        </is>
      </c>
      <c r="N6016" t="inlineStr">
        <is>
          <t>Esfiharia</t>
        </is>
      </c>
      <c r="O6016" t="n">
        <v>6</v>
      </c>
      <c r="P6016" t="n">
        <v>74</v>
      </c>
      <c r="Q6016" t="n">
        <v>2</v>
      </c>
    </row>
    <row r="6017">
      <c r="J6017" t="inlineStr">
        <is>
          <t>M</t>
        </is>
      </c>
      <c r="K6017" t="n">
        <v>2026</v>
      </c>
      <c r="L6017" t="n">
        <v>5</v>
      </c>
      <c r="M6017" t="inlineStr">
        <is>
          <t>Muçarela Mozzana 2 kg</t>
        </is>
      </c>
      <c r="N6017" t="inlineStr">
        <is>
          <t>Esfiharia</t>
        </is>
      </c>
      <c r="O6017" t="n">
        <v>5</v>
      </c>
      <c r="P6017" t="n">
        <v>18</v>
      </c>
      <c r="Q6017" t="n">
        <v>0</v>
      </c>
    </row>
    <row r="6018">
      <c r="J6018" t="inlineStr">
        <is>
          <t>A</t>
        </is>
      </c>
      <c r="K6018" t="n">
        <v>2026</v>
      </c>
      <c r="L6018" t="n">
        <v>6</v>
      </c>
      <c r="M6018" t="inlineStr">
        <is>
          <t>Muçarela Mozzana 2 kg</t>
        </is>
      </c>
      <c r="N6018" t="inlineStr">
        <is>
          <t>Esfiharia</t>
        </is>
      </c>
      <c r="O6018" t="n">
        <v>6</v>
      </c>
      <c r="P6018" t="n">
        <v>90</v>
      </c>
      <c r="Q6018" t="n">
        <v>2</v>
      </c>
    </row>
    <row r="6019">
      <c r="J6019" t="inlineStr">
        <is>
          <t>M</t>
        </is>
      </c>
      <c r="K6019" t="n">
        <v>2026</v>
      </c>
      <c r="L6019" t="n">
        <v>6</v>
      </c>
      <c r="M6019" t="inlineStr">
        <is>
          <t>Muçarela Mozzana 2 kg</t>
        </is>
      </c>
      <c r="N6019" t="inlineStr">
        <is>
          <t>Esfiharia</t>
        </is>
      </c>
      <c r="O6019" t="n">
        <v>5</v>
      </c>
      <c r="P6019" t="n">
        <v>16</v>
      </c>
      <c r="Q6019" t="n">
        <v>0</v>
      </c>
    </row>
    <row r="6020">
      <c r="J6020" t="inlineStr">
        <is>
          <t>A</t>
        </is>
      </c>
      <c r="K6020" t="n">
        <v>2026</v>
      </c>
      <c r="L6020" t="n">
        <v>7</v>
      </c>
      <c r="M6020" t="inlineStr">
        <is>
          <t>Muçarela Mozzana 2 kg</t>
        </is>
      </c>
      <c r="N6020" t="inlineStr">
        <is>
          <t>Esfiharia</t>
        </is>
      </c>
      <c r="O6020" t="n">
        <v>7</v>
      </c>
      <c r="P6020" t="n">
        <v>104</v>
      </c>
      <c r="Q6020" t="n">
        <v>2</v>
      </c>
    </row>
    <row r="6021">
      <c r="J6021" t="inlineStr">
        <is>
          <t>M</t>
        </is>
      </c>
      <c r="K6021" t="n">
        <v>2026</v>
      </c>
      <c r="L6021" t="n">
        <v>7</v>
      </c>
      <c r="M6021" t="inlineStr">
        <is>
          <t>Muçarela Mozzana 2 kg</t>
        </is>
      </c>
      <c r="N6021" t="inlineStr">
        <is>
          <t>Esfiharia</t>
        </is>
      </c>
      <c r="O6021" t="n">
        <v>5</v>
      </c>
      <c r="P6021" t="n">
        <v>14</v>
      </c>
      <c r="Q6021" t="n">
        <v>0</v>
      </c>
    </row>
    <row r="6022">
      <c r="J6022" t="inlineStr">
        <is>
          <t>A</t>
        </is>
      </c>
      <c r="K6022" t="n">
        <v>2026</v>
      </c>
      <c r="L6022" t="n">
        <v>8</v>
      </c>
      <c r="M6022" t="inlineStr">
        <is>
          <t>Muçarela Mozzana 2 kg</t>
        </is>
      </c>
      <c r="N6022" t="inlineStr">
        <is>
          <t>Esfiharia</t>
        </is>
      </c>
      <c r="O6022" t="n">
        <v>7</v>
      </c>
      <c r="P6022" t="n">
        <v>122</v>
      </c>
      <c r="Q6022" t="n">
        <v>2</v>
      </c>
    </row>
    <row r="6023">
      <c r="J6023" t="inlineStr">
        <is>
          <t>M</t>
        </is>
      </c>
      <c r="K6023" t="n">
        <v>2026</v>
      </c>
      <c r="L6023" t="n">
        <v>8</v>
      </c>
      <c r="M6023" t="inlineStr">
        <is>
          <t>Muçarela Mozzana 2 kg</t>
        </is>
      </c>
      <c r="N6023" t="inlineStr">
        <is>
          <t>Esfiharia</t>
        </is>
      </c>
      <c r="O6023" t="n">
        <v>5</v>
      </c>
      <c r="P6023" t="n">
        <v>18</v>
      </c>
      <c r="Q6023" t="n">
        <v>0</v>
      </c>
    </row>
    <row r="6024">
      <c r="J6024" t="inlineStr">
        <is>
          <t>A</t>
        </is>
      </c>
      <c r="K6024" t="n">
        <v>2026</v>
      </c>
      <c r="L6024" t="n">
        <v>9</v>
      </c>
      <c r="M6024" t="inlineStr">
        <is>
          <t>Muçarela Mozzana 2 kg</t>
        </is>
      </c>
      <c r="N6024" t="inlineStr">
        <is>
          <t>Esfiharia</t>
        </is>
      </c>
      <c r="O6024" t="n">
        <v>7</v>
      </c>
      <c r="P6024" t="n">
        <v>140</v>
      </c>
      <c r="Q6024" t="n">
        <v>2</v>
      </c>
    </row>
    <row r="6025">
      <c r="J6025" t="inlineStr">
        <is>
          <t>M</t>
        </is>
      </c>
      <c r="K6025" t="n">
        <v>2026</v>
      </c>
      <c r="L6025" t="n">
        <v>9</v>
      </c>
      <c r="M6025" t="inlineStr">
        <is>
          <t>Muçarela Mozzana 2 kg</t>
        </is>
      </c>
      <c r="N6025" t="inlineStr">
        <is>
          <t>Esfiharia</t>
        </is>
      </c>
      <c r="O6025" t="n">
        <v>5</v>
      </c>
      <c r="P6025" t="n">
        <v>18</v>
      </c>
      <c r="Q6025" t="n">
        <v>0</v>
      </c>
    </row>
    <row r="6026">
      <c r="J6026" t="inlineStr">
        <is>
          <t>A</t>
        </is>
      </c>
      <c r="K6026" t="n">
        <v>2026</v>
      </c>
      <c r="L6026" t="n">
        <v>10</v>
      </c>
      <c r="M6026" t="inlineStr">
        <is>
          <t>Muçarela Mozzana 2 kg</t>
        </is>
      </c>
      <c r="N6026" t="inlineStr">
        <is>
          <t>Esfiharia</t>
        </is>
      </c>
      <c r="O6026" t="n">
        <v>7</v>
      </c>
      <c r="P6026" t="n">
        <v>140</v>
      </c>
      <c r="Q6026" t="n">
        <v>2</v>
      </c>
    </row>
    <row r="6027">
      <c r="J6027" t="inlineStr">
        <is>
          <t>A</t>
        </is>
      </c>
      <c r="K6027" t="n">
        <v>2026</v>
      </c>
      <c r="L6027" t="n">
        <v>11</v>
      </c>
      <c r="M6027" t="inlineStr">
        <is>
          <t>Muçarela Mozzana 2 kg</t>
        </is>
      </c>
      <c r="N6027" t="inlineStr">
        <is>
          <t>Esfiharia</t>
        </is>
      </c>
      <c r="O6027" t="n">
        <v>7</v>
      </c>
      <c r="P6027" t="n">
        <v>140</v>
      </c>
      <c r="Q6027" t="n">
        <v>2</v>
      </c>
    </row>
    <row r="6028">
      <c r="J6028" t="inlineStr">
        <is>
          <t>A</t>
        </is>
      </c>
      <c r="K6028" t="n">
        <v>2026</v>
      </c>
      <c r="L6028" t="n">
        <v>12</v>
      </c>
      <c r="M6028" t="inlineStr">
        <is>
          <t>Muçarela Mozzana 2 kg</t>
        </is>
      </c>
      <c r="N6028" t="inlineStr">
        <is>
          <t>Esfiharia</t>
        </is>
      </c>
      <c r="O6028" t="n">
        <v>7</v>
      </c>
      <c r="P6028" t="n">
        <v>140</v>
      </c>
      <c r="Q6028" t="n">
        <v>2</v>
      </c>
    </row>
    <row r="6029">
      <c r="J6029" t="inlineStr">
        <is>
          <t>A</t>
        </is>
      </c>
      <c r="K6029" t="n">
        <v>2026</v>
      </c>
      <c r="L6029" t="n">
        <v>1</v>
      </c>
      <c r="M6029" t="inlineStr">
        <is>
          <t>Muçarela Mozzana 2 kg</t>
        </is>
      </c>
      <c r="N6029" t="inlineStr">
        <is>
          <t>Lanchonete / Cafeteria</t>
        </is>
      </c>
      <c r="O6029" t="n">
        <v>4</v>
      </c>
      <c r="P6029" t="n">
        <v>6</v>
      </c>
      <c r="Q6029" t="n">
        <v>1</v>
      </c>
    </row>
    <row r="6030">
      <c r="J6030" t="inlineStr">
        <is>
          <t>M</t>
        </is>
      </c>
      <c r="K6030" t="n">
        <v>2026</v>
      </c>
      <c r="L6030" t="n">
        <v>1</v>
      </c>
      <c r="M6030" t="inlineStr">
        <is>
          <t>Muçarela Mozzana 2 kg</t>
        </is>
      </c>
      <c r="N6030" t="inlineStr">
        <is>
          <t>Lanchonete / Cafeteria</t>
        </is>
      </c>
      <c r="O6030" t="n">
        <v>4</v>
      </c>
      <c r="P6030" t="n">
        <v>6</v>
      </c>
      <c r="Q6030" t="n">
        <v>0</v>
      </c>
    </row>
    <row r="6031">
      <c r="J6031" t="inlineStr">
        <is>
          <t>A</t>
        </is>
      </c>
      <c r="K6031" t="n">
        <v>2026</v>
      </c>
      <c r="L6031" t="n">
        <v>2</v>
      </c>
      <c r="M6031" t="inlineStr">
        <is>
          <t>Muçarela Mozzana 2 kg</t>
        </is>
      </c>
      <c r="N6031" t="inlineStr">
        <is>
          <t>Lanchonete / Cafeteria</t>
        </is>
      </c>
      <c r="O6031" t="n">
        <v>6</v>
      </c>
      <c r="P6031" t="n">
        <v>13</v>
      </c>
      <c r="Q6031" t="n">
        <v>1</v>
      </c>
    </row>
    <row r="6032">
      <c r="J6032" t="inlineStr">
        <is>
          <t>M</t>
        </is>
      </c>
      <c r="K6032" t="n">
        <v>2026</v>
      </c>
      <c r="L6032" t="n">
        <v>2</v>
      </c>
      <c r="M6032" t="inlineStr">
        <is>
          <t>Muçarela Mozzana 2 kg</t>
        </is>
      </c>
      <c r="N6032" t="inlineStr">
        <is>
          <t>Lanchonete / Cafeteria</t>
        </is>
      </c>
      <c r="O6032" t="n">
        <v>4</v>
      </c>
      <c r="P6032" t="n">
        <v>7</v>
      </c>
      <c r="Q6032" t="n">
        <v>0</v>
      </c>
    </row>
    <row r="6033">
      <c r="J6033" t="inlineStr">
        <is>
          <t>A</t>
        </is>
      </c>
      <c r="K6033" t="n">
        <v>2026</v>
      </c>
      <c r="L6033" t="n">
        <v>3</v>
      </c>
      <c r="M6033" t="inlineStr">
        <is>
          <t>Muçarela Mozzana 2 kg</t>
        </is>
      </c>
      <c r="N6033" t="inlineStr">
        <is>
          <t>Lanchonete / Cafeteria</t>
        </is>
      </c>
      <c r="O6033" t="n">
        <v>8</v>
      </c>
      <c r="P6033" t="n">
        <v>23</v>
      </c>
      <c r="Q6033" t="n">
        <v>2</v>
      </c>
    </row>
    <row r="6034">
      <c r="J6034" t="inlineStr">
        <is>
          <t>M</t>
        </is>
      </c>
      <c r="K6034" t="n">
        <v>2026</v>
      </c>
      <c r="L6034" t="n">
        <v>3</v>
      </c>
      <c r="M6034" t="inlineStr">
        <is>
          <t>Muçarela Mozzana 2 kg</t>
        </is>
      </c>
      <c r="N6034" t="inlineStr">
        <is>
          <t>Lanchonete / Cafeteria</t>
        </is>
      </c>
      <c r="O6034" t="n">
        <v>5</v>
      </c>
      <c r="P6034" t="n">
        <v>10</v>
      </c>
      <c r="Q6034" t="n">
        <v>0</v>
      </c>
    </row>
    <row r="6035">
      <c r="J6035" t="inlineStr">
        <is>
          <t>A</t>
        </is>
      </c>
      <c r="K6035" t="n">
        <v>2026</v>
      </c>
      <c r="L6035" t="n">
        <v>4</v>
      </c>
      <c r="M6035" t="inlineStr">
        <is>
          <t>Muçarela Mozzana 2 kg</t>
        </is>
      </c>
      <c r="N6035" t="inlineStr">
        <is>
          <t>Lanchonete / Cafeteria</t>
        </is>
      </c>
      <c r="O6035" t="n">
        <v>13</v>
      </c>
      <c r="P6035" t="n">
        <v>39</v>
      </c>
      <c r="Q6035" t="n">
        <v>7</v>
      </c>
    </row>
    <row r="6036">
      <c r="J6036" t="inlineStr">
        <is>
          <t>M</t>
        </is>
      </c>
      <c r="K6036" t="n">
        <v>2026</v>
      </c>
      <c r="L6036" t="n">
        <v>4</v>
      </c>
      <c r="M6036" t="inlineStr">
        <is>
          <t>Muçarela Mozzana 2 kg</t>
        </is>
      </c>
      <c r="N6036" t="inlineStr">
        <is>
          <t>Lanchonete / Cafeteria</t>
        </is>
      </c>
      <c r="O6036" t="n">
        <v>9</v>
      </c>
      <c r="P6036" t="n">
        <v>16</v>
      </c>
      <c r="Q6036" t="n">
        <v>0</v>
      </c>
    </row>
    <row r="6037">
      <c r="J6037" t="inlineStr">
        <is>
          <t>A</t>
        </is>
      </c>
      <c r="K6037" t="n">
        <v>2026</v>
      </c>
      <c r="L6037" t="n">
        <v>5</v>
      </c>
      <c r="M6037" t="inlineStr">
        <is>
          <t>Muçarela Mozzana 2 kg</t>
        </is>
      </c>
      <c r="N6037" t="inlineStr">
        <is>
          <t>Lanchonete / Cafeteria</t>
        </is>
      </c>
      <c r="O6037" t="n">
        <v>15</v>
      </c>
      <c r="P6037" t="n">
        <v>57</v>
      </c>
      <c r="Q6037" t="n">
        <v>8</v>
      </c>
    </row>
    <row r="6038">
      <c r="J6038" t="inlineStr">
        <is>
          <t>M</t>
        </is>
      </c>
      <c r="K6038" t="n">
        <v>2026</v>
      </c>
      <c r="L6038" t="n">
        <v>5</v>
      </c>
      <c r="M6038" t="inlineStr">
        <is>
          <t>Muçarela Mozzana 2 kg</t>
        </is>
      </c>
      <c r="N6038" t="inlineStr">
        <is>
          <t>Lanchonete / Cafeteria</t>
        </is>
      </c>
      <c r="O6038" t="n">
        <v>8</v>
      </c>
      <c r="P6038" t="n">
        <v>18</v>
      </c>
      <c r="Q6038" t="n">
        <v>0</v>
      </c>
    </row>
    <row r="6039">
      <c r="J6039" t="inlineStr">
        <is>
          <t>A</t>
        </is>
      </c>
      <c r="K6039" t="n">
        <v>2026</v>
      </c>
      <c r="L6039" t="n">
        <v>6</v>
      </c>
      <c r="M6039" t="inlineStr">
        <is>
          <t>Muçarela Mozzana 2 kg</t>
        </is>
      </c>
      <c r="N6039" t="inlineStr">
        <is>
          <t>Lanchonete / Cafeteria</t>
        </is>
      </c>
      <c r="O6039" t="n">
        <v>19</v>
      </c>
      <c r="P6039" t="n">
        <v>87</v>
      </c>
      <c r="Q6039" t="n">
        <v>12</v>
      </c>
    </row>
    <row r="6040">
      <c r="J6040" t="inlineStr">
        <is>
          <t>M</t>
        </is>
      </c>
      <c r="K6040" t="n">
        <v>2026</v>
      </c>
      <c r="L6040" t="n">
        <v>6</v>
      </c>
      <c r="M6040" t="inlineStr">
        <is>
          <t>Muçarela Mozzana 2 kg</t>
        </is>
      </c>
      <c r="N6040" t="inlineStr">
        <is>
          <t>Lanchonete / Cafeteria</t>
        </is>
      </c>
      <c r="O6040" t="n">
        <v>12</v>
      </c>
      <c r="P6040" t="n">
        <v>30</v>
      </c>
      <c r="Q6040" t="n">
        <v>0</v>
      </c>
    </row>
    <row r="6041">
      <c r="J6041" t="inlineStr">
        <is>
          <t>A</t>
        </is>
      </c>
      <c r="K6041" t="n">
        <v>2026</v>
      </c>
      <c r="L6041" t="n">
        <v>7</v>
      </c>
      <c r="M6041" t="inlineStr">
        <is>
          <t>Muçarela Mozzana 2 kg</t>
        </is>
      </c>
      <c r="N6041" t="inlineStr">
        <is>
          <t>Lanchonete / Cafeteria</t>
        </is>
      </c>
      <c r="O6041" t="n">
        <v>20</v>
      </c>
      <c r="P6041" t="n">
        <v>114</v>
      </c>
      <c r="Q6041" t="n">
        <v>13</v>
      </c>
    </row>
    <row r="6042">
      <c r="J6042" t="inlineStr">
        <is>
          <t>M</t>
        </is>
      </c>
      <c r="K6042" t="n">
        <v>2026</v>
      </c>
      <c r="L6042" t="n">
        <v>7</v>
      </c>
      <c r="M6042" t="inlineStr">
        <is>
          <t>Muçarela Mozzana 2 kg</t>
        </is>
      </c>
      <c r="N6042" t="inlineStr">
        <is>
          <t>Lanchonete / Cafeteria</t>
        </is>
      </c>
      <c r="O6042" t="n">
        <v>10</v>
      </c>
      <c r="P6042" t="n">
        <v>27</v>
      </c>
      <c r="Q6042" t="n">
        <v>0</v>
      </c>
    </row>
    <row r="6043">
      <c r="J6043" t="inlineStr">
        <is>
          <t>A</t>
        </is>
      </c>
      <c r="K6043" t="n">
        <v>2026</v>
      </c>
      <c r="L6043" t="n">
        <v>8</v>
      </c>
      <c r="M6043" t="inlineStr">
        <is>
          <t>Muçarela Mozzana 2 kg</t>
        </is>
      </c>
      <c r="N6043" t="inlineStr">
        <is>
          <t>Lanchonete / Cafeteria</t>
        </is>
      </c>
      <c r="O6043" t="n">
        <v>20</v>
      </c>
      <c r="P6043" t="n">
        <v>136</v>
      </c>
      <c r="Q6043" t="n">
        <v>13</v>
      </c>
    </row>
    <row r="6044">
      <c r="J6044" t="inlineStr">
        <is>
          <t>M</t>
        </is>
      </c>
      <c r="K6044" t="n">
        <v>2026</v>
      </c>
      <c r="L6044" t="n">
        <v>8</v>
      </c>
      <c r="M6044" t="inlineStr">
        <is>
          <t>Muçarela Mozzana 2 kg</t>
        </is>
      </c>
      <c r="N6044" t="inlineStr">
        <is>
          <t>Lanchonete / Cafeteria</t>
        </is>
      </c>
      <c r="O6044" t="n">
        <v>9</v>
      </c>
      <c r="P6044" t="n">
        <v>22</v>
      </c>
      <c r="Q6044" t="n">
        <v>0</v>
      </c>
    </row>
    <row r="6045">
      <c r="J6045" t="inlineStr">
        <is>
          <t>A</t>
        </is>
      </c>
      <c r="K6045" t="n">
        <v>2026</v>
      </c>
      <c r="L6045" t="n">
        <v>9</v>
      </c>
      <c r="M6045" t="inlineStr">
        <is>
          <t>Muçarela Mozzana 2 kg</t>
        </is>
      </c>
      <c r="N6045" t="inlineStr">
        <is>
          <t>Lanchonete / Cafeteria</t>
        </is>
      </c>
      <c r="O6045" t="n">
        <v>21</v>
      </c>
      <c r="P6045" t="n">
        <v>168</v>
      </c>
      <c r="Q6045" t="n">
        <v>13</v>
      </c>
    </row>
    <row r="6046">
      <c r="J6046" t="inlineStr">
        <is>
          <t>M</t>
        </is>
      </c>
      <c r="K6046" t="n">
        <v>2026</v>
      </c>
      <c r="L6046" t="n">
        <v>9</v>
      </c>
      <c r="M6046" t="inlineStr">
        <is>
          <t>Muçarela Mozzana 2 kg</t>
        </is>
      </c>
      <c r="N6046" t="inlineStr">
        <is>
          <t>Lanchonete / Cafeteria</t>
        </is>
      </c>
      <c r="O6046" t="n">
        <v>10</v>
      </c>
      <c r="P6046" t="n">
        <v>32</v>
      </c>
      <c r="Q6046" t="n">
        <v>0</v>
      </c>
    </row>
    <row r="6047">
      <c r="J6047" t="inlineStr">
        <is>
          <t>A</t>
        </is>
      </c>
      <c r="K6047" t="n">
        <v>2026</v>
      </c>
      <c r="L6047" t="n">
        <v>10</v>
      </c>
      <c r="M6047" t="inlineStr">
        <is>
          <t>Muçarela Mozzana 2 kg</t>
        </is>
      </c>
      <c r="N6047" t="inlineStr">
        <is>
          <t>Lanchonete / Cafeteria</t>
        </is>
      </c>
      <c r="O6047" t="n">
        <v>21</v>
      </c>
      <c r="P6047" t="n">
        <v>168</v>
      </c>
      <c r="Q6047" t="n">
        <v>13</v>
      </c>
    </row>
    <row r="6048">
      <c r="J6048" t="inlineStr">
        <is>
          <t>A</t>
        </is>
      </c>
      <c r="K6048" t="n">
        <v>2026</v>
      </c>
      <c r="L6048" t="n">
        <v>11</v>
      </c>
      <c r="M6048" t="inlineStr">
        <is>
          <t>Muçarela Mozzana 2 kg</t>
        </is>
      </c>
      <c r="N6048" t="inlineStr">
        <is>
          <t>Lanchonete / Cafeteria</t>
        </is>
      </c>
      <c r="O6048" t="n">
        <v>21</v>
      </c>
      <c r="P6048" t="n">
        <v>168</v>
      </c>
      <c r="Q6048" t="n">
        <v>13</v>
      </c>
    </row>
    <row r="6049">
      <c r="J6049" t="inlineStr">
        <is>
          <t>A</t>
        </is>
      </c>
      <c r="K6049" t="n">
        <v>2026</v>
      </c>
      <c r="L6049" t="n">
        <v>12</v>
      </c>
      <c r="M6049" t="inlineStr">
        <is>
          <t>Muçarela Mozzana 2 kg</t>
        </is>
      </c>
      <c r="N6049" t="inlineStr">
        <is>
          <t>Lanchonete / Cafeteria</t>
        </is>
      </c>
      <c r="O6049" t="n">
        <v>21</v>
      </c>
      <c r="P6049" t="n">
        <v>168</v>
      </c>
      <c r="Q6049" t="n">
        <v>13</v>
      </c>
    </row>
    <row r="6050">
      <c r="J6050" t="inlineStr">
        <is>
          <t>A</t>
        </is>
      </c>
      <c r="K6050" t="n">
        <v>2026</v>
      </c>
      <c r="L6050" t="n">
        <v>1</v>
      </c>
      <c r="M6050" t="inlineStr">
        <is>
          <t>Muçarela Mozzana 2 kg</t>
        </is>
      </c>
      <c r="N6050" t="inlineStr">
        <is>
          <t>Padaria</t>
        </is>
      </c>
      <c r="O6050" t="n">
        <v>3</v>
      </c>
      <c r="P6050" t="n">
        <v>7</v>
      </c>
      <c r="Q6050" t="n">
        <v>0</v>
      </c>
    </row>
    <row r="6051">
      <c r="J6051" t="inlineStr">
        <is>
          <t>M</t>
        </is>
      </c>
      <c r="K6051" t="n">
        <v>2026</v>
      </c>
      <c r="L6051" t="n">
        <v>1</v>
      </c>
      <c r="M6051" t="inlineStr">
        <is>
          <t>Muçarela Mozzana 2 kg</t>
        </is>
      </c>
      <c r="N6051" t="inlineStr">
        <is>
          <t>Padaria</t>
        </is>
      </c>
      <c r="O6051" t="n">
        <v>3</v>
      </c>
      <c r="P6051" t="n">
        <v>7</v>
      </c>
      <c r="Q6051" t="n">
        <v>0</v>
      </c>
    </row>
    <row r="6052">
      <c r="J6052" t="inlineStr">
        <is>
          <t>A</t>
        </is>
      </c>
      <c r="K6052" t="n">
        <v>2026</v>
      </c>
      <c r="L6052" t="n">
        <v>2</v>
      </c>
      <c r="M6052" t="inlineStr">
        <is>
          <t>Muçarela Mozzana 2 kg</t>
        </is>
      </c>
      <c r="N6052" t="inlineStr">
        <is>
          <t>Padaria</t>
        </is>
      </c>
      <c r="O6052" t="n">
        <v>5</v>
      </c>
      <c r="P6052" t="n">
        <v>15</v>
      </c>
      <c r="Q6052" t="n">
        <v>1</v>
      </c>
    </row>
    <row r="6053">
      <c r="J6053" t="inlineStr">
        <is>
          <t>M</t>
        </is>
      </c>
      <c r="K6053" t="n">
        <v>2026</v>
      </c>
      <c r="L6053" t="n">
        <v>2</v>
      </c>
      <c r="M6053" t="inlineStr">
        <is>
          <t>Muçarela Mozzana 2 kg</t>
        </is>
      </c>
      <c r="N6053" t="inlineStr">
        <is>
          <t>Padaria</t>
        </is>
      </c>
      <c r="O6053" t="n">
        <v>4</v>
      </c>
      <c r="P6053" t="n">
        <v>8</v>
      </c>
      <c r="Q6053" t="n">
        <v>0</v>
      </c>
    </row>
    <row r="6054">
      <c r="J6054" t="inlineStr">
        <is>
          <t>A</t>
        </is>
      </c>
      <c r="K6054" t="n">
        <v>2026</v>
      </c>
      <c r="L6054" t="n">
        <v>3</v>
      </c>
      <c r="M6054" t="inlineStr">
        <is>
          <t>Muçarela Mozzana 2 kg</t>
        </is>
      </c>
      <c r="N6054" t="inlineStr">
        <is>
          <t>Padaria</t>
        </is>
      </c>
      <c r="O6054" t="n">
        <v>7</v>
      </c>
      <c r="P6054" t="n">
        <v>27</v>
      </c>
      <c r="Q6054" t="n">
        <v>3</v>
      </c>
    </row>
    <row r="6055">
      <c r="J6055" t="inlineStr">
        <is>
          <t>M</t>
        </is>
      </c>
      <c r="K6055" t="n">
        <v>2026</v>
      </c>
      <c r="L6055" t="n">
        <v>3</v>
      </c>
      <c r="M6055" t="inlineStr">
        <is>
          <t>Muçarela Mozzana 2 kg</t>
        </is>
      </c>
      <c r="N6055" t="inlineStr">
        <is>
          <t>Padaria</t>
        </is>
      </c>
      <c r="O6055" t="n">
        <v>6</v>
      </c>
      <c r="P6055" t="n">
        <v>12</v>
      </c>
      <c r="Q6055" t="n">
        <v>0</v>
      </c>
    </row>
    <row r="6056">
      <c r="J6056" t="inlineStr">
        <is>
          <t>A</t>
        </is>
      </c>
      <c r="K6056" t="n">
        <v>2026</v>
      </c>
      <c r="L6056" t="n">
        <v>4</v>
      </c>
      <c r="M6056" t="inlineStr">
        <is>
          <t>Muçarela Mozzana 2 kg</t>
        </is>
      </c>
      <c r="N6056" t="inlineStr">
        <is>
          <t>Padaria</t>
        </is>
      </c>
      <c r="O6056" t="n">
        <v>8</v>
      </c>
      <c r="P6056" t="n">
        <v>37</v>
      </c>
      <c r="Q6056" t="n">
        <v>4</v>
      </c>
    </row>
    <row r="6057">
      <c r="J6057" t="inlineStr">
        <is>
          <t>M</t>
        </is>
      </c>
      <c r="K6057" t="n">
        <v>2026</v>
      </c>
      <c r="L6057" t="n">
        <v>4</v>
      </c>
      <c r="M6057" t="inlineStr">
        <is>
          <t>Muçarela Mozzana 2 kg</t>
        </is>
      </c>
      <c r="N6057" t="inlineStr">
        <is>
          <t>Padaria</t>
        </is>
      </c>
      <c r="O6057" t="n">
        <v>5</v>
      </c>
      <c r="P6057" t="n">
        <v>10</v>
      </c>
      <c r="Q6057" t="n">
        <v>0</v>
      </c>
    </row>
    <row r="6058">
      <c r="J6058" t="inlineStr">
        <is>
          <t>A</t>
        </is>
      </c>
      <c r="K6058" t="n">
        <v>2026</v>
      </c>
      <c r="L6058" t="n">
        <v>5</v>
      </c>
      <c r="M6058" t="inlineStr">
        <is>
          <t>Muçarela Mozzana 2 kg</t>
        </is>
      </c>
      <c r="N6058" t="inlineStr">
        <is>
          <t>Padaria</t>
        </is>
      </c>
      <c r="O6058" t="n">
        <v>9</v>
      </c>
      <c r="P6058" t="n">
        <v>48</v>
      </c>
      <c r="Q6058" t="n">
        <v>5</v>
      </c>
    </row>
    <row r="6059">
      <c r="J6059" t="inlineStr">
        <is>
          <t>M</t>
        </is>
      </c>
      <c r="K6059" t="n">
        <v>2026</v>
      </c>
      <c r="L6059" t="n">
        <v>5</v>
      </c>
      <c r="M6059" t="inlineStr">
        <is>
          <t>Muçarela Mozzana 2 kg</t>
        </is>
      </c>
      <c r="N6059" t="inlineStr">
        <is>
          <t>Padaria</t>
        </is>
      </c>
      <c r="O6059" t="n">
        <v>4</v>
      </c>
      <c r="P6059" t="n">
        <v>11</v>
      </c>
      <c r="Q6059" t="n">
        <v>0</v>
      </c>
    </row>
    <row r="6060">
      <c r="J6060" t="inlineStr">
        <is>
          <t>A</t>
        </is>
      </c>
      <c r="K6060" t="n">
        <v>2026</v>
      </c>
      <c r="L6060" t="n">
        <v>6</v>
      </c>
      <c r="M6060" t="inlineStr">
        <is>
          <t>Muçarela Mozzana 2 kg</t>
        </is>
      </c>
      <c r="N6060" t="inlineStr">
        <is>
          <t>Padaria</t>
        </is>
      </c>
      <c r="O6060" t="n">
        <v>10</v>
      </c>
      <c r="P6060" t="n">
        <v>59</v>
      </c>
      <c r="Q6060" t="n">
        <v>5</v>
      </c>
    </row>
    <row r="6061">
      <c r="J6061" t="inlineStr">
        <is>
          <t>M</t>
        </is>
      </c>
      <c r="K6061" t="n">
        <v>2026</v>
      </c>
      <c r="L6061" t="n">
        <v>6</v>
      </c>
      <c r="M6061" t="inlineStr">
        <is>
          <t>Muçarela Mozzana 2 kg</t>
        </is>
      </c>
      <c r="N6061" t="inlineStr">
        <is>
          <t>Padaria</t>
        </is>
      </c>
      <c r="O6061" t="n">
        <v>5</v>
      </c>
      <c r="P6061" t="n">
        <v>11</v>
      </c>
      <c r="Q6061" t="n">
        <v>0</v>
      </c>
    </row>
    <row r="6062">
      <c r="J6062" t="inlineStr">
        <is>
          <t>A</t>
        </is>
      </c>
      <c r="K6062" t="n">
        <v>2026</v>
      </c>
      <c r="L6062" t="n">
        <v>7</v>
      </c>
      <c r="M6062" t="inlineStr">
        <is>
          <t>Muçarela Mozzana 2 kg</t>
        </is>
      </c>
      <c r="N6062" t="inlineStr">
        <is>
          <t>Padaria</t>
        </is>
      </c>
      <c r="O6062" t="n">
        <v>13</v>
      </c>
      <c r="P6062" t="n">
        <v>70</v>
      </c>
      <c r="Q6062" t="n">
        <v>8</v>
      </c>
    </row>
    <row r="6063">
      <c r="J6063" t="inlineStr">
        <is>
          <t>M</t>
        </is>
      </c>
      <c r="K6063" t="n">
        <v>2026</v>
      </c>
      <c r="L6063" t="n">
        <v>7</v>
      </c>
      <c r="M6063" t="inlineStr">
        <is>
          <t>Muçarela Mozzana 2 kg</t>
        </is>
      </c>
      <c r="N6063" t="inlineStr">
        <is>
          <t>Padaria</t>
        </is>
      </c>
      <c r="O6063" t="n">
        <v>8</v>
      </c>
      <c r="P6063" t="n">
        <v>11</v>
      </c>
      <c r="Q6063" t="n">
        <v>0</v>
      </c>
    </row>
    <row r="6064">
      <c r="J6064" t="inlineStr">
        <is>
          <t>A</t>
        </is>
      </c>
      <c r="K6064" t="n">
        <v>2026</v>
      </c>
      <c r="L6064" t="n">
        <v>8</v>
      </c>
      <c r="M6064" t="inlineStr">
        <is>
          <t>Muçarela Mozzana 2 kg</t>
        </is>
      </c>
      <c r="N6064" t="inlineStr">
        <is>
          <t>Padaria</t>
        </is>
      </c>
      <c r="O6064" t="n">
        <v>13</v>
      </c>
      <c r="P6064" t="n">
        <v>77</v>
      </c>
      <c r="Q6064" t="n">
        <v>8</v>
      </c>
    </row>
    <row r="6065">
      <c r="J6065" t="inlineStr">
        <is>
          <t>M</t>
        </is>
      </c>
      <c r="K6065" t="n">
        <v>2026</v>
      </c>
      <c r="L6065" t="n">
        <v>8</v>
      </c>
      <c r="M6065" t="inlineStr">
        <is>
          <t>Muçarela Mozzana 2 kg</t>
        </is>
      </c>
      <c r="N6065" t="inlineStr">
        <is>
          <t>Padaria</t>
        </is>
      </c>
      <c r="O6065" t="n">
        <v>4</v>
      </c>
      <c r="P6065" t="n">
        <v>7</v>
      </c>
      <c r="Q6065" t="n">
        <v>0</v>
      </c>
    </row>
    <row r="6066">
      <c r="J6066" t="inlineStr">
        <is>
          <t>A</t>
        </is>
      </c>
      <c r="K6066" t="n">
        <v>2026</v>
      </c>
      <c r="L6066" t="n">
        <v>9</v>
      </c>
      <c r="M6066" t="inlineStr">
        <is>
          <t>Muçarela Mozzana 2 kg</t>
        </is>
      </c>
      <c r="N6066" t="inlineStr">
        <is>
          <t>Padaria</t>
        </is>
      </c>
      <c r="O6066" t="n">
        <v>13</v>
      </c>
      <c r="P6066" t="n">
        <v>85</v>
      </c>
      <c r="Q6066" t="n">
        <v>8</v>
      </c>
    </row>
    <row r="6067">
      <c r="J6067" t="inlineStr">
        <is>
          <t>M</t>
        </is>
      </c>
      <c r="K6067" t="n">
        <v>2026</v>
      </c>
      <c r="L6067" t="n">
        <v>9</v>
      </c>
      <c r="M6067" t="inlineStr">
        <is>
          <t>Muçarela Mozzana 2 kg</t>
        </is>
      </c>
      <c r="N6067" t="inlineStr">
        <is>
          <t>Padaria</t>
        </is>
      </c>
      <c r="O6067" t="n">
        <v>3</v>
      </c>
      <c r="P6067" t="n">
        <v>8</v>
      </c>
      <c r="Q6067" t="n">
        <v>0</v>
      </c>
    </row>
    <row r="6068">
      <c r="J6068" t="inlineStr">
        <is>
          <t>A</t>
        </is>
      </c>
      <c r="K6068" t="n">
        <v>2026</v>
      </c>
      <c r="L6068" t="n">
        <v>10</v>
      </c>
      <c r="M6068" t="inlineStr">
        <is>
          <t>Muçarela Mozzana 2 kg</t>
        </is>
      </c>
      <c r="N6068" t="inlineStr">
        <is>
          <t>Padaria</t>
        </is>
      </c>
      <c r="O6068" t="n">
        <v>13</v>
      </c>
      <c r="P6068" t="n">
        <v>85</v>
      </c>
      <c r="Q6068" t="n">
        <v>8</v>
      </c>
    </row>
    <row r="6069">
      <c r="J6069" t="inlineStr">
        <is>
          <t>A</t>
        </is>
      </c>
      <c r="K6069" t="n">
        <v>2026</v>
      </c>
      <c r="L6069" t="n">
        <v>11</v>
      </c>
      <c r="M6069" t="inlineStr">
        <is>
          <t>Muçarela Mozzana 2 kg</t>
        </is>
      </c>
      <c r="N6069" t="inlineStr">
        <is>
          <t>Padaria</t>
        </is>
      </c>
      <c r="O6069" t="n">
        <v>13</v>
      </c>
      <c r="P6069" t="n">
        <v>85</v>
      </c>
      <c r="Q6069" t="n">
        <v>8</v>
      </c>
    </row>
    <row r="6070">
      <c r="J6070" t="inlineStr">
        <is>
          <t>A</t>
        </is>
      </c>
      <c r="K6070" t="n">
        <v>2026</v>
      </c>
      <c r="L6070" t="n">
        <v>12</v>
      </c>
      <c r="M6070" t="inlineStr">
        <is>
          <t>Muçarela Mozzana 2 kg</t>
        </is>
      </c>
      <c r="N6070" t="inlineStr">
        <is>
          <t>Padaria</t>
        </is>
      </c>
      <c r="O6070" t="n">
        <v>13</v>
      </c>
      <c r="P6070" t="n">
        <v>85</v>
      </c>
      <c r="Q6070" t="n">
        <v>8</v>
      </c>
    </row>
    <row r="6071">
      <c r="J6071" t="inlineStr">
        <is>
          <t>A</t>
        </is>
      </c>
      <c r="K6071" t="n">
        <v>2026</v>
      </c>
      <c r="L6071" t="n">
        <v>1</v>
      </c>
      <c r="M6071" t="inlineStr">
        <is>
          <t>Muçarela Mozzana 2 kg</t>
        </is>
      </c>
      <c r="N6071" t="inlineStr">
        <is>
          <t>Supermercado</t>
        </is>
      </c>
      <c r="O6071" t="n">
        <v>2</v>
      </c>
      <c r="P6071" t="n">
        <v>7</v>
      </c>
      <c r="Q6071" t="n">
        <v>0</v>
      </c>
    </row>
    <row r="6072">
      <c r="J6072" t="inlineStr">
        <is>
          <t>M</t>
        </is>
      </c>
      <c r="K6072" t="n">
        <v>2026</v>
      </c>
      <c r="L6072" t="n">
        <v>1</v>
      </c>
      <c r="M6072" t="inlineStr">
        <is>
          <t>Muçarela Mozzana 2 kg</t>
        </is>
      </c>
      <c r="N6072" t="inlineStr">
        <is>
          <t>Supermercado</t>
        </is>
      </c>
      <c r="O6072" t="n">
        <v>2</v>
      </c>
      <c r="P6072" t="n">
        <v>7</v>
      </c>
      <c r="Q6072" t="n">
        <v>0</v>
      </c>
    </row>
    <row r="6073">
      <c r="J6073" t="inlineStr">
        <is>
          <t>A</t>
        </is>
      </c>
      <c r="K6073" t="n">
        <v>2026</v>
      </c>
      <c r="L6073" t="n">
        <v>2</v>
      </c>
      <c r="M6073" t="inlineStr">
        <is>
          <t>Muçarela Mozzana 2 kg</t>
        </is>
      </c>
      <c r="N6073" t="inlineStr">
        <is>
          <t>Supermercado</t>
        </is>
      </c>
      <c r="O6073" t="n">
        <v>3</v>
      </c>
      <c r="P6073" t="n">
        <v>15</v>
      </c>
      <c r="Q6073" t="n">
        <v>0</v>
      </c>
    </row>
    <row r="6074">
      <c r="J6074" t="inlineStr">
        <is>
          <t>M</t>
        </is>
      </c>
      <c r="K6074" t="n">
        <v>2026</v>
      </c>
      <c r="L6074" t="n">
        <v>2</v>
      </c>
      <c r="M6074" t="inlineStr">
        <is>
          <t>Muçarela Mozzana 2 kg</t>
        </is>
      </c>
      <c r="N6074" t="inlineStr">
        <is>
          <t>Supermercado</t>
        </is>
      </c>
      <c r="O6074" t="n">
        <v>3</v>
      </c>
      <c r="P6074" t="n">
        <v>8</v>
      </c>
      <c r="Q6074" t="n">
        <v>0</v>
      </c>
    </row>
    <row r="6075">
      <c r="J6075" t="inlineStr">
        <is>
          <t>A</t>
        </is>
      </c>
      <c r="K6075" t="n">
        <v>2026</v>
      </c>
      <c r="L6075" t="n">
        <v>3</v>
      </c>
      <c r="M6075" t="inlineStr">
        <is>
          <t>Muçarela Mozzana 2 kg</t>
        </is>
      </c>
      <c r="N6075" t="inlineStr">
        <is>
          <t>Supermercado</t>
        </is>
      </c>
      <c r="O6075" t="n">
        <v>3</v>
      </c>
      <c r="P6075" t="n">
        <v>22</v>
      </c>
      <c r="Q6075" t="n">
        <v>0</v>
      </c>
    </row>
    <row r="6076">
      <c r="J6076" t="inlineStr">
        <is>
          <t>M</t>
        </is>
      </c>
      <c r="K6076" t="n">
        <v>2026</v>
      </c>
      <c r="L6076" t="n">
        <v>3</v>
      </c>
      <c r="M6076" t="inlineStr">
        <is>
          <t>Muçarela Mozzana 2 kg</t>
        </is>
      </c>
      <c r="N6076" t="inlineStr">
        <is>
          <t>Supermercado</t>
        </is>
      </c>
      <c r="O6076" t="n">
        <v>2</v>
      </c>
      <c r="P6076" t="n">
        <v>7</v>
      </c>
      <c r="Q6076" t="n">
        <v>0</v>
      </c>
    </row>
    <row r="6077">
      <c r="J6077" t="inlineStr">
        <is>
          <t>A</t>
        </is>
      </c>
      <c r="K6077" t="n">
        <v>2026</v>
      </c>
      <c r="L6077" t="n">
        <v>4</v>
      </c>
      <c r="M6077" t="inlineStr">
        <is>
          <t>Muçarela Mozzana 2 kg</t>
        </is>
      </c>
      <c r="N6077" t="inlineStr">
        <is>
          <t>Supermercado</t>
        </is>
      </c>
      <c r="O6077" t="n">
        <v>3</v>
      </c>
      <c r="P6077" t="n">
        <v>28</v>
      </c>
      <c r="Q6077" t="n">
        <v>0</v>
      </c>
    </row>
    <row r="6078">
      <c r="J6078" t="inlineStr">
        <is>
          <t>M</t>
        </is>
      </c>
      <c r="K6078" t="n">
        <v>2026</v>
      </c>
      <c r="L6078" t="n">
        <v>4</v>
      </c>
      <c r="M6078" t="inlineStr">
        <is>
          <t>Muçarela Mozzana 2 kg</t>
        </is>
      </c>
      <c r="N6078" t="inlineStr">
        <is>
          <t>Supermercado</t>
        </is>
      </c>
      <c r="O6078" t="n">
        <v>2</v>
      </c>
      <c r="P6078" t="n">
        <v>6</v>
      </c>
      <c r="Q6078" t="n">
        <v>0</v>
      </c>
    </row>
    <row r="6079">
      <c r="J6079" t="inlineStr">
        <is>
          <t>A</t>
        </is>
      </c>
      <c r="K6079" t="n">
        <v>2026</v>
      </c>
      <c r="L6079" t="n">
        <v>5</v>
      </c>
      <c r="M6079" t="inlineStr">
        <is>
          <t>Muçarela Mozzana 2 kg</t>
        </is>
      </c>
      <c r="N6079" t="inlineStr">
        <is>
          <t>Supermercado</t>
        </is>
      </c>
      <c r="O6079" t="n">
        <v>3</v>
      </c>
      <c r="P6079" t="n">
        <v>36</v>
      </c>
      <c r="Q6079" t="n">
        <v>0</v>
      </c>
    </row>
    <row r="6080">
      <c r="J6080" t="inlineStr">
        <is>
          <t>M</t>
        </is>
      </c>
      <c r="K6080" t="n">
        <v>2026</v>
      </c>
      <c r="L6080" t="n">
        <v>5</v>
      </c>
      <c r="M6080" t="inlineStr">
        <is>
          <t>Muçarela Mozzana 2 kg</t>
        </is>
      </c>
      <c r="N6080" t="inlineStr">
        <is>
          <t>Supermercado</t>
        </is>
      </c>
      <c r="O6080" t="n">
        <v>2</v>
      </c>
      <c r="P6080" t="n">
        <v>8</v>
      </c>
      <c r="Q6080" t="n">
        <v>0</v>
      </c>
    </row>
    <row r="6081">
      <c r="J6081" t="inlineStr">
        <is>
          <t>A</t>
        </is>
      </c>
      <c r="K6081" t="n">
        <v>2026</v>
      </c>
      <c r="L6081" t="n">
        <v>6</v>
      </c>
      <c r="M6081" t="inlineStr">
        <is>
          <t>Muçarela Mozzana 2 kg</t>
        </is>
      </c>
      <c r="N6081" t="inlineStr">
        <is>
          <t>Supermercado</t>
        </is>
      </c>
      <c r="O6081" t="n">
        <v>6</v>
      </c>
      <c r="P6081" t="n">
        <v>49</v>
      </c>
      <c r="Q6081" t="n">
        <v>3</v>
      </c>
    </row>
    <row r="6082">
      <c r="J6082" t="inlineStr">
        <is>
          <t>M</t>
        </is>
      </c>
      <c r="K6082" t="n">
        <v>2026</v>
      </c>
      <c r="L6082" t="n">
        <v>6</v>
      </c>
      <c r="M6082" t="inlineStr">
        <is>
          <t>Muçarela Mozzana 2 kg</t>
        </is>
      </c>
      <c r="N6082" t="inlineStr">
        <is>
          <t>Supermercado</t>
        </is>
      </c>
      <c r="O6082" t="n">
        <v>5</v>
      </c>
      <c r="P6082" t="n">
        <v>13</v>
      </c>
      <c r="Q6082" t="n">
        <v>0</v>
      </c>
    </row>
    <row r="6083">
      <c r="J6083" t="inlineStr">
        <is>
          <t>A</t>
        </is>
      </c>
      <c r="K6083" t="n">
        <v>2026</v>
      </c>
      <c r="L6083" t="n">
        <v>7</v>
      </c>
      <c r="M6083" t="inlineStr">
        <is>
          <t>Muçarela Mozzana 2 kg</t>
        </is>
      </c>
      <c r="N6083" t="inlineStr">
        <is>
          <t>Supermercado</t>
        </is>
      </c>
      <c r="O6083" t="n">
        <v>8</v>
      </c>
      <c r="P6083" t="n">
        <v>61</v>
      </c>
      <c r="Q6083" t="n">
        <v>5</v>
      </c>
    </row>
    <row r="6084">
      <c r="J6084" t="inlineStr">
        <is>
          <t>M</t>
        </is>
      </c>
      <c r="K6084" t="n">
        <v>2026</v>
      </c>
      <c r="L6084" t="n">
        <v>7</v>
      </c>
      <c r="M6084" t="inlineStr">
        <is>
          <t>Muçarela Mozzana 2 kg</t>
        </is>
      </c>
      <c r="N6084" t="inlineStr">
        <is>
          <t>Supermercado</t>
        </is>
      </c>
      <c r="O6084" t="n">
        <v>6</v>
      </c>
      <c r="P6084" t="n">
        <v>12</v>
      </c>
      <c r="Q6084" t="n">
        <v>0</v>
      </c>
    </row>
    <row r="6085">
      <c r="J6085" t="inlineStr">
        <is>
          <t>A</t>
        </is>
      </c>
      <c r="K6085" t="n">
        <v>2026</v>
      </c>
      <c r="L6085" t="n">
        <v>8</v>
      </c>
      <c r="M6085" t="inlineStr">
        <is>
          <t>Muçarela Mozzana 2 kg</t>
        </is>
      </c>
      <c r="N6085" t="inlineStr">
        <is>
          <t>Supermercado</t>
        </is>
      </c>
      <c r="O6085" t="n">
        <v>8</v>
      </c>
      <c r="P6085" t="n">
        <v>71</v>
      </c>
      <c r="Q6085" t="n">
        <v>5</v>
      </c>
    </row>
    <row r="6086">
      <c r="J6086" t="inlineStr">
        <is>
          <t>M</t>
        </is>
      </c>
      <c r="K6086" t="n">
        <v>2026</v>
      </c>
      <c r="L6086" t="n">
        <v>8</v>
      </c>
      <c r="M6086" t="inlineStr">
        <is>
          <t>Muçarela Mozzana 2 kg</t>
        </is>
      </c>
      <c r="N6086" t="inlineStr">
        <is>
          <t>Supermercado</t>
        </is>
      </c>
      <c r="O6086" t="n">
        <v>4</v>
      </c>
      <c r="P6086" t="n">
        <v>10</v>
      </c>
      <c r="Q6086" t="n">
        <v>0</v>
      </c>
    </row>
    <row r="6087">
      <c r="J6087" t="inlineStr">
        <is>
          <t>A</t>
        </is>
      </c>
      <c r="K6087" t="n">
        <v>2026</v>
      </c>
      <c r="L6087" t="n">
        <v>9</v>
      </c>
      <c r="M6087" t="inlineStr">
        <is>
          <t>Muçarela Mozzana 2 kg</t>
        </is>
      </c>
      <c r="N6087" t="inlineStr">
        <is>
          <t>Supermercado</t>
        </is>
      </c>
      <c r="O6087" t="n">
        <v>8</v>
      </c>
      <c r="P6087" t="n">
        <v>79</v>
      </c>
      <c r="Q6087" t="n">
        <v>5</v>
      </c>
    </row>
    <row r="6088">
      <c r="J6088" t="inlineStr">
        <is>
          <t>M</t>
        </is>
      </c>
      <c r="K6088" t="n">
        <v>2026</v>
      </c>
      <c r="L6088" t="n">
        <v>9</v>
      </c>
      <c r="M6088" t="inlineStr">
        <is>
          <t>Muçarela Mozzana 2 kg</t>
        </is>
      </c>
      <c r="N6088" t="inlineStr">
        <is>
          <t>Supermercado</t>
        </is>
      </c>
      <c r="O6088" t="n">
        <v>5</v>
      </c>
      <c r="P6088" t="n">
        <v>8</v>
      </c>
      <c r="Q6088" t="n">
        <v>0</v>
      </c>
    </row>
    <row r="6089">
      <c r="J6089" t="inlineStr">
        <is>
          <t>A</t>
        </is>
      </c>
      <c r="K6089" t="n">
        <v>2026</v>
      </c>
      <c r="L6089" t="n">
        <v>10</v>
      </c>
      <c r="M6089" t="inlineStr">
        <is>
          <t>Muçarela Mozzana 2 kg</t>
        </is>
      </c>
      <c r="N6089" t="inlineStr">
        <is>
          <t>Supermercado</t>
        </is>
      </c>
      <c r="O6089" t="n">
        <v>8</v>
      </c>
      <c r="P6089" t="n">
        <v>79</v>
      </c>
      <c r="Q6089" t="n">
        <v>5</v>
      </c>
    </row>
    <row r="6090">
      <c r="J6090" t="inlineStr">
        <is>
          <t>A</t>
        </is>
      </c>
      <c r="K6090" t="n">
        <v>2026</v>
      </c>
      <c r="L6090" t="n">
        <v>11</v>
      </c>
      <c r="M6090" t="inlineStr">
        <is>
          <t>Muçarela Mozzana 2 kg</t>
        </is>
      </c>
      <c r="N6090" t="inlineStr">
        <is>
          <t>Supermercado</t>
        </is>
      </c>
      <c r="O6090" t="n">
        <v>8</v>
      </c>
      <c r="P6090" t="n">
        <v>79</v>
      </c>
      <c r="Q6090" t="n">
        <v>5</v>
      </c>
    </row>
    <row r="6091">
      <c r="J6091" t="inlineStr">
        <is>
          <t>A</t>
        </is>
      </c>
      <c r="K6091" t="n">
        <v>2026</v>
      </c>
      <c r="L6091" t="n">
        <v>12</v>
      </c>
      <c r="M6091" t="inlineStr">
        <is>
          <t>Muçarela Mozzana 2 kg</t>
        </is>
      </c>
      <c r="N6091" t="inlineStr">
        <is>
          <t>Supermercado</t>
        </is>
      </c>
      <c r="O6091" t="n">
        <v>8</v>
      </c>
      <c r="P6091" t="n">
        <v>79</v>
      </c>
      <c r="Q6091" t="n">
        <v>5</v>
      </c>
    </row>
    <row r="6092">
      <c r="J6092" t="inlineStr">
        <is>
          <t>A</t>
        </is>
      </c>
      <c r="K6092" t="n">
        <v>2026</v>
      </c>
      <c r="L6092" t="n">
        <v>1</v>
      </c>
      <c r="M6092" t="inlineStr">
        <is>
          <t>Muçarela Mozzana 2 kg</t>
        </is>
      </c>
      <c r="N6092" t="inlineStr">
        <is>
          <t>Rotisserie</t>
        </is>
      </c>
      <c r="O6092" t="n">
        <v>1</v>
      </c>
      <c r="P6092" t="n">
        <v>4</v>
      </c>
      <c r="Q6092" t="n">
        <v>0</v>
      </c>
    </row>
    <row r="6093">
      <c r="J6093" t="inlineStr">
        <is>
          <t>M</t>
        </is>
      </c>
      <c r="K6093" t="n">
        <v>2026</v>
      </c>
      <c r="L6093" t="n">
        <v>1</v>
      </c>
      <c r="M6093" t="inlineStr">
        <is>
          <t>Muçarela Mozzana 2 kg</t>
        </is>
      </c>
      <c r="N6093" t="inlineStr">
        <is>
          <t>Rotisserie</t>
        </is>
      </c>
      <c r="O6093" t="n">
        <v>1</v>
      </c>
      <c r="P6093" t="n">
        <v>4</v>
      </c>
      <c r="Q6093" t="n">
        <v>0</v>
      </c>
    </row>
    <row r="6094">
      <c r="J6094" t="inlineStr">
        <is>
          <t>A</t>
        </is>
      </c>
      <c r="K6094" t="n">
        <v>2026</v>
      </c>
      <c r="L6094" t="n">
        <v>2</v>
      </c>
      <c r="M6094" t="inlineStr">
        <is>
          <t>Muçarela Mozzana 2 kg</t>
        </is>
      </c>
      <c r="N6094" t="inlineStr">
        <is>
          <t>Rotisserie</t>
        </is>
      </c>
      <c r="O6094" t="n">
        <v>1</v>
      </c>
      <c r="P6094" t="n">
        <v>6</v>
      </c>
      <c r="Q6094" t="n">
        <v>0</v>
      </c>
    </row>
    <row r="6095">
      <c r="J6095" t="inlineStr">
        <is>
          <t>M</t>
        </is>
      </c>
      <c r="K6095" t="n">
        <v>2026</v>
      </c>
      <c r="L6095" t="n">
        <v>2</v>
      </c>
      <c r="M6095" t="inlineStr">
        <is>
          <t>Muçarela Mozzana 2 kg</t>
        </is>
      </c>
      <c r="N6095" t="inlineStr">
        <is>
          <t>Rotisserie</t>
        </is>
      </c>
      <c r="O6095" t="n">
        <v>1</v>
      </c>
      <c r="P6095" t="n">
        <v>2</v>
      </c>
      <c r="Q6095" t="n">
        <v>0</v>
      </c>
    </row>
    <row r="6096">
      <c r="J6096" t="inlineStr">
        <is>
          <t>A</t>
        </is>
      </c>
      <c r="K6096" t="n">
        <v>2026</v>
      </c>
      <c r="L6096" t="n">
        <v>3</v>
      </c>
      <c r="M6096" t="inlineStr">
        <is>
          <t>Muçarela Mozzana 2 kg</t>
        </is>
      </c>
      <c r="N6096" t="inlineStr">
        <is>
          <t>Rotisserie</t>
        </is>
      </c>
      <c r="O6096" t="n">
        <v>1</v>
      </c>
      <c r="P6096" t="n">
        <v>10</v>
      </c>
      <c r="Q6096" t="n">
        <v>0</v>
      </c>
    </row>
    <row r="6097">
      <c r="J6097" t="inlineStr">
        <is>
          <t>M</t>
        </is>
      </c>
      <c r="K6097" t="n">
        <v>2026</v>
      </c>
      <c r="L6097" t="n">
        <v>3</v>
      </c>
      <c r="M6097" t="inlineStr">
        <is>
          <t>Muçarela Mozzana 2 kg</t>
        </is>
      </c>
      <c r="N6097" t="inlineStr">
        <is>
          <t>Rotisserie</t>
        </is>
      </c>
      <c r="O6097" t="n">
        <v>1</v>
      </c>
      <c r="P6097" t="n">
        <v>4</v>
      </c>
      <c r="Q6097" t="n">
        <v>0</v>
      </c>
    </row>
    <row r="6098">
      <c r="J6098" t="inlineStr">
        <is>
          <t>A</t>
        </is>
      </c>
      <c r="K6098" t="n">
        <v>2026</v>
      </c>
      <c r="L6098" t="n">
        <v>4</v>
      </c>
      <c r="M6098" t="inlineStr">
        <is>
          <t>Muçarela Mozzana 2 kg</t>
        </is>
      </c>
      <c r="N6098" t="inlineStr">
        <is>
          <t>Rotisserie</t>
        </is>
      </c>
      <c r="O6098" t="n">
        <v>6</v>
      </c>
      <c r="P6098" t="n">
        <v>22</v>
      </c>
      <c r="Q6098" t="n">
        <v>1</v>
      </c>
    </row>
    <row r="6099">
      <c r="J6099" t="inlineStr">
        <is>
          <t>M</t>
        </is>
      </c>
      <c r="K6099" t="n">
        <v>2026</v>
      </c>
      <c r="L6099" t="n">
        <v>4</v>
      </c>
      <c r="M6099" t="inlineStr">
        <is>
          <t>Muçarela Mozzana 2 kg</t>
        </is>
      </c>
      <c r="N6099" t="inlineStr">
        <is>
          <t>Rotisserie</t>
        </is>
      </c>
      <c r="O6099" t="n">
        <v>6</v>
      </c>
      <c r="P6099" t="n">
        <v>12</v>
      </c>
      <c r="Q6099" t="n">
        <v>0</v>
      </c>
    </row>
    <row r="6100">
      <c r="J6100" t="inlineStr">
        <is>
          <t>A</t>
        </is>
      </c>
      <c r="K6100" t="n">
        <v>2026</v>
      </c>
      <c r="L6100" t="n">
        <v>5</v>
      </c>
      <c r="M6100" t="inlineStr">
        <is>
          <t>Muçarela Mozzana 2 kg</t>
        </is>
      </c>
      <c r="N6100" t="inlineStr">
        <is>
          <t>Rotisserie</t>
        </is>
      </c>
      <c r="O6100" t="n">
        <v>6</v>
      </c>
      <c r="P6100" t="n">
        <v>34</v>
      </c>
      <c r="Q6100" t="n">
        <v>1</v>
      </c>
    </row>
    <row r="6101">
      <c r="J6101" t="inlineStr">
        <is>
          <t>M</t>
        </is>
      </c>
      <c r="K6101" t="n">
        <v>2026</v>
      </c>
      <c r="L6101" t="n">
        <v>5</v>
      </c>
      <c r="M6101" t="inlineStr">
        <is>
          <t>Muçarela Mozzana 2 kg</t>
        </is>
      </c>
      <c r="N6101" t="inlineStr">
        <is>
          <t>Rotisserie</t>
        </is>
      </c>
      <c r="O6101" t="n">
        <v>5</v>
      </c>
      <c r="P6101" t="n">
        <v>12</v>
      </c>
      <c r="Q6101" t="n">
        <v>0</v>
      </c>
    </row>
    <row r="6102">
      <c r="J6102" t="inlineStr">
        <is>
          <t>A</t>
        </is>
      </c>
      <c r="K6102" t="n">
        <v>2026</v>
      </c>
      <c r="L6102" t="n">
        <v>6</v>
      </c>
      <c r="M6102" t="inlineStr">
        <is>
          <t>Muçarela Mozzana 2 kg</t>
        </is>
      </c>
      <c r="N6102" t="inlineStr">
        <is>
          <t>Rotisserie</t>
        </is>
      </c>
      <c r="O6102" t="n">
        <v>6</v>
      </c>
      <c r="P6102" t="n">
        <v>53</v>
      </c>
      <c r="Q6102" t="n">
        <v>1</v>
      </c>
    </row>
    <row r="6103">
      <c r="J6103" t="inlineStr">
        <is>
          <t>M</t>
        </is>
      </c>
      <c r="K6103" t="n">
        <v>2026</v>
      </c>
      <c r="L6103" t="n">
        <v>6</v>
      </c>
      <c r="M6103" t="inlineStr">
        <is>
          <t>Muçarela Mozzana 2 kg</t>
        </is>
      </c>
      <c r="N6103" t="inlineStr">
        <is>
          <t>Rotisserie</t>
        </is>
      </c>
      <c r="O6103" t="n">
        <v>6</v>
      </c>
      <c r="P6103" t="n">
        <v>19</v>
      </c>
      <c r="Q6103" t="n">
        <v>0</v>
      </c>
    </row>
    <row r="6104">
      <c r="J6104" t="inlineStr">
        <is>
          <t>A</t>
        </is>
      </c>
      <c r="K6104" t="n">
        <v>2026</v>
      </c>
      <c r="L6104" t="n">
        <v>7</v>
      </c>
      <c r="M6104" t="inlineStr">
        <is>
          <t>Muçarela Mozzana 2 kg</t>
        </is>
      </c>
      <c r="N6104" t="inlineStr">
        <is>
          <t>Rotisserie</t>
        </is>
      </c>
      <c r="O6104" t="n">
        <v>6</v>
      </c>
      <c r="P6104" t="n">
        <v>65</v>
      </c>
      <c r="Q6104" t="n">
        <v>1</v>
      </c>
    </row>
    <row r="6105">
      <c r="J6105" t="inlineStr">
        <is>
          <t>M</t>
        </is>
      </c>
      <c r="K6105" t="n">
        <v>2026</v>
      </c>
      <c r="L6105" t="n">
        <v>7</v>
      </c>
      <c r="M6105" t="inlineStr">
        <is>
          <t>Muçarela Mozzana 2 kg</t>
        </is>
      </c>
      <c r="N6105" t="inlineStr">
        <is>
          <t>Rotisserie</t>
        </is>
      </c>
      <c r="O6105" t="n">
        <v>6</v>
      </c>
      <c r="P6105" t="n">
        <v>12</v>
      </c>
      <c r="Q6105" t="n">
        <v>0</v>
      </c>
    </row>
    <row r="6106">
      <c r="J6106" t="inlineStr">
        <is>
          <t>A</t>
        </is>
      </c>
      <c r="K6106" t="n">
        <v>2026</v>
      </c>
      <c r="L6106" t="n">
        <v>8</v>
      </c>
      <c r="M6106" t="inlineStr">
        <is>
          <t>Muçarela Mozzana 2 kg</t>
        </is>
      </c>
      <c r="N6106" t="inlineStr">
        <is>
          <t>Rotisserie</t>
        </is>
      </c>
      <c r="O6106" t="n">
        <v>7</v>
      </c>
      <c r="P6106" t="n">
        <v>79</v>
      </c>
      <c r="Q6106" t="n">
        <v>2</v>
      </c>
    </row>
    <row r="6107">
      <c r="J6107" t="inlineStr">
        <is>
          <t>M</t>
        </is>
      </c>
      <c r="K6107" t="n">
        <v>2026</v>
      </c>
      <c r="L6107" t="n">
        <v>8</v>
      </c>
      <c r="M6107" t="inlineStr">
        <is>
          <t>Muçarela Mozzana 2 kg</t>
        </is>
      </c>
      <c r="N6107" t="inlineStr">
        <is>
          <t>Rotisserie</t>
        </is>
      </c>
      <c r="O6107" t="n">
        <v>6</v>
      </c>
      <c r="P6107" t="n">
        <v>14</v>
      </c>
      <c r="Q6107" t="n">
        <v>0</v>
      </c>
    </row>
    <row r="6108">
      <c r="J6108" t="inlineStr">
        <is>
          <t>A</t>
        </is>
      </c>
      <c r="K6108" t="n">
        <v>2026</v>
      </c>
      <c r="L6108" t="n">
        <v>9</v>
      </c>
      <c r="M6108" t="inlineStr">
        <is>
          <t>Muçarela Mozzana 2 kg</t>
        </is>
      </c>
      <c r="N6108" t="inlineStr">
        <is>
          <t>Rotisserie</t>
        </is>
      </c>
      <c r="O6108" t="n">
        <v>7</v>
      </c>
      <c r="P6108" t="n">
        <v>91</v>
      </c>
      <c r="Q6108" t="n">
        <v>2</v>
      </c>
    </row>
    <row r="6109">
      <c r="J6109" t="inlineStr">
        <is>
          <t>M</t>
        </is>
      </c>
      <c r="K6109" t="n">
        <v>2026</v>
      </c>
      <c r="L6109" t="n">
        <v>9</v>
      </c>
      <c r="M6109" t="inlineStr">
        <is>
          <t>Muçarela Mozzana 2 kg</t>
        </is>
      </c>
      <c r="N6109" t="inlineStr">
        <is>
          <t>Rotisserie</t>
        </is>
      </c>
      <c r="O6109" t="n">
        <v>6</v>
      </c>
      <c r="P6109" t="n">
        <v>12</v>
      </c>
      <c r="Q6109" t="n">
        <v>0</v>
      </c>
    </row>
    <row r="6110">
      <c r="J6110" t="inlineStr">
        <is>
          <t>A</t>
        </is>
      </c>
      <c r="K6110" t="n">
        <v>2026</v>
      </c>
      <c r="L6110" t="n">
        <v>10</v>
      </c>
      <c r="M6110" t="inlineStr">
        <is>
          <t>Muçarela Mozzana 2 kg</t>
        </is>
      </c>
      <c r="N6110" t="inlineStr">
        <is>
          <t>Rotisserie</t>
        </is>
      </c>
      <c r="O6110" t="n">
        <v>7</v>
      </c>
      <c r="P6110" t="n">
        <v>91</v>
      </c>
      <c r="Q6110" t="n">
        <v>2</v>
      </c>
    </row>
    <row r="6111">
      <c r="J6111" t="inlineStr">
        <is>
          <t>A</t>
        </is>
      </c>
      <c r="K6111" t="n">
        <v>2026</v>
      </c>
      <c r="L6111" t="n">
        <v>11</v>
      </c>
      <c r="M6111" t="inlineStr">
        <is>
          <t>Muçarela Mozzana 2 kg</t>
        </is>
      </c>
      <c r="N6111" t="inlineStr">
        <is>
          <t>Rotisserie</t>
        </is>
      </c>
      <c r="O6111" t="n">
        <v>7</v>
      </c>
      <c r="P6111" t="n">
        <v>91</v>
      </c>
      <c r="Q6111" t="n">
        <v>2</v>
      </c>
    </row>
    <row r="6112">
      <c r="J6112" t="inlineStr">
        <is>
          <t>A</t>
        </is>
      </c>
      <c r="K6112" t="n">
        <v>2026</v>
      </c>
      <c r="L6112" t="n">
        <v>12</v>
      </c>
      <c r="M6112" t="inlineStr">
        <is>
          <t>Muçarela Mozzana 2 kg</t>
        </is>
      </c>
      <c r="N6112" t="inlineStr">
        <is>
          <t>Rotisserie</t>
        </is>
      </c>
      <c r="O6112" t="n">
        <v>7</v>
      </c>
      <c r="P6112" t="n">
        <v>91</v>
      </c>
      <c r="Q6112" t="n">
        <v>2</v>
      </c>
    </row>
    <row r="6113">
      <c r="J6113" t="inlineStr">
        <is>
          <t>A</t>
        </is>
      </c>
      <c r="K6113" t="n">
        <v>2026</v>
      </c>
      <c r="L6113" t="n">
        <v>1</v>
      </c>
      <c r="M6113" t="inlineStr">
        <is>
          <t>Muçarela Mozzana 2 kg</t>
        </is>
      </c>
      <c r="N6113" t="inlineStr">
        <is>
          <t>Mercearia / Sacolão</t>
        </is>
      </c>
      <c r="O6113" t="n">
        <v>1</v>
      </c>
      <c r="P6113" t="n">
        <v>1</v>
      </c>
      <c r="Q6113" t="n">
        <v>0</v>
      </c>
    </row>
    <row r="6114">
      <c r="J6114" t="inlineStr">
        <is>
          <t>M</t>
        </is>
      </c>
      <c r="K6114" t="n">
        <v>2026</v>
      </c>
      <c r="L6114" t="n">
        <v>1</v>
      </c>
      <c r="M6114" t="inlineStr">
        <is>
          <t>Muçarela Mozzana 2 kg</t>
        </is>
      </c>
      <c r="N6114" t="inlineStr">
        <is>
          <t>Mercearia / Sacolão</t>
        </is>
      </c>
      <c r="O6114" t="n">
        <v>1</v>
      </c>
      <c r="P6114" t="n">
        <v>1</v>
      </c>
      <c r="Q6114" t="n">
        <v>0</v>
      </c>
    </row>
    <row r="6115">
      <c r="J6115" t="inlineStr">
        <is>
          <t>A</t>
        </is>
      </c>
      <c r="K6115" t="n">
        <v>2026</v>
      </c>
      <c r="L6115" t="n">
        <v>2</v>
      </c>
      <c r="M6115" t="inlineStr">
        <is>
          <t>Muçarela Mozzana 2 kg</t>
        </is>
      </c>
      <c r="N6115" t="inlineStr">
        <is>
          <t>Mercearia / Sacolão</t>
        </is>
      </c>
      <c r="O6115" t="n">
        <v>1</v>
      </c>
      <c r="P6115" t="n">
        <v>3</v>
      </c>
      <c r="Q6115" t="n">
        <v>0</v>
      </c>
    </row>
    <row r="6116">
      <c r="J6116" t="inlineStr">
        <is>
          <t>M</t>
        </is>
      </c>
      <c r="K6116" t="n">
        <v>2026</v>
      </c>
      <c r="L6116" t="n">
        <v>2</v>
      </c>
      <c r="M6116" t="inlineStr">
        <is>
          <t>Muçarela Mozzana 2 kg</t>
        </is>
      </c>
      <c r="N6116" t="inlineStr">
        <is>
          <t>Mercearia / Sacolão</t>
        </is>
      </c>
      <c r="O6116" t="n">
        <v>1</v>
      </c>
      <c r="P6116" t="n">
        <v>2</v>
      </c>
      <c r="Q6116" t="n">
        <v>0</v>
      </c>
    </row>
    <row r="6117">
      <c r="J6117" t="inlineStr">
        <is>
          <t>A</t>
        </is>
      </c>
      <c r="K6117" t="n">
        <v>2026</v>
      </c>
      <c r="L6117" t="n">
        <v>3</v>
      </c>
      <c r="M6117" t="inlineStr">
        <is>
          <t>Muçarela Mozzana 2 kg</t>
        </is>
      </c>
      <c r="N6117" t="inlineStr">
        <is>
          <t>Mercearia / Sacolão</t>
        </is>
      </c>
      <c r="O6117" t="n">
        <v>1</v>
      </c>
      <c r="P6117" t="n">
        <v>6</v>
      </c>
      <c r="Q6117" t="n">
        <v>0</v>
      </c>
    </row>
    <row r="6118">
      <c r="J6118" t="inlineStr">
        <is>
          <t>M</t>
        </is>
      </c>
      <c r="K6118" t="n">
        <v>2026</v>
      </c>
      <c r="L6118" t="n">
        <v>3</v>
      </c>
      <c r="M6118" t="inlineStr">
        <is>
          <t>Muçarela Mozzana 2 kg</t>
        </is>
      </c>
      <c r="N6118" t="inlineStr">
        <is>
          <t>Mercearia / Sacolão</t>
        </is>
      </c>
      <c r="O6118" t="n">
        <v>1</v>
      </c>
      <c r="P6118" t="n">
        <v>3</v>
      </c>
      <c r="Q6118" t="n">
        <v>0</v>
      </c>
    </row>
    <row r="6119">
      <c r="J6119" t="inlineStr">
        <is>
          <t>A</t>
        </is>
      </c>
      <c r="K6119" t="n">
        <v>2026</v>
      </c>
      <c r="L6119" t="n">
        <v>4</v>
      </c>
      <c r="M6119" t="inlineStr">
        <is>
          <t>Muçarela Mozzana 2 kg</t>
        </is>
      </c>
      <c r="N6119" t="inlineStr">
        <is>
          <t>Mercearia / Sacolão</t>
        </is>
      </c>
      <c r="O6119" t="n">
        <v>1</v>
      </c>
      <c r="P6119" t="n">
        <v>7</v>
      </c>
      <c r="Q6119" t="n">
        <v>0</v>
      </c>
    </row>
    <row r="6120">
      <c r="J6120" t="inlineStr">
        <is>
          <t>M</t>
        </is>
      </c>
      <c r="K6120" t="n">
        <v>2026</v>
      </c>
      <c r="L6120" t="n">
        <v>4</v>
      </c>
      <c r="M6120" t="inlineStr">
        <is>
          <t>Muçarela Mozzana 2 kg</t>
        </is>
      </c>
      <c r="N6120" t="inlineStr">
        <is>
          <t>Mercearia / Sacolão</t>
        </is>
      </c>
      <c r="O6120" t="n">
        <v>1</v>
      </c>
      <c r="P6120" t="n">
        <v>1</v>
      </c>
      <c r="Q6120" t="n">
        <v>0</v>
      </c>
    </row>
    <row r="6121">
      <c r="J6121" t="inlineStr">
        <is>
          <t>A</t>
        </is>
      </c>
      <c r="K6121" t="n">
        <v>2026</v>
      </c>
      <c r="L6121" t="n">
        <v>5</v>
      </c>
      <c r="M6121" t="inlineStr">
        <is>
          <t>Muçarela Mozzana 2 kg</t>
        </is>
      </c>
      <c r="N6121" t="inlineStr">
        <is>
          <t>Mercearia / Sacolão</t>
        </is>
      </c>
      <c r="O6121" t="n">
        <v>1</v>
      </c>
      <c r="P6121" t="n">
        <v>9</v>
      </c>
      <c r="Q6121" t="n">
        <v>0</v>
      </c>
    </row>
    <row r="6122">
      <c r="J6122" t="inlineStr">
        <is>
          <t>M</t>
        </is>
      </c>
      <c r="K6122" t="n">
        <v>2026</v>
      </c>
      <c r="L6122" t="n">
        <v>5</v>
      </c>
      <c r="M6122" t="inlineStr">
        <is>
          <t>Muçarela Mozzana 2 kg</t>
        </is>
      </c>
      <c r="N6122" t="inlineStr">
        <is>
          <t>Mercearia / Sacolão</t>
        </is>
      </c>
      <c r="O6122" t="n">
        <v>1</v>
      </c>
      <c r="P6122" t="n">
        <v>2</v>
      </c>
      <c r="Q6122" t="n">
        <v>0</v>
      </c>
    </row>
    <row r="6123">
      <c r="J6123" t="inlineStr">
        <is>
          <t>A</t>
        </is>
      </c>
      <c r="K6123" t="n">
        <v>2026</v>
      </c>
      <c r="L6123" t="n">
        <v>6</v>
      </c>
      <c r="M6123" t="inlineStr">
        <is>
          <t>Muçarela Mozzana 2 kg</t>
        </is>
      </c>
      <c r="N6123" t="inlineStr">
        <is>
          <t>Mercearia / Sacolão</t>
        </is>
      </c>
      <c r="O6123" t="n">
        <v>2</v>
      </c>
      <c r="P6123" t="n">
        <v>16</v>
      </c>
      <c r="Q6123" t="n">
        <v>1</v>
      </c>
    </row>
    <row r="6124">
      <c r="J6124" t="inlineStr">
        <is>
          <t>M</t>
        </is>
      </c>
      <c r="K6124" t="n">
        <v>2026</v>
      </c>
      <c r="L6124" t="n">
        <v>6</v>
      </c>
      <c r="M6124" t="inlineStr">
        <is>
          <t>Muçarela Mozzana 2 kg</t>
        </is>
      </c>
      <c r="N6124" t="inlineStr">
        <is>
          <t>Mercearia / Sacolão</t>
        </is>
      </c>
      <c r="O6124" t="n">
        <v>2</v>
      </c>
      <c r="P6124" t="n">
        <v>7</v>
      </c>
      <c r="Q6124" t="n">
        <v>0</v>
      </c>
    </row>
    <row r="6125">
      <c r="J6125" t="inlineStr">
        <is>
          <t>A</t>
        </is>
      </c>
      <c r="K6125" t="n">
        <v>2026</v>
      </c>
      <c r="L6125" t="n">
        <v>7</v>
      </c>
      <c r="M6125" t="inlineStr">
        <is>
          <t>Muçarela Mozzana 2 kg</t>
        </is>
      </c>
      <c r="N6125" t="inlineStr">
        <is>
          <t>Mercearia / Sacolão</t>
        </is>
      </c>
      <c r="O6125" t="n">
        <v>4</v>
      </c>
      <c r="P6125" t="n">
        <v>24</v>
      </c>
      <c r="Q6125" t="n">
        <v>3</v>
      </c>
    </row>
    <row r="6126">
      <c r="J6126" t="inlineStr">
        <is>
          <t>M</t>
        </is>
      </c>
      <c r="K6126" t="n">
        <v>2026</v>
      </c>
      <c r="L6126" t="n">
        <v>7</v>
      </c>
      <c r="M6126" t="inlineStr">
        <is>
          <t>Muçarela Mozzana 2 kg</t>
        </is>
      </c>
      <c r="N6126" t="inlineStr">
        <is>
          <t>Mercearia / Sacolão</t>
        </is>
      </c>
      <c r="O6126" t="n">
        <v>4</v>
      </c>
      <c r="P6126" t="n">
        <v>8</v>
      </c>
      <c r="Q6126" t="n">
        <v>0</v>
      </c>
    </row>
    <row r="6127">
      <c r="J6127" t="inlineStr">
        <is>
          <t>A</t>
        </is>
      </c>
      <c r="K6127" t="n">
        <v>2026</v>
      </c>
      <c r="L6127" t="n">
        <v>8</v>
      </c>
      <c r="M6127" t="inlineStr">
        <is>
          <t>Muçarela Mozzana 2 kg</t>
        </is>
      </c>
      <c r="N6127" t="inlineStr">
        <is>
          <t>Mercearia / Sacolão</t>
        </is>
      </c>
      <c r="O6127" t="n">
        <v>4</v>
      </c>
      <c r="P6127" t="n">
        <v>32</v>
      </c>
      <c r="Q6127" t="n">
        <v>3</v>
      </c>
    </row>
    <row r="6128">
      <c r="J6128" t="inlineStr">
        <is>
          <t>M</t>
        </is>
      </c>
      <c r="K6128" t="n">
        <v>2026</v>
      </c>
      <c r="L6128" t="n">
        <v>8</v>
      </c>
      <c r="M6128" t="inlineStr">
        <is>
          <t>Muçarela Mozzana 2 kg</t>
        </is>
      </c>
      <c r="N6128" t="inlineStr">
        <is>
          <t>Mercearia / Sacolão</t>
        </is>
      </c>
      <c r="O6128" t="n">
        <v>3</v>
      </c>
      <c r="P6128" t="n">
        <v>8</v>
      </c>
      <c r="Q6128" t="n">
        <v>0</v>
      </c>
    </row>
    <row r="6129">
      <c r="J6129" t="inlineStr">
        <is>
          <t>A</t>
        </is>
      </c>
      <c r="K6129" t="n">
        <v>2026</v>
      </c>
      <c r="L6129" t="n">
        <v>9</v>
      </c>
      <c r="M6129" t="inlineStr">
        <is>
          <t>Muçarela Mozzana 2 kg</t>
        </is>
      </c>
      <c r="N6129" t="inlineStr">
        <is>
          <t>Mercearia / Sacolão</t>
        </is>
      </c>
      <c r="O6129" t="n">
        <v>4</v>
      </c>
      <c r="P6129" t="n">
        <v>39</v>
      </c>
      <c r="Q6129" t="n">
        <v>3</v>
      </c>
    </row>
    <row r="6130">
      <c r="J6130" t="inlineStr">
        <is>
          <t>M</t>
        </is>
      </c>
      <c r="K6130" t="n">
        <v>2026</v>
      </c>
      <c r="L6130" t="n">
        <v>9</v>
      </c>
      <c r="M6130" t="inlineStr">
        <is>
          <t>Muçarela Mozzana 2 kg</t>
        </is>
      </c>
      <c r="N6130" t="inlineStr">
        <is>
          <t>Mercearia / Sacolão</t>
        </is>
      </c>
      <c r="O6130" t="n">
        <v>2</v>
      </c>
      <c r="P6130" t="n">
        <v>7</v>
      </c>
      <c r="Q6130" t="n">
        <v>0</v>
      </c>
    </row>
    <row r="6131">
      <c r="J6131" t="inlineStr">
        <is>
          <t>A</t>
        </is>
      </c>
      <c r="K6131" t="n">
        <v>2026</v>
      </c>
      <c r="L6131" t="n">
        <v>10</v>
      </c>
      <c r="M6131" t="inlineStr">
        <is>
          <t>Muçarela Mozzana 2 kg</t>
        </is>
      </c>
      <c r="N6131" t="inlineStr">
        <is>
          <t>Mercearia / Sacolão</t>
        </is>
      </c>
      <c r="O6131" t="n">
        <v>4</v>
      </c>
      <c r="P6131" t="n">
        <v>39</v>
      </c>
      <c r="Q6131" t="n">
        <v>3</v>
      </c>
    </row>
    <row r="6132">
      <c r="J6132" t="inlineStr">
        <is>
          <t>A</t>
        </is>
      </c>
      <c r="K6132" t="n">
        <v>2026</v>
      </c>
      <c r="L6132" t="n">
        <v>11</v>
      </c>
      <c r="M6132" t="inlineStr">
        <is>
          <t>Muçarela Mozzana 2 kg</t>
        </is>
      </c>
      <c r="N6132" t="inlineStr">
        <is>
          <t>Mercearia / Sacolão</t>
        </is>
      </c>
      <c r="O6132" t="n">
        <v>4</v>
      </c>
      <c r="P6132" t="n">
        <v>39</v>
      </c>
      <c r="Q6132" t="n">
        <v>3</v>
      </c>
    </row>
    <row r="6133">
      <c r="J6133" t="inlineStr">
        <is>
          <t>A</t>
        </is>
      </c>
      <c r="K6133" t="n">
        <v>2026</v>
      </c>
      <c r="L6133" t="n">
        <v>12</v>
      </c>
      <c r="M6133" t="inlineStr">
        <is>
          <t>Muçarela Mozzana 2 kg</t>
        </is>
      </c>
      <c r="N6133" t="inlineStr">
        <is>
          <t>Mercearia / Sacolão</t>
        </is>
      </c>
      <c r="O6133" t="n">
        <v>4</v>
      </c>
      <c r="P6133" t="n">
        <v>39</v>
      </c>
      <c r="Q6133" t="n">
        <v>3</v>
      </c>
    </row>
    <row r="6134">
      <c r="J6134" t="inlineStr">
        <is>
          <t>A</t>
        </is>
      </c>
      <c r="K6134" t="n">
        <v>2026</v>
      </c>
      <c r="L6134" t="n">
        <v>1</v>
      </c>
      <c r="M6134" t="inlineStr">
        <is>
          <t>Muçarela Mozzana 2 kg</t>
        </is>
      </c>
      <c r="N6134" t="inlineStr">
        <is>
          <t>Buffet</t>
        </is>
      </c>
      <c r="O6134" t="n">
        <v>1</v>
      </c>
      <c r="P6134" t="n">
        <v>2</v>
      </c>
      <c r="Q6134" t="n">
        <v>0</v>
      </c>
    </row>
    <row r="6135">
      <c r="J6135" t="inlineStr">
        <is>
          <t>M</t>
        </is>
      </c>
      <c r="K6135" t="n">
        <v>2026</v>
      </c>
      <c r="L6135" t="n">
        <v>1</v>
      </c>
      <c r="M6135" t="inlineStr">
        <is>
          <t>Muçarela Mozzana 2 kg</t>
        </is>
      </c>
      <c r="N6135" t="inlineStr">
        <is>
          <t>Buffet</t>
        </is>
      </c>
      <c r="O6135" t="n">
        <v>1</v>
      </c>
      <c r="P6135" t="n">
        <v>2</v>
      </c>
      <c r="Q6135" t="n">
        <v>0</v>
      </c>
    </row>
    <row r="6136">
      <c r="J6136" t="inlineStr">
        <is>
          <t>A</t>
        </is>
      </c>
      <c r="K6136" t="n">
        <v>2026</v>
      </c>
      <c r="L6136" t="n">
        <v>2</v>
      </c>
      <c r="M6136" t="inlineStr">
        <is>
          <t>Muçarela Mozzana 2 kg</t>
        </is>
      </c>
      <c r="N6136" t="inlineStr">
        <is>
          <t>Buffet</t>
        </is>
      </c>
      <c r="O6136" t="n">
        <v>1</v>
      </c>
      <c r="P6136" t="n">
        <v>5</v>
      </c>
      <c r="Q6136" t="n">
        <v>0</v>
      </c>
    </row>
    <row r="6137">
      <c r="J6137" t="inlineStr">
        <is>
          <t>M</t>
        </is>
      </c>
      <c r="K6137" t="n">
        <v>2026</v>
      </c>
      <c r="L6137" t="n">
        <v>2</v>
      </c>
      <c r="M6137" t="inlineStr">
        <is>
          <t>Muçarela Mozzana 2 kg</t>
        </is>
      </c>
      <c r="N6137" t="inlineStr">
        <is>
          <t>Buffet</t>
        </is>
      </c>
      <c r="O6137" t="n">
        <v>1</v>
      </c>
      <c r="P6137" t="n">
        <v>3</v>
      </c>
      <c r="Q6137" t="n">
        <v>0</v>
      </c>
    </row>
    <row r="6138">
      <c r="J6138" t="inlineStr">
        <is>
          <t>A</t>
        </is>
      </c>
      <c r="K6138" t="n">
        <v>2026</v>
      </c>
      <c r="L6138" t="n">
        <v>3</v>
      </c>
      <c r="M6138" t="inlineStr">
        <is>
          <t>Muçarela Mozzana 2 kg</t>
        </is>
      </c>
      <c r="N6138" t="inlineStr">
        <is>
          <t>Buffet</t>
        </is>
      </c>
      <c r="O6138" t="n">
        <v>1</v>
      </c>
      <c r="P6138" t="n">
        <v>8</v>
      </c>
      <c r="Q6138" t="n">
        <v>0</v>
      </c>
    </row>
    <row r="6139">
      <c r="J6139" t="inlineStr">
        <is>
          <t>M</t>
        </is>
      </c>
      <c r="K6139" t="n">
        <v>2026</v>
      </c>
      <c r="L6139" t="n">
        <v>3</v>
      </c>
      <c r="M6139" t="inlineStr">
        <is>
          <t>Muçarela Mozzana 2 kg</t>
        </is>
      </c>
      <c r="N6139" t="inlineStr">
        <is>
          <t>Buffet</t>
        </is>
      </c>
      <c r="O6139" t="n">
        <v>1</v>
      </c>
      <c r="P6139" t="n">
        <v>3</v>
      </c>
      <c r="Q6139" t="n">
        <v>0</v>
      </c>
    </row>
    <row r="6140">
      <c r="J6140" t="inlineStr">
        <is>
          <t>A</t>
        </is>
      </c>
      <c r="K6140" t="n">
        <v>2026</v>
      </c>
      <c r="L6140" t="n">
        <v>4</v>
      </c>
      <c r="M6140" t="inlineStr">
        <is>
          <t>Muçarela Mozzana 2 kg</t>
        </is>
      </c>
      <c r="N6140" t="inlineStr">
        <is>
          <t>Buffet</t>
        </is>
      </c>
      <c r="O6140" t="n">
        <v>2</v>
      </c>
      <c r="P6140" t="n">
        <v>14</v>
      </c>
      <c r="Q6140" t="n">
        <v>0</v>
      </c>
    </row>
    <row r="6141">
      <c r="J6141" t="inlineStr">
        <is>
          <t>M</t>
        </is>
      </c>
      <c r="K6141" t="n">
        <v>2026</v>
      </c>
      <c r="L6141" t="n">
        <v>4</v>
      </c>
      <c r="M6141" t="inlineStr">
        <is>
          <t>Muçarela Mozzana 2 kg</t>
        </is>
      </c>
      <c r="N6141" t="inlineStr">
        <is>
          <t>Buffet</t>
        </is>
      </c>
      <c r="O6141" t="n">
        <v>2</v>
      </c>
      <c r="P6141" t="n">
        <v>6</v>
      </c>
      <c r="Q6141" t="n">
        <v>0</v>
      </c>
    </row>
    <row r="6142">
      <c r="J6142" t="inlineStr">
        <is>
          <t>A</t>
        </is>
      </c>
      <c r="K6142" t="n">
        <v>2026</v>
      </c>
      <c r="L6142" t="n">
        <v>5</v>
      </c>
      <c r="M6142" t="inlineStr">
        <is>
          <t>Muçarela Mozzana 2 kg</t>
        </is>
      </c>
      <c r="N6142" t="inlineStr">
        <is>
          <t>Buffet</t>
        </is>
      </c>
      <c r="O6142" t="n">
        <v>2</v>
      </c>
      <c r="P6142" t="n">
        <v>21</v>
      </c>
      <c r="Q6142" t="n">
        <v>0</v>
      </c>
    </row>
    <row r="6143">
      <c r="J6143" t="inlineStr">
        <is>
          <t>M</t>
        </is>
      </c>
      <c r="K6143" t="n">
        <v>2026</v>
      </c>
      <c r="L6143" t="n">
        <v>5</v>
      </c>
      <c r="M6143" t="inlineStr">
        <is>
          <t>Muçarela Mozzana 2 kg</t>
        </is>
      </c>
      <c r="N6143" t="inlineStr">
        <is>
          <t>Buffet</t>
        </is>
      </c>
      <c r="O6143" t="n">
        <v>2</v>
      </c>
      <c r="P6143" t="n">
        <v>7</v>
      </c>
      <c r="Q6143" t="n">
        <v>0</v>
      </c>
    </row>
    <row r="6144">
      <c r="J6144" t="inlineStr">
        <is>
          <t>A</t>
        </is>
      </c>
      <c r="K6144" t="n">
        <v>2026</v>
      </c>
      <c r="L6144" t="n">
        <v>6</v>
      </c>
      <c r="M6144" t="inlineStr">
        <is>
          <t>Muçarela Mozzana 2 kg</t>
        </is>
      </c>
      <c r="N6144" t="inlineStr">
        <is>
          <t>Buffet</t>
        </is>
      </c>
      <c r="O6144" t="n">
        <v>5</v>
      </c>
      <c r="P6144" t="n">
        <v>33</v>
      </c>
      <c r="Q6144" t="n">
        <v>1</v>
      </c>
    </row>
    <row r="6145">
      <c r="J6145" t="inlineStr">
        <is>
          <t>M</t>
        </is>
      </c>
      <c r="K6145" t="n">
        <v>2026</v>
      </c>
      <c r="L6145" t="n">
        <v>6</v>
      </c>
      <c r="M6145" t="inlineStr">
        <is>
          <t>Muçarela Mozzana 2 kg</t>
        </is>
      </c>
      <c r="N6145" t="inlineStr">
        <is>
          <t>Buffet</t>
        </is>
      </c>
      <c r="O6145" t="n">
        <v>5</v>
      </c>
      <c r="P6145" t="n">
        <v>12</v>
      </c>
      <c r="Q6145" t="n">
        <v>0</v>
      </c>
    </row>
    <row r="6146">
      <c r="J6146" t="inlineStr">
        <is>
          <t>A</t>
        </is>
      </c>
      <c r="K6146" t="n">
        <v>2026</v>
      </c>
      <c r="L6146" t="n">
        <v>7</v>
      </c>
      <c r="M6146" t="inlineStr">
        <is>
          <t>Muçarela Mozzana 2 kg</t>
        </is>
      </c>
      <c r="N6146" t="inlineStr">
        <is>
          <t>Buffet</t>
        </is>
      </c>
      <c r="O6146" t="n">
        <v>5</v>
      </c>
      <c r="P6146" t="n">
        <v>41</v>
      </c>
      <c r="Q6146" t="n">
        <v>1</v>
      </c>
    </row>
    <row r="6147">
      <c r="J6147" t="inlineStr">
        <is>
          <t>M</t>
        </is>
      </c>
      <c r="K6147" t="n">
        <v>2026</v>
      </c>
      <c r="L6147" t="n">
        <v>7</v>
      </c>
      <c r="M6147" t="inlineStr">
        <is>
          <t>Muçarela Mozzana 2 kg</t>
        </is>
      </c>
      <c r="N6147" t="inlineStr">
        <is>
          <t>Buffet</t>
        </is>
      </c>
      <c r="O6147" t="n">
        <v>3</v>
      </c>
      <c r="P6147" t="n">
        <v>8</v>
      </c>
      <c r="Q6147" t="n">
        <v>0</v>
      </c>
    </row>
    <row r="6148">
      <c r="J6148" t="inlineStr">
        <is>
          <t>A</t>
        </is>
      </c>
      <c r="K6148" t="n">
        <v>2026</v>
      </c>
      <c r="L6148" t="n">
        <v>8</v>
      </c>
      <c r="M6148" t="inlineStr">
        <is>
          <t>Muçarela Mozzana 2 kg</t>
        </is>
      </c>
      <c r="N6148" t="inlineStr">
        <is>
          <t>Buffet</t>
        </is>
      </c>
      <c r="O6148" t="n">
        <v>5</v>
      </c>
      <c r="P6148" t="n">
        <v>50</v>
      </c>
      <c r="Q6148" t="n">
        <v>1</v>
      </c>
    </row>
    <row r="6149">
      <c r="J6149" t="inlineStr">
        <is>
          <t>M</t>
        </is>
      </c>
      <c r="K6149" t="n">
        <v>2026</v>
      </c>
      <c r="L6149" t="n">
        <v>8</v>
      </c>
      <c r="M6149" t="inlineStr">
        <is>
          <t>Muçarela Mozzana 2 kg</t>
        </is>
      </c>
      <c r="N6149" t="inlineStr">
        <is>
          <t>Buffet</t>
        </is>
      </c>
      <c r="O6149" t="n">
        <v>3</v>
      </c>
      <c r="P6149" t="n">
        <v>9</v>
      </c>
      <c r="Q6149" t="n">
        <v>0</v>
      </c>
    </row>
    <row r="6150">
      <c r="J6150" t="inlineStr">
        <is>
          <t>A</t>
        </is>
      </c>
      <c r="K6150" t="n">
        <v>2026</v>
      </c>
      <c r="L6150" t="n">
        <v>9</v>
      </c>
      <c r="M6150" t="inlineStr">
        <is>
          <t>Muçarela Mozzana 2 kg</t>
        </is>
      </c>
      <c r="N6150" t="inlineStr">
        <is>
          <t>Buffet</t>
        </is>
      </c>
      <c r="O6150" t="n">
        <v>5</v>
      </c>
      <c r="P6150" t="n">
        <v>57</v>
      </c>
      <c r="Q6150" t="n">
        <v>1</v>
      </c>
    </row>
    <row r="6151">
      <c r="J6151" t="inlineStr">
        <is>
          <t>M</t>
        </is>
      </c>
      <c r="K6151" t="n">
        <v>2026</v>
      </c>
      <c r="L6151" t="n">
        <v>9</v>
      </c>
      <c r="M6151" t="inlineStr">
        <is>
          <t>Muçarela Mozzana 2 kg</t>
        </is>
      </c>
      <c r="N6151" t="inlineStr">
        <is>
          <t>Buffet</t>
        </is>
      </c>
      <c r="O6151" t="n">
        <v>2</v>
      </c>
      <c r="P6151" t="n">
        <v>7</v>
      </c>
      <c r="Q6151" t="n">
        <v>0</v>
      </c>
    </row>
    <row r="6152">
      <c r="J6152" t="inlineStr">
        <is>
          <t>A</t>
        </is>
      </c>
      <c r="K6152" t="n">
        <v>2026</v>
      </c>
      <c r="L6152" t="n">
        <v>10</v>
      </c>
      <c r="M6152" t="inlineStr">
        <is>
          <t>Muçarela Mozzana 2 kg</t>
        </is>
      </c>
      <c r="N6152" t="inlineStr">
        <is>
          <t>Buffet</t>
        </is>
      </c>
      <c r="O6152" t="n">
        <v>5</v>
      </c>
      <c r="P6152" t="n">
        <v>57</v>
      </c>
      <c r="Q6152" t="n">
        <v>1</v>
      </c>
    </row>
    <row r="6153">
      <c r="J6153" t="inlineStr">
        <is>
          <t>A</t>
        </is>
      </c>
      <c r="K6153" t="n">
        <v>2026</v>
      </c>
      <c r="L6153" t="n">
        <v>11</v>
      </c>
      <c r="M6153" t="inlineStr">
        <is>
          <t>Muçarela Mozzana 2 kg</t>
        </is>
      </c>
      <c r="N6153" t="inlineStr">
        <is>
          <t>Buffet</t>
        </is>
      </c>
      <c r="O6153" t="n">
        <v>5</v>
      </c>
      <c r="P6153" t="n">
        <v>57</v>
      </c>
      <c r="Q6153" t="n">
        <v>1</v>
      </c>
    </row>
    <row r="6154">
      <c r="J6154" t="inlineStr">
        <is>
          <t>A</t>
        </is>
      </c>
      <c r="K6154" t="n">
        <v>2026</v>
      </c>
      <c r="L6154" t="n">
        <v>12</v>
      </c>
      <c r="M6154" t="inlineStr">
        <is>
          <t>Muçarela Mozzana 2 kg</t>
        </is>
      </c>
      <c r="N6154" t="inlineStr">
        <is>
          <t>Buffet</t>
        </is>
      </c>
      <c r="O6154" t="n">
        <v>5</v>
      </c>
      <c r="P6154" t="n">
        <v>57</v>
      </c>
      <c r="Q6154" t="n">
        <v>1</v>
      </c>
    </row>
    <row r="6155">
      <c r="J6155" t="inlineStr">
        <is>
          <t>A</t>
        </is>
      </c>
      <c r="K6155" t="n">
        <v>2026</v>
      </c>
      <c r="L6155" t="n">
        <v>4</v>
      </c>
      <c r="M6155" t="inlineStr">
        <is>
          <t>Muçarela Mozzana 2 kg</t>
        </is>
      </c>
      <c r="N6155" t="inlineStr">
        <is>
          <t>Hamburgueria</t>
        </is>
      </c>
      <c r="O6155" t="n">
        <v>2</v>
      </c>
      <c r="P6155" t="n">
        <v>5</v>
      </c>
      <c r="Q6155" t="n">
        <v>2</v>
      </c>
    </row>
    <row r="6156">
      <c r="J6156" t="inlineStr">
        <is>
          <t>M</t>
        </is>
      </c>
      <c r="K6156" t="n">
        <v>2026</v>
      </c>
      <c r="L6156" t="n">
        <v>4</v>
      </c>
      <c r="M6156" t="inlineStr">
        <is>
          <t>Muçarela Mozzana 2 kg</t>
        </is>
      </c>
      <c r="N6156" t="inlineStr">
        <is>
          <t>Hamburgueria</t>
        </is>
      </c>
      <c r="O6156" t="n">
        <v>2</v>
      </c>
      <c r="P6156" t="n">
        <v>5</v>
      </c>
      <c r="Q6156" t="n">
        <v>0</v>
      </c>
    </row>
    <row r="6157">
      <c r="J6157" t="inlineStr">
        <is>
          <t>A</t>
        </is>
      </c>
      <c r="K6157" t="n">
        <v>2026</v>
      </c>
      <c r="L6157" t="n">
        <v>5</v>
      </c>
      <c r="M6157" t="inlineStr">
        <is>
          <t>Muçarela Mozzana 2 kg</t>
        </is>
      </c>
      <c r="N6157" t="inlineStr">
        <is>
          <t>Hamburgueria</t>
        </is>
      </c>
      <c r="O6157" t="n">
        <v>2</v>
      </c>
      <c r="P6157" t="n">
        <v>7</v>
      </c>
      <c r="Q6157" t="n">
        <v>2</v>
      </c>
    </row>
    <row r="6158">
      <c r="J6158" t="inlineStr">
        <is>
          <t>M</t>
        </is>
      </c>
      <c r="K6158" t="n">
        <v>2026</v>
      </c>
      <c r="L6158" t="n">
        <v>5</v>
      </c>
      <c r="M6158" t="inlineStr">
        <is>
          <t>Muçarela Mozzana 2 kg</t>
        </is>
      </c>
      <c r="N6158" t="inlineStr">
        <is>
          <t>Hamburgueria</t>
        </is>
      </c>
      <c r="O6158" t="n">
        <v>1</v>
      </c>
      <c r="P6158" t="n">
        <v>2</v>
      </c>
      <c r="Q6158" t="n">
        <v>0</v>
      </c>
    </row>
    <row r="6159">
      <c r="J6159" t="inlineStr">
        <is>
          <t>A</t>
        </is>
      </c>
      <c r="K6159" t="n">
        <v>2026</v>
      </c>
      <c r="L6159" t="n">
        <v>6</v>
      </c>
      <c r="M6159" t="inlineStr">
        <is>
          <t>Muçarela Mozzana 2 kg</t>
        </is>
      </c>
      <c r="N6159" t="inlineStr">
        <is>
          <t>Hamburgueria</t>
        </is>
      </c>
      <c r="O6159" t="n">
        <v>5</v>
      </c>
      <c r="P6159" t="n">
        <v>14</v>
      </c>
      <c r="Q6159" t="n">
        <v>5</v>
      </c>
    </row>
    <row r="6160">
      <c r="J6160" t="inlineStr">
        <is>
          <t>M</t>
        </is>
      </c>
      <c r="K6160" t="n">
        <v>2026</v>
      </c>
      <c r="L6160" t="n">
        <v>6</v>
      </c>
      <c r="M6160" t="inlineStr">
        <is>
          <t>Muçarela Mozzana 2 kg</t>
        </is>
      </c>
      <c r="N6160" t="inlineStr">
        <is>
          <t>Hamburgueria</t>
        </is>
      </c>
      <c r="O6160" t="n">
        <v>5</v>
      </c>
      <c r="P6160" t="n">
        <v>7</v>
      </c>
      <c r="Q6160" t="n">
        <v>0</v>
      </c>
    </row>
    <row r="6161">
      <c r="J6161" t="inlineStr">
        <is>
          <t>A</t>
        </is>
      </c>
      <c r="K6161" t="n">
        <v>2026</v>
      </c>
      <c r="L6161" t="n">
        <v>7</v>
      </c>
      <c r="M6161" t="inlineStr">
        <is>
          <t>Muçarela Mozzana 2 kg</t>
        </is>
      </c>
      <c r="N6161" t="inlineStr">
        <is>
          <t>Hamburgueria</t>
        </is>
      </c>
      <c r="O6161" t="n">
        <v>9</v>
      </c>
      <c r="P6161" t="n">
        <v>27</v>
      </c>
      <c r="Q6161" t="n">
        <v>9</v>
      </c>
    </row>
    <row r="6162">
      <c r="J6162" t="inlineStr">
        <is>
          <t>M</t>
        </is>
      </c>
      <c r="K6162" t="n">
        <v>2026</v>
      </c>
      <c r="L6162" t="n">
        <v>7</v>
      </c>
      <c r="M6162" t="inlineStr">
        <is>
          <t>Muçarela Mozzana 2 kg</t>
        </is>
      </c>
      <c r="N6162" t="inlineStr">
        <is>
          <t>Hamburgueria</t>
        </is>
      </c>
      <c r="O6162" t="n">
        <v>7</v>
      </c>
      <c r="P6162" t="n">
        <v>13</v>
      </c>
      <c r="Q6162" t="n">
        <v>0</v>
      </c>
    </row>
    <row r="6163">
      <c r="J6163" t="inlineStr">
        <is>
          <t>A</t>
        </is>
      </c>
      <c r="K6163" t="n">
        <v>2026</v>
      </c>
      <c r="L6163" t="n">
        <v>8</v>
      </c>
      <c r="M6163" t="inlineStr">
        <is>
          <t>Muçarela Mozzana 2 kg</t>
        </is>
      </c>
      <c r="N6163" t="inlineStr">
        <is>
          <t>Hamburgueria</t>
        </is>
      </c>
      <c r="O6163" t="n">
        <v>9</v>
      </c>
      <c r="P6163" t="n">
        <v>38</v>
      </c>
      <c r="Q6163" t="n">
        <v>9</v>
      </c>
    </row>
    <row r="6164">
      <c r="J6164" t="inlineStr">
        <is>
          <t>M</t>
        </is>
      </c>
      <c r="K6164" t="n">
        <v>2026</v>
      </c>
      <c r="L6164" t="n">
        <v>8</v>
      </c>
      <c r="M6164" t="inlineStr">
        <is>
          <t>Muçarela Mozzana 2 kg</t>
        </is>
      </c>
      <c r="N6164" t="inlineStr">
        <is>
          <t>Hamburgueria</t>
        </is>
      </c>
      <c r="O6164" t="n">
        <v>5</v>
      </c>
      <c r="P6164" t="n">
        <v>11</v>
      </c>
      <c r="Q6164" t="n">
        <v>0</v>
      </c>
    </row>
    <row r="6165">
      <c r="J6165" t="inlineStr">
        <is>
          <t>A</t>
        </is>
      </c>
      <c r="K6165" t="n">
        <v>2026</v>
      </c>
      <c r="L6165" t="n">
        <v>9</v>
      </c>
      <c r="M6165" t="inlineStr">
        <is>
          <t>Muçarela Mozzana 2 kg</t>
        </is>
      </c>
      <c r="N6165" t="inlineStr">
        <is>
          <t>Hamburgueria</t>
        </is>
      </c>
      <c r="O6165" t="n">
        <v>10</v>
      </c>
      <c r="P6165" t="n">
        <v>42</v>
      </c>
      <c r="Q6165" t="n">
        <v>10</v>
      </c>
    </row>
    <row r="6166">
      <c r="J6166" t="inlineStr">
        <is>
          <t>M</t>
        </is>
      </c>
      <c r="K6166" t="n">
        <v>2026</v>
      </c>
      <c r="L6166" t="n">
        <v>9</v>
      </c>
      <c r="M6166" t="inlineStr">
        <is>
          <t>Muçarela Mozzana 2 kg</t>
        </is>
      </c>
      <c r="N6166" t="inlineStr">
        <is>
          <t>Hamburgueria</t>
        </is>
      </c>
      <c r="O6166" t="n">
        <v>4</v>
      </c>
      <c r="P6166" t="n">
        <v>4</v>
      </c>
      <c r="Q6166" t="n">
        <v>0</v>
      </c>
    </row>
    <row r="6167">
      <c r="J6167" t="inlineStr">
        <is>
          <t>A</t>
        </is>
      </c>
      <c r="K6167" t="n">
        <v>2026</v>
      </c>
      <c r="L6167" t="n">
        <v>10</v>
      </c>
      <c r="M6167" t="inlineStr">
        <is>
          <t>Muçarela Mozzana 2 kg</t>
        </is>
      </c>
      <c r="N6167" t="inlineStr">
        <is>
          <t>Hamburgueria</t>
        </is>
      </c>
      <c r="O6167" t="n">
        <v>10</v>
      </c>
      <c r="P6167" t="n">
        <v>42</v>
      </c>
      <c r="Q6167" t="n">
        <v>10</v>
      </c>
    </row>
    <row r="6168">
      <c r="J6168" t="inlineStr">
        <is>
          <t>A</t>
        </is>
      </c>
      <c r="K6168" t="n">
        <v>2026</v>
      </c>
      <c r="L6168" t="n">
        <v>11</v>
      </c>
      <c r="M6168" t="inlineStr">
        <is>
          <t>Muçarela Mozzana 2 kg</t>
        </is>
      </c>
      <c r="N6168" t="inlineStr">
        <is>
          <t>Hamburgueria</t>
        </is>
      </c>
      <c r="O6168" t="n">
        <v>10</v>
      </c>
      <c r="P6168" t="n">
        <v>42</v>
      </c>
      <c r="Q6168" t="n">
        <v>10</v>
      </c>
    </row>
    <row r="6169">
      <c r="J6169" t="inlineStr">
        <is>
          <t>A</t>
        </is>
      </c>
      <c r="K6169" t="n">
        <v>2026</v>
      </c>
      <c r="L6169" t="n">
        <v>12</v>
      </c>
      <c r="M6169" t="inlineStr">
        <is>
          <t>Muçarela Mozzana 2 kg</t>
        </is>
      </c>
      <c r="N6169" t="inlineStr">
        <is>
          <t>Hamburgueria</t>
        </is>
      </c>
      <c r="O6169" t="n">
        <v>10</v>
      </c>
      <c r="P6169" t="n">
        <v>42</v>
      </c>
      <c r="Q6169" t="n">
        <v>10</v>
      </c>
    </row>
    <row r="6170">
      <c r="J6170" t="inlineStr">
        <is>
          <t>A</t>
        </is>
      </c>
      <c r="K6170" t="n">
        <v>2026</v>
      </c>
      <c r="L6170" t="n">
        <v>6</v>
      </c>
      <c r="M6170" t="inlineStr">
        <is>
          <t>Muçarela Mozzana 2 kg</t>
        </is>
      </c>
      <c r="N6170" t="inlineStr">
        <is>
          <t>Cozinha Oriental</t>
        </is>
      </c>
      <c r="O6170" t="n">
        <v>1</v>
      </c>
      <c r="P6170" t="n">
        <v>1</v>
      </c>
      <c r="Q6170" t="n">
        <v>0</v>
      </c>
    </row>
    <row r="6171">
      <c r="J6171" t="inlineStr">
        <is>
          <t>M</t>
        </is>
      </c>
      <c r="K6171" t="n">
        <v>2026</v>
      </c>
      <c r="L6171" t="n">
        <v>6</v>
      </c>
      <c r="M6171" t="inlineStr">
        <is>
          <t>Muçarela Mozzana 2 kg</t>
        </is>
      </c>
      <c r="N6171" t="inlineStr">
        <is>
          <t>Cozinha Oriental</t>
        </is>
      </c>
      <c r="O6171" t="n">
        <v>1</v>
      </c>
      <c r="P6171" t="n">
        <v>1</v>
      </c>
      <c r="Q6171" t="n">
        <v>0</v>
      </c>
    </row>
    <row r="6172">
      <c r="J6172" t="inlineStr">
        <is>
          <t>A</t>
        </is>
      </c>
      <c r="K6172" t="n">
        <v>2026</v>
      </c>
      <c r="L6172" t="n">
        <v>7</v>
      </c>
      <c r="M6172" t="inlineStr">
        <is>
          <t>Muçarela Mozzana 2 kg</t>
        </is>
      </c>
      <c r="N6172" t="inlineStr">
        <is>
          <t>Cozinha Oriental</t>
        </is>
      </c>
      <c r="O6172" t="n">
        <v>1</v>
      </c>
      <c r="P6172" t="n">
        <v>3</v>
      </c>
      <c r="Q6172" t="n">
        <v>0</v>
      </c>
    </row>
    <row r="6173">
      <c r="J6173" t="inlineStr">
        <is>
          <t>M</t>
        </is>
      </c>
      <c r="K6173" t="n">
        <v>2026</v>
      </c>
      <c r="L6173" t="n">
        <v>7</v>
      </c>
      <c r="M6173" t="inlineStr">
        <is>
          <t>Muçarela Mozzana 2 kg</t>
        </is>
      </c>
      <c r="N6173" t="inlineStr">
        <is>
          <t>Cozinha Oriental</t>
        </is>
      </c>
      <c r="O6173" t="n">
        <v>1</v>
      </c>
      <c r="P6173" t="n">
        <v>2</v>
      </c>
      <c r="Q6173" t="n">
        <v>0</v>
      </c>
    </row>
    <row r="6174">
      <c r="J6174" t="inlineStr">
        <is>
          <t>A</t>
        </is>
      </c>
      <c r="K6174" t="n">
        <v>2026</v>
      </c>
      <c r="L6174" t="n">
        <v>8</v>
      </c>
      <c r="M6174" t="inlineStr">
        <is>
          <t>Muçarela Mozzana 2 kg</t>
        </is>
      </c>
      <c r="N6174" t="inlineStr">
        <is>
          <t>Cozinha Oriental</t>
        </is>
      </c>
      <c r="O6174" t="n">
        <v>2</v>
      </c>
      <c r="P6174" t="n">
        <v>6</v>
      </c>
      <c r="Q6174" t="n">
        <v>1</v>
      </c>
    </row>
    <row r="6175">
      <c r="J6175" t="inlineStr">
        <is>
          <t>M</t>
        </is>
      </c>
      <c r="K6175" t="n">
        <v>2026</v>
      </c>
      <c r="L6175" t="n">
        <v>8</v>
      </c>
      <c r="M6175" t="inlineStr">
        <is>
          <t>Muçarela Mozzana 2 kg</t>
        </is>
      </c>
      <c r="N6175" t="inlineStr">
        <is>
          <t>Cozinha Oriental</t>
        </is>
      </c>
      <c r="O6175" t="n">
        <v>2</v>
      </c>
      <c r="P6175" t="n">
        <v>3</v>
      </c>
      <c r="Q6175" t="n">
        <v>0</v>
      </c>
    </row>
    <row r="6176">
      <c r="J6176" t="inlineStr">
        <is>
          <t>A</t>
        </is>
      </c>
      <c r="K6176" t="n">
        <v>2026</v>
      </c>
      <c r="L6176" t="n">
        <v>9</v>
      </c>
      <c r="M6176" t="inlineStr">
        <is>
          <t>Muçarela Mozzana 2 kg</t>
        </is>
      </c>
      <c r="N6176" t="inlineStr">
        <is>
          <t>Cozinha Oriental</t>
        </is>
      </c>
      <c r="O6176" t="n">
        <v>2</v>
      </c>
      <c r="P6176" t="n">
        <v>7</v>
      </c>
      <c r="Q6176" t="n">
        <v>1</v>
      </c>
    </row>
    <row r="6177">
      <c r="J6177" t="inlineStr">
        <is>
          <t>M</t>
        </is>
      </c>
      <c r="K6177" t="n">
        <v>2026</v>
      </c>
      <c r="L6177" t="n">
        <v>9</v>
      </c>
      <c r="M6177" t="inlineStr">
        <is>
          <t>Muçarela Mozzana 2 kg</t>
        </is>
      </c>
      <c r="N6177" t="inlineStr">
        <is>
          <t>Cozinha Oriental</t>
        </is>
      </c>
      <c r="O6177" t="n">
        <v>1</v>
      </c>
      <c r="P6177" t="n">
        <v>1</v>
      </c>
      <c r="Q6177" t="n">
        <v>0</v>
      </c>
    </row>
    <row r="6178">
      <c r="J6178" t="inlineStr">
        <is>
          <t>A</t>
        </is>
      </c>
      <c r="K6178" t="n">
        <v>2026</v>
      </c>
      <c r="L6178" t="n">
        <v>10</v>
      </c>
      <c r="M6178" t="inlineStr">
        <is>
          <t>Muçarela Mozzana 2 kg</t>
        </is>
      </c>
      <c r="N6178" t="inlineStr">
        <is>
          <t>Cozinha Oriental</t>
        </is>
      </c>
      <c r="O6178" t="n">
        <v>2</v>
      </c>
      <c r="P6178" t="n">
        <v>7</v>
      </c>
      <c r="Q6178" t="n">
        <v>1</v>
      </c>
    </row>
    <row r="6179">
      <c r="J6179" t="inlineStr">
        <is>
          <t>A</t>
        </is>
      </c>
      <c r="K6179" t="n">
        <v>2026</v>
      </c>
      <c r="L6179" t="n">
        <v>11</v>
      </c>
      <c r="M6179" t="inlineStr">
        <is>
          <t>Muçarela Mozzana 2 kg</t>
        </is>
      </c>
      <c r="N6179" t="inlineStr">
        <is>
          <t>Cozinha Oriental</t>
        </is>
      </c>
      <c r="O6179" t="n">
        <v>2</v>
      </c>
      <c r="P6179" t="n">
        <v>7</v>
      </c>
      <c r="Q6179" t="n">
        <v>1</v>
      </c>
    </row>
    <row r="6180">
      <c r="J6180" t="inlineStr">
        <is>
          <t>A</t>
        </is>
      </c>
      <c r="K6180" t="n">
        <v>2026</v>
      </c>
      <c r="L6180" t="n">
        <v>12</v>
      </c>
      <c r="M6180" t="inlineStr">
        <is>
          <t>Muçarela Mozzana 2 kg</t>
        </is>
      </c>
      <c r="N6180" t="inlineStr">
        <is>
          <t>Cozinha Oriental</t>
        </is>
      </c>
      <c r="O6180" t="n">
        <v>2</v>
      </c>
      <c r="P6180" t="n">
        <v>7</v>
      </c>
      <c r="Q6180" t="n">
        <v>1</v>
      </c>
    </row>
    <row r="6181">
      <c r="J6181" t="inlineStr">
        <is>
          <t>A</t>
        </is>
      </c>
      <c r="K6181" t="n">
        <v>2026</v>
      </c>
      <c r="L6181" t="n">
        <v>3</v>
      </c>
      <c r="M6181" t="inlineStr">
        <is>
          <t>Muçarela Mozzana 2 kg</t>
        </is>
      </c>
      <c r="N6181" t="inlineStr">
        <is>
          <t>Adega</t>
        </is>
      </c>
      <c r="O6181" t="n">
        <v>1</v>
      </c>
      <c r="P6181" t="n">
        <v>2</v>
      </c>
      <c r="Q6181" t="n">
        <v>1</v>
      </c>
    </row>
    <row r="6182">
      <c r="J6182" t="inlineStr">
        <is>
          <t>M</t>
        </is>
      </c>
      <c r="K6182" t="n">
        <v>2026</v>
      </c>
      <c r="L6182" t="n">
        <v>3</v>
      </c>
      <c r="M6182" t="inlineStr">
        <is>
          <t>Muçarela Mozzana 2 kg</t>
        </is>
      </c>
      <c r="N6182" t="inlineStr">
        <is>
          <t>Adega</t>
        </is>
      </c>
      <c r="O6182" t="n">
        <v>1</v>
      </c>
      <c r="P6182" t="n">
        <v>2</v>
      </c>
      <c r="Q6182" t="n">
        <v>0</v>
      </c>
    </row>
    <row r="6183">
      <c r="J6183" t="inlineStr">
        <is>
          <t>A</t>
        </is>
      </c>
      <c r="K6183" t="n">
        <v>2026</v>
      </c>
      <c r="L6183" t="n">
        <v>4</v>
      </c>
      <c r="M6183" t="inlineStr">
        <is>
          <t>Muçarela Mozzana 2 kg</t>
        </is>
      </c>
      <c r="N6183" t="inlineStr">
        <is>
          <t>Adega</t>
        </is>
      </c>
      <c r="O6183" t="n">
        <v>1</v>
      </c>
      <c r="P6183" t="n">
        <v>4</v>
      </c>
      <c r="Q6183" t="n">
        <v>1</v>
      </c>
    </row>
    <row r="6184">
      <c r="J6184" t="inlineStr">
        <is>
          <t>M</t>
        </is>
      </c>
      <c r="K6184" t="n">
        <v>2026</v>
      </c>
      <c r="L6184" t="n">
        <v>4</v>
      </c>
      <c r="M6184" t="inlineStr">
        <is>
          <t>Muçarela Mozzana 2 kg</t>
        </is>
      </c>
      <c r="N6184" t="inlineStr">
        <is>
          <t>Adega</t>
        </is>
      </c>
      <c r="O6184" t="n">
        <v>1</v>
      </c>
      <c r="P6184" t="n">
        <v>2</v>
      </c>
      <c r="Q6184" t="n">
        <v>0</v>
      </c>
    </row>
    <row r="6185">
      <c r="J6185" t="inlineStr">
        <is>
          <t>A</t>
        </is>
      </c>
      <c r="K6185" t="n">
        <v>2026</v>
      </c>
      <c r="L6185" t="n">
        <v>5</v>
      </c>
      <c r="M6185" t="inlineStr">
        <is>
          <t>Muçarela Mozzana 2 kg</t>
        </is>
      </c>
      <c r="N6185" t="inlineStr">
        <is>
          <t>Adega</t>
        </is>
      </c>
      <c r="O6185" t="n">
        <v>2</v>
      </c>
      <c r="P6185" t="n">
        <v>9</v>
      </c>
      <c r="Q6185" t="n">
        <v>2</v>
      </c>
    </row>
    <row r="6186">
      <c r="J6186" t="inlineStr">
        <is>
          <t>M</t>
        </is>
      </c>
      <c r="K6186" t="n">
        <v>2026</v>
      </c>
      <c r="L6186" t="n">
        <v>5</v>
      </c>
      <c r="M6186" t="inlineStr">
        <is>
          <t>Muçarela Mozzana 2 kg</t>
        </is>
      </c>
      <c r="N6186" t="inlineStr">
        <is>
          <t>Adega</t>
        </is>
      </c>
      <c r="O6186" t="n">
        <v>2</v>
      </c>
      <c r="P6186" t="n">
        <v>5</v>
      </c>
      <c r="Q6186" t="n">
        <v>0</v>
      </c>
    </row>
    <row r="6187">
      <c r="J6187" t="inlineStr">
        <is>
          <t>A</t>
        </is>
      </c>
      <c r="K6187" t="n">
        <v>2026</v>
      </c>
      <c r="L6187" t="n">
        <v>6</v>
      </c>
      <c r="M6187" t="inlineStr">
        <is>
          <t>Muçarela Mozzana 2 kg</t>
        </is>
      </c>
      <c r="N6187" t="inlineStr">
        <is>
          <t>Adega</t>
        </is>
      </c>
      <c r="O6187" t="n">
        <v>2</v>
      </c>
      <c r="P6187" t="n">
        <v>11</v>
      </c>
      <c r="Q6187" t="n">
        <v>2</v>
      </c>
    </row>
    <row r="6188">
      <c r="J6188" t="inlineStr">
        <is>
          <t>M</t>
        </is>
      </c>
      <c r="K6188" t="n">
        <v>2026</v>
      </c>
      <c r="L6188" t="n">
        <v>6</v>
      </c>
      <c r="M6188" t="inlineStr">
        <is>
          <t>Muçarela Mozzana 2 kg</t>
        </is>
      </c>
      <c r="N6188" t="inlineStr">
        <is>
          <t>Adega</t>
        </is>
      </c>
      <c r="O6188" t="n">
        <v>1</v>
      </c>
      <c r="P6188" t="n">
        <v>2</v>
      </c>
      <c r="Q6188" t="n">
        <v>0</v>
      </c>
    </row>
    <row r="6189">
      <c r="J6189" t="inlineStr">
        <is>
          <t>A</t>
        </is>
      </c>
      <c r="K6189" t="n">
        <v>2026</v>
      </c>
      <c r="L6189" t="n">
        <v>7</v>
      </c>
      <c r="M6189" t="inlineStr">
        <is>
          <t>Muçarela Mozzana 2 kg</t>
        </is>
      </c>
      <c r="N6189" t="inlineStr">
        <is>
          <t>Adega</t>
        </is>
      </c>
      <c r="O6189" t="n">
        <v>2</v>
      </c>
      <c r="P6189" t="n">
        <v>14</v>
      </c>
      <c r="Q6189" t="n">
        <v>2</v>
      </c>
    </row>
    <row r="6190">
      <c r="J6190" t="inlineStr">
        <is>
          <t>M</t>
        </is>
      </c>
      <c r="K6190" t="n">
        <v>2026</v>
      </c>
      <c r="L6190" t="n">
        <v>7</v>
      </c>
      <c r="M6190" t="inlineStr">
        <is>
          <t>Muçarela Mozzana 2 kg</t>
        </is>
      </c>
      <c r="N6190" t="inlineStr">
        <is>
          <t>Adega</t>
        </is>
      </c>
      <c r="O6190" t="n">
        <v>1</v>
      </c>
      <c r="P6190" t="n">
        <v>3</v>
      </c>
      <c r="Q6190" t="n">
        <v>0</v>
      </c>
    </row>
    <row r="6191">
      <c r="J6191" t="inlineStr">
        <is>
          <t>A</t>
        </is>
      </c>
      <c r="K6191" t="n">
        <v>2026</v>
      </c>
      <c r="L6191" t="n">
        <v>8</v>
      </c>
      <c r="M6191" t="inlineStr">
        <is>
          <t>Muçarela Mozzana 2 kg</t>
        </is>
      </c>
      <c r="N6191" t="inlineStr">
        <is>
          <t>Adega</t>
        </is>
      </c>
      <c r="O6191" t="n">
        <v>2</v>
      </c>
      <c r="P6191" t="n">
        <v>17</v>
      </c>
      <c r="Q6191" t="n">
        <v>2</v>
      </c>
    </row>
    <row r="6192">
      <c r="J6192" t="inlineStr">
        <is>
          <t>M</t>
        </is>
      </c>
      <c r="K6192" t="n">
        <v>2026</v>
      </c>
      <c r="L6192" t="n">
        <v>8</v>
      </c>
      <c r="M6192" t="inlineStr">
        <is>
          <t>Muçarela Mozzana 2 kg</t>
        </is>
      </c>
      <c r="N6192" t="inlineStr">
        <is>
          <t>Adega</t>
        </is>
      </c>
      <c r="O6192" t="n">
        <v>1</v>
      </c>
      <c r="P6192" t="n">
        <v>3</v>
      </c>
      <c r="Q6192" t="n">
        <v>0</v>
      </c>
    </row>
    <row r="6193">
      <c r="J6193" t="inlineStr">
        <is>
          <t>A</t>
        </is>
      </c>
      <c r="K6193" t="n">
        <v>2026</v>
      </c>
      <c r="L6193" t="n">
        <v>9</v>
      </c>
      <c r="M6193" t="inlineStr">
        <is>
          <t>Muçarela Mozzana 2 kg</t>
        </is>
      </c>
      <c r="N6193" t="inlineStr">
        <is>
          <t>Adega</t>
        </is>
      </c>
      <c r="O6193" t="n">
        <v>2</v>
      </c>
      <c r="P6193" t="n">
        <v>18</v>
      </c>
      <c r="Q6193" t="n">
        <v>2</v>
      </c>
    </row>
    <row r="6194">
      <c r="J6194" t="inlineStr">
        <is>
          <t>M</t>
        </is>
      </c>
      <c r="K6194" t="n">
        <v>2026</v>
      </c>
      <c r="L6194" t="n">
        <v>9</v>
      </c>
      <c r="M6194" t="inlineStr">
        <is>
          <t>Muçarela Mozzana 2 kg</t>
        </is>
      </c>
      <c r="N6194" t="inlineStr">
        <is>
          <t>Adega</t>
        </is>
      </c>
      <c r="O6194" t="n">
        <v>1</v>
      </c>
      <c r="P6194" t="n">
        <v>1</v>
      </c>
      <c r="Q6194" t="n">
        <v>0</v>
      </c>
    </row>
    <row r="6195">
      <c r="J6195" t="inlineStr">
        <is>
          <t>A</t>
        </is>
      </c>
      <c r="K6195" t="n">
        <v>2026</v>
      </c>
      <c r="L6195" t="n">
        <v>10</v>
      </c>
      <c r="M6195" t="inlineStr">
        <is>
          <t>Muçarela Mozzana 2 kg</t>
        </is>
      </c>
      <c r="N6195" t="inlineStr">
        <is>
          <t>Adega</t>
        </is>
      </c>
      <c r="O6195" t="n">
        <v>2</v>
      </c>
      <c r="P6195" t="n">
        <v>18</v>
      </c>
      <c r="Q6195" t="n">
        <v>2</v>
      </c>
    </row>
    <row r="6196">
      <c r="J6196" t="inlineStr">
        <is>
          <t>A</t>
        </is>
      </c>
      <c r="K6196" t="n">
        <v>2026</v>
      </c>
      <c r="L6196" t="n">
        <v>11</v>
      </c>
      <c r="M6196" t="inlineStr">
        <is>
          <t>Muçarela Mozzana 2 kg</t>
        </is>
      </c>
      <c r="N6196" t="inlineStr">
        <is>
          <t>Adega</t>
        </is>
      </c>
      <c r="O6196" t="n">
        <v>2</v>
      </c>
      <c r="P6196" t="n">
        <v>18</v>
      </c>
      <c r="Q6196" t="n">
        <v>2</v>
      </c>
    </row>
    <row r="6197">
      <c r="J6197" t="inlineStr">
        <is>
          <t>A</t>
        </is>
      </c>
      <c r="K6197" t="n">
        <v>2026</v>
      </c>
      <c r="L6197" t="n">
        <v>12</v>
      </c>
      <c r="M6197" t="inlineStr">
        <is>
          <t>Muçarela Mozzana 2 kg</t>
        </is>
      </c>
      <c r="N6197" t="inlineStr">
        <is>
          <t>Adega</t>
        </is>
      </c>
      <c r="O6197" t="n">
        <v>2</v>
      </c>
      <c r="P6197" t="n">
        <v>18</v>
      </c>
      <c r="Q6197" t="n">
        <v>2</v>
      </c>
    </row>
    <row r="6198">
      <c r="J6198" t="inlineStr">
        <is>
          <t>A</t>
        </is>
      </c>
      <c r="K6198" t="n">
        <v>2026</v>
      </c>
      <c r="L6198" t="n">
        <v>4</v>
      </c>
      <c r="M6198" t="inlineStr">
        <is>
          <t>Muçarela Mozzana 2 kg</t>
        </is>
      </c>
      <c r="N6198" t="inlineStr">
        <is>
          <t>Bar / Chopperia</t>
        </is>
      </c>
      <c r="O6198" t="n">
        <v>1</v>
      </c>
      <c r="P6198" t="n">
        <v>1</v>
      </c>
      <c r="Q6198" t="n">
        <v>1</v>
      </c>
    </row>
    <row r="6199">
      <c r="J6199" t="inlineStr">
        <is>
          <t>M</t>
        </is>
      </c>
      <c r="K6199" t="n">
        <v>2026</v>
      </c>
      <c r="L6199" t="n">
        <v>4</v>
      </c>
      <c r="M6199" t="inlineStr">
        <is>
          <t>Muçarela Mozzana 2 kg</t>
        </is>
      </c>
      <c r="N6199" t="inlineStr">
        <is>
          <t>Bar / Chopperia</t>
        </is>
      </c>
      <c r="O6199" t="n">
        <v>1</v>
      </c>
      <c r="P6199" t="n">
        <v>1</v>
      </c>
      <c r="Q6199" t="n">
        <v>0</v>
      </c>
    </row>
    <row r="6200">
      <c r="J6200" t="inlineStr">
        <is>
          <t>A</t>
        </is>
      </c>
      <c r="K6200" t="n">
        <v>2026</v>
      </c>
      <c r="L6200" t="n">
        <v>5</v>
      </c>
      <c r="M6200" t="inlineStr">
        <is>
          <t>Muçarela Mozzana 2 kg</t>
        </is>
      </c>
      <c r="N6200" t="inlineStr">
        <is>
          <t>Bar / Chopperia</t>
        </is>
      </c>
      <c r="O6200" t="n">
        <v>1</v>
      </c>
      <c r="P6200" t="n">
        <v>2</v>
      </c>
      <c r="Q6200" t="n">
        <v>1</v>
      </c>
    </row>
    <row r="6201">
      <c r="J6201" t="inlineStr">
        <is>
          <t>M</t>
        </is>
      </c>
      <c r="K6201" t="n">
        <v>2026</v>
      </c>
      <c r="L6201" t="n">
        <v>5</v>
      </c>
      <c r="M6201" t="inlineStr">
        <is>
          <t>Muçarela Mozzana 2 kg</t>
        </is>
      </c>
      <c r="N6201" t="inlineStr">
        <is>
          <t>Bar / Chopperia</t>
        </is>
      </c>
      <c r="O6201" t="n">
        <v>1</v>
      </c>
      <c r="P6201" t="n">
        <v>1</v>
      </c>
      <c r="Q6201" t="n">
        <v>0</v>
      </c>
    </row>
    <row r="6202">
      <c r="J6202" t="inlineStr">
        <is>
          <t>A</t>
        </is>
      </c>
      <c r="K6202" t="n">
        <v>2026</v>
      </c>
      <c r="L6202" t="n">
        <v>6</v>
      </c>
      <c r="M6202" t="inlineStr">
        <is>
          <t>Muçarela Mozzana 2 kg</t>
        </is>
      </c>
      <c r="N6202" t="inlineStr">
        <is>
          <t>Bar / Chopperia</t>
        </is>
      </c>
      <c r="O6202" t="n">
        <v>1</v>
      </c>
      <c r="P6202" t="n">
        <v>3</v>
      </c>
      <c r="Q6202" t="n">
        <v>1</v>
      </c>
    </row>
    <row r="6203">
      <c r="J6203" t="inlineStr">
        <is>
          <t>M</t>
        </is>
      </c>
      <c r="K6203" t="n">
        <v>2026</v>
      </c>
      <c r="L6203" t="n">
        <v>6</v>
      </c>
      <c r="M6203" t="inlineStr">
        <is>
          <t>Muçarela Mozzana 2 kg</t>
        </is>
      </c>
      <c r="N6203" t="inlineStr">
        <is>
          <t>Bar / Chopperia</t>
        </is>
      </c>
      <c r="O6203" t="n">
        <v>1</v>
      </c>
      <c r="P6203" t="n">
        <v>1</v>
      </c>
      <c r="Q6203" t="n">
        <v>0</v>
      </c>
    </row>
    <row r="6204">
      <c r="J6204" t="inlineStr">
        <is>
          <t>A</t>
        </is>
      </c>
      <c r="K6204" t="n">
        <v>2026</v>
      </c>
      <c r="L6204" t="n">
        <v>7</v>
      </c>
      <c r="M6204" t="inlineStr">
        <is>
          <t>Muçarela Mozzana 2 kg</t>
        </is>
      </c>
      <c r="N6204" t="inlineStr">
        <is>
          <t>Bar / Chopperia</t>
        </is>
      </c>
      <c r="O6204" t="n">
        <v>1</v>
      </c>
      <c r="P6204" t="n">
        <v>4</v>
      </c>
      <c r="Q6204" t="n">
        <v>1</v>
      </c>
    </row>
    <row r="6205">
      <c r="J6205" t="inlineStr">
        <is>
          <t>M</t>
        </is>
      </c>
      <c r="K6205" t="n">
        <v>2026</v>
      </c>
      <c r="L6205" t="n">
        <v>7</v>
      </c>
      <c r="M6205" t="inlineStr">
        <is>
          <t>Muçarela Mozzana 2 kg</t>
        </is>
      </c>
      <c r="N6205" t="inlineStr">
        <is>
          <t>Bar / Chopperia</t>
        </is>
      </c>
      <c r="O6205" t="n">
        <v>1</v>
      </c>
      <c r="P6205" t="n">
        <v>1</v>
      </c>
      <c r="Q6205" t="n">
        <v>0</v>
      </c>
    </row>
    <row r="6206">
      <c r="J6206" t="inlineStr">
        <is>
          <t>A</t>
        </is>
      </c>
      <c r="K6206" t="n">
        <v>2026</v>
      </c>
      <c r="L6206" t="n">
        <v>8</v>
      </c>
      <c r="M6206" t="inlineStr">
        <is>
          <t>Muçarela Mozzana 2 kg</t>
        </is>
      </c>
      <c r="N6206" t="inlineStr">
        <is>
          <t>Bar / Chopperia</t>
        </is>
      </c>
      <c r="O6206" t="n">
        <v>1</v>
      </c>
      <c r="P6206" t="n">
        <v>5</v>
      </c>
      <c r="Q6206" t="n">
        <v>1</v>
      </c>
    </row>
    <row r="6207">
      <c r="J6207" t="inlineStr">
        <is>
          <t>M</t>
        </is>
      </c>
      <c r="K6207" t="n">
        <v>2026</v>
      </c>
      <c r="L6207" t="n">
        <v>8</v>
      </c>
      <c r="M6207" t="inlineStr">
        <is>
          <t>Muçarela Mozzana 2 kg</t>
        </is>
      </c>
      <c r="N6207" t="inlineStr">
        <is>
          <t>Bar / Chopperia</t>
        </is>
      </c>
      <c r="O6207" t="n">
        <v>1</v>
      </c>
      <c r="P6207" t="n">
        <v>1</v>
      </c>
      <c r="Q6207" t="n">
        <v>0</v>
      </c>
    </row>
    <row r="6208">
      <c r="J6208" t="inlineStr">
        <is>
          <t>A</t>
        </is>
      </c>
      <c r="K6208" t="n">
        <v>2026</v>
      </c>
      <c r="L6208" t="n">
        <v>9</v>
      </c>
      <c r="M6208" t="inlineStr">
        <is>
          <t>Muçarela Mozzana 2 kg</t>
        </is>
      </c>
      <c r="N6208" t="inlineStr">
        <is>
          <t>Bar / Chopperia</t>
        </is>
      </c>
      <c r="O6208" t="n">
        <v>1</v>
      </c>
      <c r="P6208" t="n">
        <v>5</v>
      </c>
      <c r="Q6208" t="n">
        <v>1</v>
      </c>
    </row>
    <row r="6209">
      <c r="J6209" t="inlineStr">
        <is>
          <t>A</t>
        </is>
      </c>
      <c r="K6209" t="n">
        <v>2026</v>
      </c>
      <c r="L6209" t="n">
        <v>10</v>
      </c>
      <c r="M6209" t="inlineStr">
        <is>
          <t>Muçarela Mozzana 2 kg</t>
        </is>
      </c>
      <c r="N6209" t="inlineStr">
        <is>
          <t>Bar / Chopperia</t>
        </is>
      </c>
      <c r="O6209" t="n">
        <v>1</v>
      </c>
      <c r="P6209" t="n">
        <v>5</v>
      </c>
      <c r="Q6209" t="n">
        <v>1</v>
      </c>
    </row>
    <row r="6210">
      <c r="J6210" t="inlineStr">
        <is>
          <t>A</t>
        </is>
      </c>
      <c r="K6210" t="n">
        <v>2026</v>
      </c>
      <c r="L6210" t="n">
        <v>11</v>
      </c>
      <c r="M6210" t="inlineStr">
        <is>
          <t>Muçarela Mozzana 2 kg</t>
        </is>
      </c>
      <c r="N6210" t="inlineStr">
        <is>
          <t>Bar / Chopperia</t>
        </is>
      </c>
      <c r="O6210" t="n">
        <v>1</v>
      </c>
      <c r="P6210" t="n">
        <v>5</v>
      </c>
      <c r="Q6210" t="n">
        <v>1</v>
      </c>
    </row>
    <row r="6211">
      <c r="J6211" t="inlineStr">
        <is>
          <t>A</t>
        </is>
      </c>
      <c r="K6211" t="n">
        <v>2026</v>
      </c>
      <c r="L6211" t="n">
        <v>12</v>
      </c>
      <c r="M6211" t="inlineStr">
        <is>
          <t>Muçarela Mozzana 2 kg</t>
        </is>
      </c>
      <c r="N6211" t="inlineStr">
        <is>
          <t>Bar / Chopperia</t>
        </is>
      </c>
      <c r="O6211" t="n">
        <v>1</v>
      </c>
      <c r="P6211" t="n">
        <v>5</v>
      </c>
      <c r="Q6211" t="n">
        <v>1</v>
      </c>
    </row>
    <row r="6212">
      <c r="J6212" t="inlineStr">
        <is>
          <t>A</t>
        </is>
      </c>
      <c r="K6212" t="n">
        <v>2026</v>
      </c>
      <c r="L6212" t="n">
        <v>1</v>
      </c>
      <c r="M6212" t="inlineStr">
        <is>
          <t>Muçarela Mozzana 2 kg</t>
        </is>
      </c>
      <c r="N6212" t="inlineStr">
        <is>
          <t>Confeitaria</t>
        </is>
      </c>
      <c r="O6212" t="n">
        <v>1</v>
      </c>
      <c r="P6212" t="n">
        <v>1</v>
      </c>
      <c r="Q6212" t="n">
        <v>0</v>
      </c>
    </row>
    <row r="6213">
      <c r="J6213" t="inlineStr">
        <is>
          <t>M</t>
        </is>
      </c>
      <c r="K6213" t="n">
        <v>2026</v>
      </c>
      <c r="L6213" t="n">
        <v>1</v>
      </c>
      <c r="M6213" t="inlineStr">
        <is>
          <t>Muçarela Mozzana 2 kg</t>
        </is>
      </c>
      <c r="N6213" t="inlineStr">
        <is>
          <t>Confeitaria</t>
        </is>
      </c>
      <c r="O6213" t="n">
        <v>1</v>
      </c>
      <c r="P6213" t="n">
        <v>1</v>
      </c>
      <c r="Q6213" t="n">
        <v>0</v>
      </c>
    </row>
    <row r="6214">
      <c r="J6214" t="inlineStr">
        <is>
          <t>A</t>
        </is>
      </c>
      <c r="K6214" t="n">
        <v>2026</v>
      </c>
      <c r="L6214" t="n">
        <v>2</v>
      </c>
      <c r="M6214" t="inlineStr">
        <is>
          <t>Muçarela Mozzana 2 kg</t>
        </is>
      </c>
      <c r="N6214" t="inlineStr">
        <is>
          <t>Confeitaria</t>
        </is>
      </c>
      <c r="O6214" t="n">
        <v>2</v>
      </c>
      <c r="P6214" t="n">
        <v>3</v>
      </c>
      <c r="Q6214" t="n">
        <v>1</v>
      </c>
    </row>
    <row r="6215">
      <c r="J6215" t="inlineStr">
        <is>
          <t>M</t>
        </is>
      </c>
      <c r="K6215" t="n">
        <v>2026</v>
      </c>
      <c r="L6215" t="n">
        <v>2</v>
      </c>
      <c r="M6215" t="inlineStr">
        <is>
          <t>Muçarela Mozzana 2 kg</t>
        </is>
      </c>
      <c r="N6215" t="inlineStr">
        <is>
          <t>Confeitaria</t>
        </is>
      </c>
      <c r="O6215" t="n">
        <v>2</v>
      </c>
      <c r="P6215" t="n">
        <v>2</v>
      </c>
      <c r="Q6215" t="n">
        <v>0</v>
      </c>
    </row>
    <row r="6216">
      <c r="J6216" t="inlineStr">
        <is>
          <t>A</t>
        </is>
      </c>
      <c r="K6216" t="n">
        <v>2026</v>
      </c>
      <c r="L6216" t="n">
        <v>3</v>
      </c>
      <c r="M6216" t="inlineStr">
        <is>
          <t>Muçarela Mozzana 2 kg</t>
        </is>
      </c>
      <c r="N6216" t="inlineStr">
        <is>
          <t>Confeitaria</t>
        </is>
      </c>
      <c r="O6216" t="n">
        <v>2</v>
      </c>
      <c r="P6216" t="n">
        <v>7</v>
      </c>
      <c r="Q6216" t="n">
        <v>1</v>
      </c>
    </row>
    <row r="6217">
      <c r="J6217" t="inlineStr">
        <is>
          <t>M</t>
        </is>
      </c>
      <c r="K6217" t="n">
        <v>2026</v>
      </c>
      <c r="L6217" t="n">
        <v>3</v>
      </c>
      <c r="M6217" t="inlineStr">
        <is>
          <t>Muçarela Mozzana 2 kg</t>
        </is>
      </c>
      <c r="N6217" t="inlineStr">
        <is>
          <t>Confeitaria</t>
        </is>
      </c>
      <c r="O6217" t="n">
        <v>2</v>
      </c>
      <c r="P6217" t="n">
        <v>4</v>
      </c>
      <c r="Q6217" t="n">
        <v>0</v>
      </c>
    </row>
    <row r="6218">
      <c r="J6218" t="inlineStr">
        <is>
          <t>A</t>
        </is>
      </c>
      <c r="K6218" t="n">
        <v>2026</v>
      </c>
      <c r="L6218" t="n">
        <v>4</v>
      </c>
      <c r="M6218" t="inlineStr">
        <is>
          <t>Muçarela Mozzana 2 kg</t>
        </is>
      </c>
      <c r="N6218" t="inlineStr">
        <is>
          <t>Confeitaria</t>
        </is>
      </c>
      <c r="O6218" t="n">
        <v>2</v>
      </c>
      <c r="P6218" t="n">
        <v>7</v>
      </c>
      <c r="Q6218" t="n">
        <v>1</v>
      </c>
    </row>
    <row r="6219">
      <c r="J6219" t="inlineStr">
        <is>
          <t>A</t>
        </is>
      </c>
      <c r="K6219" t="n">
        <v>2026</v>
      </c>
      <c r="L6219" t="n">
        <v>5</v>
      </c>
      <c r="M6219" t="inlineStr">
        <is>
          <t>Muçarela Mozzana 2 kg</t>
        </is>
      </c>
      <c r="N6219" t="inlineStr">
        <is>
          <t>Confeitaria</t>
        </is>
      </c>
      <c r="O6219" t="n">
        <v>2</v>
      </c>
      <c r="P6219" t="n">
        <v>7</v>
      </c>
      <c r="Q6219" t="n">
        <v>1</v>
      </c>
    </row>
    <row r="6220">
      <c r="J6220" t="inlineStr">
        <is>
          <t>A</t>
        </is>
      </c>
      <c r="K6220" t="n">
        <v>2026</v>
      </c>
      <c r="L6220" t="n">
        <v>6</v>
      </c>
      <c r="M6220" t="inlineStr">
        <is>
          <t>Muçarela Mozzana 2 kg</t>
        </is>
      </c>
      <c r="N6220" t="inlineStr">
        <is>
          <t>Confeitaria</t>
        </is>
      </c>
      <c r="O6220" t="n">
        <v>2</v>
      </c>
      <c r="P6220" t="n">
        <v>7</v>
      </c>
      <c r="Q6220" t="n">
        <v>1</v>
      </c>
    </row>
    <row r="6221">
      <c r="J6221" t="inlineStr">
        <is>
          <t>A</t>
        </is>
      </c>
      <c r="K6221" t="n">
        <v>2026</v>
      </c>
      <c r="L6221" t="n">
        <v>7</v>
      </c>
      <c r="M6221" t="inlineStr">
        <is>
          <t>Muçarela Mozzana 2 kg</t>
        </is>
      </c>
      <c r="N6221" t="inlineStr">
        <is>
          <t>Confeitaria</t>
        </is>
      </c>
      <c r="O6221" t="n">
        <v>2</v>
      </c>
      <c r="P6221" t="n">
        <v>7</v>
      </c>
      <c r="Q6221" t="n">
        <v>1</v>
      </c>
    </row>
    <row r="6222">
      <c r="J6222" t="inlineStr">
        <is>
          <t>A</t>
        </is>
      </c>
      <c r="K6222" t="n">
        <v>2026</v>
      </c>
      <c r="L6222" t="n">
        <v>8</v>
      </c>
      <c r="M6222" t="inlineStr">
        <is>
          <t>Muçarela Mozzana 2 kg</t>
        </is>
      </c>
      <c r="N6222" t="inlineStr">
        <is>
          <t>Confeitaria</t>
        </is>
      </c>
      <c r="O6222" t="n">
        <v>2</v>
      </c>
      <c r="P6222" t="n">
        <v>7</v>
      </c>
      <c r="Q6222" t="n">
        <v>1</v>
      </c>
    </row>
    <row r="6223">
      <c r="J6223" t="inlineStr">
        <is>
          <t>A</t>
        </is>
      </c>
      <c r="K6223" t="n">
        <v>2026</v>
      </c>
      <c r="L6223" t="n">
        <v>9</v>
      </c>
      <c r="M6223" t="inlineStr">
        <is>
          <t>Muçarela Mozzana 2 kg</t>
        </is>
      </c>
      <c r="N6223" t="inlineStr">
        <is>
          <t>Confeitaria</t>
        </is>
      </c>
      <c r="O6223" t="n">
        <v>2</v>
      </c>
      <c r="P6223" t="n">
        <v>7</v>
      </c>
      <c r="Q6223" t="n">
        <v>1</v>
      </c>
    </row>
    <row r="6224">
      <c r="J6224" t="inlineStr">
        <is>
          <t>A</t>
        </is>
      </c>
      <c r="K6224" t="n">
        <v>2026</v>
      </c>
      <c r="L6224" t="n">
        <v>10</v>
      </c>
      <c r="M6224" t="inlineStr">
        <is>
          <t>Muçarela Mozzana 2 kg</t>
        </is>
      </c>
      <c r="N6224" t="inlineStr">
        <is>
          <t>Confeitaria</t>
        </is>
      </c>
      <c r="O6224" t="n">
        <v>2</v>
      </c>
      <c r="P6224" t="n">
        <v>7</v>
      </c>
      <c r="Q6224" t="n">
        <v>1</v>
      </c>
    </row>
    <row r="6225">
      <c r="J6225" t="inlineStr">
        <is>
          <t>A</t>
        </is>
      </c>
      <c r="K6225" t="n">
        <v>2026</v>
      </c>
      <c r="L6225" t="n">
        <v>11</v>
      </c>
      <c r="M6225" t="inlineStr">
        <is>
          <t>Muçarela Mozzana 2 kg</t>
        </is>
      </c>
      <c r="N6225" t="inlineStr">
        <is>
          <t>Confeitaria</t>
        </is>
      </c>
      <c r="O6225" t="n">
        <v>2</v>
      </c>
      <c r="P6225" t="n">
        <v>7</v>
      </c>
      <c r="Q6225" t="n">
        <v>1</v>
      </c>
    </row>
    <row r="6226">
      <c r="J6226" t="inlineStr">
        <is>
          <t>A</t>
        </is>
      </c>
      <c r="K6226" t="n">
        <v>2026</v>
      </c>
      <c r="L6226" t="n">
        <v>12</v>
      </c>
      <c r="M6226" t="inlineStr">
        <is>
          <t>Muçarela Mozzana 2 kg</t>
        </is>
      </c>
      <c r="N6226" t="inlineStr">
        <is>
          <t>Confeitaria</t>
        </is>
      </c>
      <c r="O6226" t="n">
        <v>2</v>
      </c>
      <c r="P6226" t="n">
        <v>7</v>
      </c>
      <c r="Q6226" t="n">
        <v>1</v>
      </c>
    </row>
    <row r="6227">
      <c r="J6227" t="inlineStr">
        <is>
          <t>A</t>
        </is>
      </c>
      <c r="K6227" t="n">
        <v>2026</v>
      </c>
      <c r="L6227" t="n">
        <v>4</v>
      </c>
      <c r="M6227" t="inlineStr">
        <is>
          <t>Muçarela Mozzana 2 kg</t>
        </is>
      </c>
      <c r="N6227" t="inlineStr">
        <is>
          <t>Distribuidor Alimentos</t>
        </is>
      </c>
      <c r="O6227" t="n">
        <v>1</v>
      </c>
      <c r="P6227" t="n">
        <v>2</v>
      </c>
      <c r="Q6227" t="n">
        <v>1</v>
      </c>
    </row>
    <row r="6228">
      <c r="J6228" t="inlineStr">
        <is>
          <t>M</t>
        </is>
      </c>
      <c r="K6228" t="n">
        <v>2026</v>
      </c>
      <c r="L6228" t="n">
        <v>4</v>
      </c>
      <c r="M6228" t="inlineStr">
        <is>
          <t>Muçarela Mozzana 2 kg</t>
        </is>
      </c>
      <c r="N6228" t="inlineStr">
        <is>
          <t>Distribuidor Alimentos</t>
        </is>
      </c>
      <c r="O6228" t="n">
        <v>1</v>
      </c>
      <c r="P6228" t="n">
        <v>2</v>
      </c>
      <c r="Q6228" t="n">
        <v>0</v>
      </c>
    </row>
    <row r="6229">
      <c r="J6229" t="inlineStr">
        <is>
          <t>A</t>
        </is>
      </c>
      <c r="K6229" t="n">
        <v>2026</v>
      </c>
      <c r="L6229" t="n">
        <v>5</v>
      </c>
      <c r="M6229" t="inlineStr">
        <is>
          <t>Muçarela Mozzana 2 kg</t>
        </is>
      </c>
      <c r="N6229" t="inlineStr">
        <is>
          <t>Distribuidor Alimentos</t>
        </is>
      </c>
      <c r="O6229" t="n">
        <v>2</v>
      </c>
      <c r="P6229" t="n">
        <v>4</v>
      </c>
      <c r="Q6229" t="n">
        <v>1</v>
      </c>
    </row>
    <row r="6230">
      <c r="J6230" t="inlineStr">
        <is>
          <t>M</t>
        </is>
      </c>
      <c r="K6230" t="n">
        <v>2026</v>
      </c>
      <c r="L6230" t="n">
        <v>5</v>
      </c>
      <c r="M6230" t="inlineStr">
        <is>
          <t>Muçarela Mozzana 2 kg</t>
        </is>
      </c>
      <c r="N6230" t="inlineStr">
        <is>
          <t>Distribuidor Alimentos</t>
        </is>
      </c>
      <c r="O6230" t="n">
        <v>1</v>
      </c>
      <c r="P6230" t="n">
        <v>2</v>
      </c>
      <c r="Q6230" t="n">
        <v>0</v>
      </c>
    </row>
    <row r="6231">
      <c r="J6231" t="inlineStr">
        <is>
          <t>A</t>
        </is>
      </c>
      <c r="K6231" t="n">
        <v>2026</v>
      </c>
      <c r="L6231" t="n">
        <v>6</v>
      </c>
      <c r="M6231" t="inlineStr">
        <is>
          <t>Muçarela Mozzana 2 kg</t>
        </is>
      </c>
      <c r="N6231" t="inlineStr">
        <is>
          <t>Distribuidor Alimentos</t>
        </is>
      </c>
      <c r="O6231" t="n">
        <v>2</v>
      </c>
      <c r="P6231" t="n">
        <v>4</v>
      </c>
      <c r="Q6231" t="n">
        <v>1</v>
      </c>
    </row>
    <row r="6232">
      <c r="J6232" t="inlineStr">
        <is>
          <t>A</t>
        </is>
      </c>
      <c r="K6232" t="n">
        <v>2026</v>
      </c>
      <c r="L6232" t="n">
        <v>7</v>
      </c>
      <c r="M6232" t="inlineStr">
        <is>
          <t>Muçarela Mozzana 2 kg</t>
        </is>
      </c>
      <c r="N6232" t="inlineStr">
        <is>
          <t>Distribuidor Alimentos</t>
        </is>
      </c>
      <c r="O6232" t="n">
        <v>2</v>
      </c>
      <c r="P6232" t="n">
        <v>7</v>
      </c>
      <c r="Q6232" t="n">
        <v>1</v>
      </c>
    </row>
    <row r="6233">
      <c r="J6233" t="inlineStr">
        <is>
          <t>M</t>
        </is>
      </c>
      <c r="K6233" t="n">
        <v>2026</v>
      </c>
      <c r="L6233" t="n">
        <v>7</v>
      </c>
      <c r="M6233" t="inlineStr">
        <is>
          <t>Muçarela Mozzana 2 kg</t>
        </is>
      </c>
      <c r="N6233" t="inlineStr">
        <is>
          <t>Distribuidor Alimentos</t>
        </is>
      </c>
      <c r="O6233" t="n">
        <v>1</v>
      </c>
      <c r="P6233" t="n">
        <v>3</v>
      </c>
      <c r="Q6233" t="n">
        <v>0</v>
      </c>
    </row>
    <row r="6234">
      <c r="J6234" t="inlineStr">
        <is>
          <t>A</t>
        </is>
      </c>
      <c r="K6234" t="n">
        <v>2026</v>
      </c>
      <c r="L6234" t="n">
        <v>8</v>
      </c>
      <c r="M6234" t="inlineStr">
        <is>
          <t>Muçarela Mozzana 2 kg</t>
        </is>
      </c>
      <c r="N6234" t="inlineStr">
        <is>
          <t>Distribuidor Alimentos</t>
        </is>
      </c>
      <c r="O6234" t="n">
        <v>2</v>
      </c>
      <c r="P6234" t="n">
        <v>8</v>
      </c>
      <c r="Q6234" t="n">
        <v>1</v>
      </c>
    </row>
    <row r="6235">
      <c r="J6235" t="inlineStr">
        <is>
          <t>M</t>
        </is>
      </c>
      <c r="K6235" t="n">
        <v>2026</v>
      </c>
      <c r="L6235" t="n">
        <v>8</v>
      </c>
      <c r="M6235" t="inlineStr">
        <is>
          <t>Muçarela Mozzana 2 kg</t>
        </is>
      </c>
      <c r="N6235" t="inlineStr">
        <is>
          <t>Distribuidor Alimentos</t>
        </is>
      </c>
      <c r="O6235" t="n">
        <v>1</v>
      </c>
      <c r="P6235" t="n">
        <v>1</v>
      </c>
      <c r="Q6235" t="n">
        <v>0</v>
      </c>
    </row>
    <row r="6236">
      <c r="J6236" t="inlineStr">
        <is>
          <t>A</t>
        </is>
      </c>
      <c r="K6236" t="n">
        <v>2026</v>
      </c>
      <c r="L6236" t="n">
        <v>9</v>
      </c>
      <c r="M6236" t="inlineStr">
        <is>
          <t>Muçarela Mozzana 2 kg</t>
        </is>
      </c>
      <c r="N6236" t="inlineStr">
        <is>
          <t>Distribuidor Alimentos</t>
        </is>
      </c>
      <c r="O6236" t="n">
        <v>2</v>
      </c>
      <c r="P6236" t="n">
        <v>10</v>
      </c>
      <c r="Q6236" t="n">
        <v>1</v>
      </c>
    </row>
    <row r="6237">
      <c r="J6237" t="inlineStr">
        <is>
          <t>M</t>
        </is>
      </c>
      <c r="K6237" t="n">
        <v>2026</v>
      </c>
      <c r="L6237" t="n">
        <v>9</v>
      </c>
      <c r="M6237" t="inlineStr">
        <is>
          <t>Muçarela Mozzana 2 kg</t>
        </is>
      </c>
      <c r="N6237" t="inlineStr">
        <is>
          <t>Distribuidor Alimentos</t>
        </is>
      </c>
      <c r="O6237" t="n">
        <v>1</v>
      </c>
      <c r="P6237" t="n">
        <v>2</v>
      </c>
      <c r="Q6237" t="n">
        <v>0</v>
      </c>
    </row>
    <row r="6238">
      <c r="J6238" t="inlineStr">
        <is>
          <t>A</t>
        </is>
      </c>
      <c r="K6238" t="n">
        <v>2026</v>
      </c>
      <c r="L6238" t="n">
        <v>10</v>
      </c>
      <c r="M6238" t="inlineStr">
        <is>
          <t>Muçarela Mozzana 2 kg</t>
        </is>
      </c>
      <c r="N6238" t="inlineStr">
        <is>
          <t>Distribuidor Alimentos</t>
        </is>
      </c>
      <c r="O6238" t="n">
        <v>2</v>
      </c>
      <c r="P6238" t="n">
        <v>10</v>
      </c>
      <c r="Q6238" t="n">
        <v>1</v>
      </c>
    </row>
    <row r="6239">
      <c r="J6239" t="inlineStr">
        <is>
          <t>A</t>
        </is>
      </c>
      <c r="K6239" t="n">
        <v>2026</v>
      </c>
      <c r="L6239" t="n">
        <v>11</v>
      </c>
      <c r="M6239" t="inlineStr">
        <is>
          <t>Muçarela Mozzana 2 kg</t>
        </is>
      </c>
      <c r="N6239" t="inlineStr">
        <is>
          <t>Distribuidor Alimentos</t>
        </is>
      </c>
      <c r="O6239" t="n">
        <v>2</v>
      </c>
      <c r="P6239" t="n">
        <v>10</v>
      </c>
      <c r="Q6239" t="n">
        <v>1</v>
      </c>
    </row>
    <row r="6240">
      <c r="J6240" t="inlineStr">
        <is>
          <t>A</t>
        </is>
      </c>
      <c r="K6240" t="n">
        <v>2026</v>
      </c>
      <c r="L6240" t="n">
        <v>12</v>
      </c>
      <c r="M6240" t="inlineStr">
        <is>
          <t>Muçarela Mozzana 2 kg</t>
        </is>
      </c>
      <c r="N6240" t="inlineStr">
        <is>
          <t>Distribuidor Alimentos</t>
        </is>
      </c>
      <c r="O6240" t="n">
        <v>2</v>
      </c>
      <c r="P6240" t="n">
        <v>10</v>
      </c>
      <c r="Q6240" t="n">
        <v>1</v>
      </c>
    </row>
    <row r="6241">
      <c r="J6241" t="inlineStr">
        <is>
          <t>A</t>
        </is>
      </c>
      <c r="K6241" t="n">
        <v>2026</v>
      </c>
      <c r="L6241" t="n">
        <v>4</v>
      </c>
      <c r="M6241" t="inlineStr">
        <is>
          <t>Muçarela Mozzana 2 kg</t>
        </is>
      </c>
      <c r="N6241" t="inlineStr">
        <is>
          <t>Churrascaria</t>
        </is>
      </c>
      <c r="O6241" t="n">
        <v>1</v>
      </c>
      <c r="P6241" t="n">
        <v>1</v>
      </c>
      <c r="Q6241" t="n">
        <v>1</v>
      </c>
    </row>
    <row r="6242">
      <c r="J6242" t="inlineStr">
        <is>
          <t>M</t>
        </is>
      </c>
      <c r="K6242" t="n">
        <v>2026</v>
      </c>
      <c r="L6242" t="n">
        <v>4</v>
      </c>
      <c r="M6242" t="inlineStr">
        <is>
          <t>Muçarela Mozzana 2 kg</t>
        </is>
      </c>
      <c r="N6242" t="inlineStr">
        <is>
          <t>Churrascaria</t>
        </is>
      </c>
      <c r="O6242" t="n">
        <v>1</v>
      </c>
      <c r="P6242" t="n">
        <v>1</v>
      </c>
      <c r="Q6242" t="n">
        <v>0</v>
      </c>
    </row>
    <row r="6243">
      <c r="J6243" t="inlineStr">
        <is>
          <t>A</t>
        </is>
      </c>
      <c r="K6243" t="n">
        <v>2026</v>
      </c>
      <c r="L6243" t="n">
        <v>5</v>
      </c>
      <c r="M6243" t="inlineStr">
        <is>
          <t>Muçarela Mozzana 2 kg</t>
        </is>
      </c>
      <c r="N6243" t="inlineStr">
        <is>
          <t>Churrascaria</t>
        </is>
      </c>
      <c r="O6243" t="n">
        <v>1</v>
      </c>
      <c r="P6243" t="n">
        <v>1</v>
      </c>
      <c r="Q6243" t="n">
        <v>1</v>
      </c>
    </row>
    <row r="6244">
      <c r="J6244" t="inlineStr">
        <is>
          <t>A</t>
        </is>
      </c>
      <c r="K6244" t="n">
        <v>2026</v>
      </c>
      <c r="L6244" t="n">
        <v>6</v>
      </c>
      <c r="M6244" t="inlineStr">
        <is>
          <t>Muçarela Mozzana 2 kg</t>
        </is>
      </c>
      <c r="N6244" t="inlineStr">
        <is>
          <t>Churrascaria</t>
        </is>
      </c>
      <c r="O6244" t="n">
        <v>1</v>
      </c>
      <c r="P6244" t="n">
        <v>1</v>
      </c>
      <c r="Q6244" t="n">
        <v>1</v>
      </c>
    </row>
    <row r="6245">
      <c r="J6245" t="inlineStr">
        <is>
          <t>A</t>
        </is>
      </c>
      <c r="K6245" t="n">
        <v>2026</v>
      </c>
      <c r="L6245" t="n">
        <v>7</v>
      </c>
      <c r="M6245" t="inlineStr">
        <is>
          <t>Muçarela Mozzana 2 kg</t>
        </is>
      </c>
      <c r="N6245" t="inlineStr">
        <is>
          <t>Churrascaria</t>
        </is>
      </c>
      <c r="O6245" t="n">
        <v>1</v>
      </c>
      <c r="P6245" t="n">
        <v>1</v>
      </c>
      <c r="Q6245" t="n">
        <v>1</v>
      </c>
    </row>
    <row r="6246">
      <c r="J6246" t="inlineStr">
        <is>
          <t>A</t>
        </is>
      </c>
      <c r="K6246" t="n">
        <v>2026</v>
      </c>
      <c r="L6246" t="n">
        <v>8</v>
      </c>
      <c r="M6246" t="inlineStr">
        <is>
          <t>Muçarela Mozzana 2 kg</t>
        </is>
      </c>
      <c r="N6246" t="inlineStr">
        <is>
          <t>Churrascaria</t>
        </is>
      </c>
      <c r="O6246" t="n">
        <v>1</v>
      </c>
      <c r="P6246" t="n">
        <v>1</v>
      </c>
      <c r="Q6246" t="n">
        <v>1</v>
      </c>
    </row>
    <row r="6247">
      <c r="J6247" t="inlineStr">
        <is>
          <t>A</t>
        </is>
      </c>
      <c r="K6247" t="n">
        <v>2026</v>
      </c>
      <c r="L6247" t="n">
        <v>9</v>
      </c>
      <c r="M6247" t="inlineStr">
        <is>
          <t>Muçarela Mozzana 2 kg</t>
        </is>
      </c>
      <c r="N6247" t="inlineStr">
        <is>
          <t>Churrascaria</t>
        </is>
      </c>
      <c r="O6247" t="n">
        <v>2</v>
      </c>
      <c r="P6247" t="n">
        <v>2</v>
      </c>
      <c r="Q6247" t="n">
        <v>1</v>
      </c>
    </row>
    <row r="6248">
      <c r="J6248" t="inlineStr">
        <is>
          <t>M</t>
        </is>
      </c>
      <c r="K6248" t="n">
        <v>2026</v>
      </c>
      <c r="L6248" t="n">
        <v>9</v>
      </c>
      <c r="M6248" t="inlineStr">
        <is>
          <t>Muçarela Mozzana 2 kg</t>
        </is>
      </c>
      <c r="N6248" t="inlineStr">
        <is>
          <t>Churrascaria</t>
        </is>
      </c>
      <c r="O6248" t="n">
        <v>1</v>
      </c>
      <c r="P6248" t="n">
        <v>1</v>
      </c>
      <c r="Q6248" t="n">
        <v>0</v>
      </c>
    </row>
    <row r="6249">
      <c r="J6249" t="inlineStr">
        <is>
          <t>A</t>
        </is>
      </c>
      <c r="K6249" t="n">
        <v>2026</v>
      </c>
      <c r="L6249" t="n">
        <v>10</v>
      </c>
      <c r="M6249" t="inlineStr">
        <is>
          <t>Muçarela Mozzana 2 kg</t>
        </is>
      </c>
      <c r="N6249" t="inlineStr">
        <is>
          <t>Churrascaria</t>
        </is>
      </c>
      <c r="O6249" t="n">
        <v>2</v>
      </c>
      <c r="P6249" t="n">
        <v>2</v>
      </c>
      <c r="Q6249" t="n">
        <v>1</v>
      </c>
    </row>
    <row r="6250">
      <c r="J6250" t="inlineStr">
        <is>
          <t>A</t>
        </is>
      </c>
      <c r="K6250" t="n">
        <v>2026</v>
      </c>
      <c r="L6250" t="n">
        <v>11</v>
      </c>
      <c r="M6250" t="inlineStr">
        <is>
          <t>Muçarela Mozzana 2 kg</t>
        </is>
      </c>
      <c r="N6250" t="inlineStr">
        <is>
          <t>Churrascaria</t>
        </is>
      </c>
      <c r="O6250" t="n">
        <v>2</v>
      </c>
      <c r="P6250" t="n">
        <v>2</v>
      </c>
      <c r="Q6250" t="n">
        <v>1</v>
      </c>
    </row>
    <row r="6251">
      <c r="J6251" t="inlineStr">
        <is>
          <t>A</t>
        </is>
      </c>
      <c r="K6251" t="n">
        <v>2026</v>
      </c>
      <c r="L6251" t="n">
        <v>12</v>
      </c>
      <c r="M6251" t="inlineStr">
        <is>
          <t>Muçarela Mozzana 2 kg</t>
        </is>
      </c>
      <c r="N6251" t="inlineStr">
        <is>
          <t>Churrascaria</t>
        </is>
      </c>
      <c r="O6251" t="n">
        <v>2</v>
      </c>
      <c r="P6251" t="n">
        <v>2</v>
      </c>
      <c r="Q6251" t="n">
        <v>1</v>
      </c>
    </row>
    <row r="6252">
      <c r="J6252" t="inlineStr">
        <is>
          <t>A</t>
        </is>
      </c>
      <c r="K6252" t="n">
        <v>2026</v>
      </c>
      <c r="L6252" t="n">
        <v>1</v>
      </c>
      <c r="M6252" t="inlineStr">
        <is>
          <t>Muçarela Mozzana 2 kg</t>
        </is>
      </c>
      <c r="N6252" t="inlineStr">
        <is>
          <t>Não Selecionado</t>
        </is>
      </c>
      <c r="O6252" t="n">
        <v>1</v>
      </c>
      <c r="P6252" t="n">
        <v>1</v>
      </c>
      <c r="Q6252" t="n">
        <v>0</v>
      </c>
    </row>
    <row r="6253">
      <c r="J6253" t="inlineStr">
        <is>
          <t>M</t>
        </is>
      </c>
      <c r="K6253" t="n">
        <v>2026</v>
      </c>
      <c r="L6253" t="n">
        <v>1</v>
      </c>
      <c r="M6253" t="inlineStr">
        <is>
          <t>Muçarela Mozzana 2 kg</t>
        </is>
      </c>
      <c r="N6253" t="inlineStr">
        <is>
          <t>Não Selecionado</t>
        </is>
      </c>
      <c r="O6253" t="n">
        <v>1</v>
      </c>
      <c r="P6253" t="n">
        <v>1</v>
      </c>
      <c r="Q6253" t="n">
        <v>0</v>
      </c>
    </row>
    <row r="6254">
      <c r="J6254" t="inlineStr">
        <is>
          <t>A</t>
        </is>
      </c>
      <c r="K6254" t="n">
        <v>2026</v>
      </c>
      <c r="L6254" t="n">
        <v>2</v>
      </c>
      <c r="M6254" t="inlineStr">
        <is>
          <t>Muçarela Mozzana 2 kg</t>
        </is>
      </c>
      <c r="N6254" t="inlineStr">
        <is>
          <t>Não Selecionado</t>
        </is>
      </c>
      <c r="O6254" t="n">
        <v>1</v>
      </c>
      <c r="P6254" t="n">
        <v>1</v>
      </c>
      <c r="Q6254" t="n">
        <v>0</v>
      </c>
    </row>
    <row r="6255">
      <c r="J6255" t="inlineStr">
        <is>
          <t>A</t>
        </is>
      </c>
      <c r="K6255" t="n">
        <v>2026</v>
      </c>
      <c r="L6255" t="n">
        <v>3</v>
      </c>
      <c r="M6255" t="inlineStr">
        <is>
          <t>Muçarela Mozzana 2 kg</t>
        </is>
      </c>
      <c r="N6255" t="inlineStr">
        <is>
          <t>Não Selecionado</t>
        </is>
      </c>
      <c r="O6255" t="n">
        <v>1</v>
      </c>
      <c r="P6255" t="n">
        <v>4</v>
      </c>
      <c r="Q6255" t="n">
        <v>0</v>
      </c>
    </row>
    <row r="6256">
      <c r="J6256" t="inlineStr">
        <is>
          <t>M</t>
        </is>
      </c>
      <c r="K6256" t="n">
        <v>2026</v>
      </c>
      <c r="L6256" t="n">
        <v>3</v>
      </c>
      <c r="M6256" t="inlineStr">
        <is>
          <t>Muçarela Mozzana 2 kg</t>
        </is>
      </c>
      <c r="N6256" t="inlineStr">
        <is>
          <t>Não Selecionado</t>
        </is>
      </c>
      <c r="O6256" t="n">
        <v>1</v>
      </c>
      <c r="P6256" t="n">
        <v>3</v>
      </c>
      <c r="Q6256" t="n">
        <v>0</v>
      </c>
    </row>
    <row r="6257">
      <c r="J6257" t="inlineStr">
        <is>
          <t>A</t>
        </is>
      </c>
      <c r="K6257" t="n">
        <v>2026</v>
      </c>
      <c r="L6257" t="n">
        <v>4</v>
      </c>
      <c r="M6257" t="inlineStr">
        <is>
          <t>Muçarela Mozzana 2 kg</t>
        </is>
      </c>
      <c r="N6257" t="inlineStr">
        <is>
          <t>Não Selecionado</t>
        </is>
      </c>
      <c r="O6257" t="n">
        <v>1</v>
      </c>
      <c r="P6257" t="n">
        <v>4</v>
      </c>
      <c r="Q6257" t="n">
        <v>0</v>
      </c>
    </row>
    <row r="6258">
      <c r="J6258" t="inlineStr">
        <is>
          <t>A</t>
        </is>
      </c>
      <c r="K6258" t="n">
        <v>2026</v>
      </c>
      <c r="L6258" t="n">
        <v>5</v>
      </c>
      <c r="M6258" t="inlineStr">
        <is>
          <t>Muçarela Mozzana 2 kg</t>
        </is>
      </c>
      <c r="N6258" t="inlineStr">
        <is>
          <t>Não Selecionado</t>
        </is>
      </c>
      <c r="O6258" t="n">
        <v>1</v>
      </c>
      <c r="P6258" t="n">
        <v>4</v>
      </c>
      <c r="Q6258" t="n">
        <v>0</v>
      </c>
    </row>
    <row r="6259">
      <c r="J6259" t="inlineStr">
        <is>
          <t>A</t>
        </is>
      </c>
      <c r="K6259" t="n">
        <v>2026</v>
      </c>
      <c r="L6259" t="n">
        <v>6</v>
      </c>
      <c r="M6259" t="inlineStr">
        <is>
          <t>Muçarela Mozzana 2 kg</t>
        </is>
      </c>
      <c r="N6259" t="inlineStr">
        <is>
          <t>Não Selecionado</t>
        </is>
      </c>
      <c r="O6259" t="n">
        <v>1</v>
      </c>
      <c r="P6259" t="n">
        <v>4</v>
      </c>
      <c r="Q6259" t="n">
        <v>0</v>
      </c>
    </row>
    <row r="6260">
      <c r="J6260" t="inlineStr">
        <is>
          <t>A</t>
        </is>
      </c>
      <c r="K6260" t="n">
        <v>2026</v>
      </c>
      <c r="L6260" t="n">
        <v>7</v>
      </c>
      <c r="M6260" t="inlineStr">
        <is>
          <t>Muçarela Mozzana 2 kg</t>
        </is>
      </c>
      <c r="N6260" t="inlineStr">
        <is>
          <t>Não Selecionado</t>
        </is>
      </c>
      <c r="O6260" t="n">
        <v>1</v>
      </c>
      <c r="P6260" t="n">
        <v>4</v>
      </c>
      <c r="Q6260" t="n">
        <v>0</v>
      </c>
    </row>
    <row r="6261">
      <c r="J6261" t="inlineStr">
        <is>
          <t>A</t>
        </is>
      </c>
      <c r="K6261" t="n">
        <v>2026</v>
      </c>
      <c r="L6261" t="n">
        <v>8</v>
      </c>
      <c r="M6261" t="inlineStr">
        <is>
          <t>Muçarela Mozzana 2 kg</t>
        </is>
      </c>
      <c r="N6261" t="inlineStr">
        <is>
          <t>Não Selecionado</t>
        </is>
      </c>
      <c r="O6261" t="n">
        <v>1</v>
      </c>
      <c r="P6261" t="n">
        <v>4</v>
      </c>
      <c r="Q6261" t="n">
        <v>0</v>
      </c>
    </row>
    <row r="6262">
      <c r="J6262" t="inlineStr">
        <is>
          <t>A</t>
        </is>
      </c>
      <c r="K6262" t="n">
        <v>2026</v>
      </c>
      <c r="L6262" t="n">
        <v>9</v>
      </c>
      <c r="M6262" t="inlineStr">
        <is>
          <t>Muçarela Mozzana 2 kg</t>
        </is>
      </c>
      <c r="N6262" t="inlineStr">
        <is>
          <t>Não Selecionado</t>
        </is>
      </c>
      <c r="O6262" t="n">
        <v>1</v>
      </c>
      <c r="P6262" t="n">
        <v>4</v>
      </c>
      <c r="Q6262" t="n">
        <v>0</v>
      </c>
    </row>
    <row r="6263">
      <c r="J6263" t="inlineStr">
        <is>
          <t>A</t>
        </is>
      </c>
      <c r="K6263" t="n">
        <v>2026</v>
      </c>
      <c r="L6263" t="n">
        <v>10</v>
      </c>
      <c r="M6263" t="inlineStr">
        <is>
          <t>Muçarela Mozzana 2 kg</t>
        </is>
      </c>
      <c r="N6263" t="inlineStr">
        <is>
          <t>Não Selecionado</t>
        </is>
      </c>
      <c r="O6263" t="n">
        <v>1</v>
      </c>
      <c r="P6263" t="n">
        <v>4</v>
      </c>
      <c r="Q6263" t="n">
        <v>0</v>
      </c>
    </row>
    <row r="6264">
      <c r="J6264" t="inlineStr">
        <is>
          <t>A</t>
        </is>
      </c>
      <c r="K6264" t="n">
        <v>2026</v>
      </c>
      <c r="L6264" t="n">
        <v>11</v>
      </c>
      <c r="M6264" t="inlineStr">
        <is>
          <t>Muçarela Mozzana 2 kg</t>
        </is>
      </c>
      <c r="N6264" t="inlineStr">
        <is>
          <t>Não Selecionado</t>
        </is>
      </c>
      <c r="O6264" t="n">
        <v>1</v>
      </c>
      <c r="P6264" t="n">
        <v>4</v>
      </c>
      <c r="Q6264" t="n">
        <v>0</v>
      </c>
    </row>
    <row r="6265">
      <c r="J6265" t="inlineStr">
        <is>
          <t>A</t>
        </is>
      </c>
      <c r="K6265" t="n">
        <v>2026</v>
      </c>
      <c r="L6265" t="n">
        <v>12</v>
      </c>
      <c r="M6265" t="inlineStr">
        <is>
          <t>Muçarela Mozzana 2 kg</t>
        </is>
      </c>
      <c r="N6265" t="inlineStr">
        <is>
          <t>Não Selecionado</t>
        </is>
      </c>
      <c r="O6265" t="n">
        <v>1</v>
      </c>
      <c r="P6265" t="n">
        <v>4</v>
      </c>
      <c r="Q6265" t="n">
        <v>0</v>
      </c>
    </row>
    <row r="6266">
      <c r="J6266" t="inlineStr">
        <is>
          <t>A</t>
        </is>
      </c>
      <c r="K6266" t="n">
        <v>2026</v>
      </c>
      <c r="L6266" t="n">
        <v>1</v>
      </c>
      <c r="M6266" t="inlineStr">
        <is>
          <t>Muçarela Mozzalet 2 kg</t>
        </is>
      </c>
      <c r="N6266" t="inlineStr">
        <is>
          <t>Todos</t>
        </is>
      </c>
      <c r="O6266" t="n">
        <v>22</v>
      </c>
      <c r="P6266" t="n">
        <v>28</v>
      </c>
      <c r="Q6266" t="n">
        <v>0</v>
      </c>
    </row>
    <row r="6267">
      <c r="J6267" t="inlineStr">
        <is>
          <t>M</t>
        </is>
      </c>
      <c r="K6267" t="n">
        <v>2026</v>
      </c>
      <c r="L6267" t="n">
        <v>1</v>
      </c>
      <c r="M6267" t="inlineStr">
        <is>
          <t>Muçarela Mozzalet 2 kg</t>
        </is>
      </c>
      <c r="N6267" t="inlineStr">
        <is>
          <t>Todos</t>
        </is>
      </c>
      <c r="O6267" t="n">
        <v>22</v>
      </c>
      <c r="P6267" t="n">
        <v>28</v>
      </c>
      <c r="Q6267" t="n">
        <v>0</v>
      </c>
    </row>
    <row r="6268">
      <c r="J6268" t="inlineStr">
        <is>
          <t>A</t>
        </is>
      </c>
      <c r="K6268" t="n">
        <v>2026</v>
      </c>
      <c r="L6268" t="n">
        <v>2</v>
      </c>
      <c r="M6268" t="inlineStr">
        <is>
          <t>Muçarela Mozzalet 2 kg</t>
        </is>
      </c>
      <c r="N6268" t="inlineStr">
        <is>
          <t>Todos</t>
        </is>
      </c>
      <c r="O6268" t="n">
        <v>24</v>
      </c>
      <c r="P6268" t="n">
        <v>36</v>
      </c>
      <c r="Q6268" t="n">
        <v>1</v>
      </c>
    </row>
    <row r="6269">
      <c r="J6269" t="inlineStr">
        <is>
          <t>M</t>
        </is>
      </c>
      <c r="K6269" t="n">
        <v>2026</v>
      </c>
      <c r="L6269" t="n">
        <v>2</v>
      </c>
      <c r="M6269" t="inlineStr">
        <is>
          <t>Muçarela Mozzalet 2 kg</t>
        </is>
      </c>
      <c r="N6269" t="inlineStr">
        <is>
          <t>Todos</t>
        </is>
      </c>
      <c r="O6269" t="n">
        <v>5</v>
      </c>
      <c r="P6269" t="n">
        <v>8</v>
      </c>
      <c r="Q6269" t="n">
        <v>0</v>
      </c>
    </row>
    <row r="6270">
      <c r="J6270" t="inlineStr">
        <is>
          <t>A</t>
        </is>
      </c>
      <c r="K6270" t="n">
        <v>2026</v>
      </c>
      <c r="L6270" t="n">
        <v>3</v>
      </c>
      <c r="M6270" t="inlineStr">
        <is>
          <t>Muçarela Mozzalet 2 kg</t>
        </is>
      </c>
      <c r="N6270" t="inlineStr">
        <is>
          <t>Todos</t>
        </is>
      </c>
      <c r="O6270" t="n">
        <v>29</v>
      </c>
      <c r="P6270" t="n">
        <v>51</v>
      </c>
      <c r="Q6270" t="n">
        <v>1</v>
      </c>
    </row>
    <row r="6271">
      <c r="J6271" t="inlineStr">
        <is>
          <t>M</t>
        </is>
      </c>
      <c r="K6271" t="n">
        <v>2026</v>
      </c>
      <c r="L6271" t="n">
        <v>3</v>
      </c>
      <c r="M6271" t="inlineStr">
        <is>
          <t>Muçarela Mozzalet 2 kg</t>
        </is>
      </c>
      <c r="N6271" t="inlineStr">
        <is>
          <t>Todos</t>
        </is>
      </c>
      <c r="O6271" t="n">
        <v>8</v>
      </c>
      <c r="P6271" t="n">
        <v>15</v>
      </c>
      <c r="Q6271" t="n">
        <v>0</v>
      </c>
    </row>
    <row r="6272">
      <c r="J6272" t="inlineStr">
        <is>
          <t>A</t>
        </is>
      </c>
      <c r="K6272" t="n">
        <v>2026</v>
      </c>
      <c r="L6272" t="n">
        <v>4</v>
      </c>
      <c r="M6272" t="inlineStr">
        <is>
          <t>Muçarela Mozzalet 2 kg</t>
        </is>
      </c>
      <c r="N6272" t="inlineStr">
        <is>
          <t>Todos</t>
        </is>
      </c>
      <c r="O6272" t="n">
        <v>30</v>
      </c>
      <c r="P6272" t="n">
        <v>64</v>
      </c>
      <c r="Q6272" t="n">
        <v>1</v>
      </c>
    </row>
    <row r="6273">
      <c r="J6273" t="inlineStr">
        <is>
          <t>M</t>
        </is>
      </c>
      <c r="K6273" t="n">
        <v>2026</v>
      </c>
      <c r="L6273" t="n">
        <v>4</v>
      </c>
      <c r="M6273" t="inlineStr">
        <is>
          <t>Muçarela Mozzalet 2 kg</t>
        </is>
      </c>
      <c r="N6273" t="inlineStr">
        <is>
          <t>Todos</t>
        </is>
      </c>
      <c r="O6273" t="n">
        <v>7</v>
      </c>
      <c r="P6273" t="n">
        <v>13</v>
      </c>
      <c r="Q6273" t="n">
        <v>0</v>
      </c>
    </row>
    <row r="6274">
      <c r="J6274" t="inlineStr">
        <is>
          <t>A</t>
        </is>
      </c>
      <c r="K6274" t="n">
        <v>2026</v>
      </c>
      <c r="L6274" t="n">
        <v>5</v>
      </c>
      <c r="M6274" t="inlineStr">
        <is>
          <t>Muçarela Mozzalet 2 kg</t>
        </is>
      </c>
      <c r="N6274" t="inlineStr">
        <is>
          <t>Todos</t>
        </is>
      </c>
      <c r="O6274" t="n">
        <v>32</v>
      </c>
      <c r="P6274" t="n">
        <v>77</v>
      </c>
      <c r="Q6274" t="n">
        <v>3</v>
      </c>
    </row>
    <row r="6275">
      <c r="J6275" t="inlineStr">
        <is>
          <t>M</t>
        </is>
      </c>
      <c r="K6275" t="n">
        <v>2026</v>
      </c>
      <c r="L6275" t="n">
        <v>5</v>
      </c>
      <c r="M6275" t="inlineStr">
        <is>
          <t>Muçarela Mozzalet 2 kg</t>
        </is>
      </c>
      <c r="N6275" t="inlineStr">
        <is>
          <t>Todos</t>
        </is>
      </c>
      <c r="O6275" t="n">
        <v>8</v>
      </c>
      <c r="P6275" t="n">
        <v>13</v>
      </c>
      <c r="Q6275" t="n">
        <v>0</v>
      </c>
    </row>
    <row r="6276">
      <c r="J6276" t="inlineStr">
        <is>
          <t>A</t>
        </is>
      </c>
      <c r="K6276" t="n">
        <v>2026</v>
      </c>
      <c r="L6276" t="n">
        <v>6</v>
      </c>
      <c r="M6276" t="inlineStr">
        <is>
          <t>Muçarela Mozzalet 2 kg</t>
        </is>
      </c>
      <c r="N6276" t="inlineStr">
        <is>
          <t>Todos</t>
        </is>
      </c>
      <c r="O6276" t="n">
        <v>34</v>
      </c>
      <c r="P6276" t="n">
        <v>92</v>
      </c>
      <c r="Q6276" t="n">
        <v>4</v>
      </c>
    </row>
    <row r="6277">
      <c r="J6277" t="inlineStr">
        <is>
          <t>M</t>
        </is>
      </c>
      <c r="K6277" t="n">
        <v>2026</v>
      </c>
      <c r="L6277" t="n">
        <v>6</v>
      </c>
      <c r="M6277" t="inlineStr">
        <is>
          <t>Muçarela Mozzalet 2 kg</t>
        </is>
      </c>
      <c r="N6277" t="inlineStr">
        <is>
          <t>Todos</t>
        </is>
      </c>
      <c r="O6277" t="n">
        <v>9</v>
      </c>
      <c r="P6277" t="n">
        <v>15</v>
      </c>
      <c r="Q6277" t="n">
        <v>0</v>
      </c>
    </row>
    <row r="6278">
      <c r="J6278" t="inlineStr">
        <is>
          <t>A</t>
        </is>
      </c>
      <c r="K6278" t="n">
        <v>2026</v>
      </c>
      <c r="L6278" t="n">
        <v>7</v>
      </c>
      <c r="M6278" t="inlineStr">
        <is>
          <t>Muçarela Mozzalet 2 kg</t>
        </is>
      </c>
      <c r="N6278" t="inlineStr">
        <is>
          <t>Todos</t>
        </is>
      </c>
      <c r="O6278" t="n">
        <v>37</v>
      </c>
      <c r="P6278" t="n">
        <v>105</v>
      </c>
      <c r="Q6278" t="n">
        <v>7</v>
      </c>
    </row>
    <row r="6279">
      <c r="J6279" t="inlineStr">
        <is>
          <t>M</t>
        </is>
      </c>
      <c r="K6279" t="n">
        <v>2026</v>
      </c>
      <c r="L6279" t="n">
        <v>7</v>
      </c>
      <c r="M6279" t="inlineStr">
        <is>
          <t>Muçarela Mozzalet 2 kg</t>
        </is>
      </c>
      <c r="N6279" t="inlineStr">
        <is>
          <t>Todos</t>
        </is>
      </c>
      <c r="O6279" t="n">
        <v>7</v>
      </c>
      <c r="P6279" t="n">
        <v>13</v>
      </c>
      <c r="Q6279" t="n">
        <v>0</v>
      </c>
    </row>
    <row r="6280">
      <c r="J6280" t="inlineStr">
        <is>
          <t>A</t>
        </is>
      </c>
      <c r="K6280" t="n">
        <v>2026</v>
      </c>
      <c r="L6280" t="n">
        <v>8</v>
      </c>
      <c r="M6280" t="inlineStr">
        <is>
          <t>Muçarela Mozzalet 2 kg</t>
        </is>
      </c>
      <c r="N6280" t="inlineStr">
        <is>
          <t>Todos</t>
        </is>
      </c>
      <c r="O6280" t="n">
        <v>42</v>
      </c>
      <c r="P6280" t="n">
        <v>123</v>
      </c>
      <c r="Q6280" t="n">
        <v>12</v>
      </c>
    </row>
    <row r="6281">
      <c r="J6281" t="inlineStr">
        <is>
          <t>M</t>
        </is>
      </c>
      <c r="K6281" t="n">
        <v>2026</v>
      </c>
      <c r="L6281" t="n">
        <v>8</v>
      </c>
      <c r="M6281" t="inlineStr">
        <is>
          <t>Muçarela Mozzalet 2 kg</t>
        </is>
      </c>
      <c r="N6281" t="inlineStr">
        <is>
          <t>Todos</t>
        </is>
      </c>
      <c r="O6281" t="n">
        <v>11</v>
      </c>
      <c r="P6281" t="n">
        <v>18</v>
      </c>
      <c r="Q6281" t="n">
        <v>0</v>
      </c>
    </row>
    <row r="6282">
      <c r="J6282" t="inlineStr">
        <is>
          <t>A</t>
        </is>
      </c>
      <c r="K6282" t="n">
        <v>2026</v>
      </c>
      <c r="L6282" t="n">
        <v>9</v>
      </c>
      <c r="M6282" t="inlineStr">
        <is>
          <t>Muçarela Mozzalet 2 kg</t>
        </is>
      </c>
      <c r="N6282" t="inlineStr">
        <is>
          <t>Todos</t>
        </is>
      </c>
      <c r="O6282" t="n">
        <v>42</v>
      </c>
      <c r="P6282" t="n">
        <v>130</v>
      </c>
      <c r="Q6282" t="n">
        <v>12</v>
      </c>
    </row>
    <row r="6283">
      <c r="J6283" t="inlineStr">
        <is>
          <t>M</t>
        </is>
      </c>
      <c r="K6283" t="n">
        <v>2026</v>
      </c>
      <c r="L6283" t="n">
        <v>9</v>
      </c>
      <c r="M6283" t="inlineStr">
        <is>
          <t>Muçarela Mozzalet 2 kg</t>
        </is>
      </c>
      <c r="N6283" t="inlineStr">
        <is>
          <t>Todos</t>
        </is>
      </c>
      <c r="O6283" t="n">
        <v>4</v>
      </c>
      <c r="P6283" t="n">
        <v>7</v>
      </c>
      <c r="Q6283" t="n">
        <v>0</v>
      </c>
    </row>
    <row r="6284">
      <c r="J6284" t="inlineStr">
        <is>
          <t>A</t>
        </is>
      </c>
      <c r="K6284" t="n">
        <v>2026</v>
      </c>
      <c r="L6284" t="n">
        <v>10</v>
      </c>
      <c r="M6284" t="inlineStr">
        <is>
          <t>Muçarela Mozzalet 2 kg</t>
        </is>
      </c>
      <c r="N6284" t="inlineStr">
        <is>
          <t>Todos</t>
        </is>
      </c>
      <c r="O6284" t="n">
        <v>42</v>
      </c>
      <c r="P6284" t="n">
        <v>130</v>
      </c>
      <c r="Q6284" t="n">
        <v>12</v>
      </c>
    </row>
    <row r="6285">
      <c r="J6285" t="inlineStr">
        <is>
          <t>A</t>
        </is>
      </c>
      <c r="K6285" t="n">
        <v>2026</v>
      </c>
      <c r="L6285" t="n">
        <v>11</v>
      </c>
      <c r="M6285" t="inlineStr">
        <is>
          <t>Muçarela Mozzalet 2 kg</t>
        </is>
      </c>
      <c r="N6285" t="inlineStr">
        <is>
          <t>Todos</t>
        </is>
      </c>
      <c r="O6285" t="n">
        <v>42</v>
      </c>
      <c r="P6285" t="n">
        <v>130</v>
      </c>
      <c r="Q6285" t="n">
        <v>12</v>
      </c>
    </row>
    <row r="6286">
      <c r="J6286" t="inlineStr">
        <is>
          <t>A</t>
        </is>
      </c>
      <c r="K6286" t="n">
        <v>2026</v>
      </c>
      <c r="L6286" t="n">
        <v>12</v>
      </c>
      <c r="M6286" t="inlineStr">
        <is>
          <t>Muçarela Mozzalet 2 kg</t>
        </is>
      </c>
      <c r="N6286" t="inlineStr">
        <is>
          <t>Todos</t>
        </is>
      </c>
      <c r="O6286" t="n">
        <v>42</v>
      </c>
      <c r="P6286" t="n">
        <v>130</v>
      </c>
      <c r="Q6286" t="n">
        <v>12</v>
      </c>
    </row>
    <row r="6287">
      <c r="J6287" t="inlineStr">
        <is>
          <t>A</t>
        </is>
      </c>
      <c r="K6287" t="n">
        <v>2026</v>
      </c>
      <c r="L6287" t="n">
        <v>1</v>
      </c>
      <c r="M6287" t="inlineStr">
        <is>
          <t>Muçarela Mozzalet 2 kg</t>
        </is>
      </c>
      <c r="N6287" t="inlineStr">
        <is>
          <t>Pizzaria</t>
        </is>
      </c>
      <c r="O6287" t="n">
        <v>13</v>
      </c>
      <c r="P6287" t="n">
        <v>13</v>
      </c>
      <c r="Q6287" t="n">
        <v>0</v>
      </c>
    </row>
    <row r="6288">
      <c r="J6288" t="inlineStr">
        <is>
          <t>M</t>
        </is>
      </c>
      <c r="K6288" t="n">
        <v>2026</v>
      </c>
      <c r="L6288" t="n">
        <v>1</v>
      </c>
      <c r="M6288" t="inlineStr">
        <is>
          <t>Muçarela Mozzalet 2 kg</t>
        </is>
      </c>
      <c r="N6288" t="inlineStr">
        <is>
          <t>Pizzaria</t>
        </is>
      </c>
      <c r="O6288" t="n">
        <v>13</v>
      </c>
      <c r="P6288" t="n">
        <v>13</v>
      </c>
      <c r="Q6288" t="n">
        <v>0</v>
      </c>
    </row>
    <row r="6289">
      <c r="J6289" t="inlineStr">
        <is>
          <t>A</t>
        </is>
      </c>
      <c r="K6289" t="n">
        <v>2026</v>
      </c>
      <c r="L6289" t="n">
        <v>2</v>
      </c>
      <c r="M6289" t="inlineStr">
        <is>
          <t>Muçarela Mozzalet 2 kg</t>
        </is>
      </c>
      <c r="N6289" t="inlineStr">
        <is>
          <t>Pizzaria</t>
        </is>
      </c>
      <c r="O6289" t="n">
        <v>14</v>
      </c>
      <c r="P6289" t="n">
        <v>15</v>
      </c>
      <c r="Q6289" t="n">
        <v>1</v>
      </c>
    </row>
    <row r="6290">
      <c r="J6290" t="inlineStr">
        <is>
          <t>M</t>
        </is>
      </c>
      <c r="K6290" t="n">
        <v>2026</v>
      </c>
      <c r="L6290" t="n">
        <v>2</v>
      </c>
      <c r="M6290" t="inlineStr">
        <is>
          <t>Muçarela Mozzalet 2 kg</t>
        </is>
      </c>
      <c r="N6290" t="inlineStr">
        <is>
          <t>Pizzaria</t>
        </is>
      </c>
      <c r="O6290" t="n">
        <v>2</v>
      </c>
      <c r="P6290" t="n">
        <v>2</v>
      </c>
      <c r="Q6290" t="n">
        <v>0</v>
      </c>
    </row>
    <row r="6291">
      <c r="J6291" t="inlineStr">
        <is>
          <t>A</t>
        </is>
      </c>
      <c r="K6291" t="n">
        <v>2026</v>
      </c>
      <c r="L6291" t="n">
        <v>3</v>
      </c>
      <c r="M6291" t="inlineStr">
        <is>
          <t>Muçarela Mozzalet 2 kg</t>
        </is>
      </c>
      <c r="N6291" t="inlineStr">
        <is>
          <t>Pizzaria</t>
        </is>
      </c>
      <c r="O6291" t="n">
        <v>16</v>
      </c>
      <c r="P6291" t="n">
        <v>18</v>
      </c>
      <c r="Q6291" t="n">
        <v>1</v>
      </c>
    </row>
    <row r="6292">
      <c r="J6292" t="inlineStr">
        <is>
          <t>M</t>
        </is>
      </c>
      <c r="K6292" t="n">
        <v>2026</v>
      </c>
      <c r="L6292" t="n">
        <v>3</v>
      </c>
      <c r="M6292" t="inlineStr">
        <is>
          <t>Muçarela Mozzalet 2 kg</t>
        </is>
      </c>
      <c r="N6292" t="inlineStr">
        <is>
          <t>Pizzaria</t>
        </is>
      </c>
      <c r="O6292" t="n">
        <v>2</v>
      </c>
      <c r="P6292" t="n">
        <v>3</v>
      </c>
      <c r="Q6292" t="n">
        <v>0</v>
      </c>
    </row>
    <row r="6293">
      <c r="J6293" t="inlineStr">
        <is>
          <t>A</t>
        </is>
      </c>
      <c r="K6293" t="n">
        <v>2026</v>
      </c>
      <c r="L6293" t="n">
        <v>4</v>
      </c>
      <c r="M6293" t="inlineStr">
        <is>
          <t>Muçarela Mozzalet 2 kg</t>
        </is>
      </c>
      <c r="N6293" t="inlineStr">
        <is>
          <t>Pizzaria</t>
        </is>
      </c>
      <c r="O6293" t="n">
        <v>16</v>
      </c>
      <c r="P6293" t="n">
        <v>20</v>
      </c>
      <c r="Q6293" t="n">
        <v>1</v>
      </c>
    </row>
    <row r="6294">
      <c r="J6294" t="inlineStr">
        <is>
          <t>M</t>
        </is>
      </c>
      <c r="K6294" t="n">
        <v>2026</v>
      </c>
      <c r="L6294" t="n">
        <v>4</v>
      </c>
      <c r="M6294" t="inlineStr">
        <is>
          <t>Muçarela Mozzalet 2 kg</t>
        </is>
      </c>
      <c r="N6294" t="inlineStr">
        <is>
          <t>Pizzaria</t>
        </is>
      </c>
      <c r="O6294" t="n">
        <v>1</v>
      </c>
      <c r="P6294" t="n">
        <v>2</v>
      </c>
      <c r="Q6294" t="n">
        <v>0</v>
      </c>
    </row>
    <row r="6295">
      <c r="J6295" t="inlineStr">
        <is>
          <t>A</t>
        </is>
      </c>
      <c r="K6295" t="n">
        <v>2026</v>
      </c>
      <c r="L6295" t="n">
        <v>5</v>
      </c>
      <c r="M6295" t="inlineStr">
        <is>
          <t>Muçarela Mozzalet 2 kg</t>
        </is>
      </c>
      <c r="N6295" t="inlineStr">
        <is>
          <t>Pizzaria</t>
        </is>
      </c>
      <c r="O6295" t="n">
        <v>18</v>
      </c>
      <c r="P6295" t="n">
        <v>27</v>
      </c>
      <c r="Q6295" t="n">
        <v>3</v>
      </c>
    </row>
    <row r="6296">
      <c r="J6296" t="inlineStr">
        <is>
          <t>M</t>
        </is>
      </c>
      <c r="K6296" t="n">
        <v>2026</v>
      </c>
      <c r="L6296" t="n">
        <v>5</v>
      </c>
      <c r="M6296" t="inlineStr">
        <is>
          <t>Muçarela Mozzalet 2 kg</t>
        </is>
      </c>
      <c r="N6296" t="inlineStr">
        <is>
          <t>Pizzaria</t>
        </is>
      </c>
      <c r="O6296" t="n">
        <v>4</v>
      </c>
      <c r="P6296" t="n">
        <v>7</v>
      </c>
      <c r="Q6296" t="n">
        <v>0</v>
      </c>
    </row>
    <row r="6297">
      <c r="J6297" t="inlineStr">
        <is>
          <t>A</t>
        </is>
      </c>
      <c r="K6297" t="n">
        <v>2026</v>
      </c>
      <c r="L6297" t="n">
        <v>6</v>
      </c>
      <c r="M6297" t="inlineStr">
        <is>
          <t>Muçarela Mozzalet 2 kg</t>
        </is>
      </c>
      <c r="N6297" t="inlineStr">
        <is>
          <t>Pizzaria</t>
        </is>
      </c>
      <c r="O6297" t="n">
        <v>19</v>
      </c>
      <c r="P6297" t="n">
        <v>35</v>
      </c>
      <c r="Q6297" t="n">
        <v>3</v>
      </c>
    </row>
    <row r="6298">
      <c r="J6298" t="inlineStr">
        <is>
          <t>M</t>
        </is>
      </c>
      <c r="K6298" t="n">
        <v>2026</v>
      </c>
      <c r="L6298" t="n">
        <v>6</v>
      </c>
      <c r="M6298" t="inlineStr">
        <is>
          <t>Muçarela Mozzalet 2 kg</t>
        </is>
      </c>
      <c r="N6298" t="inlineStr">
        <is>
          <t>Pizzaria</t>
        </is>
      </c>
      <c r="O6298" t="n">
        <v>4</v>
      </c>
      <c r="P6298" t="n">
        <v>8</v>
      </c>
      <c r="Q6298" t="n">
        <v>0</v>
      </c>
    </row>
    <row r="6299">
      <c r="J6299" t="inlineStr">
        <is>
          <t>A</t>
        </is>
      </c>
      <c r="K6299" t="n">
        <v>2026</v>
      </c>
      <c r="L6299" t="n">
        <v>7</v>
      </c>
      <c r="M6299" t="inlineStr">
        <is>
          <t>Muçarela Mozzalet 2 kg</t>
        </is>
      </c>
      <c r="N6299" t="inlineStr">
        <is>
          <t>Pizzaria</t>
        </is>
      </c>
      <c r="O6299" t="n">
        <v>21</v>
      </c>
      <c r="P6299" t="n">
        <v>41</v>
      </c>
      <c r="Q6299" t="n">
        <v>5</v>
      </c>
    </row>
    <row r="6300">
      <c r="J6300" t="inlineStr">
        <is>
          <t>M</t>
        </is>
      </c>
      <c r="K6300" t="n">
        <v>2026</v>
      </c>
      <c r="L6300" t="n">
        <v>7</v>
      </c>
      <c r="M6300" t="inlineStr">
        <is>
          <t>Muçarela Mozzalet 2 kg</t>
        </is>
      </c>
      <c r="N6300" t="inlineStr">
        <is>
          <t>Pizzaria</t>
        </is>
      </c>
      <c r="O6300" t="n">
        <v>4</v>
      </c>
      <c r="P6300" t="n">
        <v>6</v>
      </c>
      <c r="Q6300" t="n">
        <v>0</v>
      </c>
    </row>
    <row r="6301">
      <c r="J6301" t="inlineStr">
        <is>
          <t>A</t>
        </is>
      </c>
      <c r="K6301" t="n">
        <v>2026</v>
      </c>
      <c r="L6301" t="n">
        <v>8</v>
      </c>
      <c r="M6301" t="inlineStr">
        <is>
          <t>Muçarela Mozzalet 2 kg</t>
        </is>
      </c>
      <c r="N6301" t="inlineStr">
        <is>
          <t>Pizzaria</t>
        </is>
      </c>
      <c r="O6301" t="n">
        <v>24</v>
      </c>
      <c r="P6301" t="n">
        <v>47</v>
      </c>
      <c r="Q6301" t="n">
        <v>8</v>
      </c>
    </row>
    <row r="6302">
      <c r="J6302" t="inlineStr">
        <is>
          <t>M</t>
        </is>
      </c>
      <c r="K6302" t="n">
        <v>2026</v>
      </c>
      <c r="L6302" t="n">
        <v>8</v>
      </c>
      <c r="M6302" t="inlineStr">
        <is>
          <t>Muçarela Mozzalet 2 kg</t>
        </is>
      </c>
      <c r="N6302" t="inlineStr">
        <is>
          <t>Pizzaria</t>
        </is>
      </c>
      <c r="O6302" t="n">
        <v>5</v>
      </c>
      <c r="P6302" t="n">
        <v>6</v>
      </c>
      <c r="Q6302" t="n">
        <v>0</v>
      </c>
    </row>
    <row r="6303">
      <c r="J6303" t="inlineStr">
        <is>
          <t>A</t>
        </is>
      </c>
      <c r="K6303" t="n">
        <v>2026</v>
      </c>
      <c r="L6303" t="n">
        <v>9</v>
      </c>
      <c r="M6303" t="inlineStr">
        <is>
          <t>Muçarela Mozzalet 2 kg</t>
        </is>
      </c>
      <c r="N6303" t="inlineStr">
        <is>
          <t>Pizzaria</t>
        </is>
      </c>
      <c r="O6303" t="n">
        <v>24</v>
      </c>
      <c r="P6303" t="n">
        <v>49</v>
      </c>
      <c r="Q6303" t="n">
        <v>8</v>
      </c>
    </row>
    <row r="6304">
      <c r="J6304" t="inlineStr">
        <is>
          <t>M</t>
        </is>
      </c>
      <c r="K6304" t="n">
        <v>2026</v>
      </c>
      <c r="L6304" t="n">
        <v>9</v>
      </c>
      <c r="M6304" t="inlineStr">
        <is>
          <t>Muçarela Mozzalet 2 kg</t>
        </is>
      </c>
      <c r="N6304" t="inlineStr">
        <is>
          <t>Pizzaria</t>
        </is>
      </c>
      <c r="O6304" t="n">
        <v>2</v>
      </c>
      <c r="P6304" t="n">
        <v>2</v>
      </c>
      <c r="Q6304" t="n">
        <v>0</v>
      </c>
    </row>
    <row r="6305">
      <c r="J6305" t="inlineStr">
        <is>
          <t>A</t>
        </is>
      </c>
      <c r="K6305" t="n">
        <v>2026</v>
      </c>
      <c r="L6305" t="n">
        <v>10</v>
      </c>
      <c r="M6305" t="inlineStr">
        <is>
          <t>Muçarela Mozzalet 2 kg</t>
        </is>
      </c>
      <c r="N6305" t="inlineStr">
        <is>
          <t>Pizzaria</t>
        </is>
      </c>
      <c r="O6305" t="n">
        <v>24</v>
      </c>
      <c r="P6305" t="n">
        <v>49</v>
      </c>
      <c r="Q6305" t="n">
        <v>8</v>
      </c>
    </row>
    <row r="6306">
      <c r="J6306" t="inlineStr">
        <is>
          <t>A</t>
        </is>
      </c>
      <c r="K6306" t="n">
        <v>2026</v>
      </c>
      <c r="L6306" t="n">
        <v>11</v>
      </c>
      <c r="M6306" t="inlineStr">
        <is>
          <t>Muçarela Mozzalet 2 kg</t>
        </is>
      </c>
      <c r="N6306" t="inlineStr">
        <is>
          <t>Pizzaria</t>
        </is>
      </c>
      <c r="O6306" t="n">
        <v>24</v>
      </c>
      <c r="P6306" t="n">
        <v>49</v>
      </c>
      <c r="Q6306" t="n">
        <v>8</v>
      </c>
    </row>
    <row r="6307">
      <c r="J6307" t="inlineStr">
        <is>
          <t>A</t>
        </is>
      </c>
      <c r="K6307" t="n">
        <v>2026</v>
      </c>
      <c r="L6307" t="n">
        <v>12</v>
      </c>
      <c r="M6307" t="inlineStr">
        <is>
          <t>Muçarela Mozzalet 2 kg</t>
        </is>
      </c>
      <c r="N6307" t="inlineStr">
        <is>
          <t>Pizzaria</t>
        </is>
      </c>
      <c r="O6307" t="n">
        <v>24</v>
      </c>
      <c r="P6307" t="n">
        <v>49</v>
      </c>
      <c r="Q6307" t="n">
        <v>8</v>
      </c>
    </row>
    <row r="6308">
      <c r="J6308" t="inlineStr">
        <is>
          <t>A</t>
        </is>
      </c>
      <c r="K6308" t="n">
        <v>2026</v>
      </c>
      <c r="L6308" t="n">
        <v>1</v>
      </c>
      <c r="M6308" t="inlineStr">
        <is>
          <t>Muçarela Mozzalet 2 kg</t>
        </is>
      </c>
      <c r="N6308" t="inlineStr">
        <is>
          <t>Restaurante / Cantina</t>
        </is>
      </c>
      <c r="O6308" t="n">
        <v>1</v>
      </c>
      <c r="P6308" t="n">
        <v>5</v>
      </c>
      <c r="Q6308" t="n">
        <v>0</v>
      </c>
    </row>
    <row r="6309">
      <c r="J6309" t="inlineStr">
        <is>
          <t>M</t>
        </is>
      </c>
      <c r="K6309" t="n">
        <v>2026</v>
      </c>
      <c r="L6309" t="n">
        <v>1</v>
      </c>
      <c r="M6309" t="inlineStr">
        <is>
          <t>Muçarela Mozzalet 2 kg</t>
        </is>
      </c>
      <c r="N6309" t="inlineStr">
        <is>
          <t>Restaurante / Cantina</t>
        </is>
      </c>
      <c r="O6309" t="n">
        <v>1</v>
      </c>
      <c r="P6309" t="n">
        <v>5</v>
      </c>
      <c r="Q6309" t="n">
        <v>0</v>
      </c>
    </row>
    <row r="6310">
      <c r="J6310" t="inlineStr">
        <is>
          <t>A</t>
        </is>
      </c>
      <c r="K6310" t="n">
        <v>2026</v>
      </c>
      <c r="L6310" t="n">
        <v>2</v>
      </c>
      <c r="M6310" t="inlineStr">
        <is>
          <t>Muçarela Mozzalet 2 kg</t>
        </is>
      </c>
      <c r="N6310" t="inlineStr">
        <is>
          <t>Restaurante / Cantina</t>
        </is>
      </c>
      <c r="O6310" t="n">
        <v>1</v>
      </c>
      <c r="P6310" t="n">
        <v>8</v>
      </c>
      <c r="Q6310" t="n">
        <v>0</v>
      </c>
    </row>
    <row r="6311">
      <c r="J6311" t="inlineStr">
        <is>
          <t>M</t>
        </is>
      </c>
      <c r="K6311" t="n">
        <v>2026</v>
      </c>
      <c r="L6311" t="n">
        <v>2</v>
      </c>
      <c r="M6311" t="inlineStr">
        <is>
          <t>Muçarela Mozzalet 2 kg</t>
        </is>
      </c>
      <c r="N6311" t="inlineStr">
        <is>
          <t>Restaurante / Cantina</t>
        </is>
      </c>
      <c r="O6311" t="n">
        <v>1</v>
      </c>
      <c r="P6311" t="n">
        <v>3</v>
      </c>
      <c r="Q6311" t="n">
        <v>0</v>
      </c>
    </row>
    <row r="6312">
      <c r="J6312" t="inlineStr">
        <is>
          <t>A</t>
        </is>
      </c>
      <c r="K6312" t="n">
        <v>2026</v>
      </c>
      <c r="L6312" t="n">
        <v>3</v>
      </c>
      <c r="M6312" t="inlineStr">
        <is>
          <t>Muçarela Mozzalet 2 kg</t>
        </is>
      </c>
      <c r="N6312" t="inlineStr">
        <is>
          <t>Restaurante / Cantina</t>
        </is>
      </c>
      <c r="O6312" t="n">
        <v>1</v>
      </c>
      <c r="P6312" t="n">
        <v>14</v>
      </c>
      <c r="Q6312" t="n">
        <v>0</v>
      </c>
    </row>
    <row r="6313">
      <c r="J6313" t="inlineStr">
        <is>
          <t>M</t>
        </is>
      </c>
      <c r="K6313" t="n">
        <v>2026</v>
      </c>
      <c r="L6313" t="n">
        <v>3</v>
      </c>
      <c r="M6313" t="inlineStr">
        <is>
          <t>Muçarela Mozzalet 2 kg</t>
        </is>
      </c>
      <c r="N6313" t="inlineStr">
        <is>
          <t>Restaurante / Cantina</t>
        </is>
      </c>
      <c r="O6313" t="n">
        <v>1</v>
      </c>
      <c r="P6313" t="n">
        <v>6</v>
      </c>
      <c r="Q6313" t="n">
        <v>0</v>
      </c>
    </row>
    <row r="6314">
      <c r="J6314" t="inlineStr">
        <is>
          <t>A</t>
        </is>
      </c>
      <c r="K6314" t="n">
        <v>2026</v>
      </c>
      <c r="L6314" t="n">
        <v>4</v>
      </c>
      <c r="M6314" t="inlineStr">
        <is>
          <t>Muçarela Mozzalet 2 kg</t>
        </is>
      </c>
      <c r="N6314" t="inlineStr">
        <is>
          <t>Restaurante / Cantina</t>
        </is>
      </c>
      <c r="O6314" t="n">
        <v>1</v>
      </c>
      <c r="P6314" t="n">
        <v>19</v>
      </c>
      <c r="Q6314" t="n">
        <v>0</v>
      </c>
    </row>
    <row r="6315">
      <c r="J6315" t="inlineStr">
        <is>
          <t>M</t>
        </is>
      </c>
      <c r="K6315" t="n">
        <v>2026</v>
      </c>
      <c r="L6315" t="n">
        <v>4</v>
      </c>
      <c r="M6315" t="inlineStr">
        <is>
          <t>Muçarela Mozzalet 2 kg</t>
        </is>
      </c>
      <c r="N6315" t="inlineStr">
        <is>
          <t>Restaurante / Cantina</t>
        </is>
      </c>
      <c r="O6315" t="n">
        <v>1</v>
      </c>
      <c r="P6315" t="n">
        <v>5</v>
      </c>
      <c r="Q6315" t="n">
        <v>0</v>
      </c>
    </row>
    <row r="6316">
      <c r="J6316" t="inlineStr">
        <is>
          <t>A</t>
        </is>
      </c>
      <c r="K6316" t="n">
        <v>2026</v>
      </c>
      <c r="L6316" t="n">
        <v>5</v>
      </c>
      <c r="M6316" t="inlineStr">
        <is>
          <t>Muçarela Mozzalet 2 kg</t>
        </is>
      </c>
      <c r="N6316" t="inlineStr">
        <is>
          <t>Restaurante / Cantina</t>
        </is>
      </c>
      <c r="O6316" t="n">
        <v>1</v>
      </c>
      <c r="P6316" t="n">
        <v>22</v>
      </c>
      <c r="Q6316" t="n">
        <v>0</v>
      </c>
    </row>
    <row r="6317">
      <c r="J6317" t="inlineStr">
        <is>
          <t>M</t>
        </is>
      </c>
      <c r="K6317" t="n">
        <v>2026</v>
      </c>
      <c r="L6317" t="n">
        <v>5</v>
      </c>
      <c r="M6317" t="inlineStr">
        <is>
          <t>Muçarela Mozzalet 2 kg</t>
        </is>
      </c>
      <c r="N6317" t="inlineStr">
        <is>
          <t>Restaurante / Cantina</t>
        </is>
      </c>
      <c r="O6317" t="n">
        <v>1</v>
      </c>
      <c r="P6317" t="n">
        <v>3</v>
      </c>
      <c r="Q6317" t="n">
        <v>0</v>
      </c>
    </row>
    <row r="6318">
      <c r="J6318" t="inlineStr">
        <is>
          <t>A</t>
        </is>
      </c>
      <c r="K6318" t="n">
        <v>2026</v>
      </c>
      <c r="L6318" t="n">
        <v>6</v>
      </c>
      <c r="M6318" t="inlineStr">
        <is>
          <t>Muçarela Mozzalet 2 kg</t>
        </is>
      </c>
      <c r="N6318" t="inlineStr">
        <is>
          <t>Restaurante / Cantina</t>
        </is>
      </c>
      <c r="O6318" t="n">
        <v>1</v>
      </c>
      <c r="P6318" t="n">
        <v>24</v>
      </c>
      <c r="Q6318" t="n">
        <v>0</v>
      </c>
    </row>
    <row r="6319">
      <c r="J6319" t="inlineStr">
        <is>
          <t>M</t>
        </is>
      </c>
      <c r="K6319" t="n">
        <v>2026</v>
      </c>
      <c r="L6319" t="n">
        <v>6</v>
      </c>
      <c r="M6319" t="inlineStr">
        <is>
          <t>Muçarela Mozzalet 2 kg</t>
        </is>
      </c>
      <c r="N6319" t="inlineStr">
        <is>
          <t>Restaurante / Cantina</t>
        </is>
      </c>
      <c r="O6319" t="n">
        <v>1</v>
      </c>
      <c r="P6319" t="n">
        <v>2</v>
      </c>
      <c r="Q6319" t="n">
        <v>0</v>
      </c>
    </row>
    <row r="6320">
      <c r="J6320" t="inlineStr">
        <is>
          <t>A</t>
        </is>
      </c>
      <c r="K6320" t="n">
        <v>2026</v>
      </c>
      <c r="L6320" t="n">
        <v>7</v>
      </c>
      <c r="M6320" t="inlineStr">
        <is>
          <t>Muçarela Mozzalet 2 kg</t>
        </is>
      </c>
      <c r="N6320" t="inlineStr">
        <is>
          <t>Restaurante / Cantina</t>
        </is>
      </c>
      <c r="O6320" t="n">
        <v>1</v>
      </c>
      <c r="P6320" t="n">
        <v>28</v>
      </c>
      <c r="Q6320" t="n">
        <v>0</v>
      </c>
    </row>
    <row r="6321">
      <c r="J6321" t="inlineStr">
        <is>
          <t>M</t>
        </is>
      </c>
      <c r="K6321" t="n">
        <v>2026</v>
      </c>
      <c r="L6321" t="n">
        <v>7</v>
      </c>
      <c r="M6321" t="inlineStr">
        <is>
          <t>Muçarela Mozzalet 2 kg</t>
        </is>
      </c>
      <c r="N6321" t="inlineStr">
        <is>
          <t>Restaurante / Cantina</t>
        </is>
      </c>
      <c r="O6321" t="n">
        <v>1</v>
      </c>
      <c r="P6321" t="n">
        <v>4</v>
      </c>
      <c r="Q6321" t="n">
        <v>0</v>
      </c>
    </row>
    <row r="6322">
      <c r="J6322" t="inlineStr">
        <is>
          <t>A</t>
        </is>
      </c>
      <c r="K6322" t="n">
        <v>2026</v>
      </c>
      <c r="L6322" t="n">
        <v>8</v>
      </c>
      <c r="M6322" t="inlineStr">
        <is>
          <t>Muçarela Mozzalet 2 kg</t>
        </is>
      </c>
      <c r="N6322" t="inlineStr">
        <is>
          <t>Restaurante / Cantina</t>
        </is>
      </c>
      <c r="O6322" t="n">
        <v>1</v>
      </c>
      <c r="P6322" t="n">
        <v>34</v>
      </c>
      <c r="Q6322" t="n">
        <v>0</v>
      </c>
    </row>
    <row r="6323">
      <c r="J6323" t="inlineStr">
        <is>
          <t>M</t>
        </is>
      </c>
      <c r="K6323" t="n">
        <v>2026</v>
      </c>
      <c r="L6323" t="n">
        <v>8</v>
      </c>
      <c r="M6323" t="inlineStr">
        <is>
          <t>Muçarela Mozzalet 2 kg</t>
        </is>
      </c>
      <c r="N6323" t="inlineStr">
        <is>
          <t>Restaurante / Cantina</t>
        </is>
      </c>
      <c r="O6323" t="n">
        <v>1</v>
      </c>
      <c r="P6323" t="n">
        <v>6</v>
      </c>
      <c r="Q6323" t="n">
        <v>0</v>
      </c>
    </row>
    <row r="6324">
      <c r="J6324" t="inlineStr">
        <is>
          <t>A</t>
        </is>
      </c>
      <c r="K6324" t="n">
        <v>2026</v>
      </c>
      <c r="L6324" t="n">
        <v>9</v>
      </c>
      <c r="M6324" t="inlineStr">
        <is>
          <t>Muçarela Mozzalet 2 kg</t>
        </is>
      </c>
      <c r="N6324" t="inlineStr">
        <is>
          <t>Restaurante / Cantina</t>
        </is>
      </c>
      <c r="O6324" t="n">
        <v>1</v>
      </c>
      <c r="P6324" t="n">
        <v>37</v>
      </c>
      <c r="Q6324" t="n">
        <v>0</v>
      </c>
    </row>
    <row r="6325">
      <c r="J6325" t="inlineStr">
        <is>
          <t>M</t>
        </is>
      </c>
      <c r="K6325" t="n">
        <v>2026</v>
      </c>
      <c r="L6325" t="n">
        <v>9</v>
      </c>
      <c r="M6325" t="inlineStr">
        <is>
          <t>Muçarela Mozzalet 2 kg</t>
        </is>
      </c>
      <c r="N6325" t="inlineStr">
        <is>
          <t>Restaurante / Cantina</t>
        </is>
      </c>
      <c r="O6325" t="n">
        <v>1</v>
      </c>
      <c r="P6325" t="n">
        <v>3</v>
      </c>
      <c r="Q6325" t="n">
        <v>0</v>
      </c>
    </row>
    <row r="6326">
      <c r="J6326" t="inlineStr">
        <is>
          <t>A</t>
        </is>
      </c>
      <c r="K6326" t="n">
        <v>2026</v>
      </c>
      <c r="L6326" t="n">
        <v>10</v>
      </c>
      <c r="M6326" t="inlineStr">
        <is>
          <t>Muçarela Mozzalet 2 kg</t>
        </is>
      </c>
      <c r="N6326" t="inlineStr">
        <is>
          <t>Restaurante / Cantina</t>
        </is>
      </c>
      <c r="O6326" t="n">
        <v>1</v>
      </c>
      <c r="P6326" t="n">
        <v>37</v>
      </c>
      <c r="Q6326" t="n">
        <v>0</v>
      </c>
    </row>
    <row r="6327">
      <c r="J6327" t="inlineStr">
        <is>
          <t>A</t>
        </is>
      </c>
      <c r="K6327" t="n">
        <v>2026</v>
      </c>
      <c r="L6327" t="n">
        <v>11</v>
      </c>
      <c r="M6327" t="inlineStr">
        <is>
          <t>Muçarela Mozzalet 2 kg</t>
        </is>
      </c>
      <c r="N6327" t="inlineStr">
        <is>
          <t>Restaurante / Cantina</t>
        </is>
      </c>
      <c r="O6327" t="n">
        <v>1</v>
      </c>
      <c r="P6327" t="n">
        <v>37</v>
      </c>
      <c r="Q6327" t="n">
        <v>0</v>
      </c>
    </row>
    <row r="6328">
      <c r="J6328" t="inlineStr">
        <is>
          <t>A</t>
        </is>
      </c>
      <c r="K6328" t="n">
        <v>2026</v>
      </c>
      <c r="L6328" t="n">
        <v>12</v>
      </c>
      <c r="M6328" t="inlineStr">
        <is>
          <t>Muçarela Mozzalet 2 kg</t>
        </is>
      </c>
      <c r="N6328" t="inlineStr">
        <is>
          <t>Restaurante / Cantina</t>
        </is>
      </c>
      <c r="O6328" t="n">
        <v>1</v>
      </c>
      <c r="P6328" t="n">
        <v>37</v>
      </c>
      <c r="Q6328" t="n">
        <v>0</v>
      </c>
    </row>
    <row r="6329">
      <c r="J6329" t="inlineStr">
        <is>
          <t>A</t>
        </is>
      </c>
      <c r="K6329" t="n">
        <v>2026</v>
      </c>
      <c r="L6329" t="n">
        <v>1</v>
      </c>
      <c r="M6329" t="inlineStr">
        <is>
          <t>Muçarela Mozzalet 2 kg</t>
        </is>
      </c>
      <c r="N6329" t="inlineStr">
        <is>
          <t>Cozinha Industrial</t>
        </is>
      </c>
      <c r="O6329" t="n">
        <v>2</v>
      </c>
      <c r="P6329" t="n">
        <v>3</v>
      </c>
      <c r="Q6329" t="n">
        <v>0</v>
      </c>
    </row>
    <row r="6330">
      <c r="J6330" t="inlineStr">
        <is>
          <t>M</t>
        </is>
      </c>
      <c r="K6330" t="n">
        <v>2026</v>
      </c>
      <c r="L6330" t="n">
        <v>1</v>
      </c>
      <c r="M6330" t="inlineStr">
        <is>
          <t>Muçarela Mozzalet 2 kg</t>
        </is>
      </c>
      <c r="N6330" t="inlineStr">
        <is>
          <t>Cozinha Industrial</t>
        </is>
      </c>
      <c r="O6330" t="n">
        <v>2</v>
      </c>
      <c r="P6330" t="n">
        <v>3</v>
      </c>
      <c r="Q6330" t="n">
        <v>0</v>
      </c>
    </row>
    <row r="6331">
      <c r="J6331" t="inlineStr">
        <is>
          <t>A</t>
        </is>
      </c>
      <c r="K6331" t="n">
        <v>2026</v>
      </c>
      <c r="L6331" t="n">
        <v>2</v>
      </c>
      <c r="M6331" t="inlineStr">
        <is>
          <t>Muçarela Mozzalet 2 kg</t>
        </is>
      </c>
      <c r="N6331" t="inlineStr">
        <is>
          <t>Cozinha Industrial</t>
        </is>
      </c>
      <c r="O6331" t="n">
        <v>2</v>
      </c>
      <c r="P6331" t="n">
        <v>3</v>
      </c>
      <c r="Q6331" t="n">
        <v>0</v>
      </c>
    </row>
    <row r="6332">
      <c r="J6332" t="inlineStr">
        <is>
          <t>A</t>
        </is>
      </c>
      <c r="K6332" t="n">
        <v>2026</v>
      </c>
      <c r="L6332" t="n">
        <v>3</v>
      </c>
      <c r="M6332" t="inlineStr">
        <is>
          <t>Muçarela Mozzalet 2 kg</t>
        </is>
      </c>
      <c r="N6332" t="inlineStr">
        <is>
          <t>Cozinha Industrial</t>
        </is>
      </c>
      <c r="O6332" t="n">
        <v>2</v>
      </c>
      <c r="P6332" t="n">
        <v>3</v>
      </c>
      <c r="Q6332" t="n">
        <v>0</v>
      </c>
    </row>
    <row r="6333">
      <c r="J6333" t="inlineStr">
        <is>
          <t>A</t>
        </is>
      </c>
      <c r="K6333" t="n">
        <v>2026</v>
      </c>
      <c r="L6333" t="n">
        <v>4</v>
      </c>
      <c r="M6333" t="inlineStr">
        <is>
          <t>Muçarela Mozzalet 2 kg</t>
        </is>
      </c>
      <c r="N6333" t="inlineStr">
        <is>
          <t>Cozinha Industrial</t>
        </is>
      </c>
      <c r="O6333" t="n">
        <v>3</v>
      </c>
      <c r="P6333" t="n">
        <v>4</v>
      </c>
      <c r="Q6333" t="n">
        <v>0</v>
      </c>
    </row>
    <row r="6334">
      <c r="J6334" t="inlineStr">
        <is>
          <t>M</t>
        </is>
      </c>
      <c r="K6334" t="n">
        <v>2026</v>
      </c>
      <c r="L6334" t="n">
        <v>4</v>
      </c>
      <c r="M6334" t="inlineStr">
        <is>
          <t>Muçarela Mozzalet 2 kg</t>
        </is>
      </c>
      <c r="N6334" t="inlineStr">
        <is>
          <t>Cozinha Industrial</t>
        </is>
      </c>
      <c r="O6334" t="n">
        <v>1</v>
      </c>
      <c r="P6334" t="n">
        <v>1</v>
      </c>
      <c r="Q6334" t="n">
        <v>0</v>
      </c>
    </row>
    <row r="6335">
      <c r="J6335" t="inlineStr">
        <is>
          <t>A</t>
        </is>
      </c>
      <c r="K6335" t="n">
        <v>2026</v>
      </c>
      <c r="L6335" t="n">
        <v>5</v>
      </c>
      <c r="M6335" t="inlineStr">
        <is>
          <t>Muçarela Mozzalet 2 kg</t>
        </is>
      </c>
      <c r="N6335" t="inlineStr">
        <is>
          <t>Cozinha Industrial</t>
        </is>
      </c>
      <c r="O6335" t="n">
        <v>3</v>
      </c>
      <c r="P6335" t="n">
        <v>4</v>
      </c>
      <c r="Q6335" t="n">
        <v>0</v>
      </c>
    </row>
    <row r="6336">
      <c r="J6336" t="inlineStr">
        <is>
          <t>A</t>
        </is>
      </c>
      <c r="K6336" t="n">
        <v>2026</v>
      </c>
      <c r="L6336" t="n">
        <v>6</v>
      </c>
      <c r="M6336" t="inlineStr">
        <is>
          <t>Muçarela Mozzalet 2 kg</t>
        </is>
      </c>
      <c r="N6336" t="inlineStr">
        <is>
          <t>Cozinha Industrial</t>
        </is>
      </c>
      <c r="O6336" t="n">
        <v>3</v>
      </c>
      <c r="P6336" t="n">
        <v>4</v>
      </c>
      <c r="Q6336" t="n">
        <v>0</v>
      </c>
    </row>
    <row r="6337">
      <c r="J6337" t="inlineStr">
        <is>
          <t>A</t>
        </is>
      </c>
      <c r="K6337" t="n">
        <v>2026</v>
      </c>
      <c r="L6337" t="n">
        <v>7</v>
      </c>
      <c r="M6337" t="inlineStr">
        <is>
          <t>Muçarela Mozzalet 2 kg</t>
        </is>
      </c>
      <c r="N6337" t="inlineStr">
        <is>
          <t>Cozinha Industrial</t>
        </is>
      </c>
      <c r="O6337" t="n">
        <v>3</v>
      </c>
      <c r="P6337" t="n">
        <v>4</v>
      </c>
      <c r="Q6337" t="n">
        <v>0</v>
      </c>
    </row>
    <row r="6338">
      <c r="J6338" t="inlineStr">
        <is>
          <t>A</t>
        </is>
      </c>
      <c r="K6338" t="n">
        <v>2026</v>
      </c>
      <c r="L6338" t="n">
        <v>8</v>
      </c>
      <c r="M6338" t="inlineStr">
        <is>
          <t>Muçarela Mozzalet 2 kg</t>
        </is>
      </c>
      <c r="N6338" t="inlineStr">
        <is>
          <t>Cozinha Industrial</t>
        </is>
      </c>
      <c r="O6338" t="n">
        <v>3</v>
      </c>
      <c r="P6338" t="n">
        <v>4</v>
      </c>
      <c r="Q6338" t="n">
        <v>0</v>
      </c>
    </row>
    <row r="6339">
      <c r="J6339" t="inlineStr">
        <is>
          <t>A</t>
        </is>
      </c>
      <c r="K6339" t="n">
        <v>2026</v>
      </c>
      <c r="L6339" t="n">
        <v>9</v>
      </c>
      <c r="M6339" t="inlineStr">
        <is>
          <t>Muçarela Mozzalet 2 kg</t>
        </is>
      </c>
      <c r="N6339" t="inlineStr">
        <is>
          <t>Cozinha Industrial</t>
        </is>
      </c>
      <c r="O6339" t="n">
        <v>3</v>
      </c>
      <c r="P6339" t="n">
        <v>4</v>
      </c>
      <c r="Q6339" t="n">
        <v>0</v>
      </c>
    </row>
    <row r="6340">
      <c r="J6340" t="inlineStr">
        <is>
          <t>A</t>
        </is>
      </c>
      <c r="K6340" t="n">
        <v>2026</v>
      </c>
      <c r="L6340" t="n">
        <v>10</v>
      </c>
      <c r="M6340" t="inlineStr">
        <is>
          <t>Muçarela Mozzalet 2 kg</t>
        </is>
      </c>
      <c r="N6340" t="inlineStr">
        <is>
          <t>Cozinha Industrial</t>
        </is>
      </c>
      <c r="O6340" t="n">
        <v>3</v>
      </c>
      <c r="P6340" t="n">
        <v>4</v>
      </c>
      <c r="Q6340" t="n">
        <v>0</v>
      </c>
    </row>
    <row r="6341">
      <c r="J6341" t="inlineStr">
        <is>
          <t>A</t>
        </is>
      </c>
      <c r="K6341" t="n">
        <v>2026</v>
      </c>
      <c r="L6341" t="n">
        <v>11</v>
      </c>
      <c r="M6341" t="inlineStr">
        <is>
          <t>Muçarela Mozzalet 2 kg</t>
        </is>
      </c>
      <c r="N6341" t="inlineStr">
        <is>
          <t>Cozinha Industrial</t>
        </is>
      </c>
      <c r="O6341" t="n">
        <v>3</v>
      </c>
      <c r="P6341" t="n">
        <v>4</v>
      </c>
      <c r="Q6341" t="n">
        <v>0</v>
      </c>
    </row>
    <row r="6342">
      <c r="J6342" t="inlineStr">
        <is>
          <t>A</t>
        </is>
      </c>
      <c r="K6342" t="n">
        <v>2026</v>
      </c>
      <c r="L6342" t="n">
        <v>12</v>
      </c>
      <c r="M6342" t="inlineStr">
        <is>
          <t>Muçarela Mozzalet 2 kg</t>
        </is>
      </c>
      <c r="N6342" t="inlineStr">
        <is>
          <t>Cozinha Industrial</t>
        </is>
      </c>
      <c r="O6342" t="n">
        <v>3</v>
      </c>
      <c r="P6342" t="n">
        <v>4</v>
      </c>
      <c r="Q6342" t="n">
        <v>0</v>
      </c>
    </row>
    <row r="6343">
      <c r="J6343" t="inlineStr">
        <is>
          <t>A</t>
        </is>
      </c>
      <c r="K6343" t="n">
        <v>2026</v>
      </c>
      <c r="L6343" t="n">
        <v>1</v>
      </c>
      <c r="M6343" t="inlineStr">
        <is>
          <t>Muçarela Mozzalet 2 kg</t>
        </is>
      </c>
      <c r="N6343" t="inlineStr">
        <is>
          <t>Fábrica de Massas</t>
        </is>
      </c>
      <c r="O6343" t="n">
        <v>1</v>
      </c>
      <c r="P6343" t="n">
        <v>2</v>
      </c>
      <c r="Q6343" t="n">
        <v>0</v>
      </c>
    </row>
    <row r="6344">
      <c r="J6344" t="inlineStr">
        <is>
          <t>M</t>
        </is>
      </c>
      <c r="K6344" t="n">
        <v>2026</v>
      </c>
      <c r="L6344" t="n">
        <v>1</v>
      </c>
      <c r="M6344" t="inlineStr">
        <is>
          <t>Muçarela Mozzalet 2 kg</t>
        </is>
      </c>
      <c r="N6344" t="inlineStr">
        <is>
          <t>Fábrica de Massas</t>
        </is>
      </c>
      <c r="O6344" t="n">
        <v>1</v>
      </c>
      <c r="P6344" t="n">
        <v>2</v>
      </c>
      <c r="Q6344" t="n">
        <v>0</v>
      </c>
    </row>
    <row r="6345">
      <c r="J6345" t="inlineStr">
        <is>
          <t>A</t>
        </is>
      </c>
      <c r="K6345" t="n">
        <v>2026</v>
      </c>
      <c r="L6345" t="n">
        <v>2</v>
      </c>
      <c r="M6345" t="inlineStr">
        <is>
          <t>Muçarela Mozzalet 2 kg</t>
        </is>
      </c>
      <c r="N6345" t="inlineStr">
        <is>
          <t>Fábrica de Massas</t>
        </is>
      </c>
      <c r="O6345" t="n">
        <v>1</v>
      </c>
      <c r="P6345" t="n">
        <v>3</v>
      </c>
      <c r="Q6345" t="n">
        <v>0</v>
      </c>
    </row>
    <row r="6346">
      <c r="J6346" t="inlineStr">
        <is>
          <t>M</t>
        </is>
      </c>
      <c r="K6346" t="n">
        <v>2026</v>
      </c>
      <c r="L6346" t="n">
        <v>2</v>
      </c>
      <c r="M6346" t="inlineStr">
        <is>
          <t>Muçarela Mozzalet 2 kg</t>
        </is>
      </c>
      <c r="N6346" t="inlineStr">
        <is>
          <t>Fábrica de Massas</t>
        </is>
      </c>
      <c r="O6346" t="n">
        <v>1</v>
      </c>
      <c r="P6346" t="n">
        <v>1</v>
      </c>
      <c r="Q6346" t="n">
        <v>0</v>
      </c>
    </row>
    <row r="6347">
      <c r="J6347" t="inlineStr">
        <is>
          <t>A</t>
        </is>
      </c>
      <c r="K6347" t="n">
        <v>2026</v>
      </c>
      <c r="L6347" t="n">
        <v>3</v>
      </c>
      <c r="M6347" t="inlineStr">
        <is>
          <t>Muçarela Mozzalet 2 kg</t>
        </is>
      </c>
      <c r="N6347" t="inlineStr">
        <is>
          <t>Fábrica de Massas</t>
        </is>
      </c>
      <c r="O6347" t="n">
        <v>1</v>
      </c>
      <c r="P6347" t="n">
        <v>4</v>
      </c>
      <c r="Q6347" t="n">
        <v>0</v>
      </c>
    </row>
    <row r="6348">
      <c r="J6348" t="inlineStr">
        <is>
          <t>M</t>
        </is>
      </c>
      <c r="K6348" t="n">
        <v>2026</v>
      </c>
      <c r="L6348" t="n">
        <v>3</v>
      </c>
      <c r="M6348" t="inlineStr">
        <is>
          <t>Muçarela Mozzalet 2 kg</t>
        </is>
      </c>
      <c r="N6348" t="inlineStr">
        <is>
          <t>Fábrica de Massas</t>
        </is>
      </c>
      <c r="O6348" t="n">
        <v>1</v>
      </c>
      <c r="P6348" t="n">
        <v>1</v>
      </c>
      <c r="Q6348" t="n">
        <v>0</v>
      </c>
    </row>
    <row r="6349">
      <c r="J6349" t="inlineStr">
        <is>
          <t>A</t>
        </is>
      </c>
      <c r="K6349" t="n">
        <v>2026</v>
      </c>
      <c r="L6349" t="n">
        <v>4</v>
      </c>
      <c r="M6349" t="inlineStr">
        <is>
          <t>Muçarela Mozzalet 2 kg</t>
        </is>
      </c>
      <c r="N6349" t="inlineStr">
        <is>
          <t>Fábrica de Massas</t>
        </is>
      </c>
      <c r="O6349" t="n">
        <v>1</v>
      </c>
      <c r="P6349" t="n">
        <v>6</v>
      </c>
      <c r="Q6349" t="n">
        <v>0</v>
      </c>
    </row>
    <row r="6350">
      <c r="J6350" t="inlineStr">
        <is>
          <t>M</t>
        </is>
      </c>
      <c r="K6350" t="n">
        <v>2026</v>
      </c>
      <c r="L6350" t="n">
        <v>4</v>
      </c>
      <c r="M6350" t="inlineStr">
        <is>
          <t>Muçarela Mozzalet 2 kg</t>
        </is>
      </c>
      <c r="N6350" t="inlineStr">
        <is>
          <t>Fábrica de Massas</t>
        </is>
      </c>
      <c r="O6350" t="n">
        <v>1</v>
      </c>
      <c r="P6350" t="n">
        <v>2</v>
      </c>
      <c r="Q6350" t="n">
        <v>0</v>
      </c>
    </row>
    <row r="6351">
      <c r="J6351" t="inlineStr">
        <is>
          <t>A</t>
        </is>
      </c>
      <c r="K6351" t="n">
        <v>2026</v>
      </c>
      <c r="L6351" t="n">
        <v>5</v>
      </c>
      <c r="M6351" t="inlineStr">
        <is>
          <t>Muçarela Mozzalet 2 kg</t>
        </is>
      </c>
      <c r="N6351" t="inlineStr">
        <is>
          <t>Fábrica de Massas</t>
        </is>
      </c>
      <c r="O6351" t="n">
        <v>1</v>
      </c>
      <c r="P6351" t="n">
        <v>7</v>
      </c>
      <c r="Q6351" t="n">
        <v>0</v>
      </c>
    </row>
    <row r="6352">
      <c r="J6352" t="inlineStr">
        <is>
          <t>M</t>
        </is>
      </c>
      <c r="K6352" t="n">
        <v>2026</v>
      </c>
      <c r="L6352" t="n">
        <v>5</v>
      </c>
      <c r="M6352" t="inlineStr">
        <is>
          <t>Muçarela Mozzalet 2 kg</t>
        </is>
      </c>
      <c r="N6352" t="inlineStr">
        <is>
          <t>Fábrica de Massas</t>
        </is>
      </c>
      <c r="O6352" t="n">
        <v>1</v>
      </c>
      <c r="P6352" t="n">
        <v>1</v>
      </c>
      <c r="Q6352" t="n">
        <v>0</v>
      </c>
    </row>
    <row r="6353">
      <c r="J6353" t="inlineStr">
        <is>
          <t>A</t>
        </is>
      </c>
      <c r="K6353" t="n">
        <v>2026</v>
      </c>
      <c r="L6353" t="n">
        <v>6</v>
      </c>
      <c r="M6353" t="inlineStr">
        <is>
          <t>Muçarela Mozzalet 2 kg</t>
        </is>
      </c>
      <c r="N6353" t="inlineStr">
        <is>
          <t>Fábrica de Massas</t>
        </is>
      </c>
      <c r="O6353" t="n">
        <v>2</v>
      </c>
      <c r="P6353" t="n">
        <v>10</v>
      </c>
      <c r="Q6353" t="n">
        <v>1</v>
      </c>
    </row>
    <row r="6354">
      <c r="J6354" t="inlineStr">
        <is>
          <t>M</t>
        </is>
      </c>
      <c r="K6354" t="n">
        <v>2026</v>
      </c>
      <c r="L6354" t="n">
        <v>6</v>
      </c>
      <c r="M6354" t="inlineStr">
        <is>
          <t>Muçarela Mozzalet 2 kg</t>
        </is>
      </c>
      <c r="N6354" t="inlineStr">
        <is>
          <t>Fábrica de Massas</t>
        </is>
      </c>
      <c r="O6354" t="n">
        <v>2</v>
      </c>
      <c r="P6354" t="n">
        <v>3</v>
      </c>
      <c r="Q6354" t="n">
        <v>0</v>
      </c>
    </row>
    <row r="6355">
      <c r="J6355" t="inlineStr">
        <is>
          <t>A</t>
        </is>
      </c>
      <c r="K6355" t="n">
        <v>2026</v>
      </c>
      <c r="L6355" t="n">
        <v>7</v>
      </c>
      <c r="M6355" t="inlineStr">
        <is>
          <t>Muçarela Mozzalet 2 kg</t>
        </is>
      </c>
      <c r="N6355" t="inlineStr">
        <is>
          <t>Fábrica de Massas</t>
        </is>
      </c>
      <c r="O6355" t="n">
        <v>2</v>
      </c>
      <c r="P6355" t="n">
        <v>12</v>
      </c>
      <c r="Q6355" t="n">
        <v>1</v>
      </c>
    </row>
    <row r="6356">
      <c r="J6356" t="inlineStr">
        <is>
          <t>M</t>
        </is>
      </c>
      <c r="K6356" t="n">
        <v>2026</v>
      </c>
      <c r="L6356" t="n">
        <v>7</v>
      </c>
      <c r="M6356" t="inlineStr">
        <is>
          <t>Muçarela Mozzalet 2 kg</t>
        </is>
      </c>
      <c r="N6356" t="inlineStr">
        <is>
          <t>Fábrica de Massas</t>
        </is>
      </c>
      <c r="O6356" t="n">
        <v>1</v>
      </c>
      <c r="P6356" t="n">
        <v>2</v>
      </c>
      <c r="Q6356" t="n">
        <v>0</v>
      </c>
    </row>
    <row r="6357">
      <c r="J6357" t="inlineStr">
        <is>
          <t>A</t>
        </is>
      </c>
      <c r="K6357" t="n">
        <v>2026</v>
      </c>
      <c r="L6357" t="n">
        <v>8</v>
      </c>
      <c r="M6357" t="inlineStr">
        <is>
          <t>Muçarela Mozzalet 2 kg</t>
        </is>
      </c>
      <c r="N6357" t="inlineStr">
        <is>
          <t>Fábrica de Massas</t>
        </is>
      </c>
      <c r="O6357" t="n">
        <v>2</v>
      </c>
      <c r="P6357" t="n">
        <v>14</v>
      </c>
      <c r="Q6357" t="n">
        <v>1</v>
      </c>
    </row>
    <row r="6358">
      <c r="J6358" t="inlineStr">
        <is>
          <t>M</t>
        </is>
      </c>
      <c r="K6358" t="n">
        <v>2026</v>
      </c>
      <c r="L6358" t="n">
        <v>8</v>
      </c>
      <c r="M6358" t="inlineStr">
        <is>
          <t>Muçarela Mozzalet 2 kg</t>
        </is>
      </c>
      <c r="N6358" t="inlineStr">
        <is>
          <t>Fábrica de Massas</t>
        </is>
      </c>
      <c r="O6358" t="n">
        <v>1</v>
      </c>
      <c r="P6358" t="n">
        <v>2</v>
      </c>
      <c r="Q6358" t="n">
        <v>0</v>
      </c>
    </row>
    <row r="6359">
      <c r="J6359" t="inlineStr">
        <is>
          <t>A</t>
        </is>
      </c>
      <c r="K6359" t="n">
        <v>2026</v>
      </c>
      <c r="L6359" t="n">
        <v>9</v>
      </c>
      <c r="M6359" t="inlineStr">
        <is>
          <t>Muçarela Mozzalet 2 kg</t>
        </is>
      </c>
      <c r="N6359" t="inlineStr">
        <is>
          <t>Fábrica de Massas</t>
        </is>
      </c>
      <c r="O6359" t="n">
        <v>2</v>
      </c>
      <c r="P6359" t="n">
        <v>16</v>
      </c>
      <c r="Q6359" t="n">
        <v>1</v>
      </c>
    </row>
    <row r="6360">
      <c r="J6360" t="inlineStr">
        <is>
          <t>M</t>
        </is>
      </c>
      <c r="K6360" t="n">
        <v>2026</v>
      </c>
      <c r="L6360" t="n">
        <v>9</v>
      </c>
      <c r="M6360" t="inlineStr">
        <is>
          <t>Muçarela Mozzalet 2 kg</t>
        </is>
      </c>
      <c r="N6360" t="inlineStr">
        <is>
          <t>Fábrica de Massas</t>
        </is>
      </c>
      <c r="O6360" t="n">
        <v>1</v>
      </c>
      <c r="P6360" t="n">
        <v>2</v>
      </c>
      <c r="Q6360" t="n">
        <v>0</v>
      </c>
    </row>
    <row r="6361">
      <c r="J6361" t="inlineStr">
        <is>
          <t>A</t>
        </is>
      </c>
      <c r="K6361" t="n">
        <v>2026</v>
      </c>
      <c r="L6361" t="n">
        <v>10</v>
      </c>
      <c r="M6361" t="inlineStr">
        <is>
          <t>Muçarela Mozzalet 2 kg</t>
        </is>
      </c>
      <c r="N6361" t="inlineStr">
        <is>
          <t>Fábrica de Massas</t>
        </is>
      </c>
      <c r="O6361" t="n">
        <v>2</v>
      </c>
      <c r="P6361" t="n">
        <v>16</v>
      </c>
      <c r="Q6361" t="n">
        <v>1</v>
      </c>
    </row>
    <row r="6362">
      <c r="J6362" t="inlineStr">
        <is>
          <t>A</t>
        </is>
      </c>
      <c r="K6362" t="n">
        <v>2026</v>
      </c>
      <c r="L6362" t="n">
        <v>11</v>
      </c>
      <c r="M6362" t="inlineStr">
        <is>
          <t>Muçarela Mozzalet 2 kg</t>
        </is>
      </c>
      <c r="N6362" t="inlineStr">
        <is>
          <t>Fábrica de Massas</t>
        </is>
      </c>
      <c r="O6362" t="n">
        <v>2</v>
      </c>
      <c r="P6362" t="n">
        <v>16</v>
      </c>
      <c r="Q6362" t="n">
        <v>1</v>
      </c>
    </row>
    <row r="6363">
      <c r="J6363" t="inlineStr">
        <is>
          <t>A</t>
        </is>
      </c>
      <c r="K6363" t="n">
        <v>2026</v>
      </c>
      <c r="L6363" t="n">
        <v>12</v>
      </c>
      <c r="M6363" t="inlineStr">
        <is>
          <t>Muçarela Mozzalet 2 kg</t>
        </is>
      </c>
      <c r="N6363" t="inlineStr">
        <is>
          <t>Fábrica de Massas</t>
        </is>
      </c>
      <c r="O6363" t="n">
        <v>2</v>
      </c>
      <c r="P6363" t="n">
        <v>16</v>
      </c>
      <c r="Q6363" t="n">
        <v>1</v>
      </c>
    </row>
    <row r="6364">
      <c r="J6364" t="inlineStr">
        <is>
          <t>A</t>
        </is>
      </c>
      <c r="K6364" t="n">
        <v>2026</v>
      </c>
      <c r="L6364" t="n">
        <v>1</v>
      </c>
      <c r="M6364" t="inlineStr">
        <is>
          <t>Muçarela Mozzalet 2 kg</t>
        </is>
      </c>
      <c r="N6364" t="inlineStr">
        <is>
          <t>Outros</t>
        </is>
      </c>
      <c r="O6364" t="n">
        <v>1</v>
      </c>
      <c r="P6364" t="n">
        <v>1</v>
      </c>
      <c r="Q6364" t="n">
        <v>0</v>
      </c>
    </row>
    <row r="6365">
      <c r="J6365" t="inlineStr">
        <is>
          <t>M</t>
        </is>
      </c>
      <c r="K6365" t="n">
        <v>2026</v>
      </c>
      <c r="L6365" t="n">
        <v>1</v>
      </c>
      <c r="M6365" t="inlineStr">
        <is>
          <t>Muçarela Mozzalet 2 kg</t>
        </is>
      </c>
      <c r="N6365" t="inlineStr">
        <is>
          <t>Outros</t>
        </is>
      </c>
      <c r="O6365" t="n">
        <v>1</v>
      </c>
      <c r="P6365" t="n">
        <v>1</v>
      </c>
      <c r="Q6365" t="n">
        <v>0</v>
      </c>
    </row>
    <row r="6366">
      <c r="J6366" t="inlineStr">
        <is>
          <t>A</t>
        </is>
      </c>
      <c r="K6366" t="n">
        <v>2026</v>
      </c>
      <c r="L6366" t="n">
        <v>2</v>
      </c>
      <c r="M6366" t="inlineStr">
        <is>
          <t>Muçarela Mozzalet 2 kg</t>
        </is>
      </c>
      <c r="N6366" t="inlineStr">
        <is>
          <t>Outros</t>
        </is>
      </c>
      <c r="O6366" t="n">
        <v>1</v>
      </c>
      <c r="P6366" t="n">
        <v>1</v>
      </c>
      <c r="Q6366" t="n">
        <v>0</v>
      </c>
    </row>
    <row r="6367">
      <c r="J6367" t="inlineStr">
        <is>
          <t>A</t>
        </is>
      </c>
      <c r="K6367" t="n">
        <v>2026</v>
      </c>
      <c r="L6367" t="n">
        <v>3</v>
      </c>
      <c r="M6367" t="inlineStr">
        <is>
          <t>Muçarela Mozzalet 2 kg</t>
        </is>
      </c>
      <c r="N6367" t="inlineStr">
        <is>
          <t>Outros</t>
        </is>
      </c>
      <c r="O6367" t="n">
        <v>1</v>
      </c>
      <c r="P6367" t="n">
        <v>1</v>
      </c>
      <c r="Q6367" t="n">
        <v>0</v>
      </c>
    </row>
    <row r="6368">
      <c r="J6368" t="inlineStr">
        <is>
          <t>A</t>
        </is>
      </c>
      <c r="K6368" t="n">
        <v>2026</v>
      </c>
      <c r="L6368" t="n">
        <v>4</v>
      </c>
      <c r="M6368" t="inlineStr">
        <is>
          <t>Muçarela Mozzalet 2 kg</t>
        </is>
      </c>
      <c r="N6368" t="inlineStr">
        <is>
          <t>Outros</t>
        </is>
      </c>
      <c r="O6368" t="n">
        <v>1</v>
      </c>
      <c r="P6368" t="n">
        <v>1</v>
      </c>
      <c r="Q6368" t="n">
        <v>0</v>
      </c>
    </row>
    <row r="6369">
      <c r="J6369" t="inlineStr">
        <is>
          <t>A</t>
        </is>
      </c>
      <c r="K6369" t="n">
        <v>2026</v>
      </c>
      <c r="L6369" t="n">
        <v>5</v>
      </c>
      <c r="M6369" t="inlineStr">
        <is>
          <t>Muçarela Mozzalet 2 kg</t>
        </is>
      </c>
      <c r="N6369" t="inlineStr">
        <is>
          <t>Outros</t>
        </is>
      </c>
      <c r="O6369" t="n">
        <v>1</v>
      </c>
      <c r="P6369" t="n">
        <v>1</v>
      </c>
      <c r="Q6369" t="n">
        <v>0</v>
      </c>
    </row>
    <row r="6370">
      <c r="J6370" t="inlineStr">
        <is>
          <t>A</t>
        </is>
      </c>
      <c r="K6370" t="n">
        <v>2026</v>
      </c>
      <c r="L6370" t="n">
        <v>6</v>
      </c>
      <c r="M6370" t="inlineStr">
        <is>
          <t>Muçarela Mozzalet 2 kg</t>
        </is>
      </c>
      <c r="N6370" t="inlineStr">
        <is>
          <t>Outros</t>
        </is>
      </c>
      <c r="O6370" t="n">
        <v>1</v>
      </c>
      <c r="P6370" t="n">
        <v>1</v>
      </c>
      <c r="Q6370" t="n">
        <v>0</v>
      </c>
    </row>
    <row r="6371">
      <c r="J6371" t="inlineStr">
        <is>
          <t>A</t>
        </is>
      </c>
      <c r="K6371" t="n">
        <v>2026</v>
      </c>
      <c r="L6371" t="n">
        <v>7</v>
      </c>
      <c r="M6371" t="inlineStr">
        <is>
          <t>Muçarela Mozzalet 2 kg</t>
        </is>
      </c>
      <c r="N6371" t="inlineStr">
        <is>
          <t>Outros</t>
        </is>
      </c>
      <c r="O6371" t="n">
        <v>1</v>
      </c>
      <c r="P6371" t="n">
        <v>1</v>
      </c>
      <c r="Q6371" t="n">
        <v>0</v>
      </c>
    </row>
    <row r="6372">
      <c r="J6372" t="inlineStr">
        <is>
          <t>A</t>
        </is>
      </c>
      <c r="K6372" t="n">
        <v>2026</v>
      </c>
      <c r="L6372" t="n">
        <v>8</v>
      </c>
      <c r="M6372" t="inlineStr">
        <is>
          <t>Muçarela Mozzalet 2 kg</t>
        </is>
      </c>
      <c r="N6372" t="inlineStr">
        <is>
          <t>Outros</t>
        </is>
      </c>
      <c r="O6372" t="n">
        <v>1</v>
      </c>
      <c r="P6372" t="n">
        <v>1</v>
      </c>
      <c r="Q6372" t="n">
        <v>0</v>
      </c>
    </row>
    <row r="6373">
      <c r="J6373" t="inlineStr">
        <is>
          <t>A</t>
        </is>
      </c>
      <c r="K6373" t="n">
        <v>2026</v>
      </c>
      <c r="L6373" t="n">
        <v>9</v>
      </c>
      <c r="M6373" t="inlineStr">
        <is>
          <t>Muçarela Mozzalet 2 kg</t>
        </is>
      </c>
      <c r="N6373" t="inlineStr">
        <is>
          <t>Outros</t>
        </is>
      </c>
      <c r="O6373" t="n">
        <v>1</v>
      </c>
      <c r="P6373" t="n">
        <v>1</v>
      </c>
      <c r="Q6373" t="n">
        <v>0</v>
      </c>
    </row>
    <row r="6374">
      <c r="J6374" t="inlineStr">
        <is>
          <t>A</t>
        </is>
      </c>
      <c r="K6374" t="n">
        <v>2026</v>
      </c>
      <c r="L6374" t="n">
        <v>10</v>
      </c>
      <c r="M6374" t="inlineStr">
        <is>
          <t>Muçarela Mozzalet 2 kg</t>
        </is>
      </c>
      <c r="N6374" t="inlineStr">
        <is>
          <t>Outros</t>
        </is>
      </c>
      <c r="O6374" t="n">
        <v>1</v>
      </c>
      <c r="P6374" t="n">
        <v>1</v>
      </c>
      <c r="Q6374" t="n">
        <v>0</v>
      </c>
    </row>
    <row r="6375">
      <c r="J6375" t="inlineStr">
        <is>
          <t>A</t>
        </is>
      </c>
      <c r="K6375" t="n">
        <v>2026</v>
      </c>
      <c r="L6375" t="n">
        <v>11</v>
      </c>
      <c r="M6375" t="inlineStr">
        <is>
          <t>Muçarela Mozzalet 2 kg</t>
        </is>
      </c>
      <c r="N6375" t="inlineStr">
        <is>
          <t>Outros</t>
        </is>
      </c>
      <c r="O6375" t="n">
        <v>1</v>
      </c>
      <c r="P6375" t="n">
        <v>1</v>
      </c>
      <c r="Q6375" t="n">
        <v>0</v>
      </c>
    </row>
    <row r="6376">
      <c r="J6376" t="inlineStr">
        <is>
          <t>A</t>
        </is>
      </c>
      <c r="K6376" t="n">
        <v>2026</v>
      </c>
      <c r="L6376" t="n">
        <v>12</v>
      </c>
      <c r="M6376" t="inlineStr">
        <is>
          <t>Muçarela Mozzalet 2 kg</t>
        </is>
      </c>
      <c r="N6376" t="inlineStr">
        <is>
          <t>Outros</t>
        </is>
      </c>
      <c r="O6376" t="n">
        <v>1</v>
      </c>
      <c r="P6376" t="n">
        <v>1</v>
      </c>
      <c r="Q6376" t="n">
        <v>0</v>
      </c>
    </row>
    <row r="6377">
      <c r="J6377" t="inlineStr">
        <is>
          <t>A</t>
        </is>
      </c>
      <c r="K6377" t="n">
        <v>2026</v>
      </c>
      <c r="L6377" t="n">
        <v>1</v>
      </c>
      <c r="M6377" t="inlineStr">
        <is>
          <t>Muçarela Mozzalet 2 kg</t>
        </is>
      </c>
      <c r="N6377" t="inlineStr">
        <is>
          <t>Pessoa Física</t>
        </is>
      </c>
      <c r="O6377" t="n">
        <v>1</v>
      </c>
      <c r="P6377" t="n">
        <v>1</v>
      </c>
      <c r="Q6377" t="n">
        <v>0</v>
      </c>
    </row>
    <row r="6378">
      <c r="J6378" t="inlineStr">
        <is>
          <t>M</t>
        </is>
      </c>
      <c r="K6378" t="n">
        <v>2026</v>
      </c>
      <c r="L6378" t="n">
        <v>1</v>
      </c>
      <c r="M6378" t="inlineStr">
        <is>
          <t>Muçarela Mozzalet 2 kg</t>
        </is>
      </c>
      <c r="N6378" t="inlineStr">
        <is>
          <t>Pessoa Física</t>
        </is>
      </c>
      <c r="O6378" t="n">
        <v>1</v>
      </c>
      <c r="P6378" t="n">
        <v>1</v>
      </c>
      <c r="Q6378" t="n">
        <v>0</v>
      </c>
    </row>
    <row r="6379">
      <c r="J6379" t="inlineStr">
        <is>
          <t>A</t>
        </is>
      </c>
      <c r="K6379" t="n">
        <v>2026</v>
      </c>
      <c r="L6379" t="n">
        <v>2</v>
      </c>
      <c r="M6379" t="inlineStr">
        <is>
          <t>Muçarela Mozzalet 2 kg</t>
        </is>
      </c>
      <c r="N6379" t="inlineStr">
        <is>
          <t>Pessoa Física</t>
        </is>
      </c>
      <c r="O6379" t="n">
        <v>1</v>
      </c>
      <c r="P6379" t="n">
        <v>1</v>
      </c>
      <c r="Q6379" t="n">
        <v>0</v>
      </c>
    </row>
    <row r="6380">
      <c r="J6380" t="inlineStr">
        <is>
          <t>A</t>
        </is>
      </c>
      <c r="K6380" t="n">
        <v>2026</v>
      </c>
      <c r="L6380" t="n">
        <v>3</v>
      </c>
      <c r="M6380" t="inlineStr">
        <is>
          <t>Muçarela Mozzalet 2 kg</t>
        </is>
      </c>
      <c r="N6380" t="inlineStr">
        <is>
          <t>Pessoa Física</t>
        </is>
      </c>
      <c r="O6380" t="n">
        <v>2</v>
      </c>
      <c r="P6380" t="n">
        <v>2</v>
      </c>
      <c r="Q6380" t="n">
        <v>0</v>
      </c>
    </row>
    <row r="6381">
      <c r="J6381" t="inlineStr">
        <is>
          <t>M</t>
        </is>
      </c>
      <c r="K6381" t="n">
        <v>2026</v>
      </c>
      <c r="L6381" t="n">
        <v>3</v>
      </c>
      <c r="M6381" t="inlineStr">
        <is>
          <t>Muçarela Mozzalet 2 kg</t>
        </is>
      </c>
      <c r="N6381" t="inlineStr">
        <is>
          <t>Pessoa Física</t>
        </is>
      </c>
      <c r="O6381" t="n">
        <v>1</v>
      </c>
      <c r="P6381" t="n">
        <v>1</v>
      </c>
      <c r="Q6381" t="n">
        <v>0</v>
      </c>
    </row>
    <row r="6382">
      <c r="J6382" t="inlineStr">
        <is>
          <t>A</t>
        </is>
      </c>
      <c r="K6382" t="n">
        <v>2026</v>
      </c>
      <c r="L6382" t="n">
        <v>4</v>
      </c>
      <c r="M6382" t="inlineStr">
        <is>
          <t>Muçarela Mozzalet 2 kg</t>
        </is>
      </c>
      <c r="N6382" t="inlineStr">
        <is>
          <t>Pessoa Física</t>
        </is>
      </c>
      <c r="O6382" t="n">
        <v>2</v>
      </c>
      <c r="P6382" t="n">
        <v>2</v>
      </c>
      <c r="Q6382" t="n">
        <v>0</v>
      </c>
    </row>
    <row r="6383">
      <c r="J6383" t="inlineStr">
        <is>
          <t>A</t>
        </is>
      </c>
      <c r="K6383" t="n">
        <v>2026</v>
      </c>
      <c r="L6383" t="n">
        <v>5</v>
      </c>
      <c r="M6383" t="inlineStr">
        <is>
          <t>Muçarela Mozzalet 2 kg</t>
        </is>
      </c>
      <c r="N6383" t="inlineStr">
        <is>
          <t>Pessoa Física</t>
        </is>
      </c>
      <c r="O6383" t="n">
        <v>2</v>
      </c>
      <c r="P6383" t="n">
        <v>4</v>
      </c>
      <c r="Q6383" t="n">
        <v>0</v>
      </c>
    </row>
    <row r="6384">
      <c r="J6384" t="inlineStr">
        <is>
          <t>M</t>
        </is>
      </c>
      <c r="K6384" t="n">
        <v>2026</v>
      </c>
      <c r="L6384" t="n">
        <v>5</v>
      </c>
      <c r="M6384" t="inlineStr">
        <is>
          <t>Muçarela Mozzalet 2 kg</t>
        </is>
      </c>
      <c r="N6384" t="inlineStr">
        <is>
          <t>Pessoa Física</t>
        </is>
      </c>
      <c r="O6384" t="n">
        <v>2</v>
      </c>
      <c r="P6384" t="n">
        <v>2</v>
      </c>
      <c r="Q6384" t="n">
        <v>0</v>
      </c>
    </row>
    <row r="6385">
      <c r="J6385" t="inlineStr">
        <is>
          <t>A</t>
        </is>
      </c>
      <c r="K6385" t="n">
        <v>2026</v>
      </c>
      <c r="L6385" t="n">
        <v>6</v>
      </c>
      <c r="M6385" t="inlineStr">
        <is>
          <t>Muçarela Mozzalet 2 kg</t>
        </is>
      </c>
      <c r="N6385" t="inlineStr">
        <is>
          <t>Pessoa Física</t>
        </is>
      </c>
      <c r="O6385" t="n">
        <v>2</v>
      </c>
      <c r="P6385" t="n">
        <v>5</v>
      </c>
      <c r="Q6385" t="n">
        <v>0</v>
      </c>
    </row>
    <row r="6386">
      <c r="J6386" t="inlineStr">
        <is>
          <t>M</t>
        </is>
      </c>
      <c r="K6386" t="n">
        <v>2026</v>
      </c>
      <c r="L6386" t="n">
        <v>6</v>
      </c>
      <c r="M6386" t="inlineStr">
        <is>
          <t>Muçarela Mozzalet 2 kg</t>
        </is>
      </c>
      <c r="N6386" t="inlineStr">
        <is>
          <t>Pessoa Física</t>
        </is>
      </c>
      <c r="O6386" t="n">
        <v>1</v>
      </c>
      <c r="P6386" t="n">
        <v>1</v>
      </c>
      <c r="Q6386" t="n">
        <v>0</v>
      </c>
    </row>
    <row r="6387">
      <c r="J6387" t="inlineStr">
        <is>
          <t>A</t>
        </is>
      </c>
      <c r="K6387" t="n">
        <v>2026</v>
      </c>
      <c r="L6387" t="n">
        <v>7</v>
      </c>
      <c r="M6387" t="inlineStr">
        <is>
          <t>Muçarela Mozzalet 2 kg</t>
        </is>
      </c>
      <c r="N6387" t="inlineStr">
        <is>
          <t>Pessoa Física</t>
        </is>
      </c>
      <c r="O6387" t="n">
        <v>2</v>
      </c>
      <c r="P6387" t="n">
        <v>5</v>
      </c>
      <c r="Q6387" t="n">
        <v>0</v>
      </c>
    </row>
    <row r="6388">
      <c r="J6388" t="inlineStr">
        <is>
          <t>A</t>
        </is>
      </c>
      <c r="K6388" t="n">
        <v>2026</v>
      </c>
      <c r="L6388" t="n">
        <v>8</v>
      </c>
      <c r="M6388" t="inlineStr">
        <is>
          <t>Muçarela Mozzalet 2 kg</t>
        </is>
      </c>
      <c r="N6388" t="inlineStr">
        <is>
          <t>Pessoa Física</t>
        </is>
      </c>
      <c r="O6388" t="n">
        <v>3</v>
      </c>
      <c r="P6388" t="n">
        <v>7</v>
      </c>
      <c r="Q6388" t="n">
        <v>1</v>
      </c>
    </row>
    <row r="6389">
      <c r="J6389" t="inlineStr">
        <is>
          <t>M</t>
        </is>
      </c>
      <c r="K6389" t="n">
        <v>2026</v>
      </c>
      <c r="L6389" t="n">
        <v>8</v>
      </c>
      <c r="M6389" t="inlineStr">
        <is>
          <t>Muçarela Mozzalet 2 kg</t>
        </is>
      </c>
      <c r="N6389" t="inlineStr">
        <is>
          <t>Pessoa Física</t>
        </is>
      </c>
      <c r="O6389" t="n">
        <v>2</v>
      </c>
      <c r="P6389" t="n">
        <v>2</v>
      </c>
      <c r="Q6389" t="n">
        <v>0</v>
      </c>
    </row>
    <row r="6390">
      <c r="J6390" t="inlineStr">
        <is>
          <t>A</t>
        </is>
      </c>
      <c r="K6390" t="n">
        <v>2026</v>
      </c>
      <c r="L6390" t="n">
        <v>9</v>
      </c>
      <c r="M6390" t="inlineStr">
        <is>
          <t>Muçarela Mozzalet 2 kg</t>
        </is>
      </c>
      <c r="N6390" t="inlineStr">
        <is>
          <t>Pessoa Física</t>
        </is>
      </c>
      <c r="O6390" t="n">
        <v>3</v>
      </c>
      <c r="P6390" t="n">
        <v>7</v>
      </c>
      <c r="Q6390" t="n">
        <v>1</v>
      </c>
    </row>
    <row r="6391">
      <c r="J6391" t="inlineStr">
        <is>
          <t>A</t>
        </is>
      </c>
      <c r="K6391" t="n">
        <v>2026</v>
      </c>
      <c r="L6391" t="n">
        <v>10</v>
      </c>
      <c r="M6391" t="inlineStr">
        <is>
          <t>Muçarela Mozzalet 2 kg</t>
        </is>
      </c>
      <c r="N6391" t="inlineStr">
        <is>
          <t>Pessoa Física</t>
        </is>
      </c>
      <c r="O6391" t="n">
        <v>3</v>
      </c>
      <c r="P6391" t="n">
        <v>7</v>
      </c>
      <c r="Q6391" t="n">
        <v>1</v>
      </c>
    </row>
    <row r="6392">
      <c r="J6392" t="inlineStr">
        <is>
          <t>A</t>
        </is>
      </c>
      <c r="K6392" t="n">
        <v>2026</v>
      </c>
      <c r="L6392" t="n">
        <v>11</v>
      </c>
      <c r="M6392" t="inlineStr">
        <is>
          <t>Muçarela Mozzalet 2 kg</t>
        </is>
      </c>
      <c r="N6392" t="inlineStr">
        <is>
          <t>Pessoa Física</t>
        </is>
      </c>
      <c r="O6392" t="n">
        <v>3</v>
      </c>
      <c r="P6392" t="n">
        <v>7</v>
      </c>
      <c r="Q6392" t="n">
        <v>1</v>
      </c>
    </row>
    <row r="6393">
      <c r="J6393" t="inlineStr">
        <is>
          <t>A</t>
        </is>
      </c>
      <c r="K6393" t="n">
        <v>2026</v>
      </c>
      <c r="L6393" t="n">
        <v>12</v>
      </c>
      <c r="M6393" t="inlineStr">
        <is>
          <t>Muçarela Mozzalet 2 kg</t>
        </is>
      </c>
      <c r="N6393" t="inlineStr">
        <is>
          <t>Pessoa Física</t>
        </is>
      </c>
      <c r="O6393" t="n">
        <v>3</v>
      </c>
      <c r="P6393" t="n">
        <v>7</v>
      </c>
      <c r="Q6393" t="n">
        <v>1</v>
      </c>
    </row>
    <row r="6394">
      <c r="J6394" t="inlineStr">
        <is>
          <t>A</t>
        </is>
      </c>
      <c r="K6394" t="n">
        <v>2026</v>
      </c>
      <c r="L6394" t="n">
        <v>1</v>
      </c>
      <c r="M6394" t="inlineStr">
        <is>
          <t>Muçarela Mozzalet 2 kg</t>
        </is>
      </c>
      <c r="N6394" t="inlineStr">
        <is>
          <t>Lanchonete / Cafeteria</t>
        </is>
      </c>
      <c r="O6394" t="n">
        <v>1</v>
      </c>
      <c r="P6394" t="n">
        <v>1</v>
      </c>
      <c r="Q6394" t="n">
        <v>0</v>
      </c>
    </row>
    <row r="6395">
      <c r="J6395" t="inlineStr">
        <is>
          <t>M</t>
        </is>
      </c>
      <c r="K6395" t="n">
        <v>2026</v>
      </c>
      <c r="L6395" t="n">
        <v>1</v>
      </c>
      <c r="M6395" t="inlineStr">
        <is>
          <t>Muçarela Mozzalet 2 kg</t>
        </is>
      </c>
      <c r="N6395" t="inlineStr">
        <is>
          <t>Lanchonete / Cafeteria</t>
        </is>
      </c>
      <c r="O6395" t="n">
        <v>1</v>
      </c>
      <c r="P6395" t="n">
        <v>1</v>
      </c>
      <c r="Q6395" t="n">
        <v>0</v>
      </c>
    </row>
    <row r="6396">
      <c r="J6396" t="inlineStr">
        <is>
          <t>A</t>
        </is>
      </c>
      <c r="K6396" t="n">
        <v>2026</v>
      </c>
      <c r="L6396" t="n">
        <v>2</v>
      </c>
      <c r="M6396" t="inlineStr">
        <is>
          <t>Muçarela Mozzalet 2 kg</t>
        </is>
      </c>
      <c r="N6396" t="inlineStr">
        <is>
          <t>Lanchonete / Cafeteria</t>
        </is>
      </c>
      <c r="O6396" t="n">
        <v>2</v>
      </c>
      <c r="P6396" t="n">
        <v>3</v>
      </c>
      <c r="Q6396" t="n">
        <v>0</v>
      </c>
    </row>
    <row r="6397">
      <c r="J6397" t="inlineStr">
        <is>
          <t>M</t>
        </is>
      </c>
      <c r="K6397" t="n">
        <v>2026</v>
      </c>
      <c r="L6397" t="n">
        <v>2</v>
      </c>
      <c r="M6397" t="inlineStr">
        <is>
          <t>Muçarela Mozzalet 2 kg</t>
        </is>
      </c>
      <c r="N6397" t="inlineStr">
        <is>
          <t>Lanchonete / Cafeteria</t>
        </is>
      </c>
      <c r="O6397" t="n">
        <v>1</v>
      </c>
      <c r="P6397" t="n">
        <v>2</v>
      </c>
      <c r="Q6397" t="n">
        <v>0</v>
      </c>
    </row>
    <row r="6398">
      <c r="J6398" t="inlineStr">
        <is>
          <t>A</t>
        </is>
      </c>
      <c r="K6398" t="n">
        <v>2026</v>
      </c>
      <c r="L6398" t="n">
        <v>3</v>
      </c>
      <c r="M6398" t="inlineStr">
        <is>
          <t>Muçarela Mozzalet 2 kg</t>
        </is>
      </c>
      <c r="N6398" t="inlineStr">
        <is>
          <t>Lanchonete / Cafeteria</t>
        </is>
      </c>
      <c r="O6398" t="n">
        <v>2</v>
      </c>
      <c r="P6398" t="n">
        <v>5</v>
      </c>
      <c r="Q6398" t="n">
        <v>0</v>
      </c>
    </row>
    <row r="6399">
      <c r="J6399" t="inlineStr">
        <is>
          <t>M</t>
        </is>
      </c>
      <c r="K6399" t="n">
        <v>2026</v>
      </c>
      <c r="L6399" t="n">
        <v>3</v>
      </c>
      <c r="M6399" t="inlineStr">
        <is>
          <t>Muçarela Mozzalet 2 kg</t>
        </is>
      </c>
      <c r="N6399" t="inlineStr">
        <is>
          <t>Lanchonete / Cafeteria</t>
        </is>
      </c>
      <c r="O6399" t="n">
        <v>1</v>
      </c>
      <c r="P6399" t="n">
        <v>2</v>
      </c>
      <c r="Q6399" t="n">
        <v>0</v>
      </c>
    </row>
    <row r="6400">
      <c r="J6400" t="inlineStr">
        <is>
          <t>A</t>
        </is>
      </c>
      <c r="K6400" t="n">
        <v>2026</v>
      </c>
      <c r="L6400" t="n">
        <v>4</v>
      </c>
      <c r="M6400" t="inlineStr">
        <is>
          <t>Muçarela Mozzalet 2 kg</t>
        </is>
      </c>
      <c r="N6400" t="inlineStr">
        <is>
          <t>Lanchonete / Cafeteria</t>
        </is>
      </c>
      <c r="O6400" t="n">
        <v>2</v>
      </c>
      <c r="P6400" t="n">
        <v>6</v>
      </c>
      <c r="Q6400" t="n">
        <v>0</v>
      </c>
    </row>
    <row r="6401">
      <c r="J6401" t="inlineStr">
        <is>
          <t>M</t>
        </is>
      </c>
      <c r="K6401" t="n">
        <v>2026</v>
      </c>
      <c r="L6401" t="n">
        <v>4</v>
      </c>
      <c r="M6401" t="inlineStr">
        <is>
          <t>Muçarela Mozzalet 2 kg</t>
        </is>
      </c>
      <c r="N6401" t="inlineStr">
        <is>
          <t>Lanchonete / Cafeteria</t>
        </is>
      </c>
      <c r="O6401" t="n">
        <v>1</v>
      </c>
      <c r="P6401" t="n">
        <v>1</v>
      </c>
      <c r="Q6401" t="n">
        <v>0</v>
      </c>
    </row>
    <row r="6402">
      <c r="J6402" t="inlineStr">
        <is>
          <t>A</t>
        </is>
      </c>
      <c r="K6402" t="n">
        <v>2026</v>
      </c>
      <c r="L6402" t="n">
        <v>5</v>
      </c>
      <c r="M6402" t="inlineStr">
        <is>
          <t>Muçarela Mozzalet 2 kg</t>
        </is>
      </c>
      <c r="N6402" t="inlineStr">
        <is>
          <t>Lanchonete / Cafeteria</t>
        </is>
      </c>
      <c r="O6402" t="n">
        <v>2</v>
      </c>
      <c r="P6402" t="n">
        <v>6</v>
      </c>
      <c r="Q6402" t="n">
        <v>0</v>
      </c>
    </row>
    <row r="6403">
      <c r="J6403" t="inlineStr">
        <is>
          <t>A</t>
        </is>
      </c>
      <c r="K6403" t="n">
        <v>2026</v>
      </c>
      <c r="L6403" t="n">
        <v>6</v>
      </c>
      <c r="M6403" t="inlineStr">
        <is>
          <t>Muçarela Mozzalet 2 kg</t>
        </is>
      </c>
      <c r="N6403" t="inlineStr">
        <is>
          <t>Lanchonete / Cafeteria</t>
        </is>
      </c>
      <c r="O6403" t="n">
        <v>2</v>
      </c>
      <c r="P6403" t="n">
        <v>6</v>
      </c>
      <c r="Q6403" t="n">
        <v>0</v>
      </c>
    </row>
    <row r="6404">
      <c r="J6404" t="inlineStr">
        <is>
          <t>A</t>
        </is>
      </c>
      <c r="K6404" t="n">
        <v>2026</v>
      </c>
      <c r="L6404" t="n">
        <v>7</v>
      </c>
      <c r="M6404" t="inlineStr">
        <is>
          <t>Muçarela Mozzalet 2 kg</t>
        </is>
      </c>
      <c r="N6404" t="inlineStr">
        <is>
          <t>Lanchonete / Cafeteria</t>
        </is>
      </c>
      <c r="O6404" t="n">
        <v>2</v>
      </c>
      <c r="P6404" t="n">
        <v>6</v>
      </c>
      <c r="Q6404" t="n">
        <v>0</v>
      </c>
    </row>
    <row r="6405">
      <c r="J6405" t="inlineStr">
        <is>
          <t>A</t>
        </is>
      </c>
      <c r="K6405" t="n">
        <v>2026</v>
      </c>
      <c r="L6405" t="n">
        <v>8</v>
      </c>
      <c r="M6405" t="inlineStr">
        <is>
          <t>Muçarela Mozzalet 2 kg</t>
        </is>
      </c>
      <c r="N6405" t="inlineStr">
        <is>
          <t>Lanchonete / Cafeteria</t>
        </is>
      </c>
      <c r="O6405" t="n">
        <v>3</v>
      </c>
      <c r="P6405" t="n">
        <v>7</v>
      </c>
      <c r="Q6405" t="n">
        <v>1</v>
      </c>
    </row>
    <row r="6406">
      <c r="J6406" t="inlineStr">
        <is>
          <t>M</t>
        </is>
      </c>
      <c r="K6406" t="n">
        <v>2026</v>
      </c>
      <c r="L6406" t="n">
        <v>8</v>
      </c>
      <c r="M6406" t="inlineStr">
        <is>
          <t>Muçarela Mozzalet 2 kg</t>
        </is>
      </c>
      <c r="N6406" t="inlineStr">
        <is>
          <t>Lanchonete / Cafeteria</t>
        </is>
      </c>
      <c r="O6406" t="n">
        <v>1</v>
      </c>
      <c r="P6406" t="n">
        <v>1</v>
      </c>
      <c r="Q6406" t="n">
        <v>0</v>
      </c>
    </row>
    <row r="6407">
      <c r="J6407" t="inlineStr">
        <is>
          <t>A</t>
        </is>
      </c>
      <c r="K6407" t="n">
        <v>2026</v>
      </c>
      <c r="L6407" t="n">
        <v>9</v>
      </c>
      <c r="M6407" t="inlineStr">
        <is>
          <t>Muçarela Mozzalet 2 kg</t>
        </is>
      </c>
      <c r="N6407" t="inlineStr">
        <is>
          <t>Lanchonete / Cafeteria</t>
        </is>
      </c>
      <c r="O6407" t="n">
        <v>3</v>
      </c>
      <c r="P6407" t="n">
        <v>7</v>
      </c>
      <c r="Q6407" t="n">
        <v>1</v>
      </c>
    </row>
    <row r="6408">
      <c r="J6408" t="inlineStr">
        <is>
          <t>A</t>
        </is>
      </c>
      <c r="K6408" t="n">
        <v>2026</v>
      </c>
      <c r="L6408" t="n">
        <v>10</v>
      </c>
      <c r="M6408" t="inlineStr">
        <is>
          <t>Muçarela Mozzalet 2 kg</t>
        </is>
      </c>
      <c r="N6408" t="inlineStr">
        <is>
          <t>Lanchonete / Cafeteria</t>
        </is>
      </c>
      <c r="O6408" t="n">
        <v>3</v>
      </c>
      <c r="P6408" t="n">
        <v>7</v>
      </c>
      <c r="Q6408" t="n">
        <v>1</v>
      </c>
    </row>
    <row r="6409">
      <c r="J6409" t="inlineStr">
        <is>
          <t>A</t>
        </is>
      </c>
      <c r="K6409" t="n">
        <v>2026</v>
      </c>
      <c r="L6409" t="n">
        <v>11</v>
      </c>
      <c r="M6409" t="inlineStr">
        <is>
          <t>Muçarela Mozzalet 2 kg</t>
        </is>
      </c>
      <c r="N6409" t="inlineStr">
        <is>
          <t>Lanchonete / Cafeteria</t>
        </is>
      </c>
      <c r="O6409" t="n">
        <v>3</v>
      </c>
      <c r="P6409" t="n">
        <v>7</v>
      </c>
      <c r="Q6409" t="n">
        <v>1</v>
      </c>
    </row>
    <row r="6410">
      <c r="J6410" t="inlineStr">
        <is>
          <t>A</t>
        </is>
      </c>
      <c r="K6410" t="n">
        <v>2026</v>
      </c>
      <c r="L6410" t="n">
        <v>12</v>
      </c>
      <c r="M6410" t="inlineStr">
        <is>
          <t>Muçarela Mozzalet 2 kg</t>
        </is>
      </c>
      <c r="N6410" t="inlineStr">
        <is>
          <t>Lanchonete / Cafeteria</t>
        </is>
      </c>
      <c r="O6410" t="n">
        <v>3</v>
      </c>
      <c r="P6410" t="n">
        <v>7</v>
      </c>
      <c r="Q6410" t="n">
        <v>1</v>
      </c>
    </row>
    <row r="6411">
      <c r="J6411" t="inlineStr">
        <is>
          <t>A</t>
        </is>
      </c>
      <c r="K6411" t="n">
        <v>2026</v>
      </c>
      <c r="L6411" t="n">
        <v>1</v>
      </c>
      <c r="M6411" t="inlineStr">
        <is>
          <t>Muçarela Mozzalet 2 kg</t>
        </is>
      </c>
      <c r="N6411" t="inlineStr">
        <is>
          <t>Padaria</t>
        </is>
      </c>
      <c r="O6411" t="n">
        <v>1</v>
      </c>
      <c r="P6411" t="n">
        <v>1</v>
      </c>
      <c r="Q6411" t="n">
        <v>0</v>
      </c>
    </row>
    <row r="6412">
      <c r="J6412" t="inlineStr">
        <is>
          <t>M</t>
        </is>
      </c>
      <c r="K6412" t="n">
        <v>2026</v>
      </c>
      <c r="L6412" t="n">
        <v>1</v>
      </c>
      <c r="M6412" t="inlineStr">
        <is>
          <t>Muçarela Mozzalet 2 kg</t>
        </is>
      </c>
      <c r="N6412" t="inlineStr">
        <is>
          <t>Padaria</t>
        </is>
      </c>
      <c r="O6412" t="n">
        <v>1</v>
      </c>
      <c r="P6412" t="n">
        <v>1</v>
      </c>
      <c r="Q6412" t="n">
        <v>0</v>
      </c>
    </row>
    <row r="6413">
      <c r="J6413" t="inlineStr">
        <is>
          <t>A</t>
        </is>
      </c>
      <c r="K6413" t="n">
        <v>2026</v>
      </c>
      <c r="L6413" t="n">
        <v>2</v>
      </c>
      <c r="M6413" t="inlineStr">
        <is>
          <t>Muçarela Mozzalet 2 kg</t>
        </is>
      </c>
      <c r="N6413" t="inlineStr">
        <is>
          <t>Padaria</t>
        </is>
      </c>
      <c r="O6413" t="n">
        <v>1</v>
      </c>
      <c r="P6413" t="n">
        <v>1</v>
      </c>
      <c r="Q6413" t="n">
        <v>0</v>
      </c>
    </row>
    <row r="6414">
      <c r="J6414" t="inlineStr">
        <is>
          <t>A</t>
        </is>
      </c>
      <c r="K6414" t="n">
        <v>2026</v>
      </c>
      <c r="L6414" t="n">
        <v>3</v>
      </c>
      <c r="M6414" t="inlineStr">
        <is>
          <t>Muçarela Mozzalet 2 kg</t>
        </is>
      </c>
      <c r="N6414" t="inlineStr">
        <is>
          <t>Padaria</t>
        </is>
      </c>
      <c r="O6414" t="n">
        <v>2</v>
      </c>
      <c r="P6414" t="n">
        <v>2</v>
      </c>
      <c r="Q6414" t="n">
        <v>0</v>
      </c>
    </row>
    <row r="6415">
      <c r="J6415" t="inlineStr">
        <is>
          <t>M</t>
        </is>
      </c>
      <c r="K6415" t="n">
        <v>2026</v>
      </c>
      <c r="L6415" t="n">
        <v>3</v>
      </c>
      <c r="M6415" t="inlineStr">
        <is>
          <t>Muçarela Mozzalet 2 kg</t>
        </is>
      </c>
      <c r="N6415" t="inlineStr">
        <is>
          <t>Padaria</t>
        </is>
      </c>
      <c r="O6415" t="n">
        <v>1</v>
      </c>
      <c r="P6415" t="n">
        <v>1</v>
      </c>
      <c r="Q6415" t="n">
        <v>0</v>
      </c>
    </row>
    <row r="6416">
      <c r="J6416" t="inlineStr">
        <is>
          <t>A</t>
        </is>
      </c>
      <c r="K6416" t="n">
        <v>2026</v>
      </c>
      <c r="L6416" t="n">
        <v>4</v>
      </c>
      <c r="M6416" t="inlineStr">
        <is>
          <t>Muçarela Mozzalet 2 kg</t>
        </is>
      </c>
      <c r="N6416" t="inlineStr">
        <is>
          <t>Padaria</t>
        </is>
      </c>
      <c r="O6416" t="n">
        <v>2</v>
      </c>
      <c r="P6416" t="n">
        <v>3</v>
      </c>
      <c r="Q6416" t="n">
        <v>0</v>
      </c>
    </row>
    <row r="6417">
      <c r="J6417" t="inlineStr">
        <is>
          <t>M</t>
        </is>
      </c>
      <c r="K6417" t="n">
        <v>2026</v>
      </c>
      <c r="L6417" t="n">
        <v>4</v>
      </c>
      <c r="M6417" t="inlineStr">
        <is>
          <t>Muçarela Mozzalet 2 kg</t>
        </is>
      </c>
      <c r="N6417" t="inlineStr">
        <is>
          <t>Padaria</t>
        </is>
      </c>
      <c r="O6417" t="n">
        <v>1</v>
      </c>
      <c r="P6417" t="n">
        <v>1</v>
      </c>
      <c r="Q6417" t="n">
        <v>0</v>
      </c>
    </row>
    <row r="6418">
      <c r="J6418" t="inlineStr">
        <is>
          <t>A</t>
        </is>
      </c>
      <c r="K6418" t="n">
        <v>2026</v>
      </c>
      <c r="L6418" t="n">
        <v>5</v>
      </c>
      <c r="M6418" t="inlineStr">
        <is>
          <t>Muçarela Mozzalet 2 kg</t>
        </is>
      </c>
      <c r="N6418" t="inlineStr">
        <is>
          <t>Padaria</t>
        </is>
      </c>
      <c r="O6418" t="n">
        <v>2</v>
      </c>
      <c r="P6418" t="n">
        <v>3</v>
      </c>
      <c r="Q6418" t="n">
        <v>0</v>
      </c>
    </row>
    <row r="6419">
      <c r="J6419" t="inlineStr">
        <is>
          <t>A</t>
        </is>
      </c>
      <c r="K6419" t="n">
        <v>2026</v>
      </c>
      <c r="L6419" t="n">
        <v>6</v>
      </c>
      <c r="M6419" t="inlineStr">
        <is>
          <t>Muçarela Mozzalet 2 kg</t>
        </is>
      </c>
      <c r="N6419" t="inlineStr">
        <is>
          <t>Padaria</t>
        </is>
      </c>
      <c r="O6419" t="n">
        <v>2</v>
      </c>
      <c r="P6419" t="n">
        <v>4</v>
      </c>
      <c r="Q6419" t="n">
        <v>0</v>
      </c>
    </row>
    <row r="6420">
      <c r="J6420" t="inlineStr">
        <is>
          <t>M</t>
        </is>
      </c>
      <c r="K6420" t="n">
        <v>2026</v>
      </c>
      <c r="L6420" t="n">
        <v>6</v>
      </c>
      <c r="M6420" t="inlineStr">
        <is>
          <t>Muçarela Mozzalet 2 kg</t>
        </is>
      </c>
      <c r="N6420" t="inlineStr">
        <is>
          <t>Padaria</t>
        </is>
      </c>
      <c r="O6420" t="n">
        <v>1</v>
      </c>
      <c r="P6420" t="n">
        <v>1</v>
      </c>
      <c r="Q6420" t="n">
        <v>0</v>
      </c>
    </row>
    <row r="6421">
      <c r="J6421" t="inlineStr">
        <is>
          <t>A</t>
        </is>
      </c>
      <c r="K6421" t="n">
        <v>2026</v>
      </c>
      <c r="L6421" t="n">
        <v>7</v>
      </c>
      <c r="M6421" t="inlineStr">
        <is>
          <t>Muçarela Mozzalet 2 kg</t>
        </is>
      </c>
      <c r="N6421" t="inlineStr">
        <is>
          <t>Padaria</t>
        </is>
      </c>
      <c r="O6421" t="n">
        <v>2</v>
      </c>
      <c r="P6421" t="n">
        <v>4</v>
      </c>
      <c r="Q6421" t="n">
        <v>0</v>
      </c>
    </row>
    <row r="6422">
      <c r="J6422" t="inlineStr">
        <is>
          <t>A</t>
        </is>
      </c>
      <c r="K6422" t="n">
        <v>2026</v>
      </c>
      <c r="L6422" t="n">
        <v>8</v>
      </c>
      <c r="M6422" t="inlineStr">
        <is>
          <t>Muçarela Mozzalet 2 kg</t>
        </is>
      </c>
      <c r="N6422" t="inlineStr">
        <is>
          <t>Padaria</t>
        </is>
      </c>
      <c r="O6422" t="n">
        <v>2</v>
      </c>
      <c r="P6422" t="n">
        <v>5</v>
      </c>
      <c r="Q6422" t="n">
        <v>0</v>
      </c>
    </row>
    <row r="6423">
      <c r="J6423" t="inlineStr">
        <is>
          <t>M</t>
        </is>
      </c>
      <c r="K6423" t="n">
        <v>2026</v>
      </c>
      <c r="L6423" t="n">
        <v>8</v>
      </c>
      <c r="M6423" t="inlineStr">
        <is>
          <t>Muçarela Mozzalet 2 kg</t>
        </is>
      </c>
      <c r="N6423" t="inlineStr">
        <is>
          <t>Padaria</t>
        </is>
      </c>
      <c r="O6423" t="n">
        <v>1</v>
      </c>
      <c r="P6423" t="n">
        <v>1</v>
      </c>
      <c r="Q6423" t="n">
        <v>0</v>
      </c>
    </row>
    <row r="6424">
      <c r="J6424" t="inlineStr">
        <is>
          <t>A</t>
        </is>
      </c>
      <c r="K6424" t="n">
        <v>2026</v>
      </c>
      <c r="L6424" t="n">
        <v>9</v>
      </c>
      <c r="M6424" t="inlineStr">
        <is>
          <t>Muçarela Mozzalet 2 kg</t>
        </is>
      </c>
      <c r="N6424" t="inlineStr">
        <is>
          <t>Padaria</t>
        </is>
      </c>
      <c r="O6424" t="n">
        <v>2</v>
      </c>
      <c r="P6424" t="n">
        <v>5</v>
      </c>
      <c r="Q6424" t="n">
        <v>0</v>
      </c>
    </row>
    <row r="6425">
      <c r="J6425" t="inlineStr">
        <is>
          <t>A</t>
        </is>
      </c>
      <c r="K6425" t="n">
        <v>2026</v>
      </c>
      <c r="L6425" t="n">
        <v>10</v>
      </c>
      <c r="M6425" t="inlineStr">
        <is>
          <t>Muçarela Mozzalet 2 kg</t>
        </is>
      </c>
      <c r="N6425" t="inlineStr">
        <is>
          <t>Padaria</t>
        </is>
      </c>
      <c r="O6425" t="n">
        <v>2</v>
      </c>
      <c r="P6425" t="n">
        <v>5</v>
      </c>
      <c r="Q6425" t="n">
        <v>0</v>
      </c>
    </row>
    <row r="6426">
      <c r="J6426" t="inlineStr">
        <is>
          <t>A</t>
        </is>
      </c>
      <c r="K6426" t="n">
        <v>2026</v>
      </c>
      <c r="L6426" t="n">
        <v>11</v>
      </c>
      <c r="M6426" t="inlineStr">
        <is>
          <t>Muçarela Mozzalet 2 kg</t>
        </is>
      </c>
      <c r="N6426" t="inlineStr">
        <is>
          <t>Padaria</t>
        </is>
      </c>
      <c r="O6426" t="n">
        <v>2</v>
      </c>
      <c r="P6426" t="n">
        <v>5</v>
      </c>
      <c r="Q6426" t="n">
        <v>0</v>
      </c>
    </row>
    <row r="6427">
      <c r="J6427" t="inlineStr">
        <is>
          <t>A</t>
        </is>
      </c>
      <c r="K6427" t="n">
        <v>2026</v>
      </c>
      <c r="L6427" t="n">
        <v>12</v>
      </c>
      <c r="M6427" t="inlineStr">
        <is>
          <t>Muçarela Mozzalet 2 kg</t>
        </is>
      </c>
      <c r="N6427" t="inlineStr">
        <is>
          <t>Padaria</t>
        </is>
      </c>
      <c r="O6427" t="n">
        <v>2</v>
      </c>
      <c r="P6427" t="n">
        <v>5</v>
      </c>
      <c r="Q6427" t="n">
        <v>0</v>
      </c>
    </row>
    <row r="6428">
      <c r="J6428" t="inlineStr">
        <is>
          <t>A</t>
        </is>
      </c>
      <c r="K6428" t="n">
        <v>2026</v>
      </c>
      <c r="L6428" t="n">
        <v>1</v>
      </c>
      <c r="M6428" t="inlineStr">
        <is>
          <t>Muçarela Mozzalet 2 kg</t>
        </is>
      </c>
      <c r="N6428" t="inlineStr">
        <is>
          <t>Mercearia / Sacolão</t>
        </is>
      </c>
      <c r="O6428" t="n">
        <v>1</v>
      </c>
      <c r="P6428" t="n">
        <v>1</v>
      </c>
      <c r="Q6428" t="n">
        <v>0</v>
      </c>
    </row>
    <row r="6429">
      <c r="J6429" t="inlineStr">
        <is>
          <t>M</t>
        </is>
      </c>
      <c r="K6429" t="n">
        <v>2026</v>
      </c>
      <c r="L6429" t="n">
        <v>1</v>
      </c>
      <c r="M6429" t="inlineStr">
        <is>
          <t>Muçarela Mozzalet 2 kg</t>
        </is>
      </c>
      <c r="N6429" t="inlineStr">
        <is>
          <t>Mercearia / Sacolão</t>
        </is>
      </c>
      <c r="O6429" t="n">
        <v>1</v>
      </c>
      <c r="P6429" t="n">
        <v>1</v>
      </c>
      <c r="Q6429" t="n">
        <v>0</v>
      </c>
    </row>
    <row r="6430">
      <c r="J6430" t="inlineStr">
        <is>
          <t>A</t>
        </is>
      </c>
      <c r="K6430" t="n">
        <v>2026</v>
      </c>
      <c r="L6430" t="n">
        <v>2</v>
      </c>
      <c r="M6430" t="inlineStr">
        <is>
          <t>Muçarela Mozzalet 2 kg</t>
        </is>
      </c>
      <c r="N6430" t="inlineStr">
        <is>
          <t>Mercearia / Sacolão</t>
        </is>
      </c>
      <c r="O6430" t="n">
        <v>1</v>
      </c>
      <c r="P6430" t="n">
        <v>1</v>
      </c>
      <c r="Q6430" t="n">
        <v>0</v>
      </c>
    </row>
    <row r="6431">
      <c r="J6431" t="inlineStr">
        <is>
          <t>A</t>
        </is>
      </c>
      <c r="K6431" t="n">
        <v>2026</v>
      </c>
      <c r="L6431" t="n">
        <v>3</v>
      </c>
      <c r="M6431" t="inlineStr">
        <is>
          <t>Muçarela Mozzalet 2 kg</t>
        </is>
      </c>
      <c r="N6431" t="inlineStr">
        <is>
          <t>Mercearia / Sacolão</t>
        </is>
      </c>
      <c r="O6431" t="n">
        <v>1</v>
      </c>
      <c r="P6431" t="n">
        <v>1</v>
      </c>
      <c r="Q6431" t="n">
        <v>0</v>
      </c>
    </row>
    <row r="6432">
      <c r="J6432" t="inlineStr">
        <is>
          <t>A</t>
        </is>
      </c>
      <c r="K6432" t="n">
        <v>2026</v>
      </c>
      <c r="L6432" t="n">
        <v>4</v>
      </c>
      <c r="M6432" t="inlineStr">
        <is>
          <t>Muçarela Mozzalet 2 kg</t>
        </is>
      </c>
      <c r="N6432" t="inlineStr">
        <is>
          <t>Mercearia / Sacolão</t>
        </is>
      </c>
      <c r="O6432" t="n">
        <v>1</v>
      </c>
      <c r="P6432" t="n">
        <v>1</v>
      </c>
      <c r="Q6432" t="n">
        <v>0</v>
      </c>
    </row>
    <row r="6433">
      <c r="J6433" t="inlineStr">
        <is>
          <t>A</t>
        </is>
      </c>
      <c r="K6433" t="n">
        <v>2026</v>
      </c>
      <c r="L6433" t="n">
        <v>5</v>
      </c>
      <c r="M6433" t="inlineStr">
        <is>
          <t>Muçarela Mozzalet 2 kg</t>
        </is>
      </c>
      <c r="N6433" t="inlineStr">
        <is>
          <t>Mercearia / Sacolão</t>
        </is>
      </c>
      <c r="O6433" t="n">
        <v>1</v>
      </c>
      <c r="P6433" t="n">
        <v>1</v>
      </c>
      <c r="Q6433" t="n">
        <v>0</v>
      </c>
    </row>
    <row r="6434">
      <c r="J6434" t="inlineStr">
        <is>
          <t>A</t>
        </is>
      </c>
      <c r="K6434" t="n">
        <v>2026</v>
      </c>
      <c r="L6434" t="n">
        <v>6</v>
      </c>
      <c r="M6434" t="inlineStr">
        <is>
          <t>Muçarela Mozzalet 2 kg</t>
        </is>
      </c>
      <c r="N6434" t="inlineStr">
        <is>
          <t>Mercearia / Sacolão</t>
        </is>
      </c>
      <c r="O6434" t="n">
        <v>1</v>
      </c>
      <c r="P6434" t="n">
        <v>1</v>
      </c>
      <c r="Q6434" t="n">
        <v>0</v>
      </c>
    </row>
    <row r="6435">
      <c r="J6435" t="inlineStr">
        <is>
          <t>A</t>
        </is>
      </c>
      <c r="K6435" t="n">
        <v>2026</v>
      </c>
      <c r="L6435" t="n">
        <v>7</v>
      </c>
      <c r="M6435" t="inlineStr">
        <is>
          <t>Muçarela Mozzalet 2 kg</t>
        </is>
      </c>
      <c r="N6435" t="inlineStr">
        <is>
          <t>Mercearia / Sacolão</t>
        </is>
      </c>
      <c r="O6435" t="n">
        <v>1</v>
      </c>
      <c r="P6435" t="n">
        <v>1</v>
      </c>
      <c r="Q6435" t="n">
        <v>0</v>
      </c>
    </row>
    <row r="6436">
      <c r="J6436" t="inlineStr">
        <is>
          <t>A</t>
        </is>
      </c>
      <c r="K6436" t="n">
        <v>2026</v>
      </c>
      <c r="L6436" t="n">
        <v>8</v>
      </c>
      <c r="M6436" t="inlineStr">
        <is>
          <t>Muçarela Mozzalet 2 kg</t>
        </is>
      </c>
      <c r="N6436" t="inlineStr">
        <is>
          <t>Mercearia / Sacolão</t>
        </is>
      </c>
      <c r="O6436" t="n">
        <v>1</v>
      </c>
      <c r="P6436" t="n">
        <v>1</v>
      </c>
      <c r="Q6436" t="n">
        <v>0</v>
      </c>
    </row>
    <row r="6437">
      <c r="J6437" t="inlineStr">
        <is>
          <t>A</t>
        </is>
      </c>
      <c r="K6437" t="n">
        <v>2026</v>
      </c>
      <c r="L6437" t="n">
        <v>9</v>
      </c>
      <c r="M6437" t="inlineStr">
        <is>
          <t>Muçarela Mozzalet 2 kg</t>
        </is>
      </c>
      <c r="N6437" t="inlineStr">
        <is>
          <t>Mercearia / Sacolão</t>
        </is>
      </c>
      <c r="O6437" t="n">
        <v>1</v>
      </c>
      <c r="P6437" t="n">
        <v>1</v>
      </c>
      <c r="Q6437" t="n">
        <v>0</v>
      </c>
    </row>
    <row r="6438">
      <c r="J6438" t="inlineStr">
        <is>
          <t>A</t>
        </is>
      </c>
      <c r="K6438" t="n">
        <v>2026</v>
      </c>
      <c r="L6438" t="n">
        <v>10</v>
      </c>
      <c r="M6438" t="inlineStr">
        <is>
          <t>Muçarela Mozzalet 2 kg</t>
        </is>
      </c>
      <c r="N6438" t="inlineStr">
        <is>
          <t>Mercearia / Sacolão</t>
        </is>
      </c>
      <c r="O6438" t="n">
        <v>1</v>
      </c>
      <c r="P6438" t="n">
        <v>1</v>
      </c>
      <c r="Q6438" t="n">
        <v>0</v>
      </c>
    </row>
    <row r="6439">
      <c r="J6439" t="inlineStr">
        <is>
          <t>A</t>
        </is>
      </c>
      <c r="K6439" t="n">
        <v>2026</v>
      </c>
      <c r="L6439" t="n">
        <v>11</v>
      </c>
      <c r="M6439" t="inlineStr">
        <is>
          <t>Muçarela Mozzalet 2 kg</t>
        </is>
      </c>
      <c r="N6439" t="inlineStr">
        <is>
          <t>Mercearia / Sacolão</t>
        </is>
      </c>
      <c r="O6439" t="n">
        <v>1</v>
      </c>
      <c r="P6439" t="n">
        <v>1</v>
      </c>
      <c r="Q6439" t="n">
        <v>0</v>
      </c>
    </row>
    <row r="6440">
      <c r="J6440" t="inlineStr">
        <is>
          <t>A</t>
        </is>
      </c>
      <c r="K6440" t="n">
        <v>2026</v>
      </c>
      <c r="L6440" t="n">
        <v>12</v>
      </c>
      <c r="M6440" t="inlineStr">
        <is>
          <t>Muçarela Mozzalet 2 kg</t>
        </is>
      </c>
      <c r="N6440" t="inlineStr">
        <is>
          <t>Mercearia / Sacolão</t>
        </is>
      </c>
      <c r="O6440" t="n">
        <v>1</v>
      </c>
      <c r="P6440" t="n">
        <v>1</v>
      </c>
      <c r="Q6440" t="n">
        <v>0</v>
      </c>
    </row>
    <row r="6441">
      <c r="J6441" t="inlineStr">
        <is>
          <t>A</t>
        </is>
      </c>
      <c r="K6441" t="n">
        <v>2026</v>
      </c>
      <c r="L6441" t="n">
        <v>7</v>
      </c>
      <c r="M6441" t="inlineStr">
        <is>
          <t>Muçarela Mozzalet 2 kg</t>
        </is>
      </c>
      <c r="N6441" t="inlineStr">
        <is>
          <t>Hamburgueria</t>
        </is>
      </c>
      <c r="O6441" t="n">
        <v>1</v>
      </c>
      <c r="P6441" t="n">
        <v>1</v>
      </c>
      <c r="Q6441" t="n">
        <v>1</v>
      </c>
    </row>
    <row r="6442">
      <c r="J6442" t="inlineStr">
        <is>
          <t>M</t>
        </is>
      </c>
      <c r="K6442" t="n">
        <v>2026</v>
      </c>
      <c r="L6442" t="n">
        <v>7</v>
      </c>
      <c r="M6442" t="inlineStr">
        <is>
          <t>Muçarela Mozzalet 2 kg</t>
        </is>
      </c>
      <c r="N6442" t="inlineStr">
        <is>
          <t>Hamburgueria</t>
        </is>
      </c>
      <c r="O6442" t="n">
        <v>1</v>
      </c>
      <c r="P6442" t="n">
        <v>1</v>
      </c>
      <c r="Q6442" t="n">
        <v>0</v>
      </c>
    </row>
    <row r="6443">
      <c r="J6443" t="inlineStr">
        <is>
          <t>A</t>
        </is>
      </c>
      <c r="K6443" t="n">
        <v>2026</v>
      </c>
      <c r="L6443" t="n">
        <v>8</v>
      </c>
      <c r="M6443" t="inlineStr">
        <is>
          <t>Muçarela Mozzalet 2 kg</t>
        </is>
      </c>
      <c r="N6443" t="inlineStr">
        <is>
          <t>Hamburgueria</t>
        </is>
      </c>
      <c r="O6443" t="n">
        <v>1</v>
      </c>
      <c r="P6443" t="n">
        <v>1</v>
      </c>
      <c r="Q6443" t="n">
        <v>1</v>
      </c>
    </row>
    <row r="6444">
      <c r="J6444" t="inlineStr">
        <is>
          <t>A</t>
        </is>
      </c>
      <c r="K6444" t="n">
        <v>2026</v>
      </c>
      <c r="L6444" t="n">
        <v>9</v>
      </c>
      <c r="M6444" t="inlineStr">
        <is>
          <t>Muçarela Mozzalet 2 kg</t>
        </is>
      </c>
      <c r="N6444" t="inlineStr">
        <is>
          <t>Hamburgueria</t>
        </is>
      </c>
      <c r="O6444" t="n">
        <v>1</v>
      </c>
      <c r="P6444" t="n">
        <v>1</v>
      </c>
      <c r="Q6444" t="n">
        <v>1</v>
      </c>
    </row>
    <row r="6445">
      <c r="J6445" t="inlineStr">
        <is>
          <t>A</t>
        </is>
      </c>
      <c r="K6445" t="n">
        <v>2026</v>
      </c>
      <c r="L6445" t="n">
        <v>10</v>
      </c>
      <c r="M6445" t="inlineStr">
        <is>
          <t>Muçarela Mozzalet 2 kg</t>
        </is>
      </c>
      <c r="N6445" t="inlineStr">
        <is>
          <t>Hamburgueria</t>
        </is>
      </c>
      <c r="O6445" t="n">
        <v>1</v>
      </c>
      <c r="P6445" t="n">
        <v>1</v>
      </c>
      <c r="Q6445" t="n">
        <v>1</v>
      </c>
    </row>
    <row r="6446">
      <c r="J6446" t="inlineStr">
        <is>
          <t>A</t>
        </is>
      </c>
      <c r="K6446" t="n">
        <v>2026</v>
      </c>
      <c r="L6446" t="n">
        <v>11</v>
      </c>
      <c r="M6446" t="inlineStr">
        <is>
          <t>Muçarela Mozzalet 2 kg</t>
        </is>
      </c>
      <c r="N6446" t="inlineStr">
        <is>
          <t>Hamburgueria</t>
        </is>
      </c>
      <c r="O6446" t="n">
        <v>1</v>
      </c>
      <c r="P6446" t="n">
        <v>1</v>
      </c>
      <c r="Q6446" t="n">
        <v>1</v>
      </c>
    </row>
    <row r="6447">
      <c r="J6447" t="inlineStr">
        <is>
          <t>A</t>
        </is>
      </c>
      <c r="K6447" t="n">
        <v>2026</v>
      </c>
      <c r="L6447" t="n">
        <v>12</v>
      </c>
      <c r="M6447" t="inlineStr">
        <is>
          <t>Muçarela Mozzalet 2 kg</t>
        </is>
      </c>
      <c r="N6447" t="inlineStr">
        <is>
          <t>Hamburgueria</t>
        </is>
      </c>
      <c r="O6447" t="n">
        <v>1</v>
      </c>
      <c r="P6447" t="n">
        <v>1</v>
      </c>
      <c r="Q6447" t="n">
        <v>1</v>
      </c>
    </row>
    <row r="6448">
      <c r="J6448" t="inlineStr">
        <is>
          <t>A</t>
        </is>
      </c>
      <c r="K6448" t="n">
        <v>2026</v>
      </c>
      <c r="L6448" t="n">
        <v>3</v>
      </c>
      <c r="M6448" t="inlineStr">
        <is>
          <t>Muçarela Mozzalet 2 kg</t>
        </is>
      </c>
      <c r="N6448" t="inlineStr">
        <is>
          <t>Cozinha Oriental</t>
        </is>
      </c>
      <c r="O6448" t="n">
        <v>1</v>
      </c>
      <c r="P6448" t="n">
        <v>1</v>
      </c>
      <c r="Q6448" t="n">
        <v>0</v>
      </c>
    </row>
    <row r="6449">
      <c r="J6449" t="inlineStr">
        <is>
          <t>M</t>
        </is>
      </c>
      <c r="K6449" t="n">
        <v>2026</v>
      </c>
      <c r="L6449" t="n">
        <v>3</v>
      </c>
      <c r="M6449" t="inlineStr">
        <is>
          <t>Muçarela Mozzalet 2 kg</t>
        </is>
      </c>
      <c r="N6449" t="inlineStr">
        <is>
          <t>Cozinha Oriental</t>
        </is>
      </c>
      <c r="O6449" t="n">
        <v>1</v>
      </c>
      <c r="P6449" t="n">
        <v>1</v>
      </c>
      <c r="Q6449" t="n">
        <v>0</v>
      </c>
    </row>
    <row r="6450">
      <c r="J6450" t="inlineStr">
        <is>
          <t>A</t>
        </is>
      </c>
      <c r="K6450" t="n">
        <v>2026</v>
      </c>
      <c r="L6450" t="n">
        <v>4</v>
      </c>
      <c r="M6450" t="inlineStr">
        <is>
          <t>Muçarela Mozzalet 2 kg</t>
        </is>
      </c>
      <c r="N6450" t="inlineStr">
        <is>
          <t>Cozinha Oriental</t>
        </is>
      </c>
      <c r="O6450" t="n">
        <v>1</v>
      </c>
      <c r="P6450" t="n">
        <v>2</v>
      </c>
      <c r="Q6450" t="n">
        <v>0</v>
      </c>
    </row>
    <row r="6451">
      <c r="J6451" t="inlineStr">
        <is>
          <t>M</t>
        </is>
      </c>
      <c r="K6451" t="n">
        <v>2026</v>
      </c>
      <c r="L6451" t="n">
        <v>4</v>
      </c>
      <c r="M6451" t="inlineStr">
        <is>
          <t>Muçarela Mozzalet 2 kg</t>
        </is>
      </c>
      <c r="N6451" t="inlineStr">
        <is>
          <t>Cozinha Oriental</t>
        </is>
      </c>
      <c r="O6451" t="n">
        <v>1</v>
      </c>
      <c r="P6451" t="n">
        <v>1</v>
      </c>
      <c r="Q6451" t="n">
        <v>0</v>
      </c>
    </row>
    <row r="6452">
      <c r="J6452" t="inlineStr">
        <is>
          <t>A</t>
        </is>
      </c>
      <c r="K6452" t="n">
        <v>2026</v>
      </c>
      <c r="L6452" t="n">
        <v>5</v>
      </c>
      <c r="M6452" t="inlineStr">
        <is>
          <t>Muçarela Mozzalet 2 kg</t>
        </is>
      </c>
      <c r="N6452" t="inlineStr">
        <is>
          <t>Cozinha Oriental</t>
        </is>
      </c>
      <c r="O6452" t="n">
        <v>1</v>
      </c>
      <c r="P6452" t="n">
        <v>2</v>
      </c>
      <c r="Q6452" t="n">
        <v>0</v>
      </c>
    </row>
    <row r="6453">
      <c r="J6453" t="inlineStr">
        <is>
          <t>A</t>
        </is>
      </c>
      <c r="K6453" t="n">
        <v>2026</v>
      </c>
      <c r="L6453" t="n">
        <v>6</v>
      </c>
      <c r="M6453" t="inlineStr">
        <is>
          <t>Muçarela Mozzalet 2 kg</t>
        </is>
      </c>
      <c r="N6453" t="inlineStr">
        <is>
          <t>Cozinha Oriental</t>
        </is>
      </c>
      <c r="O6453" t="n">
        <v>1</v>
      </c>
      <c r="P6453" t="n">
        <v>2</v>
      </c>
      <c r="Q6453" t="n">
        <v>0</v>
      </c>
    </row>
    <row r="6454">
      <c r="J6454" t="inlineStr">
        <is>
          <t>A</t>
        </is>
      </c>
      <c r="K6454" t="n">
        <v>2026</v>
      </c>
      <c r="L6454" t="n">
        <v>7</v>
      </c>
      <c r="M6454" t="inlineStr">
        <is>
          <t>Muçarela Mozzalet 2 kg</t>
        </is>
      </c>
      <c r="N6454" t="inlineStr">
        <is>
          <t>Cozinha Oriental</t>
        </is>
      </c>
      <c r="O6454" t="n">
        <v>1</v>
      </c>
      <c r="P6454" t="n">
        <v>2</v>
      </c>
      <c r="Q6454" t="n">
        <v>0</v>
      </c>
    </row>
    <row r="6455">
      <c r="J6455" t="inlineStr">
        <is>
          <t>A</t>
        </is>
      </c>
      <c r="K6455" t="n">
        <v>2026</v>
      </c>
      <c r="L6455" t="n">
        <v>8</v>
      </c>
      <c r="M6455" t="inlineStr">
        <is>
          <t>Muçarela Mozzalet 2 kg</t>
        </is>
      </c>
      <c r="N6455" t="inlineStr">
        <is>
          <t>Cozinha Oriental</t>
        </is>
      </c>
      <c r="O6455" t="n">
        <v>1</v>
      </c>
      <c r="P6455" t="n">
        <v>2</v>
      </c>
      <c r="Q6455" t="n">
        <v>0</v>
      </c>
    </row>
    <row r="6456">
      <c r="J6456" t="inlineStr">
        <is>
          <t>A</t>
        </is>
      </c>
      <c r="K6456" t="n">
        <v>2026</v>
      </c>
      <c r="L6456" t="n">
        <v>9</v>
      </c>
      <c r="M6456" t="inlineStr">
        <is>
          <t>Muçarela Mozzalet 2 kg</t>
        </is>
      </c>
      <c r="N6456" t="inlineStr">
        <is>
          <t>Cozinha Oriental</t>
        </is>
      </c>
      <c r="O6456" t="n">
        <v>1</v>
      </c>
      <c r="P6456" t="n">
        <v>2</v>
      </c>
      <c r="Q6456" t="n">
        <v>0</v>
      </c>
    </row>
    <row r="6457">
      <c r="J6457" t="inlineStr">
        <is>
          <t>A</t>
        </is>
      </c>
      <c r="K6457" t="n">
        <v>2026</v>
      </c>
      <c r="L6457" t="n">
        <v>10</v>
      </c>
      <c r="M6457" t="inlineStr">
        <is>
          <t>Muçarela Mozzalet 2 kg</t>
        </is>
      </c>
      <c r="N6457" t="inlineStr">
        <is>
          <t>Cozinha Oriental</t>
        </is>
      </c>
      <c r="O6457" t="n">
        <v>1</v>
      </c>
      <c r="P6457" t="n">
        <v>2</v>
      </c>
      <c r="Q6457" t="n">
        <v>0</v>
      </c>
    </row>
    <row r="6458">
      <c r="J6458" t="inlineStr">
        <is>
          <t>A</t>
        </is>
      </c>
      <c r="K6458" t="n">
        <v>2026</v>
      </c>
      <c r="L6458" t="n">
        <v>11</v>
      </c>
      <c r="M6458" t="inlineStr">
        <is>
          <t>Muçarela Mozzalet 2 kg</t>
        </is>
      </c>
      <c r="N6458" t="inlineStr">
        <is>
          <t>Cozinha Oriental</t>
        </is>
      </c>
      <c r="O6458" t="n">
        <v>1</v>
      </c>
      <c r="P6458" t="n">
        <v>2</v>
      </c>
      <c r="Q6458" t="n">
        <v>0</v>
      </c>
    </row>
    <row r="6459">
      <c r="J6459" t="inlineStr">
        <is>
          <t>A</t>
        </is>
      </c>
      <c r="K6459" t="n">
        <v>2026</v>
      </c>
      <c r="L6459" t="n">
        <v>12</v>
      </c>
      <c r="M6459" t="inlineStr">
        <is>
          <t>Muçarela Mozzalet 2 kg</t>
        </is>
      </c>
      <c r="N6459" t="inlineStr">
        <is>
          <t>Cozinha Oriental</t>
        </is>
      </c>
      <c r="O6459" t="n">
        <v>1</v>
      </c>
      <c r="P6459" t="n">
        <v>2</v>
      </c>
      <c r="Q6459" t="n">
        <v>0</v>
      </c>
    </row>
    <row r="6460">
      <c r="J6460" t="inlineStr">
        <is>
          <t>A</t>
        </is>
      </c>
      <c r="K6460" t="n">
        <v>2026</v>
      </c>
      <c r="L6460" t="n">
        <v>1</v>
      </c>
      <c r="M6460" t="inlineStr">
        <is>
          <t>Requeijão Pizzalet 1,8 kg</t>
        </is>
      </c>
      <c r="N6460" t="inlineStr">
        <is>
          <t>Todos</t>
        </is>
      </c>
      <c r="O6460" t="n">
        <v>12</v>
      </c>
      <c r="P6460" t="n">
        <v>25</v>
      </c>
      <c r="Q6460" t="n">
        <v>1</v>
      </c>
    </row>
    <row r="6461">
      <c r="J6461" t="inlineStr">
        <is>
          <t>M</t>
        </is>
      </c>
      <c r="K6461" t="n">
        <v>2026</v>
      </c>
      <c r="L6461" t="n">
        <v>1</v>
      </c>
      <c r="M6461" t="inlineStr">
        <is>
          <t>Requeijão Pizzalet 1,8 kg</t>
        </is>
      </c>
      <c r="N6461" t="inlineStr">
        <is>
          <t>Todos</t>
        </is>
      </c>
      <c r="O6461" t="n">
        <v>12</v>
      </c>
      <c r="P6461" t="n">
        <v>25</v>
      </c>
      <c r="Q6461" t="n">
        <v>0</v>
      </c>
    </row>
    <row r="6462">
      <c r="J6462" t="inlineStr">
        <is>
          <t>A</t>
        </is>
      </c>
      <c r="K6462" t="n">
        <v>2026</v>
      </c>
      <c r="L6462" t="n">
        <v>2</v>
      </c>
      <c r="M6462" t="inlineStr">
        <is>
          <t>Requeijão Pizzalet 1,8 kg</t>
        </is>
      </c>
      <c r="N6462" t="inlineStr">
        <is>
          <t>Todos</t>
        </is>
      </c>
      <c r="O6462" t="n">
        <v>15</v>
      </c>
      <c r="P6462" t="n">
        <v>46</v>
      </c>
      <c r="Q6462" t="n">
        <v>2</v>
      </c>
    </row>
    <row r="6463">
      <c r="J6463" t="inlineStr">
        <is>
          <t>M</t>
        </is>
      </c>
      <c r="K6463" t="n">
        <v>2026</v>
      </c>
      <c r="L6463" t="n">
        <v>2</v>
      </c>
      <c r="M6463" t="inlineStr">
        <is>
          <t>Requeijão Pizzalet 1,8 kg</t>
        </is>
      </c>
      <c r="N6463" t="inlineStr">
        <is>
          <t>Todos</t>
        </is>
      </c>
      <c r="O6463" t="n">
        <v>13</v>
      </c>
      <c r="P6463" t="n">
        <v>21</v>
      </c>
      <c r="Q6463" t="n">
        <v>0</v>
      </c>
    </row>
    <row r="6464">
      <c r="J6464" t="inlineStr">
        <is>
          <t>A</t>
        </is>
      </c>
      <c r="K6464" t="n">
        <v>2026</v>
      </c>
      <c r="L6464" t="n">
        <v>3</v>
      </c>
      <c r="M6464" t="inlineStr">
        <is>
          <t>Requeijão Pizzalet 1,8 kg</t>
        </is>
      </c>
      <c r="N6464" t="inlineStr">
        <is>
          <t>Todos</t>
        </is>
      </c>
      <c r="O6464" t="n">
        <v>16</v>
      </c>
      <c r="P6464" t="n">
        <v>79</v>
      </c>
      <c r="Q6464" t="n">
        <v>2</v>
      </c>
    </row>
    <row r="6465">
      <c r="J6465" t="inlineStr">
        <is>
          <t>M</t>
        </is>
      </c>
      <c r="K6465" t="n">
        <v>2026</v>
      </c>
      <c r="L6465" t="n">
        <v>3</v>
      </c>
      <c r="M6465" t="inlineStr">
        <is>
          <t>Requeijão Pizzalet 1,8 kg</t>
        </is>
      </c>
      <c r="N6465" t="inlineStr">
        <is>
          <t>Todos</t>
        </is>
      </c>
      <c r="O6465" t="n">
        <v>13</v>
      </c>
      <c r="P6465" t="n">
        <v>33</v>
      </c>
      <c r="Q6465" t="n">
        <v>0</v>
      </c>
    </row>
    <row r="6466">
      <c r="J6466" t="inlineStr">
        <is>
          <t>A</t>
        </is>
      </c>
      <c r="K6466" t="n">
        <v>2026</v>
      </c>
      <c r="L6466" t="n">
        <v>4</v>
      </c>
      <c r="M6466" t="inlineStr">
        <is>
          <t>Requeijão Pizzalet 1,8 kg</t>
        </is>
      </c>
      <c r="N6466" t="inlineStr">
        <is>
          <t>Todos</t>
        </is>
      </c>
      <c r="O6466" t="n">
        <v>17</v>
      </c>
      <c r="P6466" t="n">
        <v>112</v>
      </c>
      <c r="Q6466" t="n">
        <v>2</v>
      </c>
    </row>
    <row r="6467">
      <c r="J6467" t="inlineStr">
        <is>
          <t>M</t>
        </is>
      </c>
      <c r="K6467" t="n">
        <v>2026</v>
      </c>
      <c r="L6467" t="n">
        <v>4</v>
      </c>
      <c r="M6467" t="inlineStr">
        <is>
          <t>Requeijão Pizzalet 1,8 kg</t>
        </is>
      </c>
      <c r="N6467" t="inlineStr">
        <is>
          <t>Todos</t>
        </is>
      </c>
      <c r="O6467" t="n">
        <v>11</v>
      </c>
      <c r="P6467" t="n">
        <v>33</v>
      </c>
      <c r="Q6467" t="n">
        <v>0</v>
      </c>
    </row>
    <row r="6468">
      <c r="J6468" t="inlineStr">
        <is>
          <t>A</t>
        </is>
      </c>
      <c r="K6468" t="n">
        <v>2026</v>
      </c>
      <c r="L6468" t="n">
        <v>5</v>
      </c>
      <c r="M6468" t="inlineStr">
        <is>
          <t>Requeijão Pizzalet 1,8 kg</t>
        </is>
      </c>
      <c r="N6468" t="inlineStr">
        <is>
          <t>Todos</t>
        </is>
      </c>
      <c r="O6468" t="n">
        <v>17</v>
      </c>
      <c r="P6468" t="n">
        <v>133</v>
      </c>
      <c r="Q6468" t="n">
        <v>2</v>
      </c>
    </row>
    <row r="6469">
      <c r="J6469" t="inlineStr">
        <is>
          <t>M</t>
        </is>
      </c>
      <c r="K6469" t="n">
        <v>2026</v>
      </c>
      <c r="L6469" t="n">
        <v>5</v>
      </c>
      <c r="M6469" t="inlineStr">
        <is>
          <t>Requeijão Pizzalet 1,8 kg</t>
        </is>
      </c>
      <c r="N6469" t="inlineStr">
        <is>
          <t>Todos</t>
        </is>
      </c>
      <c r="O6469" t="n">
        <v>9</v>
      </c>
      <c r="P6469" t="n">
        <v>21</v>
      </c>
      <c r="Q6469" t="n">
        <v>0</v>
      </c>
    </row>
    <row r="6470">
      <c r="J6470" t="inlineStr">
        <is>
          <t>A</t>
        </is>
      </c>
      <c r="K6470" t="n">
        <v>2026</v>
      </c>
      <c r="L6470" t="n">
        <v>6</v>
      </c>
      <c r="M6470" t="inlineStr">
        <is>
          <t>Requeijão Pizzalet 1,8 kg</t>
        </is>
      </c>
      <c r="N6470" t="inlineStr">
        <is>
          <t>Todos</t>
        </is>
      </c>
      <c r="O6470" t="n">
        <v>19</v>
      </c>
      <c r="P6470" t="n">
        <v>162</v>
      </c>
      <c r="Q6470" t="n">
        <v>4</v>
      </c>
    </row>
    <row r="6471">
      <c r="J6471" t="inlineStr">
        <is>
          <t>M</t>
        </is>
      </c>
      <c r="K6471" t="n">
        <v>2026</v>
      </c>
      <c r="L6471" t="n">
        <v>6</v>
      </c>
      <c r="M6471" t="inlineStr">
        <is>
          <t>Requeijão Pizzalet 1,8 kg</t>
        </is>
      </c>
      <c r="N6471" t="inlineStr">
        <is>
          <t>Todos</t>
        </is>
      </c>
      <c r="O6471" t="n">
        <v>13</v>
      </c>
      <c r="P6471" t="n">
        <v>29</v>
      </c>
      <c r="Q6471" t="n">
        <v>0</v>
      </c>
    </row>
    <row r="6472">
      <c r="J6472" t="inlineStr">
        <is>
          <t>A</t>
        </is>
      </c>
      <c r="K6472" t="n">
        <v>2026</v>
      </c>
      <c r="L6472" t="n">
        <v>7</v>
      </c>
      <c r="M6472" t="inlineStr">
        <is>
          <t>Requeijão Pizzalet 1,8 kg</t>
        </is>
      </c>
      <c r="N6472" t="inlineStr">
        <is>
          <t>Todos</t>
        </is>
      </c>
      <c r="O6472" t="n">
        <v>20</v>
      </c>
      <c r="P6472" t="n">
        <v>190</v>
      </c>
      <c r="Q6472" t="n">
        <v>4</v>
      </c>
    </row>
    <row r="6473">
      <c r="J6473" t="inlineStr">
        <is>
          <t>M</t>
        </is>
      </c>
      <c r="K6473" t="n">
        <v>2026</v>
      </c>
      <c r="L6473" t="n">
        <v>7</v>
      </c>
      <c r="M6473" t="inlineStr">
        <is>
          <t>Requeijão Pizzalet 1,8 kg</t>
        </is>
      </c>
      <c r="N6473" t="inlineStr">
        <is>
          <t>Todos</t>
        </is>
      </c>
      <c r="O6473" t="n">
        <v>11</v>
      </c>
      <c r="P6473" t="n">
        <v>28</v>
      </c>
      <c r="Q6473" t="n">
        <v>0</v>
      </c>
    </row>
    <row r="6474">
      <c r="J6474" t="inlineStr">
        <is>
          <t>A</t>
        </is>
      </c>
      <c r="K6474" t="n">
        <v>2026</v>
      </c>
      <c r="L6474" t="n">
        <v>8</v>
      </c>
      <c r="M6474" t="inlineStr">
        <is>
          <t>Requeijão Pizzalet 1,8 kg</t>
        </is>
      </c>
      <c r="N6474" t="inlineStr">
        <is>
          <t>Todos</t>
        </is>
      </c>
      <c r="O6474" t="n">
        <v>20</v>
      </c>
      <c r="P6474" t="n">
        <v>213</v>
      </c>
      <c r="Q6474" t="n">
        <v>4</v>
      </c>
    </row>
    <row r="6475">
      <c r="J6475" t="inlineStr">
        <is>
          <t>M</t>
        </is>
      </c>
      <c r="K6475" t="n">
        <v>2026</v>
      </c>
      <c r="L6475" t="n">
        <v>8</v>
      </c>
      <c r="M6475" t="inlineStr">
        <is>
          <t>Requeijão Pizzalet 1,8 kg</t>
        </is>
      </c>
      <c r="N6475" t="inlineStr">
        <is>
          <t>Todos</t>
        </is>
      </c>
      <c r="O6475" t="n">
        <v>11</v>
      </c>
      <c r="P6475" t="n">
        <v>23</v>
      </c>
      <c r="Q6475" t="n">
        <v>0</v>
      </c>
    </row>
    <row r="6476">
      <c r="J6476" t="inlineStr">
        <is>
          <t>A</t>
        </is>
      </c>
      <c r="K6476" t="n">
        <v>2026</v>
      </c>
      <c r="L6476" t="n">
        <v>9</v>
      </c>
      <c r="M6476" t="inlineStr">
        <is>
          <t>Requeijão Pizzalet 1,8 kg</t>
        </is>
      </c>
      <c r="N6476" t="inlineStr">
        <is>
          <t>Todos</t>
        </is>
      </c>
      <c r="O6476" t="n">
        <v>20</v>
      </c>
      <c r="P6476" t="n">
        <v>213</v>
      </c>
      <c r="Q6476" t="n">
        <v>4</v>
      </c>
    </row>
    <row r="6477">
      <c r="J6477" t="inlineStr">
        <is>
          <t>A</t>
        </is>
      </c>
      <c r="K6477" t="n">
        <v>2026</v>
      </c>
      <c r="L6477" t="n">
        <v>10</v>
      </c>
      <c r="M6477" t="inlineStr">
        <is>
          <t>Requeijão Pizzalet 1,8 kg</t>
        </is>
      </c>
      <c r="N6477" t="inlineStr">
        <is>
          <t>Todos</t>
        </is>
      </c>
      <c r="O6477" t="n">
        <v>20</v>
      </c>
      <c r="P6477" t="n">
        <v>213</v>
      </c>
      <c r="Q6477" t="n">
        <v>4</v>
      </c>
    </row>
    <row r="6478">
      <c r="J6478" t="inlineStr">
        <is>
          <t>A</t>
        </is>
      </c>
      <c r="K6478" t="n">
        <v>2026</v>
      </c>
      <c r="L6478" t="n">
        <v>11</v>
      </c>
      <c r="M6478" t="inlineStr">
        <is>
          <t>Requeijão Pizzalet 1,8 kg</t>
        </is>
      </c>
      <c r="N6478" t="inlineStr">
        <is>
          <t>Todos</t>
        </is>
      </c>
      <c r="O6478" t="n">
        <v>20</v>
      </c>
      <c r="P6478" t="n">
        <v>213</v>
      </c>
      <c r="Q6478" t="n">
        <v>4</v>
      </c>
    </row>
    <row r="6479">
      <c r="J6479" t="inlineStr">
        <is>
          <t>A</t>
        </is>
      </c>
      <c r="K6479" t="n">
        <v>2026</v>
      </c>
      <c r="L6479" t="n">
        <v>12</v>
      </c>
      <c r="M6479" t="inlineStr">
        <is>
          <t>Requeijão Pizzalet 1,8 kg</t>
        </is>
      </c>
      <c r="N6479" t="inlineStr">
        <is>
          <t>Todos</t>
        </is>
      </c>
      <c r="O6479" t="n">
        <v>20</v>
      </c>
      <c r="P6479" t="n">
        <v>213</v>
      </c>
      <c r="Q6479" t="n">
        <v>4</v>
      </c>
    </row>
    <row r="6480">
      <c r="J6480" t="inlineStr">
        <is>
          <t>A</t>
        </is>
      </c>
      <c r="K6480" t="n">
        <v>2026</v>
      </c>
      <c r="L6480" t="n">
        <v>1</v>
      </c>
      <c r="M6480" t="inlineStr">
        <is>
          <t>Requeijão Pizzalet 1,8 kg</t>
        </is>
      </c>
      <c r="N6480" t="inlineStr">
        <is>
          <t>Pizzaria</t>
        </is>
      </c>
      <c r="O6480" t="n">
        <v>3</v>
      </c>
      <c r="P6480" t="n">
        <v>8</v>
      </c>
      <c r="Q6480" t="n">
        <v>0</v>
      </c>
    </row>
    <row r="6481">
      <c r="J6481" t="inlineStr">
        <is>
          <t>M</t>
        </is>
      </c>
      <c r="K6481" t="n">
        <v>2026</v>
      </c>
      <c r="L6481" t="n">
        <v>1</v>
      </c>
      <c r="M6481" t="inlineStr">
        <is>
          <t>Requeijão Pizzalet 1,8 kg</t>
        </is>
      </c>
      <c r="N6481" t="inlineStr">
        <is>
          <t>Pizzaria</t>
        </is>
      </c>
      <c r="O6481" t="n">
        <v>3</v>
      </c>
      <c r="P6481" t="n">
        <v>8</v>
      </c>
      <c r="Q6481" t="n">
        <v>0</v>
      </c>
    </row>
    <row r="6482">
      <c r="J6482" t="inlineStr">
        <is>
          <t>A</t>
        </is>
      </c>
      <c r="K6482" t="n">
        <v>2026</v>
      </c>
      <c r="L6482" t="n">
        <v>2</v>
      </c>
      <c r="M6482" t="inlineStr">
        <is>
          <t>Requeijão Pizzalet 1,8 kg</t>
        </is>
      </c>
      <c r="N6482" t="inlineStr">
        <is>
          <t>Pizzaria</t>
        </is>
      </c>
      <c r="O6482" t="n">
        <v>4</v>
      </c>
      <c r="P6482" t="n">
        <v>15</v>
      </c>
      <c r="Q6482" t="n">
        <v>1</v>
      </c>
    </row>
    <row r="6483">
      <c r="J6483" t="inlineStr">
        <is>
          <t>M</t>
        </is>
      </c>
      <c r="K6483" t="n">
        <v>2026</v>
      </c>
      <c r="L6483" t="n">
        <v>2</v>
      </c>
      <c r="M6483" t="inlineStr">
        <is>
          <t>Requeijão Pizzalet 1,8 kg</t>
        </is>
      </c>
      <c r="N6483" t="inlineStr">
        <is>
          <t>Pizzaria</t>
        </is>
      </c>
      <c r="O6483" t="n">
        <v>4</v>
      </c>
      <c r="P6483" t="n">
        <v>7</v>
      </c>
      <c r="Q6483" t="n">
        <v>0</v>
      </c>
    </row>
    <row r="6484">
      <c r="J6484" t="inlineStr">
        <is>
          <t>A</t>
        </is>
      </c>
      <c r="K6484" t="n">
        <v>2026</v>
      </c>
      <c r="L6484" t="n">
        <v>3</v>
      </c>
      <c r="M6484" t="inlineStr">
        <is>
          <t>Requeijão Pizzalet 1,8 kg</t>
        </is>
      </c>
      <c r="N6484" t="inlineStr">
        <is>
          <t>Pizzaria</t>
        </is>
      </c>
      <c r="O6484" t="n">
        <v>5</v>
      </c>
      <c r="P6484" t="n">
        <v>24</v>
      </c>
      <c r="Q6484" t="n">
        <v>1</v>
      </c>
    </row>
    <row r="6485">
      <c r="J6485" t="inlineStr">
        <is>
          <t>M</t>
        </is>
      </c>
      <c r="K6485" t="n">
        <v>2026</v>
      </c>
      <c r="L6485" t="n">
        <v>3</v>
      </c>
      <c r="M6485" t="inlineStr">
        <is>
          <t>Requeijão Pizzalet 1,8 kg</t>
        </is>
      </c>
      <c r="N6485" t="inlineStr">
        <is>
          <t>Pizzaria</t>
        </is>
      </c>
      <c r="O6485" t="n">
        <v>3</v>
      </c>
      <c r="P6485" t="n">
        <v>9</v>
      </c>
      <c r="Q6485" t="n">
        <v>0</v>
      </c>
    </row>
    <row r="6486">
      <c r="J6486" t="inlineStr">
        <is>
          <t>A</t>
        </is>
      </c>
      <c r="K6486" t="n">
        <v>2026</v>
      </c>
      <c r="L6486" t="n">
        <v>4</v>
      </c>
      <c r="M6486" t="inlineStr">
        <is>
          <t>Requeijão Pizzalet 1,8 kg</t>
        </is>
      </c>
      <c r="N6486" t="inlineStr">
        <is>
          <t>Pizzaria</t>
        </is>
      </c>
      <c r="O6486" t="n">
        <v>5</v>
      </c>
      <c r="P6486" t="n">
        <v>34</v>
      </c>
      <c r="Q6486" t="n">
        <v>1</v>
      </c>
    </row>
    <row r="6487">
      <c r="J6487" t="inlineStr">
        <is>
          <t>M</t>
        </is>
      </c>
      <c r="K6487" t="n">
        <v>2026</v>
      </c>
      <c r="L6487" t="n">
        <v>4</v>
      </c>
      <c r="M6487" t="inlineStr">
        <is>
          <t>Requeijão Pizzalet 1,8 kg</t>
        </is>
      </c>
      <c r="N6487" t="inlineStr">
        <is>
          <t>Pizzaria</t>
        </is>
      </c>
      <c r="O6487" t="n">
        <v>2</v>
      </c>
      <c r="P6487" t="n">
        <v>10</v>
      </c>
      <c r="Q6487" t="n">
        <v>0</v>
      </c>
    </row>
    <row r="6488">
      <c r="J6488" t="inlineStr">
        <is>
          <t>A</t>
        </is>
      </c>
      <c r="K6488" t="n">
        <v>2026</v>
      </c>
      <c r="L6488" t="n">
        <v>5</v>
      </c>
      <c r="M6488" t="inlineStr">
        <is>
          <t>Requeijão Pizzalet 1,8 kg</t>
        </is>
      </c>
      <c r="N6488" t="inlineStr">
        <is>
          <t>Pizzaria</t>
        </is>
      </c>
      <c r="O6488" t="n">
        <v>5</v>
      </c>
      <c r="P6488" t="n">
        <v>40</v>
      </c>
      <c r="Q6488" t="n">
        <v>1</v>
      </c>
    </row>
    <row r="6489">
      <c r="J6489" t="inlineStr">
        <is>
          <t>M</t>
        </is>
      </c>
      <c r="K6489" t="n">
        <v>2026</v>
      </c>
      <c r="L6489" t="n">
        <v>5</v>
      </c>
      <c r="M6489" t="inlineStr">
        <is>
          <t>Requeijão Pizzalet 1,8 kg</t>
        </is>
      </c>
      <c r="N6489" t="inlineStr">
        <is>
          <t>Pizzaria</t>
        </is>
      </c>
      <c r="O6489" t="n">
        <v>2</v>
      </c>
      <c r="P6489" t="n">
        <v>6</v>
      </c>
      <c r="Q6489" t="n">
        <v>0</v>
      </c>
    </row>
    <row r="6490">
      <c r="J6490" t="inlineStr">
        <is>
          <t>A</t>
        </is>
      </c>
      <c r="K6490" t="n">
        <v>2026</v>
      </c>
      <c r="L6490" t="n">
        <v>6</v>
      </c>
      <c r="M6490" t="inlineStr">
        <is>
          <t>Requeijão Pizzalet 1,8 kg</t>
        </is>
      </c>
      <c r="N6490" t="inlineStr">
        <is>
          <t>Pizzaria</t>
        </is>
      </c>
      <c r="O6490" t="n">
        <v>6</v>
      </c>
      <c r="P6490" t="n">
        <v>49</v>
      </c>
      <c r="Q6490" t="n">
        <v>2</v>
      </c>
    </row>
    <row r="6491">
      <c r="J6491" t="inlineStr">
        <is>
          <t>M</t>
        </is>
      </c>
      <c r="K6491" t="n">
        <v>2026</v>
      </c>
      <c r="L6491" t="n">
        <v>6</v>
      </c>
      <c r="M6491" t="inlineStr">
        <is>
          <t>Requeijão Pizzalet 1,8 kg</t>
        </is>
      </c>
      <c r="N6491" t="inlineStr">
        <is>
          <t>Pizzaria</t>
        </is>
      </c>
      <c r="O6491" t="n">
        <v>4</v>
      </c>
      <c r="P6491" t="n">
        <v>9</v>
      </c>
      <c r="Q6491" t="n">
        <v>0</v>
      </c>
    </row>
    <row r="6492">
      <c r="J6492" t="inlineStr">
        <is>
          <t>A</t>
        </is>
      </c>
      <c r="K6492" t="n">
        <v>2026</v>
      </c>
      <c r="L6492" t="n">
        <v>7</v>
      </c>
      <c r="M6492" t="inlineStr">
        <is>
          <t>Requeijão Pizzalet 1,8 kg</t>
        </is>
      </c>
      <c r="N6492" t="inlineStr">
        <is>
          <t>Pizzaria</t>
        </is>
      </c>
      <c r="O6492" t="n">
        <v>6</v>
      </c>
      <c r="P6492" t="n">
        <v>58</v>
      </c>
      <c r="Q6492" t="n">
        <v>2</v>
      </c>
    </row>
    <row r="6493">
      <c r="J6493" t="inlineStr">
        <is>
          <t>M</t>
        </is>
      </c>
      <c r="K6493" t="n">
        <v>2026</v>
      </c>
      <c r="L6493" t="n">
        <v>7</v>
      </c>
      <c r="M6493" t="inlineStr">
        <is>
          <t>Requeijão Pizzalet 1,8 kg</t>
        </is>
      </c>
      <c r="N6493" t="inlineStr">
        <is>
          <t>Pizzaria</t>
        </is>
      </c>
      <c r="O6493" t="n">
        <v>3</v>
      </c>
      <c r="P6493" t="n">
        <v>9</v>
      </c>
      <c r="Q6493" t="n">
        <v>0</v>
      </c>
    </row>
    <row r="6494">
      <c r="J6494" t="inlineStr">
        <is>
          <t>A</t>
        </is>
      </c>
      <c r="K6494" t="n">
        <v>2026</v>
      </c>
      <c r="L6494" t="n">
        <v>8</v>
      </c>
      <c r="M6494" t="inlineStr">
        <is>
          <t>Requeijão Pizzalet 1,8 kg</t>
        </is>
      </c>
      <c r="N6494" t="inlineStr">
        <is>
          <t>Pizzaria</t>
        </is>
      </c>
      <c r="O6494" t="n">
        <v>6</v>
      </c>
      <c r="P6494" t="n">
        <v>64</v>
      </c>
      <c r="Q6494" t="n">
        <v>2</v>
      </c>
    </row>
    <row r="6495">
      <c r="J6495" t="inlineStr">
        <is>
          <t>M</t>
        </is>
      </c>
      <c r="K6495" t="n">
        <v>2026</v>
      </c>
      <c r="L6495" t="n">
        <v>8</v>
      </c>
      <c r="M6495" t="inlineStr">
        <is>
          <t>Requeijão Pizzalet 1,8 kg</t>
        </is>
      </c>
      <c r="N6495" t="inlineStr">
        <is>
          <t>Pizzaria</t>
        </is>
      </c>
      <c r="O6495" t="n">
        <v>3</v>
      </c>
      <c r="P6495" t="n">
        <v>6</v>
      </c>
      <c r="Q6495" t="n">
        <v>0</v>
      </c>
    </row>
    <row r="6496">
      <c r="J6496" t="inlineStr">
        <is>
          <t>A</t>
        </is>
      </c>
      <c r="K6496" t="n">
        <v>2026</v>
      </c>
      <c r="L6496" t="n">
        <v>9</v>
      </c>
      <c r="M6496" t="inlineStr">
        <is>
          <t>Requeijão Pizzalet 1,8 kg</t>
        </is>
      </c>
      <c r="N6496" t="inlineStr">
        <is>
          <t>Pizzaria</t>
        </is>
      </c>
      <c r="O6496" t="n">
        <v>6</v>
      </c>
      <c r="P6496" t="n">
        <v>64</v>
      </c>
      <c r="Q6496" t="n">
        <v>2</v>
      </c>
    </row>
    <row r="6497">
      <c r="J6497" t="inlineStr">
        <is>
          <t>A</t>
        </is>
      </c>
      <c r="K6497" t="n">
        <v>2026</v>
      </c>
      <c r="L6497" t="n">
        <v>10</v>
      </c>
      <c r="M6497" t="inlineStr">
        <is>
          <t>Requeijão Pizzalet 1,8 kg</t>
        </is>
      </c>
      <c r="N6497" t="inlineStr">
        <is>
          <t>Pizzaria</t>
        </is>
      </c>
      <c r="O6497" t="n">
        <v>6</v>
      </c>
      <c r="P6497" t="n">
        <v>64</v>
      </c>
      <c r="Q6497" t="n">
        <v>2</v>
      </c>
    </row>
    <row r="6498">
      <c r="J6498" t="inlineStr">
        <is>
          <t>A</t>
        </is>
      </c>
      <c r="K6498" t="n">
        <v>2026</v>
      </c>
      <c r="L6498" t="n">
        <v>11</v>
      </c>
      <c r="M6498" t="inlineStr">
        <is>
          <t>Requeijão Pizzalet 1,8 kg</t>
        </is>
      </c>
      <c r="N6498" t="inlineStr">
        <is>
          <t>Pizzaria</t>
        </is>
      </c>
      <c r="O6498" t="n">
        <v>6</v>
      </c>
      <c r="P6498" t="n">
        <v>64</v>
      </c>
      <c r="Q6498" t="n">
        <v>2</v>
      </c>
    </row>
    <row r="6499">
      <c r="J6499" t="inlineStr">
        <is>
          <t>A</t>
        </is>
      </c>
      <c r="K6499" t="n">
        <v>2026</v>
      </c>
      <c r="L6499" t="n">
        <v>12</v>
      </c>
      <c r="M6499" t="inlineStr">
        <is>
          <t>Requeijão Pizzalet 1,8 kg</t>
        </is>
      </c>
      <c r="N6499" t="inlineStr">
        <is>
          <t>Pizzaria</t>
        </is>
      </c>
      <c r="O6499" t="n">
        <v>6</v>
      </c>
      <c r="P6499" t="n">
        <v>64</v>
      </c>
      <c r="Q6499" t="n">
        <v>2</v>
      </c>
    </row>
    <row r="6500">
      <c r="J6500" t="inlineStr">
        <is>
          <t>A</t>
        </is>
      </c>
      <c r="K6500" t="n">
        <v>2026</v>
      </c>
      <c r="L6500" t="n">
        <v>1</v>
      </c>
      <c r="M6500" t="inlineStr">
        <is>
          <t>Requeijão Pizzalet 1,8 kg</t>
        </is>
      </c>
      <c r="N6500" t="inlineStr">
        <is>
          <t>Restaurante / Cantina</t>
        </is>
      </c>
      <c r="O6500" t="n">
        <v>1</v>
      </c>
      <c r="P6500" t="n">
        <v>2</v>
      </c>
      <c r="Q6500" t="n">
        <v>0</v>
      </c>
    </row>
    <row r="6501">
      <c r="J6501" t="inlineStr">
        <is>
          <t>M</t>
        </is>
      </c>
      <c r="K6501" t="n">
        <v>2026</v>
      </c>
      <c r="L6501" t="n">
        <v>1</v>
      </c>
      <c r="M6501" t="inlineStr">
        <is>
          <t>Requeijão Pizzalet 1,8 kg</t>
        </is>
      </c>
      <c r="N6501" t="inlineStr">
        <is>
          <t>Restaurante / Cantina</t>
        </is>
      </c>
      <c r="O6501" t="n">
        <v>1</v>
      </c>
      <c r="P6501" t="n">
        <v>2</v>
      </c>
      <c r="Q6501" t="n">
        <v>0</v>
      </c>
    </row>
    <row r="6502">
      <c r="J6502" t="inlineStr">
        <is>
          <t>A</t>
        </is>
      </c>
      <c r="K6502" t="n">
        <v>2026</v>
      </c>
      <c r="L6502" t="n">
        <v>2</v>
      </c>
      <c r="M6502" t="inlineStr">
        <is>
          <t>Requeijão Pizzalet 1,8 kg</t>
        </is>
      </c>
      <c r="N6502" t="inlineStr">
        <is>
          <t>Restaurante / Cantina</t>
        </is>
      </c>
      <c r="O6502" t="n">
        <v>1</v>
      </c>
      <c r="P6502" t="n">
        <v>3</v>
      </c>
      <c r="Q6502" t="n">
        <v>0</v>
      </c>
    </row>
    <row r="6503">
      <c r="J6503" t="inlineStr">
        <is>
          <t>M</t>
        </is>
      </c>
      <c r="K6503" t="n">
        <v>2026</v>
      </c>
      <c r="L6503" t="n">
        <v>2</v>
      </c>
      <c r="M6503" t="inlineStr">
        <is>
          <t>Requeijão Pizzalet 1,8 kg</t>
        </is>
      </c>
      <c r="N6503" t="inlineStr">
        <is>
          <t>Restaurante / Cantina</t>
        </is>
      </c>
      <c r="O6503" t="n">
        <v>1</v>
      </c>
      <c r="P6503" t="n">
        <v>1</v>
      </c>
      <c r="Q6503" t="n">
        <v>0</v>
      </c>
    </row>
    <row r="6504">
      <c r="J6504" t="inlineStr">
        <is>
          <t>A</t>
        </is>
      </c>
      <c r="K6504" t="n">
        <v>2026</v>
      </c>
      <c r="L6504" t="n">
        <v>3</v>
      </c>
      <c r="M6504" t="inlineStr">
        <is>
          <t>Requeijão Pizzalet 1,8 kg</t>
        </is>
      </c>
      <c r="N6504" t="inlineStr">
        <is>
          <t>Restaurante / Cantina</t>
        </is>
      </c>
      <c r="O6504" t="n">
        <v>1</v>
      </c>
      <c r="P6504" t="n">
        <v>5</v>
      </c>
      <c r="Q6504" t="n">
        <v>0</v>
      </c>
    </row>
    <row r="6505">
      <c r="J6505" t="inlineStr">
        <is>
          <t>M</t>
        </is>
      </c>
      <c r="K6505" t="n">
        <v>2026</v>
      </c>
      <c r="L6505" t="n">
        <v>3</v>
      </c>
      <c r="M6505" t="inlineStr">
        <is>
          <t>Requeijão Pizzalet 1,8 kg</t>
        </is>
      </c>
      <c r="N6505" t="inlineStr">
        <is>
          <t>Restaurante / Cantina</t>
        </is>
      </c>
      <c r="O6505" t="n">
        <v>1</v>
      </c>
      <c r="P6505" t="n">
        <v>2</v>
      </c>
      <c r="Q6505" t="n">
        <v>0</v>
      </c>
    </row>
    <row r="6506">
      <c r="J6506" t="inlineStr">
        <is>
          <t>A</t>
        </is>
      </c>
      <c r="K6506" t="n">
        <v>2026</v>
      </c>
      <c r="L6506" t="n">
        <v>4</v>
      </c>
      <c r="M6506" t="inlineStr">
        <is>
          <t>Requeijão Pizzalet 1,8 kg</t>
        </is>
      </c>
      <c r="N6506" t="inlineStr">
        <is>
          <t>Restaurante / Cantina</t>
        </is>
      </c>
      <c r="O6506" t="n">
        <v>1</v>
      </c>
      <c r="P6506" t="n">
        <v>6</v>
      </c>
      <c r="Q6506" t="n">
        <v>0</v>
      </c>
    </row>
    <row r="6507">
      <c r="J6507" t="inlineStr">
        <is>
          <t>M</t>
        </is>
      </c>
      <c r="K6507" t="n">
        <v>2026</v>
      </c>
      <c r="L6507" t="n">
        <v>4</v>
      </c>
      <c r="M6507" t="inlineStr">
        <is>
          <t>Requeijão Pizzalet 1,8 kg</t>
        </is>
      </c>
      <c r="N6507" t="inlineStr">
        <is>
          <t>Restaurante / Cantina</t>
        </is>
      </c>
      <c r="O6507" t="n">
        <v>1</v>
      </c>
      <c r="P6507" t="n">
        <v>1</v>
      </c>
      <c r="Q6507" t="n">
        <v>0</v>
      </c>
    </row>
    <row r="6508">
      <c r="J6508" t="inlineStr">
        <is>
          <t>A</t>
        </is>
      </c>
      <c r="K6508" t="n">
        <v>2026</v>
      </c>
      <c r="L6508" t="n">
        <v>5</v>
      </c>
      <c r="M6508" t="inlineStr">
        <is>
          <t>Requeijão Pizzalet 1,8 kg</t>
        </is>
      </c>
      <c r="N6508" t="inlineStr">
        <is>
          <t>Restaurante / Cantina</t>
        </is>
      </c>
      <c r="O6508" t="n">
        <v>1</v>
      </c>
      <c r="P6508" t="n">
        <v>6</v>
      </c>
      <c r="Q6508" t="n">
        <v>0</v>
      </c>
    </row>
    <row r="6509">
      <c r="J6509" t="inlineStr">
        <is>
          <t>A</t>
        </is>
      </c>
      <c r="K6509" t="n">
        <v>2026</v>
      </c>
      <c r="L6509" t="n">
        <v>6</v>
      </c>
      <c r="M6509" t="inlineStr">
        <is>
          <t>Requeijão Pizzalet 1,8 kg</t>
        </is>
      </c>
      <c r="N6509" t="inlineStr">
        <is>
          <t>Restaurante / Cantina</t>
        </is>
      </c>
      <c r="O6509" t="n">
        <v>1</v>
      </c>
      <c r="P6509" t="n">
        <v>7</v>
      </c>
      <c r="Q6509" t="n">
        <v>0</v>
      </c>
    </row>
    <row r="6510">
      <c r="J6510" t="inlineStr">
        <is>
          <t>M</t>
        </is>
      </c>
      <c r="K6510" t="n">
        <v>2026</v>
      </c>
      <c r="L6510" t="n">
        <v>6</v>
      </c>
      <c r="M6510" t="inlineStr">
        <is>
          <t>Requeijão Pizzalet 1,8 kg</t>
        </is>
      </c>
      <c r="N6510" t="inlineStr">
        <is>
          <t>Restaurante / Cantina</t>
        </is>
      </c>
      <c r="O6510" t="n">
        <v>1</v>
      </c>
      <c r="P6510" t="n">
        <v>1</v>
      </c>
      <c r="Q6510" t="n">
        <v>0</v>
      </c>
    </row>
    <row r="6511">
      <c r="J6511" t="inlineStr">
        <is>
          <t>A</t>
        </is>
      </c>
      <c r="K6511" t="n">
        <v>2026</v>
      </c>
      <c r="L6511" t="n">
        <v>7</v>
      </c>
      <c r="M6511" t="inlineStr">
        <is>
          <t>Requeijão Pizzalet 1,8 kg</t>
        </is>
      </c>
      <c r="N6511" t="inlineStr">
        <is>
          <t>Restaurante / Cantina</t>
        </is>
      </c>
      <c r="O6511" t="n">
        <v>1</v>
      </c>
      <c r="P6511" t="n">
        <v>9</v>
      </c>
      <c r="Q6511" t="n">
        <v>0</v>
      </c>
    </row>
    <row r="6512">
      <c r="J6512" t="inlineStr">
        <is>
          <t>M</t>
        </is>
      </c>
      <c r="K6512" t="n">
        <v>2026</v>
      </c>
      <c r="L6512" t="n">
        <v>7</v>
      </c>
      <c r="M6512" t="inlineStr">
        <is>
          <t>Requeijão Pizzalet 1,8 kg</t>
        </is>
      </c>
      <c r="N6512" t="inlineStr">
        <is>
          <t>Restaurante / Cantina</t>
        </is>
      </c>
      <c r="O6512" t="n">
        <v>1</v>
      </c>
      <c r="P6512" t="n">
        <v>2</v>
      </c>
      <c r="Q6512" t="n">
        <v>0</v>
      </c>
    </row>
    <row r="6513">
      <c r="J6513" t="inlineStr">
        <is>
          <t>A</t>
        </is>
      </c>
      <c r="K6513" t="n">
        <v>2026</v>
      </c>
      <c r="L6513" t="n">
        <v>8</v>
      </c>
      <c r="M6513" t="inlineStr">
        <is>
          <t>Requeijão Pizzalet 1,8 kg</t>
        </is>
      </c>
      <c r="N6513" t="inlineStr">
        <is>
          <t>Restaurante / Cantina</t>
        </is>
      </c>
      <c r="O6513" t="n">
        <v>1</v>
      </c>
      <c r="P6513" t="n">
        <v>11</v>
      </c>
      <c r="Q6513" t="n">
        <v>0</v>
      </c>
    </row>
    <row r="6514">
      <c r="J6514" t="inlineStr">
        <is>
          <t>M</t>
        </is>
      </c>
      <c r="K6514" t="n">
        <v>2026</v>
      </c>
      <c r="L6514" t="n">
        <v>8</v>
      </c>
      <c r="M6514" t="inlineStr">
        <is>
          <t>Requeijão Pizzalet 1,8 kg</t>
        </is>
      </c>
      <c r="N6514" t="inlineStr">
        <is>
          <t>Restaurante / Cantina</t>
        </is>
      </c>
      <c r="O6514" t="n">
        <v>1</v>
      </c>
      <c r="P6514" t="n">
        <v>2</v>
      </c>
      <c r="Q6514" t="n">
        <v>0</v>
      </c>
    </row>
    <row r="6515">
      <c r="J6515" t="inlineStr">
        <is>
          <t>A</t>
        </is>
      </c>
      <c r="K6515" t="n">
        <v>2026</v>
      </c>
      <c r="L6515" t="n">
        <v>9</v>
      </c>
      <c r="M6515" t="inlineStr">
        <is>
          <t>Requeijão Pizzalet 1,8 kg</t>
        </is>
      </c>
      <c r="N6515" t="inlineStr">
        <is>
          <t>Restaurante / Cantina</t>
        </is>
      </c>
      <c r="O6515" t="n">
        <v>1</v>
      </c>
      <c r="P6515" t="n">
        <v>11</v>
      </c>
      <c r="Q6515" t="n">
        <v>0</v>
      </c>
    </row>
    <row r="6516">
      <c r="J6516" t="inlineStr">
        <is>
          <t>A</t>
        </is>
      </c>
      <c r="K6516" t="n">
        <v>2026</v>
      </c>
      <c r="L6516" t="n">
        <v>10</v>
      </c>
      <c r="M6516" t="inlineStr">
        <is>
          <t>Requeijão Pizzalet 1,8 kg</t>
        </is>
      </c>
      <c r="N6516" t="inlineStr">
        <is>
          <t>Restaurante / Cantina</t>
        </is>
      </c>
      <c r="O6516" t="n">
        <v>1</v>
      </c>
      <c r="P6516" t="n">
        <v>11</v>
      </c>
      <c r="Q6516" t="n">
        <v>0</v>
      </c>
    </row>
    <row r="6517">
      <c r="J6517" t="inlineStr">
        <is>
          <t>A</t>
        </is>
      </c>
      <c r="K6517" t="n">
        <v>2026</v>
      </c>
      <c r="L6517" t="n">
        <v>11</v>
      </c>
      <c r="M6517" t="inlineStr">
        <is>
          <t>Requeijão Pizzalet 1,8 kg</t>
        </is>
      </c>
      <c r="N6517" t="inlineStr">
        <is>
          <t>Restaurante / Cantina</t>
        </is>
      </c>
      <c r="O6517" t="n">
        <v>1</v>
      </c>
      <c r="P6517" t="n">
        <v>11</v>
      </c>
      <c r="Q6517" t="n">
        <v>0</v>
      </c>
    </row>
    <row r="6518">
      <c r="J6518" t="inlineStr">
        <is>
          <t>A</t>
        </is>
      </c>
      <c r="K6518" t="n">
        <v>2026</v>
      </c>
      <c r="L6518" t="n">
        <v>12</v>
      </c>
      <c r="M6518" t="inlineStr">
        <is>
          <t>Requeijão Pizzalet 1,8 kg</t>
        </is>
      </c>
      <c r="N6518" t="inlineStr">
        <is>
          <t>Restaurante / Cantina</t>
        </is>
      </c>
      <c r="O6518" t="n">
        <v>1</v>
      </c>
      <c r="P6518" t="n">
        <v>11</v>
      </c>
      <c r="Q6518" t="n">
        <v>0</v>
      </c>
    </row>
    <row r="6519">
      <c r="J6519" t="inlineStr">
        <is>
          <t>A</t>
        </is>
      </c>
      <c r="K6519" t="n">
        <v>2026</v>
      </c>
      <c r="L6519" t="n">
        <v>1</v>
      </c>
      <c r="M6519" t="inlineStr">
        <is>
          <t>Requeijão Pizzalet 1,8 kg</t>
        </is>
      </c>
      <c r="N6519" t="inlineStr">
        <is>
          <t>Pastelaria</t>
        </is>
      </c>
      <c r="O6519" t="n">
        <v>3</v>
      </c>
      <c r="P6519" t="n">
        <v>7</v>
      </c>
      <c r="Q6519" t="n">
        <v>0</v>
      </c>
    </row>
    <row r="6520">
      <c r="J6520" t="inlineStr">
        <is>
          <t>M</t>
        </is>
      </c>
      <c r="K6520" t="n">
        <v>2026</v>
      </c>
      <c r="L6520" t="n">
        <v>1</v>
      </c>
      <c r="M6520" t="inlineStr">
        <is>
          <t>Requeijão Pizzalet 1,8 kg</t>
        </is>
      </c>
      <c r="N6520" t="inlineStr">
        <is>
          <t>Pastelaria</t>
        </is>
      </c>
      <c r="O6520" t="n">
        <v>3</v>
      </c>
      <c r="P6520" t="n">
        <v>7</v>
      </c>
      <c r="Q6520" t="n">
        <v>0</v>
      </c>
    </row>
    <row r="6521">
      <c r="J6521" t="inlineStr">
        <is>
          <t>A</t>
        </is>
      </c>
      <c r="K6521" t="n">
        <v>2026</v>
      </c>
      <c r="L6521" t="n">
        <v>2</v>
      </c>
      <c r="M6521" t="inlineStr">
        <is>
          <t>Requeijão Pizzalet 1,8 kg</t>
        </is>
      </c>
      <c r="N6521" t="inlineStr">
        <is>
          <t>Pastelaria</t>
        </is>
      </c>
      <c r="O6521" t="n">
        <v>3</v>
      </c>
      <c r="P6521" t="n">
        <v>14</v>
      </c>
      <c r="Q6521" t="n">
        <v>0</v>
      </c>
    </row>
    <row r="6522">
      <c r="J6522" t="inlineStr">
        <is>
          <t>M</t>
        </is>
      </c>
      <c r="K6522" t="n">
        <v>2026</v>
      </c>
      <c r="L6522" t="n">
        <v>2</v>
      </c>
      <c r="M6522" t="inlineStr">
        <is>
          <t>Requeijão Pizzalet 1,8 kg</t>
        </is>
      </c>
      <c r="N6522" t="inlineStr">
        <is>
          <t>Pastelaria</t>
        </is>
      </c>
      <c r="O6522" t="n">
        <v>3</v>
      </c>
      <c r="P6522" t="n">
        <v>7</v>
      </c>
      <c r="Q6522" t="n">
        <v>0</v>
      </c>
    </row>
    <row r="6523">
      <c r="J6523" t="inlineStr">
        <is>
          <t>A</t>
        </is>
      </c>
      <c r="K6523" t="n">
        <v>2026</v>
      </c>
      <c r="L6523" t="n">
        <v>3</v>
      </c>
      <c r="M6523" t="inlineStr">
        <is>
          <t>Requeijão Pizzalet 1,8 kg</t>
        </is>
      </c>
      <c r="N6523" t="inlineStr">
        <is>
          <t>Pastelaria</t>
        </is>
      </c>
      <c r="O6523" t="n">
        <v>3</v>
      </c>
      <c r="P6523" t="n">
        <v>24</v>
      </c>
      <c r="Q6523" t="n">
        <v>0</v>
      </c>
    </row>
    <row r="6524">
      <c r="J6524" t="inlineStr">
        <is>
          <t>M</t>
        </is>
      </c>
      <c r="K6524" t="n">
        <v>2026</v>
      </c>
      <c r="L6524" t="n">
        <v>3</v>
      </c>
      <c r="M6524" t="inlineStr">
        <is>
          <t>Requeijão Pizzalet 1,8 kg</t>
        </is>
      </c>
      <c r="N6524" t="inlineStr">
        <is>
          <t>Pastelaria</t>
        </is>
      </c>
      <c r="O6524" t="n">
        <v>3</v>
      </c>
      <c r="P6524" t="n">
        <v>10</v>
      </c>
      <c r="Q6524" t="n">
        <v>0</v>
      </c>
    </row>
    <row r="6525">
      <c r="J6525" t="inlineStr">
        <is>
          <t>A</t>
        </is>
      </c>
      <c r="K6525" t="n">
        <v>2026</v>
      </c>
      <c r="L6525" t="n">
        <v>4</v>
      </c>
      <c r="M6525" t="inlineStr">
        <is>
          <t>Requeijão Pizzalet 1,8 kg</t>
        </is>
      </c>
      <c r="N6525" t="inlineStr">
        <is>
          <t>Pastelaria</t>
        </is>
      </c>
      <c r="O6525" t="n">
        <v>3</v>
      </c>
      <c r="P6525" t="n">
        <v>34</v>
      </c>
      <c r="Q6525" t="n">
        <v>0</v>
      </c>
    </row>
    <row r="6526">
      <c r="J6526" t="inlineStr">
        <is>
          <t>M</t>
        </is>
      </c>
      <c r="K6526" t="n">
        <v>2026</v>
      </c>
      <c r="L6526" t="n">
        <v>4</v>
      </c>
      <c r="M6526" t="inlineStr">
        <is>
          <t>Requeijão Pizzalet 1,8 kg</t>
        </is>
      </c>
      <c r="N6526" t="inlineStr">
        <is>
          <t>Pastelaria</t>
        </is>
      </c>
      <c r="O6526" t="n">
        <v>3</v>
      </c>
      <c r="P6526" t="n">
        <v>10</v>
      </c>
      <c r="Q6526" t="n">
        <v>0</v>
      </c>
    </row>
    <row r="6527">
      <c r="J6527" t="inlineStr">
        <is>
          <t>A</t>
        </is>
      </c>
      <c r="K6527" t="n">
        <v>2026</v>
      </c>
      <c r="L6527" t="n">
        <v>5</v>
      </c>
      <c r="M6527" t="inlineStr">
        <is>
          <t>Requeijão Pizzalet 1,8 kg</t>
        </is>
      </c>
      <c r="N6527" t="inlineStr">
        <is>
          <t>Pastelaria</t>
        </is>
      </c>
      <c r="O6527" t="n">
        <v>3</v>
      </c>
      <c r="P6527" t="n">
        <v>42</v>
      </c>
      <c r="Q6527" t="n">
        <v>0</v>
      </c>
    </row>
    <row r="6528">
      <c r="J6528" t="inlineStr">
        <is>
          <t>M</t>
        </is>
      </c>
      <c r="K6528" t="n">
        <v>2026</v>
      </c>
      <c r="L6528" t="n">
        <v>5</v>
      </c>
      <c r="M6528" t="inlineStr">
        <is>
          <t>Requeijão Pizzalet 1,8 kg</t>
        </is>
      </c>
      <c r="N6528" t="inlineStr">
        <is>
          <t>Pastelaria</t>
        </is>
      </c>
      <c r="O6528" t="n">
        <v>3</v>
      </c>
      <c r="P6528" t="n">
        <v>8</v>
      </c>
      <c r="Q6528" t="n">
        <v>0</v>
      </c>
    </row>
    <row r="6529">
      <c r="J6529" t="inlineStr">
        <is>
          <t>A</t>
        </is>
      </c>
      <c r="K6529" t="n">
        <v>2026</v>
      </c>
      <c r="L6529" t="n">
        <v>6</v>
      </c>
      <c r="M6529" t="inlineStr">
        <is>
          <t>Requeijão Pizzalet 1,8 kg</t>
        </is>
      </c>
      <c r="N6529" t="inlineStr">
        <is>
          <t>Pastelaria</t>
        </is>
      </c>
      <c r="O6529" t="n">
        <v>3</v>
      </c>
      <c r="P6529" t="n">
        <v>47</v>
      </c>
      <c r="Q6529" t="n">
        <v>0</v>
      </c>
    </row>
    <row r="6530">
      <c r="J6530" t="inlineStr">
        <is>
          <t>M</t>
        </is>
      </c>
      <c r="K6530" t="n">
        <v>2026</v>
      </c>
      <c r="L6530" t="n">
        <v>6</v>
      </c>
      <c r="M6530" t="inlineStr">
        <is>
          <t>Requeijão Pizzalet 1,8 kg</t>
        </is>
      </c>
      <c r="N6530" t="inlineStr">
        <is>
          <t>Pastelaria</t>
        </is>
      </c>
      <c r="O6530" t="n">
        <v>2</v>
      </c>
      <c r="P6530" t="n">
        <v>5</v>
      </c>
      <c r="Q6530" t="n">
        <v>0</v>
      </c>
    </row>
    <row r="6531">
      <c r="J6531" t="inlineStr">
        <is>
          <t>A</t>
        </is>
      </c>
      <c r="K6531" t="n">
        <v>2026</v>
      </c>
      <c r="L6531" t="n">
        <v>7</v>
      </c>
      <c r="M6531" t="inlineStr">
        <is>
          <t>Requeijão Pizzalet 1,8 kg</t>
        </is>
      </c>
      <c r="N6531" t="inlineStr">
        <is>
          <t>Pastelaria</t>
        </is>
      </c>
      <c r="O6531" t="n">
        <v>3</v>
      </c>
      <c r="P6531" t="n">
        <v>50</v>
      </c>
      <c r="Q6531" t="n">
        <v>0</v>
      </c>
    </row>
    <row r="6532">
      <c r="J6532" t="inlineStr">
        <is>
          <t>M</t>
        </is>
      </c>
      <c r="K6532" t="n">
        <v>2026</v>
      </c>
      <c r="L6532" t="n">
        <v>7</v>
      </c>
      <c r="M6532" t="inlineStr">
        <is>
          <t>Requeijão Pizzalet 1,8 kg</t>
        </is>
      </c>
      <c r="N6532" t="inlineStr">
        <is>
          <t>Pastelaria</t>
        </is>
      </c>
      <c r="O6532" t="n">
        <v>1</v>
      </c>
      <c r="P6532" t="n">
        <v>3</v>
      </c>
      <c r="Q6532" t="n">
        <v>0</v>
      </c>
    </row>
    <row r="6533">
      <c r="J6533" t="inlineStr">
        <is>
          <t>A</t>
        </is>
      </c>
      <c r="K6533" t="n">
        <v>2026</v>
      </c>
      <c r="L6533" t="n">
        <v>8</v>
      </c>
      <c r="M6533" t="inlineStr">
        <is>
          <t>Requeijão Pizzalet 1,8 kg</t>
        </is>
      </c>
      <c r="N6533" t="inlineStr">
        <is>
          <t>Pastelaria</t>
        </is>
      </c>
      <c r="O6533" t="n">
        <v>3</v>
      </c>
      <c r="P6533" t="n">
        <v>56</v>
      </c>
      <c r="Q6533" t="n">
        <v>0</v>
      </c>
    </row>
    <row r="6534">
      <c r="J6534" t="inlineStr">
        <is>
          <t>M</t>
        </is>
      </c>
      <c r="K6534" t="n">
        <v>2026</v>
      </c>
      <c r="L6534" t="n">
        <v>8</v>
      </c>
      <c r="M6534" t="inlineStr">
        <is>
          <t>Requeijão Pizzalet 1,8 kg</t>
        </is>
      </c>
      <c r="N6534" t="inlineStr">
        <is>
          <t>Pastelaria</t>
        </is>
      </c>
      <c r="O6534" t="n">
        <v>2</v>
      </c>
      <c r="P6534" t="n">
        <v>6</v>
      </c>
      <c r="Q6534" t="n">
        <v>0</v>
      </c>
    </row>
    <row r="6535">
      <c r="J6535" t="inlineStr">
        <is>
          <t>A</t>
        </is>
      </c>
      <c r="K6535" t="n">
        <v>2026</v>
      </c>
      <c r="L6535" t="n">
        <v>9</v>
      </c>
      <c r="M6535" t="inlineStr">
        <is>
          <t>Requeijão Pizzalet 1,8 kg</t>
        </is>
      </c>
      <c r="N6535" t="inlineStr">
        <is>
          <t>Pastelaria</t>
        </is>
      </c>
      <c r="O6535" t="n">
        <v>3</v>
      </c>
      <c r="P6535" t="n">
        <v>56</v>
      </c>
      <c r="Q6535" t="n">
        <v>0</v>
      </c>
    </row>
    <row r="6536">
      <c r="J6536" t="inlineStr">
        <is>
          <t>A</t>
        </is>
      </c>
      <c r="K6536" t="n">
        <v>2026</v>
      </c>
      <c r="L6536" t="n">
        <v>10</v>
      </c>
      <c r="M6536" t="inlineStr">
        <is>
          <t>Requeijão Pizzalet 1,8 kg</t>
        </is>
      </c>
      <c r="N6536" t="inlineStr">
        <is>
          <t>Pastelaria</t>
        </is>
      </c>
      <c r="O6536" t="n">
        <v>3</v>
      </c>
      <c r="P6536" t="n">
        <v>56</v>
      </c>
      <c r="Q6536" t="n">
        <v>0</v>
      </c>
    </row>
    <row r="6537">
      <c r="J6537" t="inlineStr">
        <is>
          <t>A</t>
        </is>
      </c>
      <c r="K6537" t="n">
        <v>2026</v>
      </c>
      <c r="L6537" t="n">
        <v>11</v>
      </c>
      <c r="M6537" t="inlineStr">
        <is>
          <t>Requeijão Pizzalet 1,8 kg</t>
        </is>
      </c>
      <c r="N6537" t="inlineStr">
        <is>
          <t>Pastelaria</t>
        </is>
      </c>
      <c r="O6537" t="n">
        <v>3</v>
      </c>
      <c r="P6537" t="n">
        <v>56</v>
      </c>
      <c r="Q6537" t="n">
        <v>0</v>
      </c>
    </row>
    <row r="6538">
      <c r="J6538" t="inlineStr">
        <is>
          <t>A</t>
        </is>
      </c>
      <c r="K6538" t="n">
        <v>2026</v>
      </c>
      <c r="L6538" t="n">
        <v>12</v>
      </c>
      <c r="M6538" t="inlineStr">
        <is>
          <t>Requeijão Pizzalet 1,8 kg</t>
        </is>
      </c>
      <c r="N6538" t="inlineStr">
        <is>
          <t>Pastelaria</t>
        </is>
      </c>
      <c r="O6538" t="n">
        <v>3</v>
      </c>
      <c r="P6538" t="n">
        <v>56</v>
      </c>
      <c r="Q6538" t="n">
        <v>0</v>
      </c>
    </row>
    <row r="6539">
      <c r="J6539" t="inlineStr">
        <is>
          <t>A</t>
        </is>
      </c>
      <c r="K6539" t="n">
        <v>2026</v>
      </c>
      <c r="L6539" t="n">
        <v>1</v>
      </c>
      <c r="M6539" t="inlineStr">
        <is>
          <t>Requeijão Pizzalet 1,8 kg</t>
        </is>
      </c>
      <c r="N6539" t="inlineStr">
        <is>
          <t>Lanchonete / Cafeteria</t>
        </is>
      </c>
      <c r="O6539" t="n">
        <v>5</v>
      </c>
      <c r="P6539" t="n">
        <v>8</v>
      </c>
      <c r="Q6539" t="n">
        <v>1</v>
      </c>
    </row>
    <row r="6540">
      <c r="J6540" t="inlineStr">
        <is>
          <t>M</t>
        </is>
      </c>
      <c r="K6540" t="n">
        <v>2026</v>
      </c>
      <c r="L6540" t="n">
        <v>1</v>
      </c>
      <c r="M6540" t="inlineStr">
        <is>
          <t>Requeijão Pizzalet 1,8 kg</t>
        </is>
      </c>
      <c r="N6540" t="inlineStr">
        <is>
          <t>Lanchonete / Cafeteria</t>
        </is>
      </c>
      <c r="O6540" t="n">
        <v>5</v>
      </c>
      <c r="P6540" t="n">
        <v>8</v>
      </c>
      <c r="Q6540" t="n">
        <v>0</v>
      </c>
    </row>
    <row r="6541">
      <c r="J6541" t="inlineStr">
        <is>
          <t>A</t>
        </is>
      </c>
      <c r="K6541" t="n">
        <v>2026</v>
      </c>
      <c r="L6541" t="n">
        <v>2</v>
      </c>
      <c r="M6541" t="inlineStr">
        <is>
          <t>Requeijão Pizzalet 1,8 kg</t>
        </is>
      </c>
      <c r="N6541" t="inlineStr">
        <is>
          <t>Lanchonete / Cafeteria</t>
        </is>
      </c>
      <c r="O6541" t="n">
        <v>6</v>
      </c>
      <c r="P6541" t="n">
        <v>13</v>
      </c>
      <c r="Q6541" t="n">
        <v>1</v>
      </c>
    </row>
    <row r="6542">
      <c r="J6542" t="inlineStr">
        <is>
          <t>M</t>
        </is>
      </c>
      <c r="K6542" t="n">
        <v>2026</v>
      </c>
      <c r="L6542" t="n">
        <v>2</v>
      </c>
      <c r="M6542" t="inlineStr">
        <is>
          <t>Requeijão Pizzalet 1,8 kg</t>
        </is>
      </c>
      <c r="N6542" t="inlineStr">
        <is>
          <t>Lanchonete / Cafeteria</t>
        </is>
      </c>
      <c r="O6542" t="n">
        <v>4</v>
      </c>
      <c r="P6542" t="n">
        <v>5</v>
      </c>
      <c r="Q6542" t="n">
        <v>0</v>
      </c>
    </row>
    <row r="6543">
      <c r="J6543" t="inlineStr">
        <is>
          <t>A</t>
        </is>
      </c>
      <c r="K6543" t="n">
        <v>2026</v>
      </c>
      <c r="L6543" t="n">
        <v>3</v>
      </c>
      <c r="M6543" t="inlineStr">
        <is>
          <t>Requeijão Pizzalet 1,8 kg</t>
        </is>
      </c>
      <c r="N6543" t="inlineStr">
        <is>
          <t>Lanchonete / Cafeteria</t>
        </is>
      </c>
      <c r="O6543" t="n">
        <v>6</v>
      </c>
      <c r="P6543" t="n">
        <v>23</v>
      </c>
      <c r="Q6543" t="n">
        <v>1</v>
      </c>
    </row>
    <row r="6544">
      <c r="J6544" t="inlineStr">
        <is>
          <t>M</t>
        </is>
      </c>
      <c r="K6544" t="n">
        <v>2026</v>
      </c>
      <c r="L6544" t="n">
        <v>3</v>
      </c>
      <c r="M6544" t="inlineStr">
        <is>
          <t>Requeijão Pizzalet 1,8 kg</t>
        </is>
      </c>
      <c r="N6544" t="inlineStr">
        <is>
          <t>Lanchonete / Cafeteria</t>
        </is>
      </c>
      <c r="O6544" t="n">
        <v>5</v>
      </c>
      <c r="P6544" t="n">
        <v>10</v>
      </c>
      <c r="Q6544" t="n">
        <v>0</v>
      </c>
    </row>
    <row r="6545">
      <c r="J6545" t="inlineStr">
        <is>
          <t>A</t>
        </is>
      </c>
      <c r="K6545" t="n">
        <v>2026</v>
      </c>
      <c r="L6545" t="n">
        <v>4</v>
      </c>
      <c r="M6545" t="inlineStr">
        <is>
          <t>Requeijão Pizzalet 1,8 kg</t>
        </is>
      </c>
      <c r="N6545" t="inlineStr">
        <is>
          <t>Lanchonete / Cafeteria</t>
        </is>
      </c>
      <c r="O6545" t="n">
        <v>7</v>
      </c>
      <c r="P6545" t="n">
        <v>31</v>
      </c>
      <c r="Q6545" t="n">
        <v>1</v>
      </c>
    </row>
    <row r="6546">
      <c r="J6546" t="inlineStr">
        <is>
          <t>M</t>
        </is>
      </c>
      <c r="K6546" t="n">
        <v>2026</v>
      </c>
      <c r="L6546" t="n">
        <v>4</v>
      </c>
      <c r="M6546" t="inlineStr">
        <is>
          <t>Requeijão Pizzalet 1,8 kg</t>
        </is>
      </c>
      <c r="N6546" t="inlineStr">
        <is>
          <t>Lanchonete / Cafeteria</t>
        </is>
      </c>
      <c r="O6546" t="n">
        <v>4</v>
      </c>
      <c r="P6546" t="n">
        <v>8</v>
      </c>
      <c r="Q6546" t="n">
        <v>0</v>
      </c>
    </row>
    <row r="6547">
      <c r="J6547" t="inlineStr">
        <is>
          <t>A</t>
        </is>
      </c>
      <c r="K6547" t="n">
        <v>2026</v>
      </c>
      <c r="L6547" t="n">
        <v>5</v>
      </c>
      <c r="M6547" t="inlineStr">
        <is>
          <t>Requeijão Pizzalet 1,8 kg</t>
        </is>
      </c>
      <c r="N6547" t="inlineStr">
        <is>
          <t>Lanchonete / Cafeteria</t>
        </is>
      </c>
      <c r="O6547" t="n">
        <v>7</v>
      </c>
      <c r="P6547" t="n">
        <v>37</v>
      </c>
      <c r="Q6547" t="n">
        <v>1</v>
      </c>
    </row>
    <row r="6548">
      <c r="J6548" t="inlineStr">
        <is>
          <t>M</t>
        </is>
      </c>
      <c r="K6548" t="n">
        <v>2026</v>
      </c>
      <c r="L6548" t="n">
        <v>5</v>
      </c>
      <c r="M6548" t="inlineStr">
        <is>
          <t>Requeijão Pizzalet 1,8 kg</t>
        </is>
      </c>
      <c r="N6548" t="inlineStr">
        <is>
          <t>Lanchonete / Cafeteria</t>
        </is>
      </c>
      <c r="O6548" t="n">
        <v>3</v>
      </c>
      <c r="P6548" t="n">
        <v>6</v>
      </c>
      <c r="Q6548" t="n">
        <v>0</v>
      </c>
    </row>
    <row r="6549">
      <c r="J6549" t="inlineStr">
        <is>
          <t>A</t>
        </is>
      </c>
      <c r="K6549" t="n">
        <v>2026</v>
      </c>
      <c r="L6549" t="n">
        <v>6</v>
      </c>
      <c r="M6549" t="inlineStr">
        <is>
          <t>Requeijão Pizzalet 1,8 kg</t>
        </is>
      </c>
      <c r="N6549" t="inlineStr">
        <is>
          <t>Lanchonete / Cafeteria</t>
        </is>
      </c>
      <c r="O6549" t="n">
        <v>8</v>
      </c>
      <c r="P6549" t="n">
        <v>49</v>
      </c>
      <c r="Q6549" t="n">
        <v>2</v>
      </c>
    </row>
    <row r="6550">
      <c r="J6550" t="inlineStr">
        <is>
          <t>M</t>
        </is>
      </c>
      <c r="K6550" t="n">
        <v>2026</v>
      </c>
      <c r="L6550" t="n">
        <v>6</v>
      </c>
      <c r="M6550" t="inlineStr">
        <is>
          <t>Requeijão Pizzalet 1,8 kg</t>
        </is>
      </c>
      <c r="N6550" t="inlineStr">
        <is>
          <t>Lanchonete / Cafeteria</t>
        </is>
      </c>
      <c r="O6550" t="n">
        <v>5</v>
      </c>
      <c r="P6550" t="n">
        <v>12</v>
      </c>
      <c r="Q6550" t="n">
        <v>0</v>
      </c>
    </row>
    <row r="6551">
      <c r="J6551" t="inlineStr">
        <is>
          <t>A</t>
        </is>
      </c>
      <c r="K6551" t="n">
        <v>2026</v>
      </c>
      <c r="L6551" t="n">
        <v>7</v>
      </c>
      <c r="M6551" t="inlineStr">
        <is>
          <t>Requeijão Pizzalet 1,8 kg</t>
        </is>
      </c>
      <c r="N6551" t="inlineStr">
        <is>
          <t>Lanchonete / Cafeteria</t>
        </is>
      </c>
      <c r="O6551" t="n">
        <v>8</v>
      </c>
      <c r="P6551" t="n">
        <v>59</v>
      </c>
      <c r="Q6551" t="n">
        <v>2</v>
      </c>
    </row>
    <row r="6552">
      <c r="J6552" t="inlineStr">
        <is>
          <t>M</t>
        </is>
      </c>
      <c r="K6552" t="n">
        <v>2026</v>
      </c>
      <c r="L6552" t="n">
        <v>7</v>
      </c>
      <c r="M6552" t="inlineStr">
        <is>
          <t>Requeijão Pizzalet 1,8 kg</t>
        </is>
      </c>
      <c r="N6552" t="inlineStr">
        <is>
          <t>Lanchonete / Cafeteria</t>
        </is>
      </c>
      <c r="O6552" t="n">
        <v>4</v>
      </c>
      <c r="P6552" t="n">
        <v>10</v>
      </c>
      <c r="Q6552" t="n">
        <v>0</v>
      </c>
    </row>
    <row r="6553">
      <c r="J6553" t="inlineStr">
        <is>
          <t>A</t>
        </is>
      </c>
      <c r="K6553" t="n">
        <v>2026</v>
      </c>
      <c r="L6553" t="n">
        <v>8</v>
      </c>
      <c r="M6553" t="inlineStr">
        <is>
          <t>Requeijão Pizzalet 1,8 kg</t>
        </is>
      </c>
      <c r="N6553" t="inlineStr">
        <is>
          <t>Lanchonete / Cafeteria</t>
        </is>
      </c>
      <c r="O6553" t="n">
        <v>8</v>
      </c>
      <c r="P6553" t="n">
        <v>67</v>
      </c>
      <c r="Q6553" t="n">
        <v>2</v>
      </c>
    </row>
    <row r="6554">
      <c r="J6554" t="inlineStr">
        <is>
          <t>M</t>
        </is>
      </c>
      <c r="K6554" t="n">
        <v>2026</v>
      </c>
      <c r="L6554" t="n">
        <v>8</v>
      </c>
      <c r="M6554" t="inlineStr">
        <is>
          <t>Requeijão Pizzalet 1,8 kg</t>
        </is>
      </c>
      <c r="N6554" t="inlineStr">
        <is>
          <t>Lanchonete / Cafeteria</t>
        </is>
      </c>
      <c r="O6554" t="n">
        <v>4</v>
      </c>
      <c r="P6554" t="n">
        <v>8</v>
      </c>
      <c r="Q6554" t="n">
        <v>0</v>
      </c>
    </row>
    <row r="6555">
      <c r="J6555" t="inlineStr">
        <is>
          <t>A</t>
        </is>
      </c>
      <c r="K6555" t="n">
        <v>2026</v>
      </c>
      <c r="L6555" t="n">
        <v>9</v>
      </c>
      <c r="M6555" t="inlineStr">
        <is>
          <t>Requeijão Pizzalet 1,8 kg</t>
        </is>
      </c>
      <c r="N6555" t="inlineStr">
        <is>
          <t>Lanchonete / Cafeteria</t>
        </is>
      </c>
      <c r="O6555" t="n">
        <v>8</v>
      </c>
      <c r="P6555" t="n">
        <v>67</v>
      </c>
      <c r="Q6555" t="n">
        <v>2</v>
      </c>
    </row>
    <row r="6556">
      <c r="J6556" t="inlineStr">
        <is>
          <t>A</t>
        </is>
      </c>
      <c r="K6556" t="n">
        <v>2026</v>
      </c>
      <c r="L6556" t="n">
        <v>10</v>
      </c>
      <c r="M6556" t="inlineStr">
        <is>
          <t>Requeijão Pizzalet 1,8 kg</t>
        </is>
      </c>
      <c r="N6556" t="inlineStr">
        <is>
          <t>Lanchonete / Cafeteria</t>
        </is>
      </c>
      <c r="O6556" t="n">
        <v>8</v>
      </c>
      <c r="P6556" t="n">
        <v>67</v>
      </c>
      <c r="Q6556" t="n">
        <v>2</v>
      </c>
    </row>
    <row r="6557">
      <c r="J6557" t="inlineStr">
        <is>
          <t>A</t>
        </is>
      </c>
      <c r="K6557" t="n">
        <v>2026</v>
      </c>
      <c r="L6557" t="n">
        <v>11</v>
      </c>
      <c r="M6557" t="inlineStr">
        <is>
          <t>Requeijão Pizzalet 1,8 kg</t>
        </is>
      </c>
      <c r="N6557" t="inlineStr">
        <is>
          <t>Lanchonete / Cafeteria</t>
        </is>
      </c>
      <c r="O6557" t="n">
        <v>8</v>
      </c>
      <c r="P6557" t="n">
        <v>67</v>
      </c>
      <c r="Q6557" t="n">
        <v>2</v>
      </c>
    </row>
    <row r="6558">
      <c r="J6558" t="inlineStr">
        <is>
          <t>A</t>
        </is>
      </c>
      <c r="K6558" t="n">
        <v>2026</v>
      </c>
      <c r="L6558" t="n">
        <v>12</v>
      </c>
      <c r="M6558" t="inlineStr">
        <is>
          <t>Requeijão Pizzalet 1,8 kg</t>
        </is>
      </c>
      <c r="N6558" t="inlineStr">
        <is>
          <t>Lanchonete / Cafeteria</t>
        </is>
      </c>
      <c r="O6558" t="n">
        <v>8</v>
      </c>
      <c r="P6558" t="n">
        <v>67</v>
      </c>
      <c r="Q6558" t="n">
        <v>2</v>
      </c>
    </row>
    <row r="6559">
      <c r="J6559" t="inlineStr">
        <is>
          <t>A</t>
        </is>
      </c>
      <c r="K6559" t="n">
        <v>2026</v>
      </c>
      <c r="L6559" t="n">
        <v>2</v>
      </c>
      <c r="M6559" t="inlineStr">
        <is>
          <t>Requeijão Pizzalet 1,8 kg</t>
        </is>
      </c>
      <c r="N6559" t="inlineStr">
        <is>
          <t>Bar / Chopperia</t>
        </is>
      </c>
      <c r="O6559" t="n">
        <v>1</v>
      </c>
      <c r="P6559" t="n">
        <v>1</v>
      </c>
      <c r="Q6559" t="n">
        <v>0</v>
      </c>
    </row>
    <row r="6560">
      <c r="J6560" t="inlineStr">
        <is>
          <t>M</t>
        </is>
      </c>
      <c r="K6560" t="n">
        <v>2026</v>
      </c>
      <c r="L6560" t="n">
        <v>2</v>
      </c>
      <c r="M6560" t="inlineStr">
        <is>
          <t>Requeijão Pizzalet 1,8 kg</t>
        </is>
      </c>
      <c r="N6560" t="inlineStr">
        <is>
          <t>Bar / Chopperia</t>
        </is>
      </c>
      <c r="O6560" t="n">
        <v>1</v>
      </c>
      <c r="P6560" t="n">
        <v>1</v>
      </c>
      <c r="Q6560" t="n">
        <v>0</v>
      </c>
    </row>
    <row r="6561">
      <c r="J6561" t="inlineStr">
        <is>
          <t>A</t>
        </is>
      </c>
      <c r="K6561" t="n">
        <v>2026</v>
      </c>
      <c r="L6561" t="n">
        <v>3</v>
      </c>
      <c r="M6561" t="inlineStr">
        <is>
          <t>Requeijão Pizzalet 1,8 kg</t>
        </is>
      </c>
      <c r="N6561" t="inlineStr">
        <is>
          <t>Bar / Chopperia</t>
        </is>
      </c>
      <c r="O6561" t="n">
        <v>1</v>
      </c>
      <c r="P6561" t="n">
        <v>3</v>
      </c>
      <c r="Q6561" t="n">
        <v>0</v>
      </c>
    </row>
    <row r="6562">
      <c r="J6562" t="inlineStr">
        <is>
          <t>M</t>
        </is>
      </c>
      <c r="K6562" t="n">
        <v>2026</v>
      </c>
      <c r="L6562" t="n">
        <v>3</v>
      </c>
      <c r="M6562" t="inlineStr">
        <is>
          <t>Requeijão Pizzalet 1,8 kg</t>
        </is>
      </c>
      <c r="N6562" t="inlineStr">
        <is>
          <t>Bar / Chopperia</t>
        </is>
      </c>
      <c r="O6562" t="n">
        <v>1</v>
      </c>
      <c r="P6562" t="n">
        <v>2</v>
      </c>
      <c r="Q6562" t="n">
        <v>0</v>
      </c>
    </row>
    <row r="6563">
      <c r="J6563" t="inlineStr">
        <is>
          <t>A</t>
        </is>
      </c>
      <c r="K6563" t="n">
        <v>2026</v>
      </c>
      <c r="L6563" t="n">
        <v>4</v>
      </c>
      <c r="M6563" t="inlineStr">
        <is>
          <t>Requeijão Pizzalet 1,8 kg</t>
        </is>
      </c>
      <c r="N6563" t="inlineStr">
        <is>
          <t>Bar / Chopperia</t>
        </is>
      </c>
      <c r="O6563" t="n">
        <v>1</v>
      </c>
      <c r="P6563" t="n">
        <v>7</v>
      </c>
      <c r="Q6563" t="n">
        <v>0</v>
      </c>
    </row>
    <row r="6564">
      <c r="J6564" t="inlineStr">
        <is>
          <t>M</t>
        </is>
      </c>
      <c r="K6564" t="n">
        <v>2026</v>
      </c>
      <c r="L6564" t="n">
        <v>4</v>
      </c>
      <c r="M6564" t="inlineStr">
        <is>
          <t>Requeijão Pizzalet 1,8 kg</t>
        </is>
      </c>
      <c r="N6564" t="inlineStr">
        <is>
          <t>Bar / Chopperia</t>
        </is>
      </c>
      <c r="O6564" t="n">
        <v>1</v>
      </c>
      <c r="P6564" t="n">
        <v>4</v>
      </c>
      <c r="Q6564" t="n">
        <v>0</v>
      </c>
    </row>
    <row r="6565">
      <c r="J6565" t="inlineStr">
        <is>
          <t>A</t>
        </is>
      </c>
      <c r="K6565" t="n">
        <v>2026</v>
      </c>
      <c r="L6565" t="n">
        <v>5</v>
      </c>
      <c r="M6565" t="inlineStr">
        <is>
          <t>Requeijão Pizzalet 1,8 kg</t>
        </is>
      </c>
      <c r="N6565" t="inlineStr">
        <is>
          <t>Bar / Chopperia</t>
        </is>
      </c>
      <c r="O6565" t="n">
        <v>1</v>
      </c>
      <c r="P6565" t="n">
        <v>8</v>
      </c>
      <c r="Q6565" t="n">
        <v>0</v>
      </c>
    </row>
    <row r="6566">
      <c r="J6566" t="inlineStr">
        <is>
          <t>M</t>
        </is>
      </c>
      <c r="K6566" t="n">
        <v>2026</v>
      </c>
      <c r="L6566" t="n">
        <v>5</v>
      </c>
      <c r="M6566" t="inlineStr">
        <is>
          <t>Requeijão Pizzalet 1,8 kg</t>
        </is>
      </c>
      <c r="N6566" t="inlineStr">
        <is>
          <t>Bar / Chopperia</t>
        </is>
      </c>
      <c r="O6566" t="n">
        <v>1</v>
      </c>
      <c r="P6566" t="n">
        <v>1</v>
      </c>
      <c r="Q6566" t="n">
        <v>0</v>
      </c>
    </row>
    <row r="6567">
      <c r="J6567" t="inlineStr">
        <is>
          <t>A</t>
        </is>
      </c>
      <c r="K6567" t="n">
        <v>2026</v>
      </c>
      <c r="L6567" t="n">
        <v>6</v>
      </c>
      <c r="M6567" t="inlineStr">
        <is>
          <t>Requeijão Pizzalet 1,8 kg</t>
        </is>
      </c>
      <c r="N6567" t="inlineStr">
        <is>
          <t>Bar / Chopperia</t>
        </is>
      </c>
      <c r="O6567" t="n">
        <v>1</v>
      </c>
      <c r="P6567" t="n">
        <v>10</v>
      </c>
      <c r="Q6567" t="n">
        <v>0</v>
      </c>
    </row>
    <row r="6568">
      <c r="J6568" t="inlineStr">
        <is>
          <t>M</t>
        </is>
      </c>
      <c r="K6568" t="n">
        <v>2026</v>
      </c>
      <c r="L6568" t="n">
        <v>6</v>
      </c>
      <c r="M6568" t="inlineStr">
        <is>
          <t>Requeijão Pizzalet 1,8 kg</t>
        </is>
      </c>
      <c r="N6568" t="inlineStr">
        <is>
          <t>Bar / Chopperia</t>
        </is>
      </c>
      <c r="O6568" t="n">
        <v>1</v>
      </c>
      <c r="P6568" t="n">
        <v>2</v>
      </c>
      <c r="Q6568" t="n">
        <v>0</v>
      </c>
    </row>
    <row r="6569">
      <c r="J6569" t="inlineStr">
        <is>
          <t>A</t>
        </is>
      </c>
      <c r="K6569" t="n">
        <v>2026</v>
      </c>
      <c r="L6569" t="n">
        <v>7</v>
      </c>
      <c r="M6569" t="inlineStr">
        <is>
          <t>Requeijão Pizzalet 1,8 kg</t>
        </is>
      </c>
      <c r="N6569" t="inlineStr">
        <is>
          <t>Bar / Chopperia</t>
        </is>
      </c>
      <c r="O6569" t="n">
        <v>1</v>
      </c>
      <c r="P6569" t="n">
        <v>13</v>
      </c>
      <c r="Q6569" t="n">
        <v>0</v>
      </c>
    </row>
    <row r="6570">
      <c r="J6570" t="inlineStr">
        <is>
          <t>M</t>
        </is>
      </c>
      <c r="K6570" t="n">
        <v>2026</v>
      </c>
      <c r="L6570" t="n">
        <v>7</v>
      </c>
      <c r="M6570" t="inlineStr">
        <is>
          <t>Requeijão Pizzalet 1,8 kg</t>
        </is>
      </c>
      <c r="N6570" t="inlineStr">
        <is>
          <t>Bar / Chopperia</t>
        </is>
      </c>
      <c r="O6570" t="n">
        <v>1</v>
      </c>
      <c r="P6570" t="n">
        <v>3</v>
      </c>
      <c r="Q6570" t="n">
        <v>0</v>
      </c>
    </row>
    <row r="6571">
      <c r="J6571" t="inlineStr">
        <is>
          <t>A</t>
        </is>
      </c>
      <c r="K6571" t="n">
        <v>2026</v>
      </c>
      <c r="L6571" t="n">
        <v>8</v>
      </c>
      <c r="M6571" t="inlineStr">
        <is>
          <t>Requeijão Pizzalet 1,8 kg</t>
        </is>
      </c>
      <c r="N6571" t="inlineStr">
        <is>
          <t>Bar / Chopperia</t>
        </is>
      </c>
      <c r="O6571" t="n">
        <v>1</v>
      </c>
      <c r="P6571" t="n">
        <v>14</v>
      </c>
      <c r="Q6571" t="n">
        <v>0</v>
      </c>
    </row>
    <row r="6572">
      <c r="J6572" t="inlineStr">
        <is>
          <t>M</t>
        </is>
      </c>
      <c r="K6572" t="n">
        <v>2026</v>
      </c>
      <c r="L6572" t="n">
        <v>8</v>
      </c>
      <c r="M6572" t="inlineStr">
        <is>
          <t>Requeijão Pizzalet 1,8 kg</t>
        </is>
      </c>
      <c r="N6572" t="inlineStr">
        <is>
          <t>Bar / Chopperia</t>
        </is>
      </c>
      <c r="O6572" t="n">
        <v>1</v>
      </c>
      <c r="P6572" t="n">
        <v>1</v>
      </c>
      <c r="Q6572" t="n">
        <v>0</v>
      </c>
    </row>
    <row r="6573">
      <c r="J6573" t="inlineStr">
        <is>
          <t>A</t>
        </is>
      </c>
      <c r="K6573" t="n">
        <v>2026</v>
      </c>
      <c r="L6573" t="n">
        <v>9</v>
      </c>
      <c r="M6573" t="inlineStr">
        <is>
          <t>Requeijão Pizzalet 1,8 kg</t>
        </is>
      </c>
      <c r="N6573" t="inlineStr">
        <is>
          <t>Bar / Chopperia</t>
        </is>
      </c>
      <c r="O6573" t="n">
        <v>1</v>
      </c>
      <c r="P6573" t="n">
        <v>14</v>
      </c>
      <c r="Q6573" t="n">
        <v>0</v>
      </c>
    </row>
    <row r="6574">
      <c r="J6574" t="inlineStr">
        <is>
          <t>A</t>
        </is>
      </c>
      <c r="K6574" t="n">
        <v>2026</v>
      </c>
      <c r="L6574" t="n">
        <v>10</v>
      </c>
      <c r="M6574" t="inlineStr">
        <is>
          <t>Requeijão Pizzalet 1,8 kg</t>
        </is>
      </c>
      <c r="N6574" t="inlineStr">
        <is>
          <t>Bar / Chopperia</t>
        </is>
      </c>
      <c r="O6574" t="n">
        <v>1</v>
      </c>
      <c r="P6574" t="n">
        <v>14</v>
      </c>
      <c r="Q6574" t="n">
        <v>0</v>
      </c>
    </row>
    <row r="6575">
      <c r="J6575" t="inlineStr">
        <is>
          <t>A</t>
        </is>
      </c>
      <c r="K6575" t="n">
        <v>2026</v>
      </c>
      <c r="L6575" t="n">
        <v>11</v>
      </c>
      <c r="M6575" t="inlineStr">
        <is>
          <t>Requeijão Pizzalet 1,8 kg</t>
        </is>
      </c>
      <c r="N6575" t="inlineStr">
        <is>
          <t>Bar / Chopperia</t>
        </is>
      </c>
      <c r="O6575" t="n">
        <v>1</v>
      </c>
      <c r="P6575" t="n">
        <v>14</v>
      </c>
      <c r="Q6575" t="n">
        <v>0</v>
      </c>
    </row>
    <row r="6576">
      <c r="J6576" t="inlineStr">
        <is>
          <t>A</t>
        </is>
      </c>
      <c r="K6576" t="n">
        <v>2026</v>
      </c>
      <c r="L6576" t="n">
        <v>12</v>
      </c>
      <c r="M6576" t="inlineStr">
        <is>
          <t>Requeijão Pizzalet 1,8 kg</t>
        </is>
      </c>
      <c r="N6576" t="inlineStr">
        <is>
          <t>Bar / Chopperia</t>
        </is>
      </c>
      <c r="O6576" t="n">
        <v>1</v>
      </c>
      <c r="P6576" t="n">
        <v>14</v>
      </c>
      <c r="Q6576" t="n">
        <v>0</v>
      </c>
    </row>
    <row r="6577">
      <c r="J6577" t="inlineStr">
        <is>
          <t>A</t>
        </is>
      </c>
      <c r="K6577" t="n">
        <v>2026</v>
      </c>
      <c r="L6577" t="n">
        <v>7</v>
      </c>
      <c r="M6577" t="inlineStr">
        <is>
          <t>Requeijão Pizzalet 1,8 kg</t>
        </is>
      </c>
      <c r="N6577" t="inlineStr">
        <is>
          <t>Churrascaria</t>
        </is>
      </c>
      <c r="O6577" t="n">
        <v>1</v>
      </c>
      <c r="P6577" t="n">
        <v>1</v>
      </c>
      <c r="Q6577" t="n">
        <v>0</v>
      </c>
    </row>
    <row r="6578">
      <c r="J6578" t="inlineStr">
        <is>
          <t>M</t>
        </is>
      </c>
      <c r="K6578" t="n">
        <v>2026</v>
      </c>
      <c r="L6578" t="n">
        <v>7</v>
      </c>
      <c r="M6578" t="inlineStr">
        <is>
          <t>Requeijão Pizzalet 1,8 kg</t>
        </is>
      </c>
      <c r="N6578" t="inlineStr">
        <is>
          <t>Churrascaria</t>
        </is>
      </c>
      <c r="O6578" t="n">
        <v>1</v>
      </c>
      <c r="P6578" t="n">
        <v>1</v>
      </c>
      <c r="Q6578" t="n">
        <v>0</v>
      </c>
    </row>
    <row r="6579">
      <c r="J6579" t="inlineStr">
        <is>
          <t>A</t>
        </is>
      </c>
      <c r="K6579" t="n">
        <v>2026</v>
      </c>
      <c r="L6579" t="n">
        <v>8</v>
      </c>
      <c r="M6579" t="inlineStr">
        <is>
          <t>Requeijão Pizzalet 1,8 kg</t>
        </is>
      </c>
      <c r="N6579" t="inlineStr">
        <is>
          <t>Churrascaria</t>
        </is>
      </c>
      <c r="O6579" t="n">
        <v>1</v>
      </c>
      <c r="P6579" t="n">
        <v>1</v>
      </c>
      <c r="Q6579" t="n">
        <v>0</v>
      </c>
    </row>
    <row r="6580">
      <c r="J6580" t="inlineStr">
        <is>
          <t>A</t>
        </is>
      </c>
      <c r="K6580" t="n">
        <v>2026</v>
      </c>
      <c r="L6580" t="n">
        <v>9</v>
      </c>
      <c r="M6580" t="inlineStr">
        <is>
          <t>Requeijão Pizzalet 1,8 kg</t>
        </is>
      </c>
      <c r="N6580" t="inlineStr">
        <is>
          <t>Churrascaria</t>
        </is>
      </c>
      <c r="O6580" t="n">
        <v>1</v>
      </c>
      <c r="P6580" t="n">
        <v>1</v>
      </c>
      <c r="Q6580" t="n">
        <v>0</v>
      </c>
    </row>
    <row r="6581">
      <c r="J6581" t="inlineStr">
        <is>
          <t>A</t>
        </is>
      </c>
      <c r="K6581" t="n">
        <v>2026</v>
      </c>
      <c r="L6581" t="n">
        <v>10</v>
      </c>
      <c r="M6581" t="inlineStr">
        <is>
          <t>Requeijão Pizzalet 1,8 kg</t>
        </is>
      </c>
      <c r="N6581" t="inlineStr">
        <is>
          <t>Churrascaria</t>
        </is>
      </c>
      <c r="O6581" t="n">
        <v>1</v>
      </c>
      <c r="P6581" t="n">
        <v>1</v>
      </c>
      <c r="Q6581" t="n">
        <v>0</v>
      </c>
    </row>
    <row r="6582">
      <c r="J6582" t="inlineStr">
        <is>
          <t>A</t>
        </is>
      </c>
      <c r="K6582" t="n">
        <v>2026</v>
      </c>
      <c r="L6582" t="n">
        <v>11</v>
      </c>
      <c r="M6582" t="inlineStr">
        <is>
          <t>Requeijão Pizzalet 1,8 kg</t>
        </is>
      </c>
      <c r="N6582" t="inlineStr">
        <is>
          <t>Churrascaria</t>
        </is>
      </c>
      <c r="O6582" t="n">
        <v>1</v>
      </c>
      <c r="P6582" t="n">
        <v>1</v>
      </c>
      <c r="Q6582" t="n">
        <v>0</v>
      </c>
    </row>
    <row r="6583">
      <c r="J6583" t="inlineStr">
        <is>
          <t>A</t>
        </is>
      </c>
      <c r="K6583" t="n">
        <v>2026</v>
      </c>
      <c r="L6583" t="n">
        <v>12</v>
      </c>
      <c r="M6583" t="inlineStr">
        <is>
          <t>Requeijão Pizzalet 1,8 kg</t>
        </is>
      </c>
      <c r="N6583" t="inlineStr">
        <is>
          <t>Churrascaria</t>
        </is>
      </c>
      <c r="O6583" t="n">
        <v>1</v>
      </c>
      <c r="P6583" t="n">
        <v>1</v>
      </c>
      <c r="Q6583" t="n">
        <v>0</v>
      </c>
    </row>
    <row r="6584">
      <c r="J6584" t="inlineStr">
        <is>
          <t>A</t>
        </is>
      </c>
      <c r="K6584" t="n">
        <v>2026</v>
      </c>
      <c r="L6584" t="n">
        <v>1</v>
      </c>
      <c r="M6584" t="inlineStr">
        <is>
          <t>Chocolate em pó 50% 1 kg</t>
        </is>
      </c>
      <c r="N6584" t="inlineStr">
        <is>
          <t>Todos</t>
        </is>
      </c>
      <c r="O6584" t="n">
        <v>63</v>
      </c>
      <c r="P6584" t="n">
        <v>82</v>
      </c>
      <c r="Q6584" t="n">
        <v>15</v>
      </c>
    </row>
    <row r="6585">
      <c r="J6585" t="inlineStr">
        <is>
          <t>M</t>
        </is>
      </c>
      <c r="K6585" t="n">
        <v>2026</v>
      </c>
      <c r="L6585" t="n">
        <v>1</v>
      </c>
      <c r="M6585" t="inlineStr">
        <is>
          <t>Chocolate em pó 50% 1 kg</t>
        </is>
      </c>
      <c r="N6585" t="inlineStr">
        <is>
          <t>Todos</t>
        </is>
      </c>
      <c r="O6585" t="n">
        <v>63</v>
      </c>
      <c r="P6585" t="n">
        <v>82</v>
      </c>
      <c r="Q6585" t="n">
        <v>0</v>
      </c>
    </row>
    <row r="6586">
      <c r="J6586" t="inlineStr">
        <is>
          <t>A</t>
        </is>
      </c>
      <c r="K6586" t="n">
        <v>2026</v>
      </c>
      <c r="L6586" t="n">
        <v>2</v>
      </c>
      <c r="M6586" t="inlineStr">
        <is>
          <t>Chocolate em pó 50% 1 kg</t>
        </is>
      </c>
      <c r="N6586" t="inlineStr">
        <is>
          <t>Todos</t>
        </is>
      </c>
      <c r="O6586" t="n">
        <v>107</v>
      </c>
      <c r="P6586" t="n">
        <v>182</v>
      </c>
      <c r="Q6586" t="n">
        <v>34</v>
      </c>
    </row>
    <row r="6587">
      <c r="J6587" t="inlineStr">
        <is>
          <t>M</t>
        </is>
      </c>
      <c r="K6587" t="n">
        <v>2026</v>
      </c>
      <c r="L6587" t="n">
        <v>2</v>
      </c>
      <c r="M6587" t="inlineStr">
        <is>
          <t>Chocolate em pó 50% 1 kg</t>
        </is>
      </c>
      <c r="N6587" t="inlineStr">
        <is>
          <t>Todos</t>
        </is>
      </c>
      <c r="O6587" t="n">
        <v>77</v>
      </c>
      <c r="P6587" t="n">
        <v>100</v>
      </c>
      <c r="Q6587" t="n">
        <v>0</v>
      </c>
    </row>
    <row r="6588">
      <c r="J6588" t="inlineStr">
        <is>
          <t>A</t>
        </is>
      </c>
      <c r="K6588" t="n">
        <v>2026</v>
      </c>
      <c r="L6588" t="n">
        <v>3</v>
      </c>
      <c r="M6588" t="inlineStr">
        <is>
          <t>Chocolate em pó 50% 1 kg</t>
        </is>
      </c>
      <c r="N6588" t="inlineStr">
        <is>
          <t>Todos</t>
        </is>
      </c>
      <c r="O6588" t="n">
        <v>153</v>
      </c>
      <c r="P6588" t="n">
        <v>314</v>
      </c>
      <c r="Q6588" t="n">
        <v>58</v>
      </c>
    </row>
    <row r="6589">
      <c r="J6589" t="inlineStr">
        <is>
          <t>M</t>
        </is>
      </c>
      <c r="K6589" t="n">
        <v>2026</v>
      </c>
      <c r="L6589" t="n">
        <v>3</v>
      </c>
      <c r="M6589" t="inlineStr">
        <is>
          <t>Chocolate em pó 50% 1 kg</t>
        </is>
      </c>
      <c r="N6589" t="inlineStr">
        <is>
          <t>Todos</t>
        </is>
      </c>
      <c r="O6589" t="n">
        <v>94</v>
      </c>
      <c r="P6589" t="n">
        <v>132</v>
      </c>
      <c r="Q6589" t="n">
        <v>0</v>
      </c>
    </row>
    <row r="6590">
      <c r="J6590" t="inlineStr">
        <is>
          <t>A</t>
        </is>
      </c>
      <c r="K6590" t="n">
        <v>2026</v>
      </c>
      <c r="L6590" t="n">
        <v>4</v>
      </c>
      <c r="M6590" t="inlineStr">
        <is>
          <t>Chocolate em pó 50% 1 kg</t>
        </is>
      </c>
      <c r="N6590" t="inlineStr">
        <is>
          <t>Todos</t>
        </is>
      </c>
      <c r="O6590" t="n">
        <v>166</v>
      </c>
      <c r="P6590" t="n">
        <v>348</v>
      </c>
      <c r="Q6590" t="n">
        <v>66</v>
      </c>
    </row>
    <row r="6591">
      <c r="J6591" t="inlineStr">
        <is>
          <t>M</t>
        </is>
      </c>
      <c r="K6591" t="n">
        <v>2026</v>
      </c>
      <c r="L6591" t="n">
        <v>4</v>
      </c>
      <c r="M6591" t="inlineStr">
        <is>
          <t>Chocolate em pó 50% 1 kg</t>
        </is>
      </c>
      <c r="N6591" t="inlineStr">
        <is>
          <t>Todos</t>
        </is>
      </c>
      <c r="O6591" t="n">
        <v>31</v>
      </c>
      <c r="P6591" t="n">
        <v>34</v>
      </c>
      <c r="Q6591" t="n">
        <v>0</v>
      </c>
    </row>
    <row r="6592">
      <c r="J6592" t="inlineStr">
        <is>
          <t>A</t>
        </is>
      </c>
      <c r="K6592" t="n">
        <v>2026</v>
      </c>
      <c r="L6592" t="n">
        <v>5</v>
      </c>
      <c r="M6592" t="inlineStr">
        <is>
          <t>Chocolate em pó 50% 1 kg</t>
        </is>
      </c>
      <c r="N6592" t="inlineStr">
        <is>
          <t>Todos</t>
        </is>
      </c>
      <c r="O6592" t="n">
        <v>196</v>
      </c>
      <c r="P6592" t="n">
        <v>472</v>
      </c>
      <c r="Q6592" t="n">
        <v>89</v>
      </c>
    </row>
    <row r="6593">
      <c r="J6593" t="inlineStr">
        <is>
          <t>M</t>
        </is>
      </c>
      <c r="K6593" t="n">
        <v>2026</v>
      </c>
      <c r="L6593" t="n">
        <v>5</v>
      </c>
      <c r="M6593" t="inlineStr">
        <is>
          <t>Chocolate em pó 50% 1 kg</t>
        </is>
      </c>
      <c r="N6593" t="inlineStr">
        <is>
          <t>Todos</t>
        </is>
      </c>
      <c r="O6593" t="n">
        <v>85</v>
      </c>
      <c r="P6593" t="n">
        <v>124</v>
      </c>
      <c r="Q6593" t="n">
        <v>0</v>
      </c>
    </row>
    <row r="6594">
      <c r="J6594" t="inlineStr">
        <is>
          <t>A</t>
        </is>
      </c>
      <c r="K6594" t="n">
        <v>2026</v>
      </c>
      <c r="L6594" t="n">
        <v>6</v>
      </c>
      <c r="M6594" t="inlineStr">
        <is>
          <t>Chocolate em pó 50% 1 kg</t>
        </is>
      </c>
      <c r="N6594" t="inlineStr">
        <is>
          <t>Todos</t>
        </is>
      </c>
      <c r="O6594" t="n">
        <v>229</v>
      </c>
      <c r="P6594" t="n">
        <v>615</v>
      </c>
      <c r="Q6594" t="n">
        <v>115</v>
      </c>
    </row>
    <row r="6595">
      <c r="J6595" t="inlineStr">
        <is>
          <t>M</t>
        </is>
      </c>
      <c r="K6595" t="n">
        <v>2026</v>
      </c>
      <c r="L6595" t="n">
        <v>6</v>
      </c>
      <c r="M6595" t="inlineStr">
        <is>
          <t>Chocolate em pó 50% 1 kg</t>
        </is>
      </c>
      <c r="N6595" t="inlineStr">
        <is>
          <t>Todos</t>
        </is>
      </c>
      <c r="O6595" t="n">
        <v>91</v>
      </c>
      <c r="P6595" t="n">
        <v>143</v>
      </c>
      <c r="Q6595" t="n">
        <v>0</v>
      </c>
    </row>
    <row r="6596">
      <c r="J6596" t="inlineStr">
        <is>
          <t>A</t>
        </is>
      </c>
      <c r="K6596" t="n">
        <v>2026</v>
      </c>
      <c r="L6596" t="n">
        <v>7</v>
      </c>
      <c r="M6596" t="inlineStr">
        <is>
          <t>Chocolate em pó 50% 1 kg</t>
        </is>
      </c>
      <c r="N6596" t="inlineStr">
        <is>
          <t>Todos</t>
        </is>
      </c>
      <c r="O6596" t="n">
        <v>259</v>
      </c>
      <c r="P6596" t="n">
        <v>743</v>
      </c>
      <c r="Q6596" t="n">
        <v>139</v>
      </c>
    </row>
    <row r="6597">
      <c r="J6597" t="inlineStr">
        <is>
          <t>M</t>
        </is>
      </c>
      <c r="K6597" t="n">
        <v>2026</v>
      </c>
      <c r="L6597" t="n">
        <v>7</v>
      </c>
      <c r="M6597" t="inlineStr">
        <is>
          <t>Chocolate em pó 50% 1 kg</t>
        </is>
      </c>
      <c r="N6597" t="inlineStr">
        <is>
          <t>Todos</t>
        </is>
      </c>
      <c r="O6597" t="n">
        <v>87</v>
      </c>
      <c r="P6597" t="n">
        <v>128</v>
      </c>
      <c r="Q6597" t="n">
        <v>0</v>
      </c>
    </row>
    <row r="6598">
      <c r="J6598" t="inlineStr">
        <is>
          <t>A</t>
        </is>
      </c>
      <c r="K6598" t="n">
        <v>2026</v>
      </c>
      <c r="L6598" t="n">
        <v>8</v>
      </c>
      <c r="M6598" t="inlineStr">
        <is>
          <t>Chocolate em pó 50% 1 kg</t>
        </is>
      </c>
      <c r="N6598" t="inlineStr">
        <is>
          <t>Todos</t>
        </is>
      </c>
      <c r="O6598" t="n">
        <v>259</v>
      </c>
      <c r="P6598" t="n">
        <v>743</v>
      </c>
      <c r="Q6598" t="n">
        <v>139</v>
      </c>
    </row>
    <row r="6599">
      <c r="J6599" t="inlineStr">
        <is>
          <t>A</t>
        </is>
      </c>
      <c r="K6599" t="n">
        <v>2026</v>
      </c>
      <c r="L6599" t="n">
        <v>9</v>
      </c>
      <c r="M6599" t="inlineStr">
        <is>
          <t>Chocolate em pó 50% 1 kg</t>
        </is>
      </c>
      <c r="N6599" t="inlineStr">
        <is>
          <t>Todos</t>
        </is>
      </c>
      <c r="O6599" t="n">
        <v>259</v>
      </c>
      <c r="P6599" t="n">
        <v>743</v>
      </c>
      <c r="Q6599" t="n">
        <v>139</v>
      </c>
    </row>
    <row r="6600">
      <c r="J6600" t="inlineStr">
        <is>
          <t>A</t>
        </is>
      </c>
      <c r="K6600" t="n">
        <v>2026</v>
      </c>
      <c r="L6600" t="n">
        <v>10</v>
      </c>
      <c r="M6600" t="inlineStr">
        <is>
          <t>Chocolate em pó 50% 1 kg</t>
        </is>
      </c>
      <c r="N6600" t="inlineStr">
        <is>
          <t>Todos</t>
        </is>
      </c>
      <c r="O6600" t="n">
        <v>259</v>
      </c>
      <c r="P6600" t="n">
        <v>743</v>
      </c>
      <c r="Q6600" t="n">
        <v>139</v>
      </c>
    </row>
    <row r="6601">
      <c r="J6601" t="inlineStr">
        <is>
          <t>A</t>
        </is>
      </c>
      <c r="K6601" t="n">
        <v>2026</v>
      </c>
      <c r="L6601" t="n">
        <v>11</v>
      </c>
      <c r="M6601" t="inlineStr">
        <is>
          <t>Chocolate em pó 50% 1 kg</t>
        </is>
      </c>
      <c r="N6601" t="inlineStr">
        <is>
          <t>Todos</t>
        </is>
      </c>
      <c r="O6601" t="n">
        <v>259</v>
      </c>
      <c r="P6601" t="n">
        <v>743</v>
      </c>
      <c r="Q6601" t="n">
        <v>139</v>
      </c>
    </row>
    <row r="6602">
      <c r="J6602" t="inlineStr">
        <is>
          <t>A</t>
        </is>
      </c>
      <c r="K6602" t="n">
        <v>2026</v>
      </c>
      <c r="L6602" t="n">
        <v>12</v>
      </c>
      <c r="M6602" t="inlineStr">
        <is>
          <t>Chocolate em pó 50% 1 kg</t>
        </is>
      </c>
      <c r="N6602" t="inlineStr">
        <is>
          <t>Todos</t>
        </is>
      </c>
      <c r="O6602" t="n">
        <v>259</v>
      </c>
      <c r="P6602" t="n">
        <v>743</v>
      </c>
      <c r="Q6602" t="n">
        <v>139</v>
      </c>
    </row>
    <row r="6603">
      <c r="J6603" t="inlineStr">
        <is>
          <t>A</t>
        </is>
      </c>
      <c r="K6603" t="n">
        <v>2026</v>
      </c>
      <c r="L6603" t="n">
        <v>1</v>
      </c>
      <c r="M6603" t="inlineStr">
        <is>
          <t>Chocolate em pó 50% 1 kg</t>
        </is>
      </c>
      <c r="N6603" t="inlineStr">
        <is>
          <t>Pizzaria</t>
        </is>
      </c>
      <c r="O6603" t="n">
        <v>11</v>
      </c>
      <c r="P6603" t="n">
        <v>17</v>
      </c>
      <c r="Q6603" t="n">
        <v>3</v>
      </c>
    </row>
    <row r="6604">
      <c r="J6604" t="inlineStr">
        <is>
          <t>M</t>
        </is>
      </c>
      <c r="K6604" t="n">
        <v>2026</v>
      </c>
      <c r="L6604" t="n">
        <v>1</v>
      </c>
      <c r="M6604" t="inlineStr">
        <is>
          <t>Chocolate em pó 50% 1 kg</t>
        </is>
      </c>
      <c r="N6604" t="inlineStr">
        <is>
          <t>Pizzaria</t>
        </is>
      </c>
      <c r="O6604" t="n">
        <v>11</v>
      </c>
      <c r="P6604" t="n">
        <v>17</v>
      </c>
      <c r="Q6604" t="n">
        <v>0</v>
      </c>
    </row>
    <row r="6605">
      <c r="J6605" t="inlineStr">
        <is>
          <t>A</t>
        </is>
      </c>
      <c r="K6605" t="n">
        <v>2026</v>
      </c>
      <c r="L6605" t="n">
        <v>2</v>
      </c>
      <c r="M6605" t="inlineStr">
        <is>
          <t>Chocolate em pó 50% 1 kg</t>
        </is>
      </c>
      <c r="N6605" t="inlineStr">
        <is>
          <t>Pizzaria</t>
        </is>
      </c>
      <c r="O6605" t="n">
        <v>21</v>
      </c>
      <c r="P6605" t="n">
        <v>40</v>
      </c>
      <c r="Q6605" t="n">
        <v>8</v>
      </c>
    </row>
    <row r="6606">
      <c r="J6606" t="inlineStr">
        <is>
          <t>M</t>
        </is>
      </c>
      <c r="K6606" t="n">
        <v>2026</v>
      </c>
      <c r="L6606" t="n">
        <v>2</v>
      </c>
      <c r="M6606" t="inlineStr">
        <is>
          <t>Chocolate em pó 50% 1 kg</t>
        </is>
      </c>
      <c r="N6606" t="inlineStr">
        <is>
          <t>Pizzaria</t>
        </is>
      </c>
      <c r="O6606" t="n">
        <v>16</v>
      </c>
      <c r="P6606" t="n">
        <v>23</v>
      </c>
      <c r="Q6606" t="n">
        <v>0</v>
      </c>
    </row>
    <row r="6607">
      <c r="J6607" t="inlineStr">
        <is>
          <t>A</t>
        </is>
      </c>
      <c r="K6607" t="n">
        <v>2026</v>
      </c>
      <c r="L6607" t="n">
        <v>3</v>
      </c>
      <c r="M6607" t="inlineStr">
        <is>
          <t>Chocolate em pó 50% 1 kg</t>
        </is>
      </c>
      <c r="N6607" t="inlineStr">
        <is>
          <t>Pizzaria</t>
        </is>
      </c>
      <c r="O6607" t="n">
        <v>30</v>
      </c>
      <c r="P6607" t="n">
        <v>64</v>
      </c>
      <c r="Q6607" t="n">
        <v>12</v>
      </c>
    </row>
    <row r="6608">
      <c r="J6608" t="inlineStr">
        <is>
          <t>M</t>
        </is>
      </c>
      <c r="K6608" t="n">
        <v>2026</v>
      </c>
      <c r="L6608" t="n">
        <v>3</v>
      </c>
      <c r="M6608" t="inlineStr">
        <is>
          <t>Chocolate em pó 50% 1 kg</t>
        </is>
      </c>
      <c r="N6608" t="inlineStr">
        <is>
          <t>Pizzaria</t>
        </is>
      </c>
      <c r="O6608" t="n">
        <v>17</v>
      </c>
      <c r="P6608" t="n">
        <v>24</v>
      </c>
      <c r="Q6608" t="n">
        <v>0</v>
      </c>
    </row>
    <row r="6609">
      <c r="J6609" t="inlineStr">
        <is>
          <t>A</t>
        </is>
      </c>
      <c r="K6609" t="n">
        <v>2026</v>
      </c>
      <c r="L6609" t="n">
        <v>4</v>
      </c>
      <c r="M6609" t="inlineStr">
        <is>
          <t>Chocolate em pó 50% 1 kg</t>
        </is>
      </c>
      <c r="N6609" t="inlineStr">
        <is>
          <t>Pizzaria</t>
        </is>
      </c>
      <c r="O6609" t="n">
        <v>31</v>
      </c>
      <c r="P6609" t="n">
        <v>67</v>
      </c>
      <c r="Q6609" t="n">
        <v>13</v>
      </c>
    </row>
    <row r="6610">
      <c r="J6610" t="inlineStr">
        <is>
          <t>M</t>
        </is>
      </c>
      <c r="K6610" t="n">
        <v>2026</v>
      </c>
      <c r="L6610" t="n">
        <v>4</v>
      </c>
      <c r="M6610" t="inlineStr">
        <is>
          <t>Chocolate em pó 50% 1 kg</t>
        </is>
      </c>
      <c r="N6610" t="inlineStr">
        <is>
          <t>Pizzaria</t>
        </is>
      </c>
      <c r="O6610" t="n">
        <v>3</v>
      </c>
      <c r="P6610" t="n">
        <v>3</v>
      </c>
      <c r="Q6610" t="n">
        <v>0</v>
      </c>
    </row>
    <row r="6611">
      <c r="J6611" t="inlineStr">
        <is>
          <t>A</t>
        </is>
      </c>
      <c r="K6611" t="n">
        <v>2026</v>
      </c>
      <c r="L6611" t="n">
        <v>5</v>
      </c>
      <c r="M6611" t="inlineStr">
        <is>
          <t>Chocolate em pó 50% 1 kg</t>
        </is>
      </c>
      <c r="N6611" t="inlineStr">
        <is>
          <t>Pizzaria</t>
        </is>
      </c>
      <c r="O6611" t="n">
        <v>35</v>
      </c>
      <c r="P6611" t="n">
        <v>87</v>
      </c>
      <c r="Q6611" t="n">
        <v>16</v>
      </c>
    </row>
    <row r="6612">
      <c r="J6612" t="inlineStr">
        <is>
          <t>M</t>
        </is>
      </c>
      <c r="K6612" t="n">
        <v>2026</v>
      </c>
      <c r="L6612" t="n">
        <v>5</v>
      </c>
      <c r="M6612" t="inlineStr">
        <is>
          <t>Chocolate em pó 50% 1 kg</t>
        </is>
      </c>
      <c r="N6612" t="inlineStr">
        <is>
          <t>Pizzaria</t>
        </is>
      </c>
      <c r="O6612" t="n">
        <v>14</v>
      </c>
      <c r="P6612" t="n">
        <v>20</v>
      </c>
      <c r="Q6612" t="n">
        <v>0</v>
      </c>
    </row>
    <row r="6613">
      <c r="J6613" t="inlineStr">
        <is>
          <t>A</t>
        </is>
      </c>
      <c r="K6613" t="n">
        <v>2026</v>
      </c>
      <c r="L6613" t="n">
        <v>6</v>
      </c>
      <c r="M6613" t="inlineStr">
        <is>
          <t>Chocolate em pó 50% 1 kg</t>
        </is>
      </c>
      <c r="N6613" t="inlineStr">
        <is>
          <t>Pizzaria</t>
        </is>
      </c>
      <c r="O6613" t="n">
        <v>42</v>
      </c>
      <c r="P6613" t="n">
        <v>120</v>
      </c>
      <c r="Q6613" t="n">
        <v>20</v>
      </c>
    </row>
    <row r="6614">
      <c r="J6614" t="inlineStr">
        <is>
          <t>M</t>
        </is>
      </c>
      <c r="K6614" t="n">
        <v>2026</v>
      </c>
      <c r="L6614" t="n">
        <v>6</v>
      </c>
      <c r="M6614" t="inlineStr">
        <is>
          <t>Chocolate em pó 50% 1 kg</t>
        </is>
      </c>
      <c r="N6614" t="inlineStr">
        <is>
          <t>Pizzaria</t>
        </is>
      </c>
      <c r="O6614" t="n">
        <v>18</v>
      </c>
      <c r="P6614" t="n">
        <v>33</v>
      </c>
      <c r="Q6614" t="n">
        <v>0</v>
      </c>
    </row>
    <row r="6615">
      <c r="J6615" t="inlineStr">
        <is>
          <t>A</t>
        </is>
      </c>
      <c r="K6615" t="n">
        <v>2026</v>
      </c>
      <c r="L6615" t="n">
        <v>7</v>
      </c>
      <c r="M6615" t="inlineStr">
        <is>
          <t>Chocolate em pó 50% 1 kg</t>
        </is>
      </c>
      <c r="N6615" t="inlineStr">
        <is>
          <t>Pizzaria</t>
        </is>
      </c>
      <c r="O6615" t="n">
        <v>44</v>
      </c>
      <c r="P6615" t="n">
        <v>139</v>
      </c>
      <c r="Q6615" t="n">
        <v>22</v>
      </c>
    </row>
    <row r="6616">
      <c r="J6616" t="inlineStr">
        <is>
          <t>M</t>
        </is>
      </c>
      <c r="K6616" t="n">
        <v>2026</v>
      </c>
      <c r="L6616" t="n">
        <v>7</v>
      </c>
      <c r="M6616" t="inlineStr">
        <is>
          <t>Chocolate em pó 50% 1 kg</t>
        </is>
      </c>
      <c r="N6616" t="inlineStr">
        <is>
          <t>Pizzaria</t>
        </is>
      </c>
      <c r="O6616" t="n">
        <v>12</v>
      </c>
      <c r="P6616" t="n">
        <v>19</v>
      </c>
      <c r="Q6616" t="n">
        <v>0</v>
      </c>
    </row>
    <row r="6617">
      <c r="J6617" t="inlineStr">
        <is>
          <t>A</t>
        </is>
      </c>
      <c r="K6617" t="n">
        <v>2026</v>
      </c>
      <c r="L6617" t="n">
        <v>8</v>
      </c>
      <c r="M6617" t="inlineStr">
        <is>
          <t>Chocolate em pó 50% 1 kg</t>
        </is>
      </c>
      <c r="N6617" t="inlineStr">
        <is>
          <t>Pizzaria</t>
        </is>
      </c>
      <c r="O6617" t="n">
        <v>44</v>
      </c>
      <c r="P6617" t="n">
        <v>139</v>
      </c>
      <c r="Q6617" t="n">
        <v>22</v>
      </c>
    </row>
    <row r="6618">
      <c r="J6618" t="inlineStr">
        <is>
          <t>A</t>
        </is>
      </c>
      <c r="K6618" t="n">
        <v>2026</v>
      </c>
      <c r="L6618" t="n">
        <v>9</v>
      </c>
      <c r="M6618" t="inlineStr">
        <is>
          <t>Chocolate em pó 50% 1 kg</t>
        </is>
      </c>
      <c r="N6618" t="inlineStr">
        <is>
          <t>Pizzaria</t>
        </is>
      </c>
      <c r="O6618" t="n">
        <v>44</v>
      </c>
      <c r="P6618" t="n">
        <v>139</v>
      </c>
      <c r="Q6618" t="n">
        <v>22</v>
      </c>
    </row>
    <row r="6619">
      <c r="J6619" t="inlineStr">
        <is>
          <t>A</t>
        </is>
      </c>
      <c r="K6619" t="n">
        <v>2026</v>
      </c>
      <c r="L6619" t="n">
        <v>10</v>
      </c>
      <c r="M6619" t="inlineStr">
        <is>
          <t>Chocolate em pó 50% 1 kg</t>
        </is>
      </c>
      <c r="N6619" t="inlineStr">
        <is>
          <t>Pizzaria</t>
        </is>
      </c>
      <c r="O6619" t="n">
        <v>44</v>
      </c>
      <c r="P6619" t="n">
        <v>139</v>
      </c>
      <c r="Q6619" t="n">
        <v>22</v>
      </c>
    </row>
    <row r="6620">
      <c r="J6620" t="inlineStr">
        <is>
          <t>A</t>
        </is>
      </c>
      <c r="K6620" t="n">
        <v>2026</v>
      </c>
      <c r="L6620" t="n">
        <v>11</v>
      </c>
      <c r="M6620" t="inlineStr">
        <is>
          <t>Chocolate em pó 50% 1 kg</t>
        </is>
      </c>
      <c r="N6620" t="inlineStr">
        <is>
          <t>Pizzaria</t>
        </is>
      </c>
      <c r="O6620" t="n">
        <v>44</v>
      </c>
      <c r="P6620" t="n">
        <v>139</v>
      </c>
      <c r="Q6620" t="n">
        <v>22</v>
      </c>
    </row>
    <row r="6621">
      <c r="J6621" t="inlineStr">
        <is>
          <t>A</t>
        </is>
      </c>
      <c r="K6621" t="n">
        <v>2026</v>
      </c>
      <c r="L6621" t="n">
        <v>12</v>
      </c>
      <c r="M6621" t="inlineStr">
        <is>
          <t>Chocolate em pó 50% 1 kg</t>
        </is>
      </c>
      <c r="N6621" t="inlineStr">
        <is>
          <t>Pizzaria</t>
        </is>
      </c>
      <c r="O6621" t="n">
        <v>44</v>
      </c>
      <c r="P6621" t="n">
        <v>139</v>
      </c>
      <c r="Q6621" t="n">
        <v>22</v>
      </c>
    </row>
    <row r="6622">
      <c r="J6622" t="inlineStr">
        <is>
          <t>A</t>
        </is>
      </c>
      <c r="K6622" t="n">
        <v>2026</v>
      </c>
      <c r="L6622" t="n">
        <v>1</v>
      </c>
      <c r="M6622" t="inlineStr">
        <is>
          <t>Chocolate em pó 50% 1 kg</t>
        </is>
      </c>
      <c r="N6622" t="inlineStr">
        <is>
          <t>Restaurante / Cantina</t>
        </is>
      </c>
      <c r="O6622" t="n">
        <v>12</v>
      </c>
      <c r="P6622" t="n">
        <v>17</v>
      </c>
      <c r="Q6622" t="n">
        <v>2</v>
      </c>
    </row>
    <row r="6623">
      <c r="J6623" t="inlineStr">
        <is>
          <t>M</t>
        </is>
      </c>
      <c r="K6623" t="n">
        <v>2026</v>
      </c>
      <c r="L6623" t="n">
        <v>1</v>
      </c>
      <c r="M6623" t="inlineStr">
        <is>
          <t>Chocolate em pó 50% 1 kg</t>
        </is>
      </c>
      <c r="N6623" t="inlineStr">
        <is>
          <t>Restaurante / Cantina</t>
        </is>
      </c>
      <c r="O6623" t="n">
        <v>12</v>
      </c>
      <c r="P6623" t="n">
        <v>17</v>
      </c>
      <c r="Q6623" t="n">
        <v>0</v>
      </c>
    </row>
    <row r="6624">
      <c r="J6624" t="inlineStr">
        <is>
          <t>A</t>
        </is>
      </c>
      <c r="K6624" t="n">
        <v>2026</v>
      </c>
      <c r="L6624" t="n">
        <v>2</v>
      </c>
      <c r="M6624" t="inlineStr">
        <is>
          <t>Chocolate em pó 50% 1 kg</t>
        </is>
      </c>
      <c r="N6624" t="inlineStr">
        <is>
          <t>Restaurante / Cantina</t>
        </is>
      </c>
      <c r="O6624" t="n">
        <v>22</v>
      </c>
      <c r="P6624" t="n">
        <v>40</v>
      </c>
      <c r="Q6624" t="n">
        <v>8</v>
      </c>
    </row>
    <row r="6625">
      <c r="J6625" t="inlineStr">
        <is>
          <t>M</t>
        </is>
      </c>
      <c r="K6625" t="n">
        <v>2026</v>
      </c>
      <c r="L6625" t="n">
        <v>2</v>
      </c>
      <c r="M6625" t="inlineStr">
        <is>
          <t>Chocolate em pó 50% 1 kg</t>
        </is>
      </c>
      <c r="N6625" t="inlineStr">
        <is>
          <t>Restaurante / Cantina</t>
        </is>
      </c>
      <c r="O6625" t="n">
        <v>17</v>
      </c>
      <c r="P6625" t="n">
        <v>23</v>
      </c>
      <c r="Q6625" t="n">
        <v>0</v>
      </c>
    </row>
    <row r="6626">
      <c r="J6626" t="inlineStr">
        <is>
          <t>A</t>
        </is>
      </c>
      <c r="K6626" t="n">
        <v>2026</v>
      </c>
      <c r="L6626" t="n">
        <v>3</v>
      </c>
      <c r="M6626" t="inlineStr">
        <is>
          <t>Chocolate em pó 50% 1 kg</t>
        </is>
      </c>
      <c r="N6626" t="inlineStr">
        <is>
          <t>Restaurante / Cantina</t>
        </is>
      </c>
      <c r="O6626" t="n">
        <v>35</v>
      </c>
      <c r="P6626" t="n">
        <v>77</v>
      </c>
      <c r="Q6626" t="n">
        <v>15</v>
      </c>
    </row>
    <row r="6627">
      <c r="J6627" t="inlineStr">
        <is>
          <t>M</t>
        </is>
      </c>
      <c r="K6627" t="n">
        <v>2026</v>
      </c>
      <c r="L6627" t="n">
        <v>3</v>
      </c>
      <c r="M6627" t="inlineStr">
        <is>
          <t>Chocolate em pó 50% 1 kg</t>
        </is>
      </c>
      <c r="N6627" t="inlineStr">
        <is>
          <t>Restaurante / Cantina</t>
        </is>
      </c>
      <c r="O6627" t="n">
        <v>25</v>
      </c>
      <c r="P6627" t="n">
        <v>37</v>
      </c>
      <c r="Q6627" t="n">
        <v>0</v>
      </c>
    </row>
    <row r="6628">
      <c r="J6628" t="inlineStr">
        <is>
          <t>A</t>
        </is>
      </c>
      <c r="K6628" t="n">
        <v>2026</v>
      </c>
      <c r="L6628" t="n">
        <v>4</v>
      </c>
      <c r="M6628" t="inlineStr">
        <is>
          <t>Chocolate em pó 50% 1 kg</t>
        </is>
      </c>
      <c r="N6628" t="inlineStr">
        <is>
          <t>Restaurante / Cantina</t>
        </is>
      </c>
      <c r="O6628" t="n">
        <v>40</v>
      </c>
      <c r="P6628" t="n">
        <v>86</v>
      </c>
      <c r="Q6628" t="n">
        <v>17</v>
      </c>
    </row>
    <row r="6629">
      <c r="J6629" t="inlineStr">
        <is>
          <t>M</t>
        </is>
      </c>
      <c r="K6629" t="n">
        <v>2026</v>
      </c>
      <c r="L6629" t="n">
        <v>4</v>
      </c>
      <c r="M6629" t="inlineStr">
        <is>
          <t>Chocolate em pó 50% 1 kg</t>
        </is>
      </c>
      <c r="N6629" t="inlineStr">
        <is>
          <t>Restaurante / Cantina</t>
        </is>
      </c>
      <c r="O6629" t="n">
        <v>9</v>
      </c>
      <c r="P6629" t="n">
        <v>9</v>
      </c>
      <c r="Q6629" t="n">
        <v>0</v>
      </c>
    </row>
    <row r="6630">
      <c r="J6630" t="inlineStr">
        <is>
          <t>A</t>
        </is>
      </c>
      <c r="K6630" t="n">
        <v>2026</v>
      </c>
      <c r="L6630" t="n">
        <v>5</v>
      </c>
      <c r="M6630" t="inlineStr">
        <is>
          <t>Chocolate em pó 50% 1 kg</t>
        </is>
      </c>
      <c r="N6630" t="inlineStr">
        <is>
          <t>Restaurante / Cantina</t>
        </is>
      </c>
      <c r="O6630" t="n">
        <v>52</v>
      </c>
      <c r="P6630" t="n">
        <v>132</v>
      </c>
      <c r="Q6630" t="n">
        <v>25</v>
      </c>
    </row>
    <row r="6631">
      <c r="J6631" t="inlineStr">
        <is>
          <t>M</t>
        </is>
      </c>
      <c r="K6631" t="n">
        <v>2026</v>
      </c>
      <c r="L6631" t="n">
        <v>5</v>
      </c>
      <c r="M6631" t="inlineStr">
        <is>
          <t>Chocolate em pó 50% 1 kg</t>
        </is>
      </c>
      <c r="N6631" t="inlineStr">
        <is>
          <t>Restaurante / Cantina</t>
        </is>
      </c>
      <c r="O6631" t="n">
        <v>29</v>
      </c>
      <c r="P6631" t="n">
        <v>46</v>
      </c>
      <c r="Q6631" t="n">
        <v>0</v>
      </c>
    </row>
    <row r="6632">
      <c r="J6632" t="inlineStr">
        <is>
          <t>A</t>
        </is>
      </c>
      <c r="K6632" t="n">
        <v>2026</v>
      </c>
      <c r="L6632" t="n">
        <v>6</v>
      </c>
      <c r="M6632" t="inlineStr">
        <is>
          <t>Chocolate em pó 50% 1 kg</t>
        </is>
      </c>
      <c r="N6632" t="inlineStr">
        <is>
          <t>Restaurante / Cantina</t>
        </is>
      </c>
      <c r="O6632" t="n">
        <v>62</v>
      </c>
      <c r="P6632" t="n">
        <v>176</v>
      </c>
      <c r="Q6632" t="n">
        <v>33</v>
      </c>
    </row>
    <row r="6633">
      <c r="J6633" t="inlineStr">
        <is>
          <t>M</t>
        </is>
      </c>
      <c r="K6633" t="n">
        <v>2026</v>
      </c>
      <c r="L6633" t="n">
        <v>6</v>
      </c>
      <c r="M6633" t="inlineStr">
        <is>
          <t>Chocolate em pó 50% 1 kg</t>
        </is>
      </c>
      <c r="N6633" t="inlineStr">
        <is>
          <t>Restaurante / Cantina</t>
        </is>
      </c>
      <c r="O6633" t="n">
        <v>31</v>
      </c>
      <c r="P6633" t="n">
        <v>44</v>
      </c>
      <c r="Q6633" t="n">
        <v>0</v>
      </c>
    </row>
    <row r="6634">
      <c r="J6634" t="inlineStr">
        <is>
          <t>A</t>
        </is>
      </c>
      <c r="K6634" t="n">
        <v>2026</v>
      </c>
      <c r="L6634" t="n">
        <v>7</v>
      </c>
      <c r="M6634" t="inlineStr">
        <is>
          <t>Chocolate em pó 50% 1 kg</t>
        </is>
      </c>
      <c r="N6634" t="inlineStr">
        <is>
          <t>Restaurante / Cantina</t>
        </is>
      </c>
      <c r="O6634" t="n">
        <v>69</v>
      </c>
      <c r="P6634" t="n">
        <v>213</v>
      </c>
      <c r="Q6634" t="n">
        <v>38</v>
      </c>
    </row>
    <row r="6635">
      <c r="J6635" t="inlineStr">
        <is>
          <t>M</t>
        </is>
      </c>
      <c r="K6635" t="n">
        <v>2026</v>
      </c>
      <c r="L6635" t="n">
        <v>7</v>
      </c>
      <c r="M6635" t="inlineStr">
        <is>
          <t>Chocolate em pó 50% 1 kg</t>
        </is>
      </c>
      <c r="N6635" t="inlineStr">
        <is>
          <t>Restaurante / Cantina</t>
        </is>
      </c>
      <c r="O6635" t="n">
        <v>24</v>
      </c>
      <c r="P6635" t="n">
        <v>37</v>
      </c>
      <c r="Q6635" t="n">
        <v>0</v>
      </c>
    </row>
    <row r="6636">
      <c r="J6636" t="inlineStr">
        <is>
          <t>A</t>
        </is>
      </c>
      <c r="K6636" t="n">
        <v>2026</v>
      </c>
      <c r="L6636" t="n">
        <v>8</v>
      </c>
      <c r="M6636" t="inlineStr">
        <is>
          <t>Chocolate em pó 50% 1 kg</t>
        </is>
      </c>
      <c r="N6636" t="inlineStr">
        <is>
          <t>Restaurante / Cantina</t>
        </is>
      </c>
      <c r="O6636" t="n">
        <v>69</v>
      </c>
      <c r="P6636" t="n">
        <v>213</v>
      </c>
      <c r="Q6636" t="n">
        <v>38</v>
      </c>
    </row>
    <row r="6637">
      <c r="J6637" t="inlineStr">
        <is>
          <t>A</t>
        </is>
      </c>
      <c r="K6637" t="n">
        <v>2026</v>
      </c>
      <c r="L6637" t="n">
        <v>9</v>
      </c>
      <c r="M6637" t="inlineStr">
        <is>
          <t>Chocolate em pó 50% 1 kg</t>
        </is>
      </c>
      <c r="N6637" t="inlineStr">
        <is>
          <t>Restaurante / Cantina</t>
        </is>
      </c>
      <c r="O6637" t="n">
        <v>69</v>
      </c>
      <c r="P6637" t="n">
        <v>213</v>
      </c>
      <c r="Q6637" t="n">
        <v>38</v>
      </c>
    </row>
    <row r="6638">
      <c r="J6638" t="inlineStr">
        <is>
          <t>A</t>
        </is>
      </c>
      <c r="K6638" t="n">
        <v>2026</v>
      </c>
      <c r="L6638" t="n">
        <v>10</v>
      </c>
      <c r="M6638" t="inlineStr">
        <is>
          <t>Chocolate em pó 50% 1 kg</t>
        </is>
      </c>
      <c r="N6638" t="inlineStr">
        <is>
          <t>Restaurante / Cantina</t>
        </is>
      </c>
      <c r="O6638" t="n">
        <v>69</v>
      </c>
      <c r="P6638" t="n">
        <v>213</v>
      </c>
      <c r="Q6638" t="n">
        <v>38</v>
      </c>
    </row>
    <row r="6639">
      <c r="J6639" t="inlineStr">
        <is>
          <t>A</t>
        </is>
      </c>
      <c r="K6639" t="n">
        <v>2026</v>
      </c>
      <c r="L6639" t="n">
        <v>11</v>
      </c>
      <c r="M6639" t="inlineStr">
        <is>
          <t>Chocolate em pó 50% 1 kg</t>
        </is>
      </c>
      <c r="N6639" t="inlineStr">
        <is>
          <t>Restaurante / Cantina</t>
        </is>
      </c>
      <c r="O6639" t="n">
        <v>69</v>
      </c>
      <c r="P6639" t="n">
        <v>213</v>
      </c>
      <c r="Q6639" t="n">
        <v>38</v>
      </c>
    </row>
    <row r="6640">
      <c r="J6640" t="inlineStr">
        <is>
          <t>A</t>
        </is>
      </c>
      <c r="K6640" t="n">
        <v>2026</v>
      </c>
      <c r="L6640" t="n">
        <v>12</v>
      </c>
      <c r="M6640" t="inlineStr">
        <is>
          <t>Chocolate em pó 50% 1 kg</t>
        </is>
      </c>
      <c r="N6640" t="inlineStr">
        <is>
          <t>Restaurante / Cantina</t>
        </is>
      </c>
      <c r="O6640" t="n">
        <v>69</v>
      </c>
      <c r="P6640" t="n">
        <v>213</v>
      </c>
      <c r="Q6640" t="n">
        <v>38</v>
      </c>
    </row>
    <row r="6641">
      <c r="J6641" t="inlineStr">
        <is>
          <t>A</t>
        </is>
      </c>
      <c r="K6641" t="n">
        <v>2026</v>
      </c>
      <c r="L6641" t="n">
        <v>1</v>
      </c>
      <c r="M6641" t="inlineStr">
        <is>
          <t>Chocolate em pó 50% 1 kg</t>
        </is>
      </c>
      <c r="N6641" t="inlineStr">
        <is>
          <t>Cozinha Industrial</t>
        </is>
      </c>
      <c r="O6641" t="n">
        <v>2</v>
      </c>
      <c r="P6641" t="n">
        <v>3</v>
      </c>
      <c r="Q6641" t="n">
        <v>0</v>
      </c>
    </row>
    <row r="6642">
      <c r="J6642" t="inlineStr">
        <is>
          <t>M</t>
        </is>
      </c>
      <c r="K6642" t="n">
        <v>2026</v>
      </c>
      <c r="L6642" t="n">
        <v>1</v>
      </c>
      <c r="M6642" t="inlineStr">
        <is>
          <t>Chocolate em pó 50% 1 kg</t>
        </is>
      </c>
      <c r="N6642" t="inlineStr">
        <is>
          <t>Cozinha Industrial</t>
        </is>
      </c>
      <c r="O6642" t="n">
        <v>2</v>
      </c>
      <c r="P6642" t="n">
        <v>3</v>
      </c>
      <c r="Q6642" t="n">
        <v>0</v>
      </c>
    </row>
    <row r="6643">
      <c r="J6643" t="inlineStr">
        <is>
          <t>A</t>
        </is>
      </c>
      <c r="K6643" t="n">
        <v>2026</v>
      </c>
      <c r="L6643" t="n">
        <v>2</v>
      </c>
      <c r="M6643" t="inlineStr">
        <is>
          <t>Chocolate em pó 50% 1 kg</t>
        </is>
      </c>
      <c r="N6643" t="inlineStr">
        <is>
          <t>Cozinha Industrial</t>
        </is>
      </c>
      <c r="O6643" t="n">
        <v>4</v>
      </c>
      <c r="P6643" t="n">
        <v>7</v>
      </c>
      <c r="Q6643" t="n">
        <v>0</v>
      </c>
    </row>
    <row r="6644">
      <c r="J6644" t="inlineStr">
        <is>
          <t>M</t>
        </is>
      </c>
      <c r="K6644" t="n">
        <v>2026</v>
      </c>
      <c r="L6644" t="n">
        <v>2</v>
      </c>
      <c r="M6644" t="inlineStr">
        <is>
          <t>Chocolate em pó 50% 1 kg</t>
        </is>
      </c>
      <c r="N6644" t="inlineStr">
        <is>
          <t>Cozinha Industrial</t>
        </is>
      </c>
      <c r="O6644" t="n">
        <v>3</v>
      </c>
      <c r="P6644" t="n">
        <v>4</v>
      </c>
      <c r="Q6644" t="n">
        <v>0</v>
      </c>
    </row>
    <row r="6645">
      <c r="J6645" t="inlineStr">
        <is>
          <t>A</t>
        </is>
      </c>
      <c r="K6645" t="n">
        <v>2026</v>
      </c>
      <c r="L6645" t="n">
        <v>3</v>
      </c>
      <c r="M6645" t="inlineStr">
        <is>
          <t>Chocolate em pó 50% 1 kg</t>
        </is>
      </c>
      <c r="N6645" t="inlineStr">
        <is>
          <t>Cozinha Industrial</t>
        </is>
      </c>
      <c r="O6645" t="n">
        <v>7</v>
      </c>
      <c r="P6645" t="n">
        <v>13</v>
      </c>
      <c r="Q6645" t="n">
        <v>2</v>
      </c>
    </row>
    <row r="6646">
      <c r="J6646" t="inlineStr">
        <is>
          <t>M</t>
        </is>
      </c>
      <c r="K6646" t="n">
        <v>2026</v>
      </c>
      <c r="L6646" t="n">
        <v>3</v>
      </c>
      <c r="M6646" t="inlineStr">
        <is>
          <t>Chocolate em pó 50% 1 kg</t>
        </is>
      </c>
      <c r="N6646" t="inlineStr">
        <is>
          <t>Cozinha Industrial</t>
        </is>
      </c>
      <c r="O6646" t="n">
        <v>5</v>
      </c>
      <c r="P6646" t="n">
        <v>6</v>
      </c>
      <c r="Q6646" t="n">
        <v>0</v>
      </c>
    </row>
    <row r="6647">
      <c r="J6647" t="inlineStr">
        <is>
          <t>A</t>
        </is>
      </c>
      <c r="K6647" t="n">
        <v>2026</v>
      </c>
      <c r="L6647" t="n">
        <v>4</v>
      </c>
      <c r="M6647" t="inlineStr">
        <is>
          <t>Chocolate em pó 50% 1 kg</t>
        </is>
      </c>
      <c r="N6647" t="inlineStr">
        <is>
          <t>Cozinha Industrial</t>
        </is>
      </c>
      <c r="O6647" t="n">
        <v>7</v>
      </c>
      <c r="P6647" t="n">
        <v>15</v>
      </c>
      <c r="Q6647" t="n">
        <v>2</v>
      </c>
    </row>
    <row r="6648">
      <c r="J6648" t="inlineStr">
        <is>
          <t>M</t>
        </is>
      </c>
      <c r="K6648" t="n">
        <v>2026</v>
      </c>
      <c r="L6648" t="n">
        <v>4</v>
      </c>
      <c r="M6648" t="inlineStr">
        <is>
          <t>Chocolate em pó 50% 1 kg</t>
        </is>
      </c>
      <c r="N6648" t="inlineStr">
        <is>
          <t>Cozinha Industrial</t>
        </is>
      </c>
      <c r="O6648" t="n">
        <v>1</v>
      </c>
      <c r="P6648" t="n">
        <v>2</v>
      </c>
      <c r="Q6648" t="n">
        <v>0</v>
      </c>
    </row>
    <row r="6649">
      <c r="J6649" t="inlineStr">
        <is>
          <t>A</t>
        </is>
      </c>
      <c r="K6649" t="n">
        <v>2026</v>
      </c>
      <c r="L6649" t="n">
        <v>5</v>
      </c>
      <c r="M6649" t="inlineStr">
        <is>
          <t>Chocolate em pó 50% 1 kg</t>
        </is>
      </c>
      <c r="N6649" t="inlineStr">
        <is>
          <t>Cozinha Industrial</t>
        </is>
      </c>
      <c r="O6649" t="n">
        <v>8</v>
      </c>
      <c r="P6649" t="n">
        <v>20</v>
      </c>
      <c r="Q6649" t="n">
        <v>3</v>
      </c>
    </row>
    <row r="6650">
      <c r="J6650" t="inlineStr">
        <is>
          <t>M</t>
        </is>
      </c>
      <c r="K6650" t="n">
        <v>2026</v>
      </c>
      <c r="L6650" t="n">
        <v>5</v>
      </c>
      <c r="M6650" t="inlineStr">
        <is>
          <t>Chocolate em pó 50% 1 kg</t>
        </is>
      </c>
      <c r="N6650" t="inlineStr">
        <is>
          <t>Cozinha Industrial</t>
        </is>
      </c>
      <c r="O6650" t="n">
        <v>4</v>
      </c>
      <c r="P6650" t="n">
        <v>5</v>
      </c>
      <c r="Q6650" t="n">
        <v>0</v>
      </c>
    </row>
    <row r="6651">
      <c r="J6651" t="inlineStr">
        <is>
          <t>A</t>
        </is>
      </c>
      <c r="K6651" t="n">
        <v>2026</v>
      </c>
      <c r="L6651" t="n">
        <v>6</v>
      </c>
      <c r="M6651" t="inlineStr">
        <is>
          <t>Chocolate em pó 50% 1 kg</t>
        </is>
      </c>
      <c r="N6651" t="inlineStr">
        <is>
          <t>Cozinha Industrial</t>
        </is>
      </c>
      <c r="O6651" t="n">
        <v>9</v>
      </c>
      <c r="P6651" t="n">
        <v>22</v>
      </c>
      <c r="Q6651" t="n">
        <v>4</v>
      </c>
    </row>
    <row r="6652">
      <c r="J6652" t="inlineStr">
        <is>
          <t>M</t>
        </is>
      </c>
      <c r="K6652" t="n">
        <v>2026</v>
      </c>
      <c r="L6652" t="n">
        <v>6</v>
      </c>
      <c r="M6652" t="inlineStr">
        <is>
          <t>Chocolate em pó 50% 1 kg</t>
        </is>
      </c>
      <c r="N6652" t="inlineStr">
        <is>
          <t>Cozinha Industrial</t>
        </is>
      </c>
      <c r="O6652" t="n">
        <v>2</v>
      </c>
      <c r="P6652" t="n">
        <v>2</v>
      </c>
      <c r="Q6652" t="n">
        <v>0</v>
      </c>
    </row>
    <row r="6653">
      <c r="J6653" t="inlineStr">
        <is>
          <t>A</t>
        </is>
      </c>
      <c r="K6653" t="n">
        <v>2026</v>
      </c>
      <c r="L6653" t="n">
        <v>7</v>
      </c>
      <c r="M6653" t="inlineStr">
        <is>
          <t>Chocolate em pó 50% 1 kg</t>
        </is>
      </c>
      <c r="N6653" t="inlineStr">
        <is>
          <t>Cozinha Industrial</t>
        </is>
      </c>
      <c r="O6653" t="n">
        <v>9</v>
      </c>
      <c r="P6653" t="n">
        <v>22</v>
      </c>
      <c r="Q6653" t="n">
        <v>4</v>
      </c>
    </row>
    <row r="6654">
      <c r="J6654" t="inlineStr">
        <is>
          <t>A</t>
        </is>
      </c>
      <c r="K6654" t="n">
        <v>2026</v>
      </c>
      <c r="L6654" t="n">
        <v>8</v>
      </c>
      <c r="M6654" t="inlineStr">
        <is>
          <t>Chocolate em pó 50% 1 kg</t>
        </is>
      </c>
      <c r="N6654" t="inlineStr">
        <is>
          <t>Cozinha Industrial</t>
        </is>
      </c>
      <c r="O6654" t="n">
        <v>9</v>
      </c>
      <c r="P6654" t="n">
        <v>22</v>
      </c>
      <c r="Q6654" t="n">
        <v>4</v>
      </c>
    </row>
    <row r="6655">
      <c r="J6655" t="inlineStr">
        <is>
          <t>A</t>
        </is>
      </c>
      <c r="K6655" t="n">
        <v>2026</v>
      </c>
      <c r="L6655" t="n">
        <v>9</v>
      </c>
      <c r="M6655" t="inlineStr">
        <is>
          <t>Chocolate em pó 50% 1 kg</t>
        </is>
      </c>
      <c r="N6655" t="inlineStr">
        <is>
          <t>Cozinha Industrial</t>
        </is>
      </c>
      <c r="O6655" t="n">
        <v>9</v>
      </c>
      <c r="P6655" t="n">
        <v>22</v>
      </c>
      <c r="Q6655" t="n">
        <v>4</v>
      </c>
    </row>
    <row r="6656">
      <c r="J6656" t="inlineStr">
        <is>
          <t>A</t>
        </is>
      </c>
      <c r="K6656" t="n">
        <v>2026</v>
      </c>
      <c r="L6656" t="n">
        <v>10</v>
      </c>
      <c r="M6656" t="inlineStr">
        <is>
          <t>Chocolate em pó 50% 1 kg</t>
        </is>
      </c>
      <c r="N6656" t="inlineStr">
        <is>
          <t>Cozinha Industrial</t>
        </is>
      </c>
      <c r="O6656" t="n">
        <v>9</v>
      </c>
      <c r="P6656" t="n">
        <v>22</v>
      </c>
      <c r="Q6656" t="n">
        <v>4</v>
      </c>
    </row>
    <row r="6657">
      <c r="J6657" t="inlineStr">
        <is>
          <t>A</t>
        </is>
      </c>
      <c r="K6657" t="n">
        <v>2026</v>
      </c>
      <c r="L6657" t="n">
        <v>11</v>
      </c>
      <c r="M6657" t="inlineStr">
        <is>
          <t>Chocolate em pó 50% 1 kg</t>
        </is>
      </c>
      <c r="N6657" t="inlineStr">
        <is>
          <t>Cozinha Industrial</t>
        </is>
      </c>
      <c r="O6657" t="n">
        <v>9</v>
      </c>
      <c r="P6657" t="n">
        <v>22</v>
      </c>
      <c r="Q6657" t="n">
        <v>4</v>
      </c>
    </row>
    <row r="6658">
      <c r="J6658" t="inlineStr">
        <is>
          <t>A</t>
        </is>
      </c>
      <c r="K6658" t="n">
        <v>2026</v>
      </c>
      <c r="L6658" t="n">
        <v>12</v>
      </c>
      <c r="M6658" t="inlineStr">
        <is>
          <t>Chocolate em pó 50% 1 kg</t>
        </is>
      </c>
      <c r="N6658" t="inlineStr">
        <is>
          <t>Cozinha Industrial</t>
        </is>
      </c>
      <c r="O6658" t="n">
        <v>9</v>
      </c>
      <c r="P6658" t="n">
        <v>22</v>
      </c>
      <c r="Q6658" t="n">
        <v>4</v>
      </c>
    </row>
    <row r="6659">
      <c r="J6659" t="inlineStr">
        <is>
          <t>A</t>
        </is>
      </c>
      <c r="K6659" t="n">
        <v>2026</v>
      </c>
      <c r="L6659" t="n">
        <v>1</v>
      </c>
      <c r="M6659" t="inlineStr">
        <is>
          <t>Chocolate em pó 50% 1 kg</t>
        </is>
      </c>
      <c r="N6659" t="inlineStr">
        <is>
          <t>Fábrica de Massas</t>
        </is>
      </c>
      <c r="O6659" t="n">
        <v>1</v>
      </c>
      <c r="P6659" t="n">
        <v>1</v>
      </c>
      <c r="Q6659" t="n">
        <v>0</v>
      </c>
    </row>
    <row r="6660">
      <c r="J6660" t="inlineStr">
        <is>
          <t>M</t>
        </is>
      </c>
      <c r="K6660" t="n">
        <v>2026</v>
      </c>
      <c r="L6660" t="n">
        <v>1</v>
      </c>
      <c r="M6660" t="inlineStr">
        <is>
          <t>Chocolate em pó 50% 1 kg</t>
        </is>
      </c>
      <c r="N6660" t="inlineStr">
        <is>
          <t>Fábrica de Massas</t>
        </is>
      </c>
      <c r="O6660" t="n">
        <v>1</v>
      </c>
      <c r="P6660" t="n">
        <v>1</v>
      </c>
      <c r="Q6660" t="n">
        <v>0</v>
      </c>
    </row>
    <row r="6661">
      <c r="J6661" t="inlineStr">
        <is>
          <t>A</t>
        </is>
      </c>
      <c r="K6661" t="n">
        <v>2026</v>
      </c>
      <c r="L6661" t="n">
        <v>2</v>
      </c>
      <c r="M6661" t="inlineStr">
        <is>
          <t>Chocolate em pó 50% 1 kg</t>
        </is>
      </c>
      <c r="N6661" t="inlineStr">
        <is>
          <t>Fábrica de Massas</t>
        </is>
      </c>
      <c r="O6661" t="n">
        <v>1</v>
      </c>
      <c r="P6661" t="n">
        <v>1</v>
      </c>
      <c r="Q6661" t="n">
        <v>0</v>
      </c>
    </row>
    <row r="6662">
      <c r="J6662" t="inlineStr">
        <is>
          <t>A</t>
        </is>
      </c>
      <c r="K6662" t="n">
        <v>2026</v>
      </c>
      <c r="L6662" t="n">
        <v>3</v>
      </c>
      <c r="M6662" t="inlineStr">
        <is>
          <t>Chocolate em pó 50% 1 kg</t>
        </is>
      </c>
      <c r="N6662" t="inlineStr">
        <is>
          <t>Fábrica de Massas</t>
        </is>
      </c>
      <c r="O6662" t="n">
        <v>1</v>
      </c>
      <c r="P6662" t="n">
        <v>1</v>
      </c>
      <c r="Q6662" t="n">
        <v>0</v>
      </c>
    </row>
    <row r="6663">
      <c r="J6663" t="inlineStr">
        <is>
          <t>A</t>
        </is>
      </c>
      <c r="K6663" t="n">
        <v>2026</v>
      </c>
      <c r="L6663" t="n">
        <v>4</v>
      </c>
      <c r="M6663" t="inlineStr">
        <is>
          <t>Chocolate em pó 50% 1 kg</t>
        </is>
      </c>
      <c r="N6663" t="inlineStr">
        <is>
          <t>Fábrica de Massas</t>
        </is>
      </c>
      <c r="O6663" t="n">
        <v>1</v>
      </c>
      <c r="P6663" t="n">
        <v>1</v>
      </c>
      <c r="Q6663" t="n">
        <v>0</v>
      </c>
    </row>
    <row r="6664">
      <c r="J6664" t="inlineStr">
        <is>
          <t>A</t>
        </is>
      </c>
      <c r="K6664" t="n">
        <v>2026</v>
      </c>
      <c r="L6664" t="n">
        <v>5</v>
      </c>
      <c r="M6664" t="inlineStr">
        <is>
          <t>Chocolate em pó 50% 1 kg</t>
        </is>
      </c>
      <c r="N6664" t="inlineStr">
        <is>
          <t>Fábrica de Massas</t>
        </is>
      </c>
      <c r="O6664" t="n">
        <v>1</v>
      </c>
      <c r="P6664" t="n">
        <v>1</v>
      </c>
      <c r="Q6664" t="n">
        <v>0</v>
      </c>
    </row>
    <row r="6665">
      <c r="J6665" t="inlineStr">
        <is>
          <t>A</t>
        </is>
      </c>
      <c r="K6665" t="n">
        <v>2026</v>
      </c>
      <c r="L6665" t="n">
        <v>6</v>
      </c>
      <c r="M6665" t="inlineStr">
        <is>
          <t>Chocolate em pó 50% 1 kg</t>
        </is>
      </c>
      <c r="N6665" t="inlineStr">
        <is>
          <t>Fábrica de Massas</t>
        </is>
      </c>
      <c r="O6665" t="n">
        <v>1</v>
      </c>
      <c r="P6665" t="n">
        <v>1</v>
      </c>
      <c r="Q6665" t="n">
        <v>0</v>
      </c>
    </row>
    <row r="6666">
      <c r="J6666" t="inlineStr">
        <is>
          <t>A</t>
        </is>
      </c>
      <c r="K6666" t="n">
        <v>2026</v>
      </c>
      <c r="L6666" t="n">
        <v>7</v>
      </c>
      <c r="M6666" t="inlineStr">
        <is>
          <t>Chocolate em pó 50% 1 kg</t>
        </is>
      </c>
      <c r="N6666" t="inlineStr">
        <is>
          <t>Fábrica de Massas</t>
        </is>
      </c>
      <c r="O6666" t="n">
        <v>2</v>
      </c>
      <c r="P6666" t="n">
        <v>2</v>
      </c>
      <c r="Q6666" t="n">
        <v>1</v>
      </c>
    </row>
    <row r="6667">
      <c r="J6667" t="inlineStr">
        <is>
          <t>M</t>
        </is>
      </c>
      <c r="K6667" t="n">
        <v>2026</v>
      </c>
      <c r="L6667" t="n">
        <v>7</v>
      </c>
      <c r="M6667" t="inlineStr">
        <is>
          <t>Chocolate em pó 50% 1 kg</t>
        </is>
      </c>
      <c r="N6667" t="inlineStr">
        <is>
          <t>Fábrica de Massas</t>
        </is>
      </c>
      <c r="O6667" t="n">
        <v>1</v>
      </c>
      <c r="P6667" t="n">
        <v>1</v>
      </c>
      <c r="Q6667" t="n">
        <v>0</v>
      </c>
    </row>
    <row r="6668">
      <c r="J6668" t="inlineStr">
        <is>
          <t>A</t>
        </is>
      </c>
      <c r="K6668" t="n">
        <v>2026</v>
      </c>
      <c r="L6668" t="n">
        <v>8</v>
      </c>
      <c r="M6668" t="inlineStr">
        <is>
          <t>Chocolate em pó 50% 1 kg</t>
        </is>
      </c>
      <c r="N6668" t="inlineStr">
        <is>
          <t>Fábrica de Massas</t>
        </is>
      </c>
      <c r="O6668" t="n">
        <v>2</v>
      </c>
      <c r="P6668" t="n">
        <v>2</v>
      </c>
      <c r="Q6668" t="n">
        <v>1</v>
      </c>
    </row>
    <row r="6669">
      <c r="J6669" t="inlineStr">
        <is>
          <t>A</t>
        </is>
      </c>
      <c r="K6669" t="n">
        <v>2026</v>
      </c>
      <c r="L6669" t="n">
        <v>9</v>
      </c>
      <c r="M6669" t="inlineStr">
        <is>
          <t>Chocolate em pó 50% 1 kg</t>
        </is>
      </c>
      <c r="N6669" t="inlineStr">
        <is>
          <t>Fábrica de Massas</t>
        </is>
      </c>
      <c r="O6669" t="n">
        <v>2</v>
      </c>
      <c r="P6669" t="n">
        <v>2</v>
      </c>
      <c r="Q6669" t="n">
        <v>1</v>
      </c>
    </row>
    <row r="6670">
      <c r="J6670" t="inlineStr">
        <is>
          <t>A</t>
        </is>
      </c>
      <c r="K6670" t="n">
        <v>2026</v>
      </c>
      <c r="L6670" t="n">
        <v>10</v>
      </c>
      <c r="M6670" t="inlineStr">
        <is>
          <t>Chocolate em pó 50% 1 kg</t>
        </is>
      </c>
      <c r="N6670" t="inlineStr">
        <is>
          <t>Fábrica de Massas</t>
        </is>
      </c>
      <c r="O6670" t="n">
        <v>2</v>
      </c>
      <c r="P6670" t="n">
        <v>2</v>
      </c>
      <c r="Q6670" t="n">
        <v>1</v>
      </c>
    </row>
    <row r="6671">
      <c r="J6671" t="inlineStr">
        <is>
          <t>A</t>
        </is>
      </c>
      <c r="K6671" t="n">
        <v>2026</v>
      </c>
      <c r="L6671" t="n">
        <v>11</v>
      </c>
      <c r="M6671" t="inlineStr">
        <is>
          <t>Chocolate em pó 50% 1 kg</t>
        </is>
      </c>
      <c r="N6671" t="inlineStr">
        <is>
          <t>Fábrica de Massas</t>
        </is>
      </c>
      <c r="O6671" t="n">
        <v>2</v>
      </c>
      <c r="P6671" t="n">
        <v>2</v>
      </c>
      <c r="Q6671" t="n">
        <v>1</v>
      </c>
    </row>
    <row r="6672">
      <c r="J6672" t="inlineStr">
        <is>
          <t>A</t>
        </is>
      </c>
      <c r="K6672" t="n">
        <v>2026</v>
      </c>
      <c r="L6672" t="n">
        <v>12</v>
      </c>
      <c r="M6672" t="inlineStr">
        <is>
          <t>Chocolate em pó 50% 1 kg</t>
        </is>
      </c>
      <c r="N6672" t="inlineStr">
        <is>
          <t>Fábrica de Massas</t>
        </is>
      </c>
      <c r="O6672" t="n">
        <v>2</v>
      </c>
      <c r="P6672" t="n">
        <v>2</v>
      </c>
      <c r="Q6672" t="n">
        <v>1</v>
      </c>
    </row>
    <row r="6673">
      <c r="J6673" t="inlineStr">
        <is>
          <t>A</t>
        </is>
      </c>
      <c r="K6673" t="n">
        <v>2026</v>
      </c>
      <c r="L6673" t="n">
        <v>1</v>
      </c>
      <c r="M6673" t="inlineStr">
        <is>
          <t>Chocolate em pó 50% 1 kg</t>
        </is>
      </c>
      <c r="N6673" t="inlineStr">
        <is>
          <t>Outros</t>
        </is>
      </c>
      <c r="O6673" t="n">
        <v>7</v>
      </c>
      <c r="P6673" t="n">
        <v>10</v>
      </c>
      <c r="Q6673" t="n">
        <v>4</v>
      </c>
    </row>
    <row r="6674">
      <c r="J6674" t="inlineStr">
        <is>
          <t>M</t>
        </is>
      </c>
      <c r="K6674" t="n">
        <v>2026</v>
      </c>
      <c r="L6674" t="n">
        <v>1</v>
      </c>
      <c r="M6674" t="inlineStr">
        <is>
          <t>Chocolate em pó 50% 1 kg</t>
        </is>
      </c>
      <c r="N6674" t="inlineStr">
        <is>
          <t>Outros</t>
        </is>
      </c>
      <c r="O6674" t="n">
        <v>7</v>
      </c>
      <c r="P6674" t="n">
        <v>10</v>
      </c>
      <c r="Q6674" t="n">
        <v>0</v>
      </c>
    </row>
    <row r="6675">
      <c r="J6675" t="inlineStr">
        <is>
          <t>A</t>
        </is>
      </c>
      <c r="K6675" t="n">
        <v>2026</v>
      </c>
      <c r="L6675" t="n">
        <v>2</v>
      </c>
      <c r="M6675" t="inlineStr">
        <is>
          <t>Chocolate em pó 50% 1 kg</t>
        </is>
      </c>
      <c r="N6675" t="inlineStr">
        <is>
          <t>Outros</t>
        </is>
      </c>
      <c r="O6675" t="n">
        <v>10</v>
      </c>
      <c r="P6675" t="n">
        <v>20</v>
      </c>
      <c r="Q6675" t="n">
        <v>5</v>
      </c>
    </row>
    <row r="6676">
      <c r="J6676" t="inlineStr">
        <is>
          <t>M</t>
        </is>
      </c>
      <c r="K6676" t="n">
        <v>2026</v>
      </c>
      <c r="L6676" t="n">
        <v>2</v>
      </c>
      <c r="M6676" t="inlineStr">
        <is>
          <t>Chocolate em pó 50% 1 kg</t>
        </is>
      </c>
      <c r="N6676" t="inlineStr">
        <is>
          <t>Outros</t>
        </is>
      </c>
      <c r="O6676" t="n">
        <v>8</v>
      </c>
      <c r="P6676" t="n">
        <v>10</v>
      </c>
      <c r="Q6676" t="n">
        <v>0</v>
      </c>
    </row>
    <row r="6677">
      <c r="J6677" t="inlineStr">
        <is>
          <t>A</t>
        </is>
      </c>
      <c r="K6677" t="n">
        <v>2026</v>
      </c>
      <c r="L6677" t="n">
        <v>3</v>
      </c>
      <c r="M6677" t="inlineStr">
        <is>
          <t>Chocolate em pó 50% 1 kg</t>
        </is>
      </c>
      <c r="N6677" t="inlineStr">
        <is>
          <t>Outros</t>
        </is>
      </c>
      <c r="O6677" t="n">
        <v>10</v>
      </c>
      <c r="P6677" t="n">
        <v>26</v>
      </c>
      <c r="Q6677" t="n">
        <v>5</v>
      </c>
    </row>
    <row r="6678">
      <c r="J6678" t="inlineStr">
        <is>
          <t>M</t>
        </is>
      </c>
      <c r="K6678" t="n">
        <v>2026</v>
      </c>
      <c r="L6678" t="n">
        <v>3</v>
      </c>
      <c r="M6678" t="inlineStr">
        <is>
          <t>Chocolate em pó 50% 1 kg</t>
        </is>
      </c>
      <c r="N6678" t="inlineStr">
        <is>
          <t>Outros</t>
        </is>
      </c>
      <c r="O6678" t="n">
        <v>4</v>
      </c>
      <c r="P6678" t="n">
        <v>6</v>
      </c>
      <c r="Q6678" t="n">
        <v>0</v>
      </c>
    </row>
    <row r="6679">
      <c r="J6679" t="inlineStr">
        <is>
          <t>A</t>
        </is>
      </c>
      <c r="K6679" t="n">
        <v>2026</v>
      </c>
      <c r="L6679" t="n">
        <v>4</v>
      </c>
      <c r="M6679" t="inlineStr">
        <is>
          <t>Chocolate em pó 50% 1 kg</t>
        </is>
      </c>
      <c r="N6679" t="inlineStr">
        <is>
          <t>Outros</t>
        </is>
      </c>
      <c r="O6679" t="n">
        <v>10</v>
      </c>
      <c r="P6679" t="n">
        <v>26</v>
      </c>
      <c r="Q6679" t="n">
        <v>5</v>
      </c>
    </row>
    <row r="6680">
      <c r="J6680" t="inlineStr">
        <is>
          <t>A</t>
        </is>
      </c>
      <c r="K6680" t="n">
        <v>2026</v>
      </c>
      <c r="L6680" t="n">
        <v>5</v>
      </c>
      <c r="M6680" t="inlineStr">
        <is>
          <t>Chocolate em pó 50% 1 kg</t>
        </is>
      </c>
      <c r="N6680" t="inlineStr">
        <is>
          <t>Outros</t>
        </is>
      </c>
      <c r="O6680" t="n">
        <v>10</v>
      </c>
      <c r="P6680" t="n">
        <v>26</v>
      </c>
      <c r="Q6680" t="n">
        <v>5</v>
      </c>
    </row>
    <row r="6681">
      <c r="J6681" t="inlineStr">
        <is>
          <t>A</t>
        </is>
      </c>
      <c r="K6681" t="n">
        <v>2026</v>
      </c>
      <c r="L6681" t="n">
        <v>6</v>
      </c>
      <c r="M6681" t="inlineStr">
        <is>
          <t>Chocolate em pó 50% 1 kg</t>
        </is>
      </c>
      <c r="N6681" t="inlineStr">
        <is>
          <t>Outros</t>
        </is>
      </c>
      <c r="O6681" t="n">
        <v>10</v>
      </c>
      <c r="P6681" t="n">
        <v>26</v>
      </c>
      <c r="Q6681" t="n">
        <v>5</v>
      </c>
    </row>
    <row r="6682">
      <c r="J6682" t="inlineStr">
        <is>
          <t>A</t>
        </is>
      </c>
      <c r="K6682" t="n">
        <v>2026</v>
      </c>
      <c r="L6682" t="n">
        <v>7</v>
      </c>
      <c r="M6682" t="inlineStr">
        <is>
          <t>Chocolate em pó 50% 1 kg</t>
        </is>
      </c>
      <c r="N6682" t="inlineStr">
        <is>
          <t>Outros</t>
        </is>
      </c>
      <c r="O6682" t="n">
        <v>10</v>
      </c>
      <c r="P6682" t="n">
        <v>26</v>
      </c>
      <c r="Q6682" t="n">
        <v>5</v>
      </c>
    </row>
    <row r="6683">
      <c r="J6683" t="inlineStr">
        <is>
          <t>A</t>
        </is>
      </c>
      <c r="K6683" t="n">
        <v>2026</v>
      </c>
      <c r="L6683" t="n">
        <v>8</v>
      </c>
      <c r="M6683" t="inlineStr">
        <is>
          <t>Chocolate em pó 50% 1 kg</t>
        </is>
      </c>
      <c r="N6683" t="inlineStr">
        <is>
          <t>Outros</t>
        </is>
      </c>
      <c r="O6683" t="n">
        <v>10</v>
      </c>
      <c r="P6683" t="n">
        <v>26</v>
      </c>
      <c r="Q6683" t="n">
        <v>5</v>
      </c>
    </row>
    <row r="6684">
      <c r="J6684" t="inlineStr">
        <is>
          <t>A</t>
        </is>
      </c>
      <c r="K6684" t="n">
        <v>2026</v>
      </c>
      <c r="L6684" t="n">
        <v>9</v>
      </c>
      <c r="M6684" t="inlineStr">
        <is>
          <t>Chocolate em pó 50% 1 kg</t>
        </is>
      </c>
      <c r="N6684" t="inlineStr">
        <is>
          <t>Outros</t>
        </is>
      </c>
      <c r="O6684" t="n">
        <v>10</v>
      </c>
      <c r="P6684" t="n">
        <v>26</v>
      </c>
      <c r="Q6684" t="n">
        <v>5</v>
      </c>
    </row>
    <row r="6685">
      <c r="J6685" t="inlineStr">
        <is>
          <t>A</t>
        </is>
      </c>
      <c r="K6685" t="n">
        <v>2026</v>
      </c>
      <c r="L6685" t="n">
        <v>10</v>
      </c>
      <c r="M6685" t="inlineStr">
        <is>
          <t>Chocolate em pó 50% 1 kg</t>
        </is>
      </c>
      <c r="N6685" t="inlineStr">
        <is>
          <t>Outros</t>
        </is>
      </c>
      <c r="O6685" t="n">
        <v>10</v>
      </c>
      <c r="P6685" t="n">
        <v>26</v>
      </c>
      <c r="Q6685" t="n">
        <v>5</v>
      </c>
    </row>
    <row r="6686">
      <c r="J6686" t="inlineStr">
        <is>
          <t>A</t>
        </is>
      </c>
      <c r="K6686" t="n">
        <v>2026</v>
      </c>
      <c r="L6686" t="n">
        <v>11</v>
      </c>
      <c r="M6686" t="inlineStr">
        <is>
          <t>Chocolate em pó 50% 1 kg</t>
        </is>
      </c>
      <c r="N6686" t="inlineStr">
        <is>
          <t>Outros</t>
        </is>
      </c>
      <c r="O6686" t="n">
        <v>10</v>
      </c>
      <c r="P6686" t="n">
        <v>26</v>
      </c>
      <c r="Q6686" t="n">
        <v>5</v>
      </c>
    </row>
    <row r="6687">
      <c r="J6687" t="inlineStr">
        <is>
          <t>A</t>
        </is>
      </c>
      <c r="K6687" t="n">
        <v>2026</v>
      </c>
      <c r="L6687" t="n">
        <v>12</v>
      </c>
      <c r="M6687" t="inlineStr">
        <is>
          <t>Chocolate em pó 50% 1 kg</t>
        </is>
      </c>
      <c r="N6687" t="inlineStr">
        <is>
          <t>Outros</t>
        </is>
      </c>
      <c r="O6687" t="n">
        <v>10</v>
      </c>
      <c r="P6687" t="n">
        <v>26</v>
      </c>
      <c r="Q6687" t="n">
        <v>5</v>
      </c>
    </row>
    <row r="6688">
      <c r="J6688" t="inlineStr">
        <is>
          <t>A</t>
        </is>
      </c>
      <c r="K6688" t="n">
        <v>2026</v>
      </c>
      <c r="L6688" t="n">
        <v>1</v>
      </c>
      <c r="M6688" t="inlineStr">
        <is>
          <t>Chocolate em pó 50% 1 kg</t>
        </is>
      </c>
      <c r="N6688" t="inlineStr">
        <is>
          <t>Pessoa Física</t>
        </is>
      </c>
      <c r="O6688" t="n">
        <v>1</v>
      </c>
      <c r="P6688" t="n">
        <v>1</v>
      </c>
      <c r="Q6688" t="n">
        <v>1</v>
      </c>
    </row>
    <row r="6689">
      <c r="J6689" t="inlineStr">
        <is>
          <t>M</t>
        </is>
      </c>
      <c r="K6689" t="n">
        <v>2026</v>
      </c>
      <c r="L6689" t="n">
        <v>1</v>
      </c>
      <c r="M6689" t="inlineStr">
        <is>
          <t>Chocolate em pó 50% 1 kg</t>
        </is>
      </c>
      <c r="N6689" t="inlineStr">
        <is>
          <t>Pessoa Física</t>
        </is>
      </c>
      <c r="O6689" t="n">
        <v>1</v>
      </c>
      <c r="P6689" t="n">
        <v>1</v>
      </c>
      <c r="Q6689" t="n">
        <v>0</v>
      </c>
    </row>
    <row r="6690">
      <c r="J6690" t="inlineStr">
        <is>
          <t>A</t>
        </is>
      </c>
      <c r="K6690" t="n">
        <v>2026</v>
      </c>
      <c r="L6690" t="n">
        <v>2</v>
      </c>
      <c r="M6690" t="inlineStr">
        <is>
          <t>Chocolate em pó 50% 1 kg</t>
        </is>
      </c>
      <c r="N6690" t="inlineStr">
        <is>
          <t>Pessoa Física</t>
        </is>
      </c>
      <c r="O6690" t="n">
        <v>1</v>
      </c>
      <c r="P6690" t="n">
        <v>1</v>
      </c>
      <c r="Q6690" t="n">
        <v>1</v>
      </c>
    </row>
    <row r="6691">
      <c r="J6691" t="inlineStr">
        <is>
          <t>A</t>
        </is>
      </c>
      <c r="K6691" t="n">
        <v>2026</v>
      </c>
      <c r="L6691" t="n">
        <v>3</v>
      </c>
      <c r="M6691" t="inlineStr">
        <is>
          <t>Chocolate em pó 50% 1 kg</t>
        </is>
      </c>
      <c r="N6691" t="inlineStr">
        <is>
          <t>Pessoa Física</t>
        </is>
      </c>
      <c r="O6691" t="n">
        <v>2</v>
      </c>
      <c r="P6691" t="n">
        <v>2</v>
      </c>
      <c r="Q6691" t="n">
        <v>1</v>
      </c>
    </row>
    <row r="6692">
      <c r="J6692" t="inlineStr">
        <is>
          <t>M</t>
        </is>
      </c>
      <c r="K6692" t="n">
        <v>2026</v>
      </c>
      <c r="L6692" t="n">
        <v>3</v>
      </c>
      <c r="M6692" t="inlineStr">
        <is>
          <t>Chocolate em pó 50% 1 kg</t>
        </is>
      </c>
      <c r="N6692" t="inlineStr">
        <is>
          <t>Pessoa Física</t>
        </is>
      </c>
      <c r="O6692" t="n">
        <v>1</v>
      </c>
      <c r="P6692" t="n">
        <v>1</v>
      </c>
      <c r="Q6692" t="n">
        <v>0</v>
      </c>
    </row>
    <row r="6693">
      <c r="J6693" t="inlineStr">
        <is>
          <t>A</t>
        </is>
      </c>
      <c r="K6693" t="n">
        <v>2026</v>
      </c>
      <c r="L6693" t="n">
        <v>4</v>
      </c>
      <c r="M6693" t="inlineStr">
        <is>
          <t>Chocolate em pó 50% 1 kg</t>
        </is>
      </c>
      <c r="N6693" t="inlineStr">
        <is>
          <t>Pessoa Física</t>
        </is>
      </c>
      <c r="O6693" t="n">
        <v>2</v>
      </c>
      <c r="P6693" t="n">
        <v>2</v>
      </c>
      <c r="Q6693" t="n">
        <v>1</v>
      </c>
    </row>
    <row r="6694">
      <c r="J6694" t="inlineStr">
        <is>
          <t>A</t>
        </is>
      </c>
      <c r="K6694" t="n">
        <v>2026</v>
      </c>
      <c r="L6694" t="n">
        <v>5</v>
      </c>
      <c r="M6694" t="inlineStr">
        <is>
          <t>Chocolate em pó 50% 1 kg</t>
        </is>
      </c>
      <c r="N6694" t="inlineStr">
        <is>
          <t>Pessoa Física</t>
        </is>
      </c>
      <c r="O6694" t="n">
        <v>3</v>
      </c>
      <c r="P6694" t="n">
        <v>3</v>
      </c>
      <c r="Q6694" t="n">
        <v>2</v>
      </c>
    </row>
    <row r="6695">
      <c r="J6695" t="inlineStr">
        <is>
          <t>M</t>
        </is>
      </c>
      <c r="K6695" t="n">
        <v>2026</v>
      </c>
      <c r="L6695" t="n">
        <v>5</v>
      </c>
      <c r="M6695" t="inlineStr">
        <is>
          <t>Chocolate em pó 50% 1 kg</t>
        </is>
      </c>
      <c r="N6695" t="inlineStr">
        <is>
          <t>Pessoa Física</t>
        </is>
      </c>
      <c r="O6695" t="n">
        <v>1</v>
      </c>
      <c r="P6695" t="n">
        <v>1</v>
      </c>
      <c r="Q6695" t="n">
        <v>0</v>
      </c>
    </row>
    <row r="6696">
      <c r="J6696" t="inlineStr">
        <is>
          <t>A</t>
        </is>
      </c>
      <c r="K6696" t="n">
        <v>2026</v>
      </c>
      <c r="L6696" t="n">
        <v>6</v>
      </c>
      <c r="M6696" t="inlineStr">
        <is>
          <t>Chocolate em pó 50% 1 kg</t>
        </is>
      </c>
      <c r="N6696" t="inlineStr">
        <is>
          <t>Pessoa Física</t>
        </is>
      </c>
      <c r="O6696" t="n">
        <v>3</v>
      </c>
      <c r="P6696" t="n">
        <v>4</v>
      </c>
      <c r="Q6696" t="n">
        <v>2</v>
      </c>
    </row>
    <row r="6697">
      <c r="J6697" t="inlineStr">
        <is>
          <t>M</t>
        </is>
      </c>
      <c r="K6697" t="n">
        <v>2026</v>
      </c>
      <c r="L6697" t="n">
        <v>6</v>
      </c>
      <c r="M6697" t="inlineStr">
        <is>
          <t>Chocolate em pó 50% 1 kg</t>
        </is>
      </c>
      <c r="N6697" t="inlineStr">
        <is>
          <t>Pessoa Física</t>
        </is>
      </c>
      <c r="O6697" t="n">
        <v>1</v>
      </c>
      <c r="P6697" t="n">
        <v>1</v>
      </c>
      <c r="Q6697" t="n">
        <v>0</v>
      </c>
    </row>
    <row r="6698">
      <c r="J6698" t="inlineStr">
        <is>
          <t>A</t>
        </is>
      </c>
      <c r="K6698" t="n">
        <v>2026</v>
      </c>
      <c r="L6698" t="n">
        <v>7</v>
      </c>
      <c r="M6698" t="inlineStr">
        <is>
          <t>Chocolate em pó 50% 1 kg</t>
        </is>
      </c>
      <c r="N6698" t="inlineStr">
        <is>
          <t>Pessoa Física</t>
        </is>
      </c>
      <c r="O6698" t="n">
        <v>5</v>
      </c>
      <c r="P6698" t="n">
        <v>7</v>
      </c>
      <c r="Q6698" t="n">
        <v>4</v>
      </c>
    </row>
    <row r="6699">
      <c r="J6699" t="inlineStr">
        <is>
          <t>M</t>
        </is>
      </c>
      <c r="K6699" t="n">
        <v>2026</v>
      </c>
      <c r="L6699" t="n">
        <v>7</v>
      </c>
      <c r="M6699" t="inlineStr">
        <is>
          <t>Chocolate em pó 50% 1 kg</t>
        </is>
      </c>
      <c r="N6699" t="inlineStr">
        <is>
          <t>Pessoa Física</t>
        </is>
      </c>
      <c r="O6699" t="n">
        <v>2</v>
      </c>
      <c r="P6699" t="n">
        <v>3</v>
      </c>
      <c r="Q6699" t="n">
        <v>0</v>
      </c>
    </row>
    <row r="6700">
      <c r="J6700" t="inlineStr">
        <is>
          <t>A</t>
        </is>
      </c>
      <c r="K6700" t="n">
        <v>2026</v>
      </c>
      <c r="L6700" t="n">
        <v>8</v>
      </c>
      <c r="M6700" t="inlineStr">
        <is>
          <t>Chocolate em pó 50% 1 kg</t>
        </is>
      </c>
      <c r="N6700" t="inlineStr">
        <is>
          <t>Pessoa Física</t>
        </is>
      </c>
      <c r="O6700" t="n">
        <v>5</v>
      </c>
      <c r="P6700" t="n">
        <v>7</v>
      </c>
      <c r="Q6700" t="n">
        <v>4</v>
      </c>
    </row>
    <row r="6701">
      <c r="J6701" t="inlineStr">
        <is>
          <t>A</t>
        </is>
      </c>
      <c r="K6701" t="n">
        <v>2026</v>
      </c>
      <c r="L6701" t="n">
        <v>9</v>
      </c>
      <c r="M6701" t="inlineStr">
        <is>
          <t>Chocolate em pó 50% 1 kg</t>
        </is>
      </c>
      <c r="N6701" t="inlineStr">
        <is>
          <t>Pessoa Física</t>
        </is>
      </c>
      <c r="O6701" t="n">
        <v>5</v>
      </c>
      <c r="P6701" t="n">
        <v>7</v>
      </c>
      <c r="Q6701" t="n">
        <v>4</v>
      </c>
    </row>
    <row r="6702">
      <c r="J6702" t="inlineStr">
        <is>
          <t>A</t>
        </is>
      </c>
      <c r="K6702" t="n">
        <v>2026</v>
      </c>
      <c r="L6702" t="n">
        <v>10</v>
      </c>
      <c r="M6702" t="inlineStr">
        <is>
          <t>Chocolate em pó 50% 1 kg</t>
        </is>
      </c>
      <c r="N6702" t="inlineStr">
        <is>
          <t>Pessoa Física</t>
        </is>
      </c>
      <c r="O6702" t="n">
        <v>5</v>
      </c>
      <c r="P6702" t="n">
        <v>7</v>
      </c>
      <c r="Q6702" t="n">
        <v>4</v>
      </c>
    </row>
    <row r="6703">
      <c r="J6703" t="inlineStr">
        <is>
          <t>A</t>
        </is>
      </c>
      <c r="K6703" t="n">
        <v>2026</v>
      </c>
      <c r="L6703" t="n">
        <v>11</v>
      </c>
      <c r="M6703" t="inlineStr">
        <is>
          <t>Chocolate em pó 50% 1 kg</t>
        </is>
      </c>
      <c r="N6703" t="inlineStr">
        <is>
          <t>Pessoa Física</t>
        </is>
      </c>
      <c r="O6703" t="n">
        <v>5</v>
      </c>
      <c r="P6703" t="n">
        <v>7</v>
      </c>
      <c r="Q6703" t="n">
        <v>4</v>
      </c>
    </row>
    <row r="6704">
      <c r="J6704" t="inlineStr">
        <is>
          <t>A</t>
        </is>
      </c>
      <c r="K6704" t="n">
        <v>2026</v>
      </c>
      <c r="L6704" t="n">
        <v>12</v>
      </c>
      <c r="M6704" t="inlineStr">
        <is>
          <t>Chocolate em pó 50% 1 kg</t>
        </is>
      </c>
      <c r="N6704" t="inlineStr">
        <is>
          <t>Pessoa Física</t>
        </is>
      </c>
      <c r="O6704" t="n">
        <v>5</v>
      </c>
      <c r="P6704" t="n">
        <v>7</v>
      </c>
      <c r="Q6704" t="n">
        <v>4</v>
      </c>
    </row>
    <row r="6705">
      <c r="J6705" t="inlineStr">
        <is>
          <t>A</t>
        </is>
      </c>
      <c r="K6705" t="n">
        <v>2026</v>
      </c>
      <c r="L6705" t="n">
        <v>4</v>
      </c>
      <c r="M6705" t="inlineStr">
        <is>
          <t>Chocolate em pó 50% 1 kg</t>
        </is>
      </c>
      <c r="N6705" t="inlineStr">
        <is>
          <t>Esfiharia</t>
        </is>
      </c>
      <c r="O6705" t="n">
        <v>2</v>
      </c>
      <c r="P6705" t="n">
        <v>2</v>
      </c>
      <c r="Q6705" t="n">
        <v>1</v>
      </c>
    </row>
    <row r="6706">
      <c r="J6706" t="inlineStr">
        <is>
          <t>M</t>
        </is>
      </c>
      <c r="K6706" t="n">
        <v>2026</v>
      </c>
      <c r="L6706" t="n">
        <v>4</v>
      </c>
      <c r="M6706" t="inlineStr">
        <is>
          <t>Chocolate em pó 50% 1 kg</t>
        </is>
      </c>
      <c r="N6706" t="inlineStr">
        <is>
          <t>Esfiharia</t>
        </is>
      </c>
      <c r="O6706" t="n">
        <v>2</v>
      </c>
      <c r="P6706" t="n">
        <v>2</v>
      </c>
      <c r="Q6706" t="n">
        <v>0</v>
      </c>
    </row>
    <row r="6707">
      <c r="J6707" t="inlineStr">
        <is>
          <t>A</t>
        </is>
      </c>
      <c r="K6707" t="n">
        <v>2026</v>
      </c>
      <c r="L6707" t="n">
        <v>5</v>
      </c>
      <c r="M6707" t="inlineStr">
        <is>
          <t>Chocolate em pó 50% 1 kg</t>
        </is>
      </c>
      <c r="N6707" t="inlineStr">
        <is>
          <t>Esfiharia</t>
        </is>
      </c>
      <c r="O6707" t="n">
        <v>2</v>
      </c>
      <c r="P6707" t="n">
        <v>3</v>
      </c>
      <c r="Q6707" t="n">
        <v>1</v>
      </c>
    </row>
    <row r="6708">
      <c r="J6708" t="inlineStr">
        <is>
          <t>M</t>
        </is>
      </c>
      <c r="K6708" t="n">
        <v>2026</v>
      </c>
      <c r="L6708" t="n">
        <v>5</v>
      </c>
      <c r="M6708" t="inlineStr">
        <is>
          <t>Chocolate em pó 50% 1 kg</t>
        </is>
      </c>
      <c r="N6708" t="inlineStr">
        <is>
          <t>Esfiharia</t>
        </is>
      </c>
      <c r="O6708" t="n">
        <v>1</v>
      </c>
      <c r="P6708" t="n">
        <v>1</v>
      </c>
      <c r="Q6708" t="n">
        <v>0</v>
      </c>
    </row>
    <row r="6709">
      <c r="J6709" t="inlineStr">
        <is>
          <t>A</t>
        </is>
      </c>
      <c r="K6709" t="n">
        <v>2026</v>
      </c>
      <c r="L6709" t="n">
        <v>6</v>
      </c>
      <c r="M6709" t="inlineStr">
        <is>
          <t>Chocolate em pó 50% 1 kg</t>
        </is>
      </c>
      <c r="N6709" t="inlineStr">
        <is>
          <t>Esfiharia</t>
        </is>
      </c>
      <c r="O6709" t="n">
        <v>2</v>
      </c>
      <c r="P6709" t="n">
        <v>3</v>
      </c>
      <c r="Q6709" t="n">
        <v>1</v>
      </c>
    </row>
    <row r="6710">
      <c r="J6710" t="inlineStr">
        <is>
          <t>A</t>
        </is>
      </c>
      <c r="K6710" t="n">
        <v>2026</v>
      </c>
      <c r="L6710" t="n">
        <v>7</v>
      </c>
      <c r="M6710" t="inlineStr">
        <is>
          <t>Chocolate em pó 50% 1 kg</t>
        </is>
      </c>
      <c r="N6710" t="inlineStr">
        <is>
          <t>Esfiharia</t>
        </is>
      </c>
      <c r="O6710" t="n">
        <v>2</v>
      </c>
      <c r="P6710" t="n">
        <v>4</v>
      </c>
      <c r="Q6710" t="n">
        <v>1</v>
      </c>
    </row>
    <row r="6711">
      <c r="J6711" t="inlineStr">
        <is>
          <t>M</t>
        </is>
      </c>
      <c r="K6711" t="n">
        <v>2026</v>
      </c>
      <c r="L6711" t="n">
        <v>7</v>
      </c>
      <c r="M6711" t="inlineStr">
        <is>
          <t>Chocolate em pó 50% 1 kg</t>
        </is>
      </c>
      <c r="N6711" t="inlineStr">
        <is>
          <t>Esfiharia</t>
        </is>
      </c>
      <c r="O6711" t="n">
        <v>1</v>
      </c>
      <c r="P6711" t="n">
        <v>1</v>
      </c>
      <c r="Q6711" t="n">
        <v>0</v>
      </c>
    </row>
    <row r="6712">
      <c r="J6712" t="inlineStr">
        <is>
          <t>A</t>
        </is>
      </c>
      <c r="K6712" t="n">
        <v>2026</v>
      </c>
      <c r="L6712" t="n">
        <v>8</v>
      </c>
      <c r="M6712" t="inlineStr">
        <is>
          <t>Chocolate em pó 50% 1 kg</t>
        </is>
      </c>
      <c r="N6712" t="inlineStr">
        <is>
          <t>Esfiharia</t>
        </is>
      </c>
      <c r="O6712" t="n">
        <v>2</v>
      </c>
      <c r="P6712" t="n">
        <v>4</v>
      </c>
      <c r="Q6712" t="n">
        <v>1</v>
      </c>
    </row>
    <row r="6713">
      <c r="J6713" t="inlineStr">
        <is>
          <t>A</t>
        </is>
      </c>
      <c r="K6713" t="n">
        <v>2026</v>
      </c>
      <c r="L6713" t="n">
        <v>9</v>
      </c>
      <c r="M6713" t="inlineStr">
        <is>
          <t>Chocolate em pó 50% 1 kg</t>
        </is>
      </c>
      <c r="N6713" t="inlineStr">
        <is>
          <t>Esfiharia</t>
        </is>
      </c>
      <c r="O6713" t="n">
        <v>2</v>
      </c>
      <c r="P6713" t="n">
        <v>4</v>
      </c>
      <c r="Q6713" t="n">
        <v>1</v>
      </c>
    </row>
    <row r="6714">
      <c r="J6714" t="inlineStr">
        <is>
          <t>A</t>
        </is>
      </c>
      <c r="K6714" t="n">
        <v>2026</v>
      </c>
      <c r="L6714" t="n">
        <v>10</v>
      </c>
      <c r="M6714" t="inlineStr">
        <is>
          <t>Chocolate em pó 50% 1 kg</t>
        </is>
      </c>
      <c r="N6714" t="inlineStr">
        <is>
          <t>Esfiharia</t>
        </is>
      </c>
      <c r="O6714" t="n">
        <v>2</v>
      </c>
      <c r="P6714" t="n">
        <v>4</v>
      </c>
      <c r="Q6714" t="n">
        <v>1</v>
      </c>
    </row>
    <row r="6715">
      <c r="J6715" t="inlineStr">
        <is>
          <t>A</t>
        </is>
      </c>
      <c r="K6715" t="n">
        <v>2026</v>
      </c>
      <c r="L6715" t="n">
        <v>11</v>
      </c>
      <c r="M6715" t="inlineStr">
        <is>
          <t>Chocolate em pó 50% 1 kg</t>
        </is>
      </c>
      <c r="N6715" t="inlineStr">
        <is>
          <t>Esfiharia</t>
        </is>
      </c>
      <c r="O6715" t="n">
        <v>2</v>
      </c>
      <c r="P6715" t="n">
        <v>4</v>
      </c>
      <c r="Q6715" t="n">
        <v>1</v>
      </c>
    </row>
    <row r="6716">
      <c r="J6716" t="inlineStr">
        <is>
          <t>A</t>
        </is>
      </c>
      <c r="K6716" t="n">
        <v>2026</v>
      </c>
      <c r="L6716" t="n">
        <v>12</v>
      </c>
      <c r="M6716" t="inlineStr">
        <is>
          <t>Chocolate em pó 50% 1 kg</t>
        </is>
      </c>
      <c r="N6716" t="inlineStr">
        <is>
          <t>Esfiharia</t>
        </is>
      </c>
      <c r="O6716" t="n">
        <v>2</v>
      </c>
      <c r="P6716" t="n">
        <v>4</v>
      </c>
      <c r="Q6716" t="n">
        <v>1</v>
      </c>
    </row>
    <row r="6717">
      <c r="J6717" t="inlineStr">
        <is>
          <t>A</t>
        </is>
      </c>
      <c r="K6717" t="n">
        <v>2026</v>
      </c>
      <c r="L6717" t="n">
        <v>1</v>
      </c>
      <c r="M6717" t="inlineStr">
        <is>
          <t>Chocolate em pó 50% 1 kg</t>
        </is>
      </c>
      <c r="N6717" t="inlineStr">
        <is>
          <t>Lanchonete / Cafeteria</t>
        </is>
      </c>
      <c r="O6717" t="n">
        <v>5</v>
      </c>
      <c r="P6717" t="n">
        <v>6</v>
      </c>
      <c r="Q6717" t="n">
        <v>1</v>
      </c>
    </row>
    <row r="6718">
      <c r="J6718" t="inlineStr">
        <is>
          <t>M</t>
        </is>
      </c>
      <c r="K6718" t="n">
        <v>2026</v>
      </c>
      <c r="L6718" t="n">
        <v>1</v>
      </c>
      <c r="M6718" t="inlineStr">
        <is>
          <t>Chocolate em pó 50% 1 kg</t>
        </is>
      </c>
      <c r="N6718" t="inlineStr">
        <is>
          <t>Lanchonete / Cafeteria</t>
        </is>
      </c>
      <c r="O6718" t="n">
        <v>5</v>
      </c>
      <c r="P6718" t="n">
        <v>6</v>
      </c>
      <c r="Q6718" t="n">
        <v>0</v>
      </c>
    </row>
    <row r="6719">
      <c r="J6719" t="inlineStr">
        <is>
          <t>A</t>
        </is>
      </c>
      <c r="K6719" t="n">
        <v>2026</v>
      </c>
      <c r="L6719" t="n">
        <v>2</v>
      </c>
      <c r="M6719" t="inlineStr">
        <is>
          <t>Chocolate em pó 50% 1 kg</t>
        </is>
      </c>
      <c r="N6719" t="inlineStr">
        <is>
          <t>Lanchonete / Cafeteria</t>
        </is>
      </c>
      <c r="O6719" t="n">
        <v>8</v>
      </c>
      <c r="P6719" t="n">
        <v>14</v>
      </c>
      <c r="Q6719" t="n">
        <v>1</v>
      </c>
    </row>
    <row r="6720">
      <c r="J6720" t="inlineStr">
        <is>
          <t>M</t>
        </is>
      </c>
      <c r="K6720" t="n">
        <v>2026</v>
      </c>
      <c r="L6720" t="n">
        <v>2</v>
      </c>
      <c r="M6720" t="inlineStr">
        <is>
          <t>Chocolate em pó 50% 1 kg</t>
        </is>
      </c>
      <c r="N6720" t="inlineStr">
        <is>
          <t>Lanchonete / Cafeteria</t>
        </is>
      </c>
      <c r="O6720" t="n">
        <v>6</v>
      </c>
      <c r="P6720" t="n">
        <v>8</v>
      </c>
      <c r="Q6720" t="n">
        <v>0</v>
      </c>
    </row>
    <row r="6721">
      <c r="J6721" t="inlineStr">
        <is>
          <t>A</t>
        </is>
      </c>
      <c r="K6721" t="n">
        <v>2026</v>
      </c>
      <c r="L6721" t="n">
        <v>3</v>
      </c>
      <c r="M6721" t="inlineStr">
        <is>
          <t>Chocolate em pó 50% 1 kg</t>
        </is>
      </c>
      <c r="N6721" t="inlineStr">
        <is>
          <t>Lanchonete / Cafeteria</t>
        </is>
      </c>
      <c r="O6721" t="n">
        <v>13</v>
      </c>
      <c r="P6721" t="n">
        <v>25</v>
      </c>
      <c r="Q6721" t="n">
        <v>3</v>
      </c>
    </row>
    <row r="6722">
      <c r="J6722" t="inlineStr">
        <is>
          <t>M</t>
        </is>
      </c>
      <c r="K6722" t="n">
        <v>2026</v>
      </c>
      <c r="L6722" t="n">
        <v>3</v>
      </c>
      <c r="M6722" t="inlineStr">
        <is>
          <t>Chocolate em pó 50% 1 kg</t>
        </is>
      </c>
      <c r="N6722" t="inlineStr">
        <is>
          <t>Lanchonete / Cafeteria</t>
        </is>
      </c>
      <c r="O6722" t="n">
        <v>9</v>
      </c>
      <c r="P6722" t="n">
        <v>11</v>
      </c>
      <c r="Q6722" t="n">
        <v>0</v>
      </c>
    </row>
    <row r="6723">
      <c r="J6723" t="inlineStr">
        <is>
          <t>A</t>
        </is>
      </c>
      <c r="K6723" t="n">
        <v>2026</v>
      </c>
      <c r="L6723" t="n">
        <v>4</v>
      </c>
      <c r="M6723" t="inlineStr">
        <is>
          <t>Chocolate em pó 50% 1 kg</t>
        </is>
      </c>
      <c r="N6723" t="inlineStr">
        <is>
          <t>Lanchonete / Cafeteria</t>
        </is>
      </c>
      <c r="O6723" t="n">
        <v>15</v>
      </c>
      <c r="P6723" t="n">
        <v>29</v>
      </c>
      <c r="Q6723" t="n">
        <v>4</v>
      </c>
    </row>
    <row r="6724">
      <c r="J6724" t="inlineStr">
        <is>
          <t>M</t>
        </is>
      </c>
      <c r="K6724" t="n">
        <v>2026</v>
      </c>
      <c r="L6724" t="n">
        <v>4</v>
      </c>
      <c r="M6724" t="inlineStr">
        <is>
          <t>Chocolate em pó 50% 1 kg</t>
        </is>
      </c>
      <c r="N6724" t="inlineStr">
        <is>
          <t>Lanchonete / Cafeteria</t>
        </is>
      </c>
      <c r="O6724" t="n">
        <v>3</v>
      </c>
      <c r="P6724" t="n">
        <v>4</v>
      </c>
      <c r="Q6724" t="n">
        <v>0</v>
      </c>
    </row>
    <row r="6725">
      <c r="J6725" t="inlineStr">
        <is>
          <t>A</t>
        </is>
      </c>
      <c r="K6725" t="n">
        <v>2026</v>
      </c>
      <c r="L6725" t="n">
        <v>5</v>
      </c>
      <c r="M6725" t="inlineStr">
        <is>
          <t>Chocolate em pó 50% 1 kg</t>
        </is>
      </c>
      <c r="N6725" t="inlineStr">
        <is>
          <t>Lanchonete / Cafeteria</t>
        </is>
      </c>
      <c r="O6725" t="n">
        <v>17</v>
      </c>
      <c r="P6725" t="n">
        <v>42</v>
      </c>
      <c r="Q6725" t="n">
        <v>5</v>
      </c>
    </row>
    <row r="6726">
      <c r="J6726" t="inlineStr">
        <is>
          <t>M</t>
        </is>
      </c>
      <c r="K6726" t="n">
        <v>2026</v>
      </c>
      <c r="L6726" t="n">
        <v>5</v>
      </c>
      <c r="M6726" t="inlineStr">
        <is>
          <t>Chocolate em pó 50% 1 kg</t>
        </is>
      </c>
      <c r="N6726" t="inlineStr">
        <is>
          <t>Lanchonete / Cafeteria</t>
        </is>
      </c>
      <c r="O6726" t="n">
        <v>8</v>
      </c>
      <c r="P6726" t="n">
        <v>13</v>
      </c>
      <c r="Q6726" t="n">
        <v>0</v>
      </c>
    </row>
    <row r="6727">
      <c r="J6727" t="inlineStr">
        <is>
          <t>A</t>
        </is>
      </c>
      <c r="K6727" t="n">
        <v>2026</v>
      </c>
      <c r="L6727" t="n">
        <v>6</v>
      </c>
      <c r="M6727" t="inlineStr">
        <is>
          <t>Chocolate em pó 50% 1 kg</t>
        </is>
      </c>
      <c r="N6727" t="inlineStr">
        <is>
          <t>Lanchonete / Cafeteria</t>
        </is>
      </c>
      <c r="O6727" t="n">
        <v>18</v>
      </c>
      <c r="P6727" t="n">
        <v>55</v>
      </c>
      <c r="Q6727" t="n">
        <v>6</v>
      </c>
    </row>
    <row r="6728">
      <c r="J6728" t="inlineStr">
        <is>
          <t>M</t>
        </is>
      </c>
      <c r="K6728" t="n">
        <v>2026</v>
      </c>
      <c r="L6728" t="n">
        <v>6</v>
      </c>
      <c r="M6728" t="inlineStr">
        <is>
          <t>Chocolate em pó 50% 1 kg</t>
        </is>
      </c>
      <c r="N6728" t="inlineStr">
        <is>
          <t>Lanchonete / Cafeteria</t>
        </is>
      </c>
      <c r="O6728" t="n">
        <v>6</v>
      </c>
      <c r="P6728" t="n">
        <v>13</v>
      </c>
      <c r="Q6728" t="n">
        <v>0</v>
      </c>
    </row>
    <row r="6729">
      <c r="J6729" t="inlineStr">
        <is>
          <t>A</t>
        </is>
      </c>
      <c r="K6729" t="n">
        <v>2026</v>
      </c>
      <c r="L6729" t="n">
        <v>7</v>
      </c>
      <c r="M6729" t="inlineStr">
        <is>
          <t>Chocolate em pó 50% 1 kg</t>
        </is>
      </c>
      <c r="N6729" t="inlineStr">
        <is>
          <t>Lanchonete / Cafeteria</t>
        </is>
      </c>
      <c r="O6729" t="n">
        <v>21</v>
      </c>
      <c r="P6729" t="n">
        <v>67</v>
      </c>
      <c r="Q6729" t="n">
        <v>8</v>
      </c>
    </row>
    <row r="6730">
      <c r="J6730" t="inlineStr">
        <is>
          <t>M</t>
        </is>
      </c>
      <c r="K6730" t="n">
        <v>2026</v>
      </c>
      <c r="L6730" t="n">
        <v>7</v>
      </c>
      <c r="M6730" t="inlineStr">
        <is>
          <t>Chocolate em pó 50% 1 kg</t>
        </is>
      </c>
      <c r="N6730" t="inlineStr">
        <is>
          <t>Lanchonete / Cafeteria</t>
        </is>
      </c>
      <c r="O6730" t="n">
        <v>6</v>
      </c>
      <c r="P6730" t="n">
        <v>12</v>
      </c>
      <c r="Q6730" t="n">
        <v>0</v>
      </c>
    </row>
    <row r="6731">
      <c r="J6731" t="inlineStr">
        <is>
          <t>A</t>
        </is>
      </c>
      <c r="K6731" t="n">
        <v>2026</v>
      </c>
      <c r="L6731" t="n">
        <v>8</v>
      </c>
      <c r="M6731" t="inlineStr">
        <is>
          <t>Chocolate em pó 50% 1 kg</t>
        </is>
      </c>
      <c r="N6731" t="inlineStr">
        <is>
          <t>Lanchonete / Cafeteria</t>
        </is>
      </c>
      <c r="O6731" t="n">
        <v>21</v>
      </c>
      <c r="P6731" t="n">
        <v>67</v>
      </c>
      <c r="Q6731" t="n">
        <v>8</v>
      </c>
    </row>
    <row r="6732">
      <c r="J6732" t="inlineStr">
        <is>
          <t>A</t>
        </is>
      </c>
      <c r="K6732" t="n">
        <v>2026</v>
      </c>
      <c r="L6732" t="n">
        <v>9</v>
      </c>
      <c r="M6732" t="inlineStr">
        <is>
          <t>Chocolate em pó 50% 1 kg</t>
        </is>
      </c>
      <c r="N6732" t="inlineStr">
        <is>
          <t>Lanchonete / Cafeteria</t>
        </is>
      </c>
      <c r="O6732" t="n">
        <v>21</v>
      </c>
      <c r="P6732" t="n">
        <v>67</v>
      </c>
      <c r="Q6732" t="n">
        <v>8</v>
      </c>
    </row>
    <row r="6733">
      <c r="J6733" t="inlineStr">
        <is>
          <t>A</t>
        </is>
      </c>
      <c r="K6733" t="n">
        <v>2026</v>
      </c>
      <c r="L6733" t="n">
        <v>10</v>
      </c>
      <c r="M6733" t="inlineStr">
        <is>
          <t>Chocolate em pó 50% 1 kg</t>
        </is>
      </c>
      <c r="N6733" t="inlineStr">
        <is>
          <t>Lanchonete / Cafeteria</t>
        </is>
      </c>
      <c r="O6733" t="n">
        <v>21</v>
      </c>
      <c r="P6733" t="n">
        <v>67</v>
      </c>
      <c r="Q6733" t="n">
        <v>8</v>
      </c>
    </row>
    <row r="6734">
      <c r="J6734" t="inlineStr">
        <is>
          <t>A</t>
        </is>
      </c>
      <c r="K6734" t="n">
        <v>2026</v>
      </c>
      <c r="L6734" t="n">
        <v>11</v>
      </c>
      <c r="M6734" t="inlineStr">
        <is>
          <t>Chocolate em pó 50% 1 kg</t>
        </is>
      </c>
      <c r="N6734" t="inlineStr">
        <is>
          <t>Lanchonete / Cafeteria</t>
        </is>
      </c>
      <c r="O6734" t="n">
        <v>21</v>
      </c>
      <c r="P6734" t="n">
        <v>67</v>
      </c>
      <c r="Q6734" t="n">
        <v>8</v>
      </c>
    </row>
    <row r="6735">
      <c r="J6735" t="inlineStr">
        <is>
          <t>A</t>
        </is>
      </c>
      <c r="K6735" t="n">
        <v>2026</v>
      </c>
      <c r="L6735" t="n">
        <v>12</v>
      </c>
      <c r="M6735" t="inlineStr">
        <is>
          <t>Chocolate em pó 50% 1 kg</t>
        </is>
      </c>
      <c r="N6735" t="inlineStr">
        <is>
          <t>Lanchonete / Cafeteria</t>
        </is>
      </c>
      <c r="O6735" t="n">
        <v>21</v>
      </c>
      <c r="P6735" t="n">
        <v>67</v>
      </c>
      <c r="Q6735" t="n">
        <v>8</v>
      </c>
    </row>
    <row r="6736">
      <c r="J6736" t="inlineStr">
        <is>
          <t>A</t>
        </is>
      </c>
      <c r="K6736" t="n">
        <v>2026</v>
      </c>
      <c r="L6736" t="n">
        <v>1</v>
      </c>
      <c r="M6736" t="inlineStr">
        <is>
          <t>Chocolate em pó 50% 1 kg</t>
        </is>
      </c>
      <c r="N6736" t="inlineStr">
        <is>
          <t>Padaria</t>
        </is>
      </c>
      <c r="O6736" t="n">
        <v>3</v>
      </c>
      <c r="P6736" t="n">
        <v>5</v>
      </c>
      <c r="Q6736" t="n">
        <v>0</v>
      </c>
    </row>
    <row r="6737">
      <c r="J6737" t="inlineStr">
        <is>
          <t>M</t>
        </is>
      </c>
      <c r="K6737" t="n">
        <v>2026</v>
      </c>
      <c r="L6737" t="n">
        <v>1</v>
      </c>
      <c r="M6737" t="inlineStr">
        <is>
          <t>Chocolate em pó 50% 1 kg</t>
        </is>
      </c>
      <c r="N6737" t="inlineStr">
        <is>
          <t>Padaria</t>
        </is>
      </c>
      <c r="O6737" t="n">
        <v>3</v>
      </c>
      <c r="P6737" t="n">
        <v>5</v>
      </c>
      <c r="Q6737" t="n">
        <v>0</v>
      </c>
    </row>
    <row r="6738">
      <c r="J6738" t="inlineStr">
        <is>
          <t>A</t>
        </is>
      </c>
      <c r="K6738" t="n">
        <v>2026</v>
      </c>
      <c r="L6738" t="n">
        <v>2</v>
      </c>
      <c r="M6738" t="inlineStr">
        <is>
          <t>Chocolate em pó 50% 1 kg</t>
        </is>
      </c>
      <c r="N6738" t="inlineStr">
        <is>
          <t>Padaria</t>
        </is>
      </c>
      <c r="O6738" t="n">
        <v>4</v>
      </c>
      <c r="P6738" t="n">
        <v>10</v>
      </c>
      <c r="Q6738" t="n">
        <v>0</v>
      </c>
    </row>
    <row r="6739">
      <c r="J6739" t="inlineStr">
        <is>
          <t>M</t>
        </is>
      </c>
      <c r="K6739" t="n">
        <v>2026</v>
      </c>
      <c r="L6739" t="n">
        <v>2</v>
      </c>
      <c r="M6739" t="inlineStr">
        <is>
          <t>Chocolate em pó 50% 1 kg</t>
        </is>
      </c>
      <c r="N6739" t="inlineStr">
        <is>
          <t>Padaria</t>
        </is>
      </c>
      <c r="O6739" t="n">
        <v>3</v>
      </c>
      <c r="P6739" t="n">
        <v>5</v>
      </c>
      <c r="Q6739" t="n">
        <v>0</v>
      </c>
    </row>
    <row r="6740">
      <c r="J6740" t="inlineStr">
        <is>
          <t>A</t>
        </is>
      </c>
      <c r="K6740" t="n">
        <v>2026</v>
      </c>
      <c r="L6740" t="n">
        <v>3</v>
      </c>
      <c r="M6740" t="inlineStr">
        <is>
          <t>Chocolate em pó 50% 1 kg</t>
        </is>
      </c>
      <c r="N6740" t="inlineStr">
        <is>
          <t>Padaria</t>
        </is>
      </c>
      <c r="O6740" t="n">
        <v>5</v>
      </c>
      <c r="P6740" t="n">
        <v>15</v>
      </c>
      <c r="Q6740" t="n">
        <v>1</v>
      </c>
    </row>
    <row r="6741">
      <c r="J6741" t="inlineStr">
        <is>
          <t>M</t>
        </is>
      </c>
      <c r="K6741" t="n">
        <v>2026</v>
      </c>
      <c r="L6741" t="n">
        <v>3</v>
      </c>
      <c r="M6741" t="inlineStr">
        <is>
          <t>Chocolate em pó 50% 1 kg</t>
        </is>
      </c>
      <c r="N6741" t="inlineStr">
        <is>
          <t>Padaria</t>
        </is>
      </c>
      <c r="O6741" t="n">
        <v>3</v>
      </c>
      <c r="P6741" t="n">
        <v>5</v>
      </c>
      <c r="Q6741" t="n">
        <v>0</v>
      </c>
    </row>
    <row r="6742">
      <c r="J6742" t="inlineStr">
        <is>
          <t>A</t>
        </is>
      </c>
      <c r="K6742" t="n">
        <v>2026</v>
      </c>
      <c r="L6742" t="n">
        <v>4</v>
      </c>
      <c r="M6742" t="inlineStr">
        <is>
          <t>Chocolate em pó 50% 1 kg</t>
        </is>
      </c>
      <c r="N6742" t="inlineStr">
        <is>
          <t>Padaria</t>
        </is>
      </c>
      <c r="O6742" t="n">
        <v>6</v>
      </c>
      <c r="P6742" t="n">
        <v>17</v>
      </c>
      <c r="Q6742" t="n">
        <v>2</v>
      </c>
    </row>
    <row r="6743">
      <c r="J6743" t="inlineStr">
        <is>
          <t>M</t>
        </is>
      </c>
      <c r="K6743" t="n">
        <v>2026</v>
      </c>
      <c r="L6743" t="n">
        <v>4</v>
      </c>
      <c r="M6743" t="inlineStr">
        <is>
          <t>Chocolate em pó 50% 1 kg</t>
        </is>
      </c>
      <c r="N6743" t="inlineStr">
        <is>
          <t>Padaria</t>
        </is>
      </c>
      <c r="O6743" t="n">
        <v>2</v>
      </c>
      <c r="P6743" t="n">
        <v>2</v>
      </c>
      <c r="Q6743" t="n">
        <v>0</v>
      </c>
    </row>
    <row r="6744">
      <c r="J6744" t="inlineStr">
        <is>
          <t>A</t>
        </is>
      </c>
      <c r="K6744" t="n">
        <v>2026</v>
      </c>
      <c r="L6744" t="n">
        <v>5</v>
      </c>
      <c r="M6744" t="inlineStr">
        <is>
          <t>Chocolate em pó 50% 1 kg</t>
        </is>
      </c>
      <c r="N6744" t="inlineStr">
        <is>
          <t>Padaria</t>
        </is>
      </c>
      <c r="O6744" t="n">
        <v>7</v>
      </c>
      <c r="P6744" t="n">
        <v>24</v>
      </c>
      <c r="Q6744" t="n">
        <v>2</v>
      </c>
    </row>
    <row r="6745">
      <c r="J6745" t="inlineStr">
        <is>
          <t>M</t>
        </is>
      </c>
      <c r="K6745" t="n">
        <v>2026</v>
      </c>
      <c r="L6745" t="n">
        <v>5</v>
      </c>
      <c r="M6745" t="inlineStr">
        <is>
          <t>Chocolate em pó 50% 1 kg</t>
        </is>
      </c>
      <c r="N6745" t="inlineStr">
        <is>
          <t>Padaria</t>
        </is>
      </c>
      <c r="O6745" t="n">
        <v>5</v>
      </c>
      <c r="P6745" t="n">
        <v>7</v>
      </c>
      <c r="Q6745" t="n">
        <v>0</v>
      </c>
    </row>
    <row r="6746">
      <c r="J6746" t="inlineStr">
        <is>
          <t>A</t>
        </is>
      </c>
      <c r="K6746" t="n">
        <v>2026</v>
      </c>
      <c r="L6746" t="n">
        <v>6</v>
      </c>
      <c r="M6746" t="inlineStr">
        <is>
          <t>Chocolate em pó 50% 1 kg</t>
        </is>
      </c>
      <c r="N6746" t="inlineStr">
        <is>
          <t>Padaria</t>
        </is>
      </c>
      <c r="O6746" t="n">
        <v>9</v>
      </c>
      <c r="P6746" t="n">
        <v>35</v>
      </c>
      <c r="Q6746" t="n">
        <v>4</v>
      </c>
    </row>
    <row r="6747">
      <c r="J6747" t="inlineStr">
        <is>
          <t>M</t>
        </is>
      </c>
      <c r="K6747" t="n">
        <v>2026</v>
      </c>
      <c r="L6747" t="n">
        <v>6</v>
      </c>
      <c r="M6747" t="inlineStr">
        <is>
          <t>Chocolate em pó 50% 1 kg</t>
        </is>
      </c>
      <c r="N6747" t="inlineStr">
        <is>
          <t>Padaria</t>
        </is>
      </c>
      <c r="O6747" t="n">
        <v>6</v>
      </c>
      <c r="P6747" t="n">
        <v>11</v>
      </c>
      <c r="Q6747" t="n">
        <v>0</v>
      </c>
    </row>
    <row r="6748">
      <c r="J6748" t="inlineStr">
        <is>
          <t>A</t>
        </is>
      </c>
      <c r="K6748" t="n">
        <v>2026</v>
      </c>
      <c r="L6748" t="n">
        <v>7</v>
      </c>
      <c r="M6748" t="inlineStr">
        <is>
          <t>Chocolate em pó 50% 1 kg</t>
        </is>
      </c>
      <c r="N6748" t="inlineStr">
        <is>
          <t>Padaria</t>
        </is>
      </c>
      <c r="O6748" t="n">
        <v>12</v>
      </c>
      <c r="P6748" t="n">
        <v>49</v>
      </c>
      <c r="Q6748" t="n">
        <v>7</v>
      </c>
    </row>
    <row r="6749">
      <c r="J6749" t="inlineStr">
        <is>
          <t>M</t>
        </is>
      </c>
      <c r="K6749" t="n">
        <v>2026</v>
      </c>
      <c r="L6749" t="n">
        <v>7</v>
      </c>
      <c r="M6749" t="inlineStr">
        <is>
          <t>Chocolate em pó 50% 1 kg</t>
        </is>
      </c>
      <c r="N6749" t="inlineStr">
        <is>
          <t>Padaria</t>
        </is>
      </c>
      <c r="O6749" t="n">
        <v>8</v>
      </c>
      <c r="P6749" t="n">
        <v>14</v>
      </c>
      <c r="Q6749" t="n">
        <v>0</v>
      </c>
    </row>
    <row r="6750">
      <c r="J6750" t="inlineStr">
        <is>
          <t>A</t>
        </is>
      </c>
      <c r="K6750" t="n">
        <v>2026</v>
      </c>
      <c r="L6750" t="n">
        <v>8</v>
      </c>
      <c r="M6750" t="inlineStr">
        <is>
          <t>Chocolate em pó 50% 1 kg</t>
        </is>
      </c>
      <c r="N6750" t="inlineStr">
        <is>
          <t>Padaria</t>
        </is>
      </c>
      <c r="O6750" t="n">
        <v>12</v>
      </c>
      <c r="P6750" t="n">
        <v>49</v>
      </c>
      <c r="Q6750" t="n">
        <v>7</v>
      </c>
    </row>
    <row r="6751">
      <c r="J6751" t="inlineStr">
        <is>
          <t>A</t>
        </is>
      </c>
      <c r="K6751" t="n">
        <v>2026</v>
      </c>
      <c r="L6751" t="n">
        <v>9</v>
      </c>
      <c r="M6751" t="inlineStr">
        <is>
          <t>Chocolate em pó 50% 1 kg</t>
        </is>
      </c>
      <c r="N6751" t="inlineStr">
        <is>
          <t>Padaria</t>
        </is>
      </c>
      <c r="O6751" t="n">
        <v>12</v>
      </c>
      <c r="P6751" t="n">
        <v>49</v>
      </c>
      <c r="Q6751" t="n">
        <v>7</v>
      </c>
    </row>
    <row r="6752">
      <c r="J6752" t="inlineStr">
        <is>
          <t>A</t>
        </is>
      </c>
      <c r="K6752" t="n">
        <v>2026</v>
      </c>
      <c r="L6752" t="n">
        <v>10</v>
      </c>
      <c r="M6752" t="inlineStr">
        <is>
          <t>Chocolate em pó 50% 1 kg</t>
        </is>
      </c>
      <c r="N6752" t="inlineStr">
        <is>
          <t>Padaria</t>
        </is>
      </c>
      <c r="O6752" t="n">
        <v>12</v>
      </c>
      <c r="P6752" t="n">
        <v>49</v>
      </c>
      <c r="Q6752" t="n">
        <v>7</v>
      </c>
    </row>
    <row r="6753">
      <c r="J6753" t="inlineStr">
        <is>
          <t>A</t>
        </is>
      </c>
      <c r="K6753" t="n">
        <v>2026</v>
      </c>
      <c r="L6753" t="n">
        <v>11</v>
      </c>
      <c r="M6753" t="inlineStr">
        <is>
          <t>Chocolate em pó 50% 1 kg</t>
        </is>
      </c>
      <c r="N6753" t="inlineStr">
        <is>
          <t>Padaria</t>
        </is>
      </c>
      <c r="O6753" t="n">
        <v>12</v>
      </c>
      <c r="P6753" t="n">
        <v>49</v>
      </c>
      <c r="Q6753" t="n">
        <v>7</v>
      </c>
    </row>
    <row r="6754">
      <c r="J6754" t="inlineStr">
        <is>
          <t>A</t>
        </is>
      </c>
      <c r="K6754" t="n">
        <v>2026</v>
      </c>
      <c r="L6754" t="n">
        <v>12</v>
      </c>
      <c r="M6754" t="inlineStr">
        <is>
          <t>Chocolate em pó 50% 1 kg</t>
        </is>
      </c>
      <c r="N6754" t="inlineStr">
        <is>
          <t>Padaria</t>
        </is>
      </c>
      <c r="O6754" t="n">
        <v>12</v>
      </c>
      <c r="P6754" t="n">
        <v>49</v>
      </c>
      <c r="Q6754" t="n">
        <v>7</v>
      </c>
    </row>
    <row r="6755">
      <c r="J6755" t="inlineStr">
        <is>
          <t>A</t>
        </is>
      </c>
      <c r="K6755" t="n">
        <v>2026</v>
      </c>
      <c r="L6755" t="n">
        <v>1</v>
      </c>
      <c r="M6755" t="inlineStr">
        <is>
          <t>Chocolate em pó 50% 1 kg</t>
        </is>
      </c>
      <c r="N6755" t="inlineStr">
        <is>
          <t>Supermercado</t>
        </is>
      </c>
      <c r="O6755" t="n">
        <v>1</v>
      </c>
      <c r="P6755" t="n">
        <v>1</v>
      </c>
      <c r="Q6755" t="n">
        <v>1</v>
      </c>
    </row>
    <row r="6756">
      <c r="J6756" t="inlineStr">
        <is>
          <t>M</t>
        </is>
      </c>
      <c r="K6756" t="n">
        <v>2026</v>
      </c>
      <c r="L6756" t="n">
        <v>1</v>
      </c>
      <c r="M6756" t="inlineStr">
        <is>
          <t>Chocolate em pó 50% 1 kg</t>
        </is>
      </c>
      <c r="N6756" t="inlineStr">
        <is>
          <t>Supermercado</t>
        </is>
      </c>
      <c r="O6756" t="n">
        <v>1</v>
      </c>
      <c r="P6756" t="n">
        <v>1</v>
      </c>
      <c r="Q6756" t="n">
        <v>0</v>
      </c>
    </row>
    <row r="6757">
      <c r="J6757" t="inlineStr">
        <is>
          <t>A</t>
        </is>
      </c>
      <c r="K6757" t="n">
        <v>2026</v>
      </c>
      <c r="L6757" t="n">
        <v>2</v>
      </c>
      <c r="M6757" t="inlineStr">
        <is>
          <t>Chocolate em pó 50% 1 kg</t>
        </is>
      </c>
      <c r="N6757" t="inlineStr">
        <is>
          <t>Supermercado</t>
        </is>
      </c>
      <c r="O6757" t="n">
        <v>1</v>
      </c>
      <c r="P6757" t="n">
        <v>1</v>
      </c>
      <c r="Q6757" t="n">
        <v>1</v>
      </c>
    </row>
    <row r="6758">
      <c r="J6758" t="inlineStr">
        <is>
          <t>A</t>
        </is>
      </c>
      <c r="K6758" t="n">
        <v>2026</v>
      </c>
      <c r="L6758" t="n">
        <v>3</v>
      </c>
      <c r="M6758" t="inlineStr">
        <is>
          <t>Chocolate em pó 50% 1 kg</t>
        </is>
      </c>
      <c r="N6758" t="inlineStr">
        <is>
          <t>Supermercado</t>
        </is>
      </c>
      <c r="O6758" t="n">
        <v>3</v>
      </c>
      <c r="P6758" t="n">
        <v>4</v>
      </c>
      <c r="Q6758" t="n">
        <v>3</v>
      </c>
    </row>
    <row r="6759">
      <c r="J6759" t="inlineStr">
        <is>
          <t>M</t>
        </is>
      </c>
      <c r="K6759" t="n">
        <v>2026</v>
      </c>
      <c r="L6759" t="n">
        <v>3</v>
      </c>
      <c r="M6759" t="inlineStr">
        <is>
          <t>Chocolate em pó 50% 1 kg</t>
        </is>
      </c>
      <c r="N6759" t="inlineStr">
        <is>
          <t>Supermercado</t>
        </is>
      </c>
      <c r="O6759" t="n">
        <v>2</v>
      </c>
      <c r="P6759" t="n">
        <v>3</v>
      </c>
      <c r="Q6759" t="n">
        <v>0</v>
      </c>
    </row>
    <row r="6760">
      <c r="J6760" t="inlineStr">
        <is>
          <t>A</t>
        </is>
      </c>
      <c r="K6760" t="n">
        <v>2026</v>
      </c>
      <c r="L6760" t="n">
        <v>4</v>
      </c>
      <c r="M6760" t="inlineStr">
        <is>
          <t>Chocolate em pó 50% 1 kg</t>
        </is>
      </c>
      <c r="N6760" t="inlineStr">
        <is>
          <t>Supermercado</t>
        </is>
      </c>
      <c r="O6760" t="n">
        <v>3</v>
      </c>
      <c r="P6760" t="n">
        <v>4</v>
      </c>
      <c r="Q6760" t="n">
        <v>3</v>
      </c>
    </row>
    <row r="6761">
      <c r="J6761" t="inlineStr">
        <is>
          <t>A</t>
        </is>
      </c>
      <c r="K6761" t="n">
        <v>2026</v>
      </c>
      <c r="L6761" t="n">
        <v>5</v>
      </c>
      <c r="M6761" t="inlineStr">
        <is>
          <t>Chocolate em pó 50% 1 kg</t>
        </is>
      </c>
      <c r="N6761" t="inlineStr">
        <is>
          <t>Supermercado</t>
        </is>
      </c>
      <c r="O6761" t="n">
        <v>3</v>
      </c>
      <c r="P6761" t="n">
        <v>4</v>
      </c>
      <c r="Q6761" t="n">
        <v>3</v>
      </c>
    </row>
    <row r="6762">
      <c r="J6762" t="inlineStr">
        <is>
          <t>A</t>
        </is>
      </c>
      <c r="K6762" t="n">
        <v>2026</v>
      </c>
      <c r="L6762" t="n">
        <v>6</v>
      </c>
      <c r="M6762" t="inlineStr">
        <is>
          <t>Chocolate em pó 50% 1 kg</t>
        </is>
      </c>
      <c r="N6762" t="inlineStr">
        <is>
          <t>Supermercado</t>
        </is>
      </c>
      <c r="O6762" t="n">
        <v>5</v>
      </c>
      <c r="P6762" t="n">
        <v>6</v>
      </c>
      <c r="Q6762" t="n">
        <v>4</v>
      </c>
    </row>
    <row r="6763">
      <c r="J6763" t="inlineStr">
        <is>
          <t>M</t>
        </is>
      </c>
      <c r="K6763" t="n">
        <v>2026</v>
      </c>
      <c r="L6763" t="n">
        <v>6</v>
      </c>
      <c r="M6763" t="inlineStr">
        <is>
          <t>Chocolate em pó 50% 1 kg</t>
        </is>
      </c>
      <c r="N6763" t="inlineStr">
        <is>
          <t>Supermercado</t>
        </is>
      </c>
      <c r="O6763" t="n">
        <v>2</v>
      </c>
      <c r="P6763" t="n">
        <v>2</v>
      </c>
      <c r="Q6763" t="n">
        <v>0</v>
      </c>
    </row>
    <row r="6764">
      <c r="J6764" t="inlineStr">
        <is>
          <t>A</t>
        </is>
      </c>
      <c r="K6764" t="n">
        <v>2026</v>
      </c>
      <c r="L6764" t="n">
        <v>7</v>
      </c>
      <c r="M6764" t="inlineStr">
        <is>
          <t>Chocolate em pó 50% 1 kg</t>
        </is>
      </c>
      <c r="N6764" t="inlineStr">
        <is>
          <t>Supermercado</t>
        </is>
      </c>
      <c r="O6764" t="n">
        <v>5</v>
      </c>
      <c r="P6764" t="n">
        <v>7</v>
      </c>
      <c r="Q6764" t="n">
        <v>4</v>
      </c>
    </row>
    <row r="6765">
      <c r="J6765" t="inlineStr">
        <is>
          <t>M</t>
        </is>
      </c>
      <c r="K6765" t="n">
        <v>2026</v>
      </c>
      <c r="L6765" t="n">
        <v>7</v>
      </c>
      <c r="M6765" t="inlineStr">
        <is>
          <t>Chocolate em pó 50% 1 kg</t>
        </is>
      </c>
      <c r="N6765" t="inlineStr">
        <is>
          <t>Supermercado</t>
        </is>
      </c>
      <c r="O6765" t="n">
        <v>1</v>
      </c>
      <c r="P6765" t="n">
        <v>1</v>
      </c>
      <c r="Q6765" t="n">
        <v>0</v>
      </c>
    </row>
    <row r="6766">
      <c r="J6766" t="inlineStr">
        <is>
          <t>A</t>
        </is>
      </c>
      <c r="K6766" t="n">
        <v>2026</v>
      </c>
      <c r="L6766" t="n">
        <v>8</v>
      </c>
      <c r="M6766" t="inlineStr">
        <is>
          <t>Chocolate em pó 50% 1 kg</t>
        </is>
      </c>
      <c r="N6766" t="inlineStr">
        <is>
          <t>Supermercado</t>
        </is>
      </c>
      <c r="O6766" t="n">
        <v>5</v>
      </c>
      <c r="P6766" t="n">
        <v>7</v>
      </c>
      <c r="Q6766" t="n">
        <v>4</v>
      </c>
    </row>
    <row r="6767">
      <c r="J6767" t="inlineStr">
        <is>
          <t>A</t>
        </is>
      </c>
      <c r="K6767" t="n">
        <v>2026</v>
      </c>
      <c r="L6767" t="n">
        <v>9</v>
      </c>
      <c r="M6767" t="inlineStr">
        <is>
          <t>Chocolate em pó 50% 1 kg</t>
        </is>
      </c>
      <c r="N6767" t="inlineStr">
        <is>
          <t>Supermercado</t>
        </is>
      </c>
      <c r="O6767" t="n">
        <v>5</v>
      </c>
      <c r="P6767" t="n">
        <v>7</v>
      </c>
      <c r="Q6767" t="n">
        <v>4</v>
      </c>
    </row>
    <row r="6768">
      <c r="J6768" t="inlineStr">
        <is>
          <t>A</t>
        </is>
      </c>
      <c r="K6768" t="n">
        <v>2026</v>
      </c>
      <c r="L6768" t="n">
        <v>10</v>
      </c>
      <c r="M6768" t="inlineStr">
        <is>
          <t>Chocolate em pó 50% 1 kg</t>
        </is>
      </c>
      <c r="N6768" t="inlineStr">
        <is>
          <t>Supermercado</t>
        </is>
      </c>
      <c r="O6768" t="n">
        <v>5</v>
      </c>
      <c r="P6768" t="n">
        <v>7</v>
      </c>
      <c r="Q6768" t="n">
        <v>4</v>
      </c>
    </row>
    <row r="6769">
      <c r="J6769" t="inlineStr">
        <is>
          <t>A</t>
        </is>
      </c>
      <c r="K6769" t="n">
        <v>2026</v>
      </c>
      <c r="L6769" t="n">
        <v>11</v>
      </c>
      <c r="M6769" t="inlineStr">
        <is>
          <t>Chocolate em pó 50% 1 kg</t>
        </is>
      </c>
      <c r="N6769" t="inlineStr">
        <is>
          <t>Supermercado</t>
        </is>
      </c>
      <c r="O6769" t="n">
        <v>5</v>
      </c>
      <c r="P6769" t="n">
        <v>7</v>
      </c>
      <c r="Q6769" t="n">
        <v>4</v>
      </c>
    </row>
    <row r="6770">
      <c r="J6770" t="inlineStr">
        <is>
          <t>A</t>
        </is>
      </c>
      <c r="K6770" t="n">
        <v>2026</v>
      </c>
      <c r="L6770" t="n">
        <v>12</v>
      </c>
      <c r="M6770" t="inlineStr">
        <is>
          <t>Chocolate em pó 50% 1 kg</t>
        </is>
      </c>
      <c r="N6770" t="inlineStr">
        <is>
          <t>Supermercado</t>
        </is>
      </c>
      <c r="O6770" t="n">
        <v>5</v>
      </c>
      <c r="P6770" t="n">
        <v>7</v>
      </c>
      <c r="Q6770" t="n">
        <v>4</v>
      </c>
    </row>
    <row r="6771">
      <c r="J6771" t="inlineStr">
        <is>
          <t>A</t>
        </is>
      </c>
      <c r="K6771" t="n">
        <v>2026</v>
      </c>
      <c r="L6771" t="n">
        <v>3</v>
      </c>
      <c r="M6771" t="inlineStr">
        <is>
          <t>Chocolate em pó 50% 1 kg</t>
        </is>
      </c>
      <c r="N6771" t="inlineStr">
        <is>
          <t>Rotisserie</t>
        </is>
      </c>
      <c r="O6771" t="n">
        <v>1</v>
      </c>
      <c r="P6771" t="n">
        <v>1</v>
      </c>
      <c r="Q6771" t="n">
        <v>1</v>
      </c>
    </row>
    <row r="6772">
      <c r="J6772" t="inlineStr">
        <is>
          <t>M</t>
        </is>
      </c>
      <c r="K6772" t="n">
        <v>2026</v>
      </c>
      <c r="L6772" t="n">
        <v>3</v>
      </c>
      <c r="M6772" t="inlineStr">
        <is>
          <t>Chocolate em pó 50% 1 kg</t>
        </is>
      </c>
      <c r="N6772" t="inlineStr">
        <is>
          <t>Rotisserie</t>
        </is>
      </c>
      <c r="O6772" t="n">
        <v>1</v>
      </c>
      <c r="P6772" t="n">
        <v>1</v>
      </c>
      <c r="Q6772" t="n">
        <v>0</v>
      </c>
    </row>
    <row r="6773">
      <c r="J6773" t="inlineStr">
        <is>
          <t>A</t>
        </is>
      </c>
      <c r="K6773" t="n">
        <v>2026</v>
      </c>
      <c r="L6773" t="n">
        <v>4</v>
      </c>
      <c r="M6773" t="inlineStr">
        <is>
          <t>Chocolate em pó 50% 1 kg</t>
        </is>
      </c>
      <c r="N6773" t="inlineStr">
        <is>
          <t>Rotisserie</t>
        </is>
      </c>
      <c r="O6773" t="n">
        <v>1</v>
      </c>
      <c r="P6773" t="n">
        <v>1</v>
      </c>
      <c r="Q6773" t="n">
        <v>1</v>
      </c>
    </row>
    <row r="6774">
      <c r="J6774" t="inlineStr">
        <is>
          <t>A</t>
        </is>
      </c>
      <c r="K6774" t="n">
        <v>2026</v>
      </c>
      <c r="L6774" t="n">
        <v>5</v>
      </c>
      <c r="M6774" t="inlineStr">
        <is>
          <t>Chocolate em pó 50% 1 kg</t>
        </is>
      </c>
      <c r="N6774" t="inlineStr">
        <is>
          <t>Rotisserie</t>
        </is>
      </c>
      <c r="O6774" t="n">
        <v>1</v>
      </c>
      <c r="P6774" t="n">
        <v>1</v>
      </c>
      <c r="Q6774" t="n">
        <v>1</v>
      </c>
    </row>
    <row r="6775">
      <c r="J6775" t="inlineStr">
        <is>
          <t>A</t>
        </is>
      </c>
      <c r="K6775" t="n">
        <v>2026</v>
      </c>
      <c r="L6775" t="n">
        <v>6</v>
      </c>
      <c r="M6775" t="inlineStr">
        <is>
          <t>Chocolate em pó 50% 1 kg</t>
        </is>
      </c>
      <c r="N6775" t="inlineStr">
        <is>
          <t>Rotisserie</t>
        </is>
      </c>
      <c r="O6775" t="n">
        <v>1</v>
      </c>
      <c r="P6775" t="n">
        <v>1</v>
      </c>
      <c r="Q6775" t="n">
        <v>1</v>
      </c>
    </row>
    <row r="6776">
      <c r="J6776" t="inlineStr">
        <is>
          <t>A</t>
        </is>
      </c>
      <c r="K6776" t="n">
        <v>2026</v>
      </c>
      <c r="L6776" t="n">
        <v>7</v>
      </c>
      <c r="M6776" t="inlineStr">
        <is>
          <t>Chocolate em pó 50% 1 kg</t>
        </is>
      </c>
      <c r="N6776" t="inlineStr">
        <is>
          <t>Rotisserie</t>
        </is>
      </c>
      <c r="O6776" t="n">
        <v>1</v>
      </c>
      <c r="P6776" t="n">
        <v>1</v>
      </c>
      <c r="Q6776" t="n">
        <v>1</v>
      </c>
    </row>
    <row r="6777">
      <c r="J6777" t="inlineStr">
        <is>
          <t>A</t>
        </is>
      </c>
      <c r="K6777" t="n">
        <v>2026</v>
      </c>
      <c r="L6777" t="n">
        <v>8</v>
      </c>
      <c r="M6777" t="inlineStr">
        <is>
          <t>Chocolate em pó 50% 1 kg</t>
        </is>
      </c>
      <c r="N6777" t="inlineStr">
        <is>
          <t>Rotisserie</t>
        </is>
      </c>
      <c r="O6777" t="n">
        <v>1</v>
      </c>
      <c r="P6777" t="n">
        <v>1</v>
      </c>
      <c r="Q6777" t="n">
        <v>1</v>
      </c>
    </row>
    <row r="6778">
      <c r="J6778" t="inlineStr">
        <is>
          <t>A</t>
        </is>
      </c>
      <c r="K6778" t="n">
        <v>2026</v>
      </c>
      <c r="L6778" t="n">
        <v>9</v>
      </c>
      <c r="M6778" t="inlineStr">
        <is>
          <t>Chocolate em pó 50% 1 kg</t>
        </is>
      </c>
      <c r="N6778" t="inlineStr">
        <is>
          <t>Rotisserie</t>
        </is>
      </c>
      <c r="O6778" t="n">
        <v>1</v>
      </c>
      <c r="P6778" t="n">
        <v>1</v>
      </c>
      <c r="Q6778" t="n">
        <v>1</v>
      </c>
    </row>
    <row r="6779">
      <c r="J6779" t="inlineStr">
        <is>
          <t>A</t>
        </is>
      </c>
      <c r="K6779" t="n">
        <v>2026</v>
      </c>
      <c r="L6779" t="n">
        <v>10</v>
      </c>
      <c r="M6779" t="inlineStr">
        <is>
          <t>Chocolate em pó 50% 1 kg</t>
        </is>
      </c>
      <c r="N6779" t="inlineStr">
        <is>
          <t>Rotisserie</t>
        </is>
      </c>
      <c r="O6779" t="n">
        <v>1</v>
      </c>
      <c r="P6779" t="n">
        <v>1</v>
      </c>
      <c r="Q6779" t="n">
        <v>1</v>
      </c>
    </row>
    <row r="6780">
      <c r="J6780" t="inlineStr">
        <is>
          <t>A</t>
        </is>
      </c>
      <c r="K6780" t="n">
        <v>2026</v>
      </c>
      <c r="L6780" t="n">
        <v>11</v>
      </c>
      <c r="M6780" t="inlineStr">
        <is>
          <t>Chocolate em pó 50% 1 kg</t>
        </is>
      </c>
      <c r="N6780" t="inlineStr">
        <is>
          <t>Rotisserie</t>
        </is>
      </c>
      <c r="O6780" t="n">
        <v>1</v>
      </c>
      <c r="P6780" t="n">
        <v>1</v>
      </c>
      <c r="Q6780" t="n">
        <v>1</v>
      </c>
    </row>
    <row r="6781">
      <c r="J6781" t="inlineStr">
        <is>
          <t>A</t>
        </is>
      </c>
      <c r="K6781" t="n">
        <v>2026</v>
      </c>
      <c r="L6781" t="n">
        <v>12</v>
      </c>
      <c r="M6781" t="inlineStr">
        <is>
          <t>Chocolate em pó 50% 1 kg</t>
        </is>
      </c>
      <c r="N6781" t="inlineStr">
        <is>
          <t>Rotisserie</t>
        </is>
      </c>
      <c r="O6781" t="n">
        <v>1</v>
      </c>
      <c r="P6781" t="n">
        <v>1</v>
      </c>
      <c r="Q6781" t="n">
        <v>1</v>
      </c>
    </row>
    <row r="6782">
      <c r="J6782" t="inlineStr">
        <is>
          <t>A</t>
        </is>
      </c>
      <c r="K6782" t="n">
        <v>2026</v>
      </c>
      <c r="L6782" t="n">
        <v>1</v>
      </c>
      <c r="M6782" t="inlineStr">
        <is>
          <t>Chocolate em pó 50% 1 kg</t>
        </is>
      </c>
      <c r="N6782" t="inlineStr">
        <is>
          <t>Mercearia / Sacolão</t>
        </is>
      </c>
      <c r="O6782" t="n">
        <v>1</v>
      </c>
      <c r="P6782" t="n">
        <v>1</v>
      </c>
      <c r="Q6782" t="n">
        <v>0</v>
      </c>
    </row>
    <row r="6783">
      <c r="J6783" t="inlineStr">
        <is>
          <t>M</t>
        </is>
      </c>
      <c r="K6783" t="n">
        <v>2026</v>
      </c>
      <c r="L6783" t="n">
        <v>1</v>
      </c>
      <c r="M6783" t="inlineStr">
        <is>
          <t>Chocolate em pó 50% 1 kg</t>
        </is>
      </c>
      <c r="N6783" t="inlineStr">
        <is>
          <t>Mercearia / Sacolão</t>
        </is>
      </c>
      <c r="O6783" t="n">
        <v>1</v>
      </c>
      <c r="P6783" t="n">
        <v>1</v>
      </c>
      <c r="Q6783" t="n">
        <v>0</v>
      </c>
    </row>
    <row r="6784">
      <c r="J6784" t="inlineStr">
        <is>
          <t>A</t>
        </is>
      </c>
      <c r="K6784" t="n">
        <v>2026</v>
      </c>
      <c r="L6784" t="n">
        <v>2</v>
      </c>
      <c r="M6784" t="inlineStr">
        <is>
          <t>Chocolate em pó 50% 1 kg</t>
        </is>
      </c>
      <c r="N6784" t="inlineStr">
        <is>
          <t>Mercearia / Sacolão</t>
        </is>
      </c>
      <c r="O6784" t="n">
        <v>1</v>
      </c>
      <c r="P6784" t="n">
        <v>1</v>
      </c>
      <c r="Q6784" t="n">
        <v>0</v>
      </c>
    </row>
    <row r="6785">
      <c r="J6785" t="inlineStr">
        <is>
          <t>A</t>
        </is>
      </c>
      <c r="K6785" t="n">
        <v>2026</v>
      </c>
      <c r="L6785" t="n">
        <v>3</v>
      </c>
      <c r="M6785" t="inlineStr">
        <is>
          <t>Chocolate em pó 50% 1 kg</t>
        </is>
      </c>
      <c r="N6785" t="inlineStr">
        <is>
          <t>Mercearia / Sacolão</t>
        </is>
      </c>
      <c r="O6785" t="n">
        <v>1</v>
      </c>
      <c r="P6785" t="n">
        <v>1</v>
      </c>
      <c r="Q6785" t="n">
        <v>0</v>
      </c>
    </row>
    <row r="6786">
      <c r="J6786" t="inlineStr">
        <is>
          <t>A</t>
        </is>
      </c>
      <c r="K6786" t="n">
        <v>2026</v>
      </c>
      <c r="L6786" t="n">
        <v>4</v>
      </c>
      <c r="M6786" t="inlineStr">
        <is>
          <t>Chocolate em pó 50% 1 kg</t>
        </is>
      </c>
      <c r="N6786" t="inlineStr">
        <is>
          <t>Mercearia / Sacolão</t>
        </is>
      </c>
      <c r="O6786" t="n">
        <v>1</v>
      </c>
      <c r="P6786" t="n">
        <v>1</v>
      </c>
      <c r="Q6786" t="n">
        <v>0</v>
      </c>
    </row>
    <row r="6787">
      <c r="J6787" t="inlineStr">
        <is>
          <t>A</t>
        </is>
      </c>
      <c r="K6787" t="n">
        <v>2026</v>
      </c>
      <c r="L6787" t="n">
        <v>5</v>
      </c>
      <c r="M6787" t="inlineStr">
        <is>
          <t>Chocolate em pó 50% 1 kg</t>
        </is>
      </c>
      <c r="N6787" t="inlineStr">
        <is>
          <t>Mercearia / Sacolão</t>
        </is>
      </c>
      <c r="O6787" t="n">
        <v>1</v>
      </c>
      <c r="P6787" t="n">
        <v>2</v>
      </c>
      <c r="Q6787" t="n">
        <v>0</v>
      </c>
    </row>
    <row r="6788">
      <c r="J6788" t="inlineStr">
        <is>
          <t>M</t>
        </is>
      </c>
      <c r="K6788" t="n">
        <v>2026</v>
      </c>
      <c r="L6788" t="n">
        <v>5</v>
      </c>
      <c r="M6788" t="inlineStr">
        <is>
          <t>Chocolate em pó 50% 1 kg</t>
        </is>
      </c>
      <c r="N6788" t="inlineStr">
        <is>
          <t>Mercearia / Sacolão</t>
        </is>
      </c>
      <c r="O6788" t="n">
        <v>1</v>
      </c>
      <c r="P6788" t="n">
        <v>1</v>
      </c>
      <c r="Q6788" t="n">
        <v>0</v>
      </c>
    </row>
    <row r="6789">
      <c r="J6789" t="inlineStr">
        <is>
          <t>A</t>
        </is>
      </c>
      <c r="K6789" t="n">
        <v>2026</v>
      </c>
      <c r="L6789" t="n">
        <v>6</v>
      </c>
      <c r="M6789" t="inlineStr">
        <is>
          <t>Chocolate em pó 50% 1 kg</t>
        </is>
      </c>
      <c r="N6789" t="inlineStr">
        <is>
          <t>Mercearia / Sacolão</t>
        </is>
      </c>
      <c r="O6789" t="n">
        <v>1</v>
      </c>
      <c r="P6789" t="n">
        <v>2</v>
      </c>
      <c r="Q6789" t="n">
        <v>0</v>
      </c>
    </row>
    <row r="6790">
      <c r="J6790" t="inlineStr">
        <is>
          <t>A</t>
        </is>
      </c>
      <c r="K6790" t="n">
        <v>2026</v>
      </c>
      <c r="L6790" t="n">
        <v>7</v>
      </c>
      <c r="M6790" t="inlineStr">
        <is>
          <t>Chocolate em pó 50% 1 kg</t>
        </is>
      </c>
      <c r="N6790" t="inlineStr">
        <is>
          <t>Mercearia / Sacolão</t>
        </is>
      </c>
      <c r="O6790" t="n">
        <v>1</v>
      </c>
      <c r="P6790" t="n">
        <v>2</v>
      </c>
      <c r="Q6790" t="n">
        <v>0</v>
      </c>
    </row>
    <row r="6791">
      <c r="J6791" t="inlineStr">
        <is>
          <t>A</t>
        </is>
      </c>
      <c r="K6791" t="n">
        <v>2026</v>
      </c>
      <c r="L6791" t="n">
        <v>8</v>
      </c>
      <c r="M6791" t="inlineStr">
        <is>
          <t>Chocolate em pó 50% 1 kg</t>
        </is>
      </c>
      <c r="N6791" t="inlineStr">
        <is>
          <t>Mercearia / Sacolão</t>
        </is>
      </c>
      <c r="O6791" t="n">
        <v>1</v>
      </c>
      <c r="P6791" t="n">
        <v>2</v>
      </c>
      <c r="Q6791" t="n">
        <v>0</v>
      </c>
    </row>
    <row r="6792">
      <c r="J6792" t="inlineStr">
        <is>
          <t>A</t>
        </is>
      </c>
      <c r="K6792" t="n">
        <v>2026</v>
      </c>
      <c r="L6792" t="n">
        <v>9</v>
      </c>
      <c r="M6792" t="inlineStr">
        <is>
          <t>Chocolate em pó 50% 1 kg</t>
        </is>
      </c>
      <c r="N6792" t="inlineStr">
        <is>
          <t>Mercearia / Sacolão</t>
        </is>
      </c>
      <c r="O6792" t="n">
        <v>1</v>
      </c>
      <c r="P6792" t="n">
        <v>2</v>
      </c>
      <c r="Q6792" t="n">
        <v>0</v>
      </c>
    </row>
    <row r="6793">
      <c r="J6793" t="inlineStr">
        <is>
          <t>A</t>
        </is>
      </c>
      <c r="K6793" t="n">
        <v>2026</v>
      </c>
      <c r="L6793" t="n">
        <v>10</v>
      </c>
      <c r="M6793" t="inlineStr">
        <is>
          <t>Chocolate em pó 50% 1 kg</t>
        </is>
      </c>
      <c r="N6793" t="inlineStr">
        <is>
          <t>Mercearia / Sacolão</t>
        </is>
      </c>
      <c r="O6793" t="n">
        <v>1</v>
      </c>
      <c r="P6793" t="n">
        <v>2</v>
      </c>
      <c r="Q6793" t="n">
        <v>0</v>
      </c>
    </row>
    <row r="6794">
      <c r="J6794" t="inlineStr">
        <is>
          <t>A</t>
        </is>
      </c>
      <c r="K6794" t="n">
        <v>2026</v>
      </c>
      <c r="L6794" t="n">
        <v>11</v>
      </c>
      <c r="M6794" t="inlineStr">
        <is>
          <t>Chocolate em pó 50% 1 kg</t>
        </is>
      </c>
      <c r="N6794" t="inlineStr">
        <is>
          <t>Mercearia / Sacolão</t>
        </is>
      </c>
      <c r="O6794" t="n">
        <v>1</v>
      </c>
      <c r="P6794" t="n">
        <v>2</v>
      </c>
      <c r="Q6794" t="n">
        <v>0</v>
      </c>
    </row>
    <row r="6795">
      <c r="J6795" t="inlineStr">
        <is>
          <t>A</t>
        </is>
      </c>
      <c r="K6795" t="n">
        <v>2026</v>
      </c>
      <c r="L6795" t="n">
        <v>12</v>
      </c>
      <c r="M6795" t="inlineStr">
        <is>
          <t>Chocolate em pó 50% 1 kg</t>
        </is>
      </c>
      <c r="N6795" t="inlineStr">
        <is>
          <t>Mercearia / Sacolão</t>
        </is>
      </c>
      <c r="O6795" t="n">
        <v>1</v>
      </c>
      <c r="P6795" t="n">
        <v>2</v>
      </c>
      <c r="Q6795" t="n">
        <v>0</v>
      </c>
    </row>
    <row r="6796">
      <c r="J6796" t="inlineStr">
        <is>
          <t>A</t>
        </is>
      </c>
      <c r="K6796" t="n">
        <v>2026</v>
      </c>
      <c r="L6796" t="n">
        <v>1</v>
      </c>
      <c r="M6796" t="inlineStr">
        <is>
          <t>Chocolate em pó 50% 1 kg</t>
        </is>
      </c>
      <c r="N6796" t="inlineStr">
        <is>
          <t>Buffet</t>
        </is>
      </c>
      <c r="O6796" t="n">
        <v>2</v>
      </c>
      <c r="P6796" t="n">
        <v>2</v>
      </c>
      <c r="Q6796" t="n">
        <v>0</v>
      </c>
    </row>
    <row r="6797">
      <c r="J6797" t="inlineStr">
        <is>
          <t>M</t>
        </is>
      </c>
      <c r="K6797" t="n">
        <v>2026</v>
      </c>
      <c r="L6797" t="n">
        <v>1</v>
      </c>
      <c r="M6797" t="inlineStr">
        <is>
          <t>Chocolate em pó 50% 1 kg</t>
        </is>
      </c>
      <c r="N6797" t="inlineStr">
        <is>
          <t>Buffet</t>
        </is>
      </c>
      <c r="O6797" t="n">
        <v>2</v>
      </c>
      <c r="P6797" t="n">
        <v>2</v>
      </c>
      <c r="Q6797" t="n">
        <v>0</v>
      </c>
    </row>
    <row r="6798">
      <c r="J6798" t="inlineStr">
        <is>
          <t>A</t>
        </is>
      </c>
      <c r="K6798" t="n">
        <v>2026</v>
      </c>
      <c r="L6798" t="n">
        <v>2</v>
      </c>
      <c r="M6798" t="inlineStr">
        <is>
          <t>Chocolate em pó 50% 1 kg</t>
        </is>
      </c>
      <c r="N6798" t="inlineStr">
        <is>
          <t>Buffet</t>
        </is>
      </c>
      <c r="O6798" t="n">
        <v>4</v>
      </c>
      <c r="P6798" t="n">
        <v>6</v>
      </c>
      <c r="Q6798" t="n">
        <v>1</v>
      </c>
    </row>
    <row r="6799">
      <c r="J6799" t="inlineStr">
        <is>
          <t>M</t>
        </is>
      </c>
      <c r="K6799" t="n">
        <v>2026</v>
      </c>
      <c r="L6799" t="n">
        <v>2</v>
      </c>
      <c r="M6799" t="inlineStr">
        <is>
          <t>Chocolate em pó 50% 1 kg</t>
        </is>
      </c>
      <c r="N6799" t="inlineStr">
        <is>
          <t>Buffet</t>
        </is>
      </c>
      <c r="O6799" t="n">
        <v>4</v>
      </c>
      <c r="P6799" t="n">
        <v>4</v>
      </c>
      <c r="Q6799" t="n">
        <v>0</v>
      </c>
    </row>
    <row r="6800">
      <c r="J6800" t="inlineStr">
        <is>
          <t>A</t>
        </is>
      </c>
      <c r="K6800" t="n">
        <v>2026</v>
      </c>
      <c r="L6800" t="n">
        <v>3</v>
      </c>
      <c r="M6800" t="inlineStr">
        <is>
          <t>Chocolate em pó 50% 1 kg</t>
        </is>
      </c>
      <c r="N6800" t="inlineStr">
        <is>
          <t>Buffet</t>
        </is>
      </c>
      <c r="O6800" t="n">
        <v>5</v>
      </c>
      <c r="P6800" t="n">
        <v>10</v>
      </c>
      <c r="Q6800" t="n">
        <v>2</v>
      </c>
    </row>
    <row r="6801">
      <c r="J6801" t="inlineStr">
        <is>
          <t>M</t>
        </is>
      </c>
      <c r="K6801" t="n">
        <v>2026</v>
      </c>
      <c r="L6801" t="n">
        <v>3</v>
      </c>
      <c r="M6801" t="inlineStr">
        <is>
          <t>Chocolate em pó 50% 1 kg</t>
        </is>
      </c>
      <c r="N6801" t="inlineStr">
        <is>
          <t>Buffet</t>
        </is>
      </c>
      <c r="O6801" t="n">
        <v>3</v>
      </c>
      <c r="P6801" t="n">
        <v>4</v>
      </c>
      <c r="Q6801" t="n">
        <v>0</v>
      </c>
    </row>
    <row r="6802">
      <c r="J6802" t="inlineStr">
        <is>
          <t>A</t>
        </is>
      </c>
      <c r="K6802" t="n">
        <v>2026</v>
      </c>
      <c r="L6802" t="n">
        <v>4</v>
      </c>
      <c r="M6802" t="inlineStr">
        <is>
          <t>Chocolate em pó 50% 1 kg</t>
        </is>
      </c>
      <c r="N6802" t="inlineStr">
        <is>
          <t>Buffet</t>
        </is>
      </c>
      <c r="O6802" t="n">
        <v>7</v>
      </c>
      <c r="P6802" t="n">
        <v>14</v>
      </c>
      <c r="Q6802" t="n">
        <v>3</v>
      </c>
    </row>
    <row r="6803">
      <c r="J6803" t="inlineStr">
        <is>
          <t>M</t>
        </is>
      </c>
      <c r="K6803" t="n">
        <v>2026</v>
      </c>
      <c r="L6803" t="n">
        <v>4</v>
      </c>
      <c r="M6803" t="inlineStr">
        <is>
          <t>Chocolate em pó 50% 1 kg</t>
        </is>
      </c>
      <c r="N6803" t="inlineStr">
        <is>
          <t>Buffet</t>
        </is>
      </c>
      <c r="O6803" t="n">
        <v>3</v>
      </c>
      <c r="P6803" t="n">
        <v>4</v>
      </c>
      <c r="Q6803" t="n">
        <v>0</v>
      </c>
    </row>
    <row r="6804">
      <c r="J6804" t="inlineStr">
        <is>
          <t>A</t>
        </is>
      </c>
      <c r="K6804" t="n">
        <v>2026</v>
      </c>
      <c r="L6804" t="n">
        <v>5</v>
      </c>
      <c r="M6804" t="inlineStr">
        <is>
          <t>Chocolate em pó 50% 1 kg</t>
        </is>
      </c>
      <c r="N6804" t="inlineStr">
        <is>
          <t>Buffet</t>
        </is>
      </c>
      <c r="O6804" t="n">
        <v>9</v>
      </c>
      <c r="P6804" t="n">
        <v>20</v>
      </c>
      <c r="Q6804" t="n">
        <v>4</v>
      </c>
    </row>
    <row r="6805">
      <c r="J6805" t="inlineStr">
        <is>
          <t>M</t>
        </is>
      </c>
      <c r="K6805" t="n">
        <v>2026</v>
      </c>
      <c r="L6805" t="n">
        <v>5</v>
      </c>
      <c r="M6805" t="inlineStr">
        <is>
          <t>Chocolate em pó 50% 1 kg</t>
        </is>
      </c>
      <c r="N6805" t="inlineStr">
        <is>
          <t>Buffet</t>
        </is>
      </c>
      <c r="O6805" t="n">
        <v>4</v>
      </c>
      <c r="P6805" t="n">
        <v>6</v>
      </c>
      <c r="Q6805" t="n">
        <v>0</v>
      </c>
    </row>
    <row r="6806">
      <c r="J6806" t="inlineStr">
        <is>
          <t>A</t>
        </is>
      </c>
      <c r="K6806" t="n">
        <v>2026</v>
      </c>
      <c r="L6806" t="n">
        <v>6</v>
      </c>
      <c r="M6806" t="inlineStr">
        <is>
          <t>Chocolate em pó 50% 1 kg</t>
        </is>
      </c>
      <c r="N6806" t="inlineStr">
        <is>
          <t>Buffet</t>
        </is>
      </c>
      <c r="O6806" t="n">
        <v>11</v>
      </c>
      <c r="P6806" t="n">
        <v>24</v>
      </c>
      <c r="Q6806" t="n">
        <v>6</v>
      </c>
    </row>
    <row r="6807">
      <c r="J6807" t="inlineStr">
        <is>
          <t>M</t>
        </is>
      </c>
      <c r="K6807" t="n">
        <v>2026</v>
      </c>
      <c r="L6807" t="n">
        <v>6</v>
      </c>
      <c r="M6807" t="inlineStr">
        <is>
          <t>Chocolate em pó 50% 1 kg</t>
        </is>
      </c>
      <c r="N6807" t="inlineStr">
        <is>
          <t>Buffet</t>
        </is>
      </c>
      <c r="O6807" t="n">
        <v>2</v>
      </c>
      <c r="P6807" t="n">
        <v>4</v>
      </c>
      <c r="Q6807" t="n">
        <v>0</v>
      </c>
    </row>
    <row r="6808">
      <c r="J6808" t="inlineStr">
        <is>
          <t>A</t>
        </is>
      </c>
      <c r="K6808" t="n">
        <v>2026</v>
      </c>
      <c r="L6808" t="n">
        <v>7</v>
      </c>
      <c r="M6808" t="inlineStr">
        <is>
          <t>Chocolate em pó 50% 1 kg</t>
        </is>
      </c>
      <c r="N6808" t="inlineStr">
        <is>
          <t>Buffet</t>
        </is>
      </c>
      <c r="O6808" t="n">
        <v>11</v>
      </c>
      <c r="P6808" t="n">
        <v>26</v>
      </c>
      <c r="Q6808" t="n">
        <v>6</v>
      </c>
    </row>
    <row r="6809">
      <c r="J6809" t="inlineStr">
        <is>
          <t>M</t>
        </is>
      </c>
      <c r="K6809" t="n">
        <v>2026</v>
      </c>
      <c r="L6809" t="n">
        <v>7</v>
      </c>
      <c r="M6809" t="inlineStr">
        <is>
          <t>Chocolate em pó 50% 1 kg</t>
        </is>
      </c>
      <c r="N6809" t="inlineStr">
        <is>
          <t>Buffet</t>
        </is>
      </c>
      <c r="O6809" t="n">
        <v>2</v>
      </c>
      <c r="P6809" t="n">
        <v>2</v>
      </c>
      <c r="Q6809" t="n">
        <v>0</v>
      </c>
    </row>
    <row r="6810">
      <c r="J6810" t="inlineStr">
        <is>
          <t>A</t>
        </is>
      </c>
      <c r="K6810" t="n">
        <v>2026</v>
      </c>
      <c r="L6810" t="n">
        <v>8</v>
      </c>
      <c r="M6810" t="inlineStr">
        <is>
          <t>Chocolate em pó 50% 1 kg</t>
        </is>
      </c>
      <c r="N6810" t="inlineStr">
        <is>
          <t>Buffet</t>
        </is>
      </c>
      <c r="O6810" t="n">
        <v>11</v>
      </c>
      <c r="P6810" t="n">
        <v>26</v>
      </c>
      <c r="Q6810" t="n">
        <v>6</v>
      </c>
    </row>
    <row r="6811">
      <c r="J6811" t="inlineStr">
        <is>
          <t>A</t>
        </is>
      </c>
      <c r="K6811" t="n">
        <v>2026</v>
      </c>
      <c r="L6811" t="n">
        <v>9</v>
      </c>
      <c r="M6811" t="inlineStr">
        <is>
          <t>Chocolate em pó 50% 1 kg</t>
        </is>
      </c>
      <c r="N6811" t="inlineStr">
        <is>
          <t>Buffet</t>
        </is>
      </c>
      <c r="O6811" t="n">
        <v>11</v>
      </c>
      <c r="P6811" t="n">
        <v>26</v>
      </c>
      <c r="Q6811" t="n">
        <v>6</v>
      </c>
    </row>
    <row r="6812">
      <c r="J6812" t="inlineStr">
        <is>
          <t>A</t>
        </is>
      </c>
      <c r="K6812" t="n">
        <v>2026</v>
      </c>
      <c r="L6812" t="n">
        <v>10</v>
      </c>
      <c r="M6812" t="inlineStr">
        <is>
          <t>Chocolate em pó 50% 1 kg</t>
        </is>
      </c>
      <c r="N6812" t="inlineStr">
        <is>
          <t>Buffet</t>
        </is>
      </c>
      <c r="O6812" t="n">
        <v>11</v>
      </c>
      <c r="P6812" t="n">
        <v>26</v>
      </c>
      <c r="Q6812" t="n">
        <v>6</v>
      </c>
    </row>
    <row r="6813">
      <c r="J6813" t="inlineStr">
        <is>
          <t>A</t>
        </is>
      </c>
      <c r="K6813" t="n">
        <v>2026</v>
      </c>
      <c r="L6813" t="n">
        <v>11</v>
      </c>
      <c r="M6813" t="inlineStr">
        <is>
          <t>Chocolate em pó 50% 1 kg</t>
        </is>
      </c>
      <c r="N6813" t="inlineStr">
        <is>
          <t>Buffet</t>
        </is>
      </c>
      <c r="O6813" t="n">
        <v>11</v>
      </c>
      <c r="P6813" t="n">
        <v>26</v>
      </c>
      <c r="Q6813" t="n">
        <v>6</v>
      </c>
    </row>
    <row r="6814">
      <c r="J6814" t="inlineStr">
        <is>
          <t>A</t>
        </is>
      </c>
      <c r="K6814" t="n">
        <v>2026</v>
      </c>
      <c r="L6814" t="n">
        <v>12</v>
      </c>
      <c r="M6814" t="inlineStr">
        <is>
          <t>Chocolate em pó 50% 1 kg</t>
        </is>
      </c>
      <c r="N6814" t="inlineStr">
        <is>
          <t>Buffet</t>
        </is>
      </c>
      <c r="O6814" t="n">
        <v>11</v>
      </c>
      <c r="P6814" t="n">
        <v>26</v>
      </c>
      <c r="Q6814" t="n">
        <v>6</v>
      </c>
    </row>
    <row r="6815">
      <c r="J6815" t="inlineStr">
        <is>
          <t>A</t>
        </is>
      </c>
      <c r="K6815" t="n">
        <v>2026</v>
      </c>
      <c r="L6815" t="n">
        <v>1</v>
      </c>
      <c r="M6815" t="inlineStr">
        <is>
          <t>Chocolate em pó 50% 1 kg</t>
        </is>
      </c>
      <c r="N6815" t="inlineStr">
        <is>
          <t>Hotel / Motel / Pousada</t>
        </is>
      </c>
      <c r="O6815" t="n">
        <v>9</v>
      </c>
      <c r="P6815" t="n">
        <v>10</v>
      </c>
      <c r="Q6815" t="n">
        <v>1</v>
      </c>
    </row>
    <row r="6816">
      <c r="J6816" t="inlineStr">
        <is>
          <t>M</t>
        </is>
      </c>
      <c r="K6816" t="n">
        <v>2026</v>
      </c>
      <c r="L6816" t="n">
        <v>1</v>
      </c>
      <c r="M6816" t="inlineStr">
        <is>
          <t>Chocolate em pó 50% 1 kg</t>
        </is>
      </c>
      <c r="N6816" t="inlineStr">
        <is>
          <t>Hotel / Motel / Pousada</t>
        </is>
      </c>
      <c r="O6816" t="n">
        <v>9</v>
      </c>
      <c r="P6816" t="n">
        <v>10</v>
      </c>
      <c r="Q6816" t="n">
        <v>0</v>
      </c>
    </row>
    <row r="6817">
      <c r="J6817" t="inlineStr">
        <is>
          <t>A</t>
        </is>
      </c>
      <c r="K6817" t="n">
        <v>2026</v>
      </c>
      <c r="L6817" t="n">
        <v>2</v>
      </c>
      <c r="M6817" t="inlineStr">
        <is>
          <t>Chocolate em pó 50% 1 kg</t>
        </is>
      </c>
      <c r="N6817" t="inlineStr">
        <is>
          <t>Hotel / Motel / Pousada</t>
        </is>
      </c>
      <c r="O6817" t="n">
        <v>14</v>
      </c>
      <c r="P6817" t="n">
        <v>19</v>
      </c>
      <c r="Q6817" t="n">
        <v>3</v>
      </c>
    </row>
    <row r="6818">
      <c r="J6818" t="inlineStr">
        <is>
          <t>M</t>
        </is>
      </c>
      <c r="K6818" t="n">
        <v>2026</v>
      </c>
      <c r="L6818" t="n">
        <v>2</v>
      </c>
      <c r="M6818" t="inlineStr">
        <is>
          <t>Chocolate em pó 50% 1 kg</t>
        </is>
      </c>
      <c r="N6818" t="inlineStr">
        <is>
          <t>Hotel / Motel / Pousada</t>
        </is>
      </c>
      <c r="O6818" t="n">
        <v>9</v>
      </c>
      <c r="P6818" t="n">
        <v>9</v>
      </c>
      <c r="Q6818" t="n">
        <v>0</v>
      </c>
    </row>
    <row r="6819">
      <c r="J6819" t="inlineStr">
        <is>
          <t>A</t>
        </is>
      </c>
      <c r="K6819" t="n">
        <v>2026</v>
      </c>
      <c r="L6819" t="n">
        <v>3</v>
      </c>
      <c r="M6819" t="inlineStr">
        <is>
          <t>Chocolate em pó 50% 1 kg</t>
        </is>
      </c>
      <c r="N6819" t="inlineStr">
        <is>
          <t>Hotel / Motel / Pousada</t>
        </is>
      </c>
      <c r="O6819" t="n">
        <v>19</v>
      </c>
      <c r="P6819" t="n">
        <v>39</v>
      </c>
      <c r="Q6819" t="n">
        <v>5</v>
      </c>
    </row>
    <row r="6820">
      <c r="J6820" t="inlineStr">
        <is>
          <t>M</t>
        </is>
      </c>
      <c r="K6820" t="n">
        <v>2026</v>
      </c>
      <c r="L6820" t="n">
        <v>3</v>
      </c>
      <c r="M6820" t="inlineStr">
        <is>
          <t>Chocolate em pó 50% 1 kg</t>
        </is>
      </c>
      <c r="N6820" t="inlineStr">
        <is>
          <t>Hotel / Motel / Pousada</t>
        </is>
      </c>
      <c r="O6820" t="n">
        <v>13</v>
      </c>
      <c r="P6820" t="n">
        <v>20</v>
      </c>
      <c r="Q6820" t="n">
        <v>0</v>
      </c>
    </row>
    <row r="6821">
      <c r="J6821" t="inlineStr">
        <is>
          <t>A</t>
        </is>
      </c>
      <c r="K6821" t="n">
        <v>2026</v>
      </c>
      <c r="L6821" t="n">
        <v>4</v>
      </c>
      <c r="M6821" t="inlineStr">
        <is>
          <t>Chocolate em pó 50% 1 kg</t>
        </is>
      </c>
      <c r="N6821" t="inlineStr">
        <is>
          <t>Hotel / Motel / Pousada</t>
        </is>
      </c>
      <c r="O6821" t="n">
        <v>22</v>
      </c>
      <c r="P6821" t="n">
        <v>45</v>
      </c>
      <c r="Q6821" t="n">
        <v>7</v>
      </c>
    </row>
    <row r="6822">
      <c r="J6822" t="inlineStr">
        <is>
          <t>M</t>
        </is>
      </c>
      <c r="K6822" t="n">
        <v>2026</v>
      </c>
      <c r="L6822" t="n">
        <v>4</v>
      </c>
      <c r="M6822" t="inlineStr">
        <is>
          <t>Chocolate em pó 50% 1 kg</t>
        </is>
      </c>
      <c r="N6822" t="inlineStr">
        <is>
          <t>Hotel / Motel / Pousada</t>
        </is>
      </c>
      <c r="O6822" t="n">
        <v>6</v>
      </c>
      <c r="P6822" t="n">
        <v>6</v>
      </c>
      <c r="Q6822" t="n">
        <v>0</v>
      </c>
    </row>
    <row r="6823">
      <c r="J6823" t="inlineStr">
        <is>
          <t>A</t>
        </is>
      </c>
      <c r="K6823" t="n">
        <v>2026</v>
      </c>
      <c r="L6823" t="n">
        <v>5</v>
      </c>
      <c r="M6823" t="inlineStr">
        <is>
          <t>Chocolate em pó 50% 1 kg</t>
        </is>
      </c>
      <c r="N6823" t="inlineStr">
        <is>
          <t>Hotel / Motel / Pousada</t>
        </is>
      </c>
      <c r="O6823" t="n">
        <v>27</v>
      </c>
      <c r="P6823" t="n">
        <v>51</v>
      </c>
      <c r="Q6823" t="n">
        <v>11</v>
      </c>
    </row>
    <row r="6824">
      <c r="J6824" t="inlineStr">
        <is>
          <t>M</t>
        </is>
      </c>
      <c r="K6824" t="n">
        <v>2026</v>
      </c>
      <c r="L6824" t="n">
        <v>5</v>
      </c>
      <c r="M6824" t="inlineStr">
        <is>
          <t>Chocolate em pó 50% 1 kg</t>
        </is>
      </c>
      <c r="N6824" t="inlineStr">
        <is>
          <t>Hotel / Motel / Pousada</t>
        </is>
      </c>
      <c r="O6824" t="n">
        <v>5</v>
      </c>
      <c r="P6824" t="n">
        <v>6</v>
      </c>
      <c r="Q6824" t="n">
        <v>0</v>
      </c>
    </row>
    <row r="6825">
      <c r="J6825" t="inlineStr">
        <is>
          <t>A</t>
        </is>
      </c>
      <c r="K6825" t="n">
        <v>2026</v>
      </c>
      <c r="L6825" t="n">
        <v>6</v>
      </c>
      <c r="M6825" t="inlineStr">
        <is>
          <t>Chocolate em pó 50% 1 kg</t>
        </is>
      </c>
      <c r="N6825" t="inlineStr">
        <is>
          <t>Hotel / Motel / Pousada</t>
        </is>
      </c>
      <c r="O6825" t="n">
        <v>33</v>
      </c>
      <c r="P6825" t="n">
        <v>73</v>
      </c>
      <c r="Q6825" t="n">
        <v>16</v>
      </c>
    </row>
    <row r="6826">
      <c r="J6826" t="inlineStr">
        <is>
          <t>M</t>
        </is>
      </c>
      <c r="K6826" t="n">
        <v>2026</v>
      </c>
      <c r="L6826" t="n">
        <v>6</v>
      </c>
      <c r="M6826" t="inlineStr">
        <is>
          <t>Chocolate em pó 50% 1 kg</t>
        </is>
      </c>
      <c r="N6826" t="inlineStr">
        <is>
          <t>Hotel / Motel / Pousada</t>
        </is>
      </c>
      <c r="O6826" t="n">
        <v>14</v>
      </c>
      <c r="P6826" t="n">
        <v>22</v>
      </c>
      <c r="Q6826" t="n">
        <v>0</v>
      </c>
    </row>
    <row r="6827">
      <c r="J6827" t="inlineStr">
        <is>
          <t>A</t>
        </is>
      </c>
      <c r="K6827" t="n">
        <v>2026</v>
      </c>
      <c r="L6827" t="n">
        <v>7</v>
      </c>
      <c r="M6827" t="inlineStr">
        <is>
          <t>Chocolate em pó 50% 1 kg</t>
        </is>
      </c>
      <c r="N6827" t="inlineStr">
        <is>
          <t>Hotel / Motel / Pousada</t>
        </is>
      </c>
      <c r="O6827" t="n">
        <v>39</v>
      </c>
      <c r="P6827" t="n">
        <v>98</v>
      </c>
      <c r="Q6827" t="n">
        <v>20</v>
      </c>
    </row>
    <row r="6828">
      <c r="J6828" t="inlineStr">
        <is>
          <t>M</t>
        </is>
      </c>
      <c r="K6828" t="n">
        <v>2026</v>
      </c>
      <c r="L6828" t="n">
        <v>7</v>
      </c>
      <c r="M6828" t="inlineStr">
        <is>
          <t>Chocolate em pó 50% 1 kg</t>
        </is>
      </c>
      <c r="N6828" t="inlineStr">
        <is>
          <t>Hotel / Motel / Pousada</t>
        </is>
      </c>
      <c r="O6828" t="n">
        <v>18</v>
      </c>
      <c r="P6828" t="n">
        <v>25</v>
      </c>
      <c r="Q6828" t="n">
        <v>0</v>
      </c>
    </row>
    <row r="6829">
      <c r="J6829" t="inlineStr">
        <is>
          <t>A</t>
        </is>
      </c>
      <c r="K6829" t="n">
        <v>2026</v>
      </c>
      <c r="L6829" t="n">
        <v>8</v>
      </c>
      <c r="M6829" t="inlineStr">
        <is>
          <t>Chocolate em pó 50% 1 kg</t>
        </is>
      </c>
      <c r="N6829" t="inlineStr">
        <is>
          <t>Hotel / Motel / Pousada</t>
        </is>
      </c>
      <c r="O6829" t="n">
        <v>39</v>
      </c>
      <c r="P6829" t="n">
        <v>98</v>
      </c>
      <c r="Q6829" t="n">
        <v>20</v>
      </c>
    </row>
    <row r="6830">
      <c r="J6830" t="inlineStr">
        <is>
          <t>A</t>
        </is>
      </c>
      <c r="K6830" t="n">
        <v>2026</v>
      </c>
      <c r="L6830" t="n">
        <v>9</v>
      </c>
      <c r="M6830" t="inlineStr">
        <is>
          <t>Chocolate em pó 50% 1 kg</t>
        </is>
      </c>
      <c r="N6830" t="inlineStr">
        <is>
          <t>Hotel / Motel / Pousada</t>
        </is>
      </c>
      <c r="O6830" t="n">
        <v>39</v>
      </c>
      <c r="P6830" t="n">
        <v>98</v>
      </c>
      <c r="Q6830" t="n">
        <v>20</v>
      </c>
    </row>
    <row r="6831">
      <c r="J6831" t="inlineStr">
        <is>
          <t>A</t>
        </is>
      </c>
      <c r="K6831" t="n">
        <v>2026</v>
      </c>
      <c r="L6831" t="n">
        <v>10</v>
      </c>
      <c r="M6831" t="inlineStr">
        <is>
          <t>Chocolate em pó 50% 1 kg</t>
        </is>
      </c>
      <c r="N6831" t="inlineStr">
        <is>
          <t>Hotel / Motel / Pousada</t>
        </is>
      </c>
      <c r="O6831" t="n">
        <v>39</v>
      </c>
      <c r="P6831" t="n">
        <v>98</v>
      </c>
      <c r="Q6831" t="n">
        <v>20</v>
      </c>
    </row>
    <row r="6832">
      <c r="J6832" t="inlineStr">
        <is>
          <t>A</t>
        </is>
      </c>
      <c r="K6832" t="n">
        <v>2026</v>
      </c>
      <c r="L6832" t="n">
        <v>11</v>
      </c>
      <c r="M6832" t="inlineStr">
        <is>
          <t>Chocolate em pó 50% 1 kg</t>
        </is>
      </c>
      <c r="N6832" t="inlineStr">
        <is>
          <t>Hotel / Motel / Pousada</t>
        </is>
      </c>
      <c r="O6832" t="n">
        <v>39</v>
      </c>
      <c r="P6832" t="n">
        <v>98</v>
      </c>
      <c r="Q6832" t="n">
        <v>20</v>
      </c>
    </row>
    <row r="6833">
      <c r="J6833" t="inlineStr">
        <is>
          <t>A</t>
        </is>
      </c>
      <c r="K6833" t="n">
        <v>2026</v>
      </c>
      <c r="L6833" t="n">
        <v>12</v>
      </c>
      <c r="M6833" t="inlineStr">
        <is>
          <t>Chocolate em pó 50% 1 kg</t>
        </is>
      </c>
      <c r="N6833" t="inlineStr">
        <is>
          <t>Hotel / Motel / Pousada</t>
        </is>
      </c>
      <c r="O6833" t="n">
        <v>39</v>
      </c>
      <c r="P6833" t="n">
        <v>98</v>
      </c>
      <c r="Q6833" t="n">
        <v>20</v>
      </c>
    </row>
    <row r="6834">
      <c r="J6834" t="inlineStr">
        <is>
          <t>A</t>
        </is>
      </c>
      <c r="K6834" t="n">
        <v>2026</v>
      </c>
      <c r="L6834" t="n">
        <v>1</v>
      </c>
      <c r="M6834" t="inlineStr">
        <is>
          <t>Chocolate em pó 50% 1 kg</t>
        </is>
      </c>
      <c r="N6834" t="inlineStr">
        <is>
          <t>Hamburgueria</t>
        </is>
      </c>
      <c r="O6834" t="n">
        <v>1</v>
      </c>
      <c r="P6834" t="n">
        <v>1</v>
      </c>
      <c r="Q6834" t="n">
        <v>1</v>
      </c>
    </row>
    <row r="6835">
      <c r="J6835" t="inlineStr">
        <is>
          <t>M</t>
        </is>
      </c>
      <c r="K6835" t="n">
        <v>2026</v>
      </c>
      <c r="L6835" t="n">
        <v>1</v>
      </c>
      <c r="M6835" t="inlineStr">
        <is>
          <t>Chocolate em pó 50% 1 kg</t>
        </is>
      </c>
      <c r="N6835" t="inlineStr">
        <is>
          <t>Hamburgueria</t>
        </is>
      </c>
      <c r="O6835" t="n">
        <v>1</v>
      </c>
      <c r="P6835" t="n">
        <v>1</v>
      </c>
      <c r="Q6835" t="n">
        <v>0</v>
      </c>
    </row>
    <row r="6836">
      <c r="J6836" t="inlineStr">
        <is>
          <t>A</t>
        </is>
      </c>
      <c r="K6836" t="n">
        <v>2026</v>
      </c>
      <c r="L6836" t="n">
        <v>2</v>
      </c>
      <c r="M6836" t="inlineStr">
        <is>
          <t>Chocolate em pó 50% 1 kg</t>
        </is>
      </c>
      <c r="N6836" t="inlineStr">
        <is>
          <t>Hamburgueria</t>
        </is>
      </c>
      <c r="O6836" t="n">
        <v>1</v>
      </c>
      <c r="P6836" t="n">
        <v>2</v>
      </c>
      <c r="Q6836" t="n">
        <v>1</v>
      </c>
    </row>
    <row r="6837">
      <c r="J6837" t="inlineStr">
        <is>
          <t>M</t>
        </is>
      </c>
      <c r="K6837" t="n">
        <v>2026</v>
      </c>
      <c r="L6837" t="n">
        <v>2</v>
      </c>
      <c r="M6837" t="inlineStr">
        <is>
          <t>Chocolate em pó 50% 1 kg</t>
        </is>
      </c>
      <c r="N6837" t="inlineStr">
        <is>
          <t>Hamburgueria</t>
        </is>
      </c>
      <c r="O6837" t="n">
        <v>1</v>
      </c>
      <c r="P6837" t="n">
        <v>1</v>
      </c>
      <c r="Q6837" t="n">
        <v>0</v>
      </c>
    </row>
    <row r="6838">
      <c r="J6838" t="inlineStr">
        <is>
          <t>A</t>
        </is>
      </c>
      <c r="K6838" t="n">
        <v>2026</v>
      </c>
      <c r="L6838" t="n">
        <v>3</v>
      </c>
      <c r="M6838" t="inlineStr">
        <is>
          <t>Chocolate em pó 50% 1 kg</t>
        </is>
      </c>
      <c r="N6838" t="inlineStr">
        <is>
          <t>Hamburgueria</t>
        </is>
      </c>
      <c r="O6838" t="n">
        <v>2</v>
      </c>
      <c r="P6838" t="n">
        <v>3</v>
      </c>
      <c r="Q6838" t="n">
        <v>1</v>
      </c>
    </row>
    <row r="6839">
      <c r="J6839" t="inlineStr">
        <is>
          <t>M</t>
        </is>
      </c>
      <c r="K6839" t="n">
        <v>2026</v>
      </c>
      <c r="L6839" t="n">
        <v>3</v>
      </c>
      <c r="M6839" t="inlineStr">
        <is>
          <t>Chocolate em pó 50% 1 kg</t>
        </is>
      </c>
      <c r="N6839" t="inlineStr">
        <is>
          <t>Hamburgueria</t>
        </is>
      </c>
      <c r="O6839" t="n">
        <v>1</v>
      </c>
      <c r="P6839" t="n">
        <v>1</v>
      </c>
      <c r="Q6839" t="n">
        <v>0</v>
      </c>
    </row>
    <row r="6840">
      <c r="J6840" t="inlineStr">
        <is>
          <t>A</t>
        </is>
      </c>
      <c r="K6840" t="n">
        <v>2026</v>
      </c>
      <c r="L6840" t="n">
        <v>4</v>
      </c>
      <c r="M6840" t="inlineStr">
        <is>
          <t>Chocolate em pó 50% 1 kg</t>
        </is>
      </c>
      <c r="N6840" t="inlineStr">
        <is>
          <t>Hamburgueria</t>
        </is>
      </c>
      <c r="O6840" t="n">
        <v>2</v>
      </c>
      <c r="P6840" t="n">
        <v>3</v>
      </c>
      <c r="Q6840" t="n">
        <v>1</v>
      </c>
    </row>
    <row r="6841">
      <c r="J6841" t="inlineStr">
        <is>
          <t>A</t>
        </is>
      </c>
      <c r="K6841" t="n">
        <v>2026</v>
      </c>
      <c r="L6841" t="n">
        <v>5</v>
      </c>
      <c r="M6841" t="inlineStr">
        <is>
          <t>Chocolate em pó 50% 1 kg</t>
        </is>
      </c>
      <c r="N6841" t="inlineStr">
        <is>
          <t>Hamburgueria</t>
        </is>
      </c>
      <c r="O6841" t="n">
        <v>3</v>
      </c>
      <c r="P6841" t="n">
        <v>4</v>
      </c>
      <c r="Q6841" t="n">
        <v>2</v>
      </c>
    </row>
    <row r="6842">
      <c r="J6842" t="inlineStr">
        <is>
          <t>M</t>
        </is>
      </c>
      <c r="K6842" t="n">
        <v>2026</v>
      </c>
      <c r="L6842" t="n">
        <v>5</v>
      </c>
      <c r="M6842" t="inlineStr">
        <is>
          <t>Chocolate em pó 50% 1 kg</t>
        </is>
      </c>
      <c r="N6842" t="inlineStr">
        <is>
          <t>Hamburgueria</t>
        </is>
      </c>
      <c r="O6842" t="n">
        <v>1</v>
      </c>
      <c r="P6842" t="n">
        <v>1</v>
      </c>
      <c r="Q6842" t="n">
        <v>0</v>
      </c>
    </row>
    <row r="6843">
      <c r="J6843" t="inlineStr">
        <is>
          <t>A</t>
        </is>
      </c>
      <c r="K6843" t="n">
        <v>2026</v>
      </c>
      <c r="L6843" t="n">
        <v>6</v>
      </c>
      <c r="M6843" t="inlineStr">
        <is>
          <t>Chocolate em pó 50% 1 kg</t>
        </is>
      </c>
      <c r="N6843" t="inlineStr">
        <is>
          <t>Hamburgueria</t>
        </is>
      </c>
      <c r="O6843" t="n">
        <v>3</v>
      </c>
      <c r="P6843" t="n">
        <v>6</v>
      </c>
      <c r="Q6843" t="n">
        <v>2</v>
      </c>
    </row>
    <row r="6844">
      <c r="J6844" t="inlineStr">
        <is>
          <t>M</t>
        </is>
      </c>
      <c r="K6844" t="n">
        <v>2026</v>
      </c>
      <c r="L6844" t="n">
        <v>6</v>
      </c>
      <c r="M6844" t="inlineStr">
        <is>
          <t>Chocolate em pó 50% 1 kg</t>
        </is>
      </c>
      <c r="N6844" t="inlineStr">
        <is>
          <t>Hamburgueria</t>
        </is>
      </c>
      <c r="O6844" t="n">
        <v>1</v>
      </c>
      <c r="P6844" t="n">
        <v>2</v>
      </c>
      <c r="Q6844" t="n">
        <v>0</v>
      </c>
    </row>
    <row r="6845">
      <c r="J6845" t="inlineStr">
        <is>
          <t>A</t>
        </is>
      </c>
      <c r="K6845" t="n">
        <v>2026</v>
      </c>
      <c r="L6845" t="n">
        <v>7</v>
      </c>
      <c r="M6845" t="inlineStr">
        <is>
          <t>Chocolate em pó 50% 1 kg</t>
        </is>
      </c>
      <c r="N6845" t="inlineStr">
        <is>
          <t>Hamburgueria</t>
        </is>
      </c>
      <c r="O6845" t="n">
        <v>3</v>
      </c>
      <c r="P6845" t="n">
        <v>6</v>
      </c>
      <c r="Q6845" t="n">
        <v>2</v>
      </c>
    </row>
    <row r="6846">
      <c r="J6846" t="inlineStr">
        <is>
          <t>A</t>
        </is>
      </c>
      <c r="K6846" t="n">
        <v>2026</v>
      </c>
      <c r="L6846" t="n">
        <v>8</v>
      </c>
      <c r="M6846" t="inlineStr">
        <is>
          <t>Chocolate em pó 50% 1 kg</t>
        </is>
      </c>
      <c r="N6846" t="inlineStr">
        <is>
          <t>Hamburgueria</t>
        </is>
      </c>
      <c r="O6846" t="n">
        <v>3</v>
      </c>
      <c r="P6846" t="n">
        <v>6</v>
      </c>
      <c r="Q6846" t="n">
        <v>2</v>
      </c>
    </row>
    <row r="6847">
      <c r="J6847" t="inlineStr">
        <is>
          <t>A</t>
        </is>
      </c>
      <c r="K6847" t="n">
        <v>2026</v>
      </c>
      <c r="L6847" t="n">
        <v>9</v>
      </c>
      <c r="M6847" t="inlineStr">
        <is>
          <t>Chocolate em pó 50% 1 kg</t>
        </is>
      </c>
      <c r="N6847" t="inlineStr">
        <is>
          <t>Hamburgueria</t>
        </is>
      </c>
      <c r="O6847" t="n">
        <v>3</v>
      </c>
      <c r="P6847" t="n">
        <v>6</v>
      </c>
      <c r="Q6847" t="n">
        <v>2</v>
      </c>
    </row>
    <row r="6848">
      <c r="J6848" t="inlineStr">
        <is>
          <t>A</t>
        </is>
      </c>
      <c r="K6848" t="n">
        <v>2026</v>
      </c>
      <c r="L6848" t="n">
        <v>10</v>
      </c>
      <c r="M6848" t="inlineStr">
        <is>
          <t>Chocolate em pó 50% 1 kg</t>
        </is>
      </c>
      <c r="N6848" t="inlineStr">
        <is>
          <t>Hamburgueria</t>
        </is>
      </c>
      <c r="O6848" t="n">
        <v>3</v>
      </c>
      <c r="P6848" t="n">
        <v>6</v>
      </c>
      <c r="Q6848" t="n">
        <v>2</v>
      </c>
    </row>
    <row r="6849">
      <c r="J6849" t="inlineStr">
        <is>
          <t>A</t>
        </is>
      </c>
      <c r="K6849" t="n">
        <v>2026</v>
      </c>
      <c r="L6849" t="n">
        <v>11</v>
      </c>
      <c r="M6849" t="inlineStr">
        <is>
          <t>Chocolate em pó 50% 1 kg</t>
        </is>
      </c>
      <c r="N6849" t="inlineStr">
        <is>
          <t>Hamburgueria</t>
        </is>
      </c>
      <c r="O6849" t="n">
        <v>3</v>
      </c>
      <c r="P6849" t="n">
        <v>6</v>
      </c>
      <c r="Q6849" t="n">
        <v>2</v>
      </c>
    </row>
    <row r="6850">
      <c r="J6850" t="inlineStr">
        <is>
          <t>A</t>
        </is>
      </c>
      <c r="K6850" t="n">
        <v>2026</v>
      </c>
      <c r="L6850" t="n">
        <v>12</v>
      </c>
      <c r="M6850" t="inlineStr">
        <is>
          <t>Chocolate em pó 50% 1 kg</t>
        </is>
      </c>
      <c r="N6850" t="inlineStr">
        <is>
          <t>Hamburgueria</t>
        </is>
      </c>
      <c r="O6850" t="n">
        <v>3</v>
      </c>
      <c r="P6850" t="n">
        <v>6</v>
      </c>
      <c r="Q6850" t="n">
        <v>2</v>
      </c>
    </row>
    <row r="6851">
      <c r="J6851" t="inlineStr">
        <is>
          <t>A</t>
        </is>
      </c>
      <c r="K6851" t="n">
        <v>2026</v>
      </c>
      <c r="L6851" t="n">
        <v>3</v>
      </c>
      <c r="M6851" t="inlineStr">
        <is>
          <t>Chocolate em pó 50% 1 kg</t>
        </is>
      </c>
      <c r="N6851" t="inlineStr">
        <is>
          <t>Laticínios / Distribuidor</t>
        </is>
      </c>
      <c r="O6851" t="n">
        <v>2</v>
      </c>
      <c r="P6851" t="n">
        <v>2</v>
      </c>
      <c r="Q6851" t="n">
        <v>1</v>
      </c>
    </row>
    <row r="6852">
      <c r="J6852" t="inlineStr">
        <is>
          <t>M</t>
        </is>
      </c>
      <c r="K6852" t="n">
        <v>2026</v>
      </c>
      <c r="L6852" t="n">
        <v>3</v>
      </c>
      <c r="M6852" t="inlineStr">
        <is>
          <t>Chocolate em pó 50% 1 kg</t>
        </is>
      </c>
      <c r="N6852" t="inlineStr">
        <is>
          <t>Laticínios / Distribuidor</t>
        </is>
      </c>
      <c r="O6852" t="n">
        <v>2</v>
      </c>
      <c r="P6852" t="n">
        <v>2</v>
      </c>
      <c r="Q6852" t="n">
        <v>0</v>
      </c>
    </row>
    <row r="6853">
      <c r="J6853" t="inlineStr">
        <is>
          <t>A</t>
        </is>
      </c>
      <c r="K6853" t="n">
        <v>2026</v>
      </c>
      <c r="L6853" t="n">
        <v>4</v>
      </c>
      <c r="M6853" t="inlineStr">
        <is>
          <t>Chocolate em pó 50% 1 kg</t>
        </is>
      </c>
      <c r="N6853" t="inlineStr">
        <is>
          <t>Laticínios / Distribuidor</t>
        </is>
      </c>
      <c r="O6853" t="n">
        <v>2</v>
      </c>
      <c r="P6853" t="n">
        <v>2</v>
      </c>
      <c r="Q6853" t="n">
        <v>1</v>
      </c>
    </row>
    <row r="6854">
      <c r="J6854" t="inlineStr">
        <is>
          <t>A</t>
        </is>
      </c>
      <c r="K6854" t="n">
        <v>2026</v>
      </c>
      <c r="L6854" t="n">
        <v>5</v>
      </c>
      <c r="M6854" t="inlineStr">
        <is>
          <t>Chocolate em pó 50% 1 kg</t>
        </is>
      </c>
      <c r="N6854" t="inlineStr">
        <is>
          <t>Laticínios / Distribuidor</t>
        </is>
      </c>
      <c r="O6854" t="n">
        <v>2</v>
      </c>
      <c r="P6854" t="n">
        <v>2</v>
      </c>
      <c r="Q6854" t="n">
        <v>1</v>
      </c>
    </row>
    <row r="6855">
      <c r="J6855" t="inlineStr">
        <is>
          <t>A</t>
        </is>
      </c>
      <c r="K6855" t="n">
        <v>2026</v>
      </c>
      <c r="L6855" t="n">
        <v>6</v>
      </c>
      <c r="M6855" t="inlineStr">
        <is>
          <t>Chocolate em pó 50% 1 kg</t>
        </is>
      </c>
      <c r="N6855" t="inlineStr">
        <is>
          <t>Laticínios / Distribuidor</t>
        </is>
      </c>
      <c r="O6855" t="n">
        <v>2</v>
      </c>
      <c r="P6855" t="n">
        <v>2</v>
      </c>
      <c r="Q6855" t="n">
        <v>1</v>
      </c>
    </row>
    <row r="6856">
      <c r="J6856" t="inlineStr">
        <is>
          <t>A</t>
        </is>
      </c>
      <c r="K6856" t="n">
        <v>2026</v>
      </c>
      <c r="L6856" t="n">
        <v>7</v>
      </c>
      <c r="M6856" t="inlineStr">
        <is>
          <t>Chocolate em pó 50% 1 kg</t>
        </is>
      </c>
      <c r="N6856" t="inlineStr">
        <is>
          <t>Laticínios / Distribuidor</t>
        </is>
      </c>
      <c r="O6856" t="n">
        <v>2</v>
      </c>
      <c r="P6856" t="n">
        <v>2</v>
      </c>
      <c r="Q6856" t="n">
        <v>1</v>
      </c>
    </row>
    <row r="6857">
      <c r="J6857" t="inlineStr">
        <is>
          <t>A</t>
        </is>
      </c>
      <c r="K6857" t="n">
        <v>2026</v>
      </c>
      <c r="L6857" t="n">
        <v>8</v>
      </c>
      <c r="M6857" t="inlineStr">
        <is>
          <t>Chocolate em pó 50% 1 kg</t>
        </is>
      </c>
      <c r="N6857" t="inlineStr">
        <is>
          <t>Laticínios / Distribuidor</t>
        </is>
      </c>
      <c r="O6857" t="n">
        <v>2</v>
      </c>
      <c r="P6857" t="n">
        <v>2</v>
      </c>
      <c r="Q6857" t="n">
        <v>1</v>
      </c>
    </row>
    <row r="6858">
      <c r="J6858" t="inlineStr">
        <is>
          <t>A</t>
        </is>
      </c>
      <c r="K6858" t="n">
        <v>2026</v>
      </c>
      <c r="L6858" t="n">
        <v>9</v>
      </c>
      <c r="M6858" t="inlineStr">
        <is>
          <t>Chocolate em pó 50% 1 kg</t>
        </is>
      </c>
      <c r="N6858" t="inlineStr">
        <is>
          <t>Laticínios / Distribuidor</t>
        </is>
      </c>
      <c r="O6858" t="n">
        <v>2</v>
      </c>
      <c r="P6858" t="n">
        <v>2</v>
      </c>
      <c r="Q6858" t="n">
        <v>1</v>
      </c>
    </row>
    <row r="6859">
      <c r="J6859" t="inlineStr">
        <is>
          <t>A</t>
        </is>
      </c>
      <c r="K6859" t="n">
        <v>2026</v>
      </c>
      <c r="L6859" t="n">
        <v>10</v>
      </c>
      <c r="M6859" t="inlineStr">
        <is>
          <t>Chocolate em pó 50% 1 kg</t>
        </is>
      </c>
      <c r="N6859" t="inlineStr">
        <is>
          <t>Laticínios / Distribuidor</t>
        </is>
      </c>
      <c r="O6859" t="n">
        <v>2</v>
      </c>
      <c r="P6859" t="n">
        <v>2</v>
      </c>
      <c r="Q6859" t="n">
        <v>1</v>
      </c>
    </row>
    <row r="6860">
      <c r="J6860" t="inlineStr">
        <is>
          <t>A</t>
        </is>
      </c>
      <c r="K6860" t="n">
        <v>2026</v>
      </c>
      <c r="L6860" t="n">
        <v>11</v>
      </c>
      <c r="M6860" t="inlineStr">
        <is>
          <t>Chocolate em pó 50% 1 kg</t>
        </is>
      </c>
      <c r="N6860" t="inlineStr">
        <is>
          <t>Laticínios / Distribuidor</t>
        </is>
      </c>
      <c r="O6860" t="n">
        <v>2</v>
      </c>
      <c r="P6860" t="n">
        <v>2</v>
      </c>
      <c r="Q6860" t="n">
        <v>1</v>
      </c>
    </row>
    <row r="6861">
      <c r="J6861" t="inlineStr">
        <is>
          <t>A</t>
        </is>
      </c>
      <c r="K6861" t="n">
        <v>2026</v>
      </c>
      <c r="L6861" t="n">
        <v>12</v>
      </c>
      <c r="M6861" t="inlineStr">
        <is>
          <t>Chocolate em pó 50% 1 kg</t>
        </is>
      </c>
      <c r="N6861" t="inlineStr">
        <is>
          <t>Laticínios / Distribuidor</t>
        </is>
      </c>
      <c r="O6861" t="n">
        <v>2</v>
      </c>
      <c r="P6861" t="n">
        <v>2</v>
      </c>
      <c r="Q6861" t="n">
        <v>1</v>
      </c>
    </row>
    <row r="6862">
      <c r="J6862" t="inlineStr">
        <is>
          <t>A</t>
        </is>
      </c>
      <c r="K6862" t="n">
        <v>2026</v>
      </c>
      <c r="L6862" t="n">
        <v>1</v>
      </c>
      <c r="M6862" t="inlineStr">
        <is>
          <t>Chocolate em pó 50% 1 kg</t>
        </is>
      </c>
      <c r="N6862" t="inlineStr">
        <is>
          <t>Bar / Chopperia</t>
        </is>
      </c>
      <c r="O6862" t="n">
        <v>1</v>
      </c>
      <c r="P6862" t="n">
        <v>1</v>
      </c>
      <c r="Q6862" t="n">
        <v>0</v>
      </c>
    </row>
    <row r="6863">
      <c r="J6863" t="inlineStr">
        <is>
          <t>M</t>
        </is>
      </c>
      <c r="K6863" t="n">
        <v>2026</v>
      </c>
      <c r="L6863" t="n">
        <v>1</v>
      </c>
      <c r="M6863" t="inlineStr">
        <is>
          <t>Chocolate em pó 50% 1 kg</t>
        </is>
      </c>
      <c r="N6863" t="inlineStr">
        <is>
          <t>Bar / Chopperia</t>
        </is>
      </c>
      <c r="O6863" t="n">
        <v>1</v>
      </c>
      <c r="P6863" t="n">
        <v>1</v>
      </c>
      <c r="Q6863" t="n">
        <v>0</v>
      </c>
    </row>
    <row r="6864">
      <c r="J6864" t="inlineStr">
        <is>
          <t>A</t>
        </is>
      </c>
      <c r="K6864" t="n">
        <v>2026</v>
      </c>
      <c r="L6864" t="n">
        <v>2</v>
      </c>
      <c r="M6864" t="inlineStr">
        <is>
          <t>Chocolate em pó 50% 1 kg</t>
        </is>
      </c>
      <c r="N6864" t="inlineStr">
        <is>
          <t>Bar / Chopperia</t>
        </is>
      </c>
      <c r="O6864" t="n">
        <v>4</v>
      </c>
      <c r="P6864" t="n">
        <v>4</v>
      </c>
      <c r="Q6864" t="n">
        <v>3</v>
      </c>
    </row>
    <row r="6865">
      <c r="J6865" t="inlineStr">
        <is>
          <t>M</t>
        </is>
      </c>
      <c r="K6865" t="n">
        <v>2026</v>
      </c>
      <c r="L6865" t="n">
        <v>2</v>
      </c>
      <c r="M6865" t="inlineStr">
        <is>
          <t>Chocolate em pó 50% 1 kg</t>
        </is>
      </c>
      <c r="N6865" t="inlineStr">
        <is>
          <t>Bar / Chopperia</t>
        </is>
      </c>
      <c r="O6865" t="n">
        <v>3</v>
      </c>
      <c r="P6865" t="n">
        <v>3</v>
      </c>
      <c r="Q6865" t="n">
        <v>0</v>
      </c>
    </row>
    <row r="6866">
      <c r="J6866" t="inlineStr">
        <is>
          <t>A</t>
        </is>
      </c>
      <c r="K6866" t="n">
        <v>2026</v>
      </c>
      <c r="L6866" t="n">
        <v>3</v>
      </c>
      <c r="M6866" t="inlineStr">
        <is>
          <t>Chocolate em pó 50% 1 kg</t>
        </is>
      </c>
      <c r="N6866" t="inlineStr">
        <is>
          <t>Bar / Chopperia</t>
        </is>
      </c>
      <c r="O6866" t="n">
        <v>4</v>
      </c>
      <c r="P6866" t="n">
        <v>4</v>
      </c>
      <c r="Q6866" t="n">
        <v>3</v>
      </c>
    </row>
    <row r="6867">
      <c r="J6867" t="inlineStr">
        <is>
          <t>A</t>
        </is>
      </c>
      <c r="K6867" t="n">
        <v>2026</v>
      </c>
      <c r="L6867" t="n">
        <v>4</v>
      </c>
      <c r="M6867" t="inlineStr">
        <is>
          <t>Chocolate em pó 50% 1 kg</t>
        </is>
      </c>
      <c r="N6867" t="inlineStr">
        <is>
          <t>Bar / Chopperia</t>
        </is>
      </c>
      <c r="O6867" t="n">
        <v>4</v>
      </c>
      <c r="P6867" t="n">
        <v>4</v>
      </c>
      <c r="Q6867" t="n">
        <v>3</v>
      </c>
    </row>
    <row r="6868">
      <c r="J6868" t="inlineStr">
        <is>
          <t>A</t>
        </is>
      </c>
      <c r="K6868" t="n">
        <v>2026</v>
      </c>
      <c r="L6868" t="n">
        <v>5</v>
      </c>
      <c r="M6868" t="inlineStr">
        <is>
          <t>Chocolate em pó 50% 1 kg</t>
        </is>
      </c>
      <c r="N6868" t="inlineStr">
        <is>
          <t>Bar / Chopperia</t>
        </is>
      </c>
      <c r="O6868" t="n">
        <v>6</v>
      </c>
      <c r="P6868" t="n">
        <v>7</v>
      </c>
      <c r="Q6868" t="n">
        <v>5</v>
      </c>
    </row>
    <row r="6869">
      <c r="J6869" t="inlineStr">
        <is>
          <t>M</t>
        </is>
      </c>
      <c r="K6869" t="n">
        <v>2026</v>
      </c>
      <c r="L6869" t="n">
        <v>5</v>
      </c>
      <c r="M6869" t="inlineStr">
        <is>
          <t>Chocolate em pó 50% 1 kg</t>
        </is>
      </c>
      <c r="N6869" t="inlineStr">
        <is>
          <t>Bar / Chopperia</t>
        </is>
      </c>
      <c r="O6869" t="n">
        <v>3</v>
      </c>
      <c r="P6869" t="n">
        <v>3</v>
      </c>
      <c r="Q6869" t="n">
        <v>0</v>
      </c>
    </row>
    <row r="6870">
      <c r="J6870" t="inlineStr">
        <is>
          <t>A</t>
        </is>
      </c>
      <c r="K6870" t="n">
        <v>2026</v>
      </c>
      <c r="L6870" t="n">
        <v>6</v>
      </c>
      <c r="M6870" t="inlineStr">
        <is>
          <t>Chocolate em pó 50% 1 kg</t>
        </is>
      </c>
      <c r="N6870" t="inlineStr">
        <is>
          <t>Bar / Chopperia</t>
        </is>
      </c>
      <c r="O6870" t="n">
        <v>7</v>
      </c>
      <c r="P6870" t="n">
        <v>9</v>
      </c>
      <c r="Q6870" t="n">
        <v>6</v>
      </c>
    </row>
    <row r="6871">
      <c r="J6871" t="inlineStr">
        <is>
          <t>M</t>
        </is>
      </c>
      <c r="K6871" t="n">
        <v>2026</v>
      </c>
      <c r="L6871" t="n">
        <v>6</v>
      </c>
      <c r="M6871" t="inlineStr">
        <is>
          <t>Chocolate em pó 50% 1 kg</t>
        </is>
      </c>
      <c r="N6871" t="inlineStr">
        <is>
          <t>Bar / Chopperia</t>
        </is>
      </c>
      <c r="O6871" t="n">
        <v>2</v>
      </c>
      <c r="P6871" t="n">
        <v>2</v>
      </c>
      <c r="Q6871" t="n">
        <v>0</v>
      </c>
    </row>
    <row r="6872">
      <c r="J6872" t="inlineStr">
        <is>
          <t>A</t>
        </is>
      </c>
      <c r="K6872" t="n">
        <v>2026</v>
      </c>
      <c r="L6872" t="n">
        <v>7</v>
      </c>
      <c r="M6872" t="inlineStr">
        <is>
          <t>Chocolate em pó 50% 1 kg</t>
        </is>
      </c>
      <c r="N6872" t="inlineStr">
        <is>
          <t>Bar / Chopperia</t>
        </is>
      </c>
      <c r="O6872" t="n">
        <v>9</v>
      </c>
      <c r="P6872" t="n">
        <v>12</v>
      </c>
      <c r="Q6872" t="n">
        <v>8</v>
      </c>
    </row>
    <row r="6873">
      <c r="J6873" t="inlineStr">
        <is>
          <t>M</t>
        </is>
      </c>
      <c r="K6873" t="n">
        <v>2026</v>
      </c>
      <c r="L6873" t="n">
        <v>7</v>
      </c>
      <c r="M6873" t="inlineStr">
        <is>
          <t>Chocolate em pó 50% 1 kg</t>
        </is>
      </c>
      <c r="N6873" t="inlineStr">
        <is>
          <t>Bar / Chopperia</t>
        </is>
      </c>
      <c r="O6873" t="n">
        <v>3</v>
      </c>
      <c r="P6873" t="n">
        <v>3</v>
      </c>
      <c r="Q6873" t="n">
        <v>0</v>
      </c>
    </row>
    <row r="6874">
      <c r="J6874" t="inlineStr">
        <is>
          <t>A</t>
        </is>
      </c>
      <c r="K6874" t="n">
        <v>2026</v>
      </c>
      <c r="L6874" t="n">
        <v>8</v>
      </c>
      <c r="M6874" t="inlineStr">
        <is>
          <t>Chocolate em pó 50% 1 kg</t>
        </is>
      </c>
      <c r="N6874" t="inlineStr">
        <is>
          <t>Bar / Chopperia</t>
        </is>
      </c>
      <c r="O6874" t="n">
        <v>9</v>
      </c>
      <c r="P6874" t="n">
        <v>12</v>
      </c>
      <c r="Q6874" t="n">
        <v>8</v>
      </c>
    </row>
    <row r="6875">
      <c r="J6875" t="inlineStr">
        <is>
          <t>A</t>
        </is>
      </c>
      <c r="K6875" t="n">
        <v>2026</v>
      </c>
      <c r="L6875" t="n">
        <v>9</v>
      </c>
      <c r="M6875" t="inlineStr">
        <is>
          <t>Chocolate em pó 50% 1 kg</t>
        </is>
      </c>
      <c r="N6875" t="inlineStr">
        <is>
          <t>Bar / Chopperia</t>
        </is>
      </c>
      <c r="O6875" t="n">
        <v>9</v>
      </c>
      <c r="P6875" t="n">
        <v>12</v>
      </c>
      <c r="Q6875" t="n">
        <v>8</v>
      </c>
    </row>
    <row r="6876">
      <c r="J6876" t="inlineStr">
        <is>
          <t>A</t>
        </is>
      </c>
      <c r="K6876" t="n">
        <v>2026</v>
      </c>
      <c r="L6876" t="n">
        <v>10</v>
      </c>
      <c r="M6876" t="inlineStr">
        <is>
          <t>Chocolate em pó 50% 1 kg</t>
        </is>
      </c>
      <c r="N6876" t="inlineStr">
        <is>
          <t>Bar / Chopperia</t>
        </is>
      </c>
      <c r="O6876" t="n">
        <v>9</v>
      </c>
      <c r="P6876" t="n">
        <v>12</v>
      </c>
      <c r="Q6876" t="n">
        <v>8</v>
      </c>
    </row>
    <row r="6877">
      <c r="J6877" t="inlineStr">
        <is>
          <t>A</t>
        </is>
      </c>
      <c r="K6877" t="n">
        <v>2026</v>
      </c>
      <c r="L6877" t="n">
        <v>11</v>
      </c>
      <c r="M6877" t="inlineStr">
        <is>
          <t>Chocolate em pó 50% 1 kg</t>
        </is>
      </c>
      <c r="N6877" t="inlineStr">
        <is>
          <t>Bar / Chopperia</t>
        </is>
      </c>
      <c r="O6877" t="n">
        <v>9</v>
      </c>
      <c r="P6877" t="n">
        <v>12</v>
      </c>
      <c r="Q6877" t="n">
        <v>8</v>
      </c>
    </row>
    <row r="6878">
      <c r="J6878" t="inlineStr">
        <is>
          <t>A</t>
        </is>
      </c>
      <c r="K6878" t="n">
        <v>2026</v>
      </c>
      <c r="L6878" t="n">
        <v>12</v>
      </c>
      <c r="M6878" t="inlineStr">
        <is>
          <t>Chocolate em pó 50% 1 kg</t>
        </is>
      </c>
      <c r="N6878" t="inlineStr">
        <is>
          <t>Bar / Chopperia</t>
        </is>
      </c>
      <c r="O6878" t="n">
        <v>9</v>
      </c>
      <c r="P6878" t="n">
        <v>12</v>
      </c>
      <c r="Q6878" t="n">
        <v>8</v>
      </c>
    </row>
    <row r="6879">
      <c r="J6879" t="inlineStr">
        <is>
          <t>A</t>
        </is>
      </c>
      <c r="K6879" t="n">
        <v>2026</v>
      </c>
      <c r="L6879" t="n">
        <v>1</v>
      </c>
      <c r="M6879" t="inlineStr">
        <is>
          <t>Chocolate em pó 50% 1 kg</t>
        </is>
      </c>
      <c r="N6879" t="inlineStr">
        <is>
          <t>Confeitaria</t>
        </is>
      </c>
      <c r="O6879" t="n">
        <v>2</v>
      </c>
      <c r="P6879" t="n">
        <v>2</v>
      </c>
      <c r="Q6879" t="n">
        <v>1</v>
      </c>
    </row>
    <row r="6880">
      <c r="J6880" t="inlineStr">
        <is>
          <t>M</t>
        </is>
      </c>
      <c r="K6880" t="n">
        <v>2026</v>
      </c>
      <c r="L6880" t="n">
        <v>1</v>
      </c>
      <c r="M6880" t="inlineStr">
        <is>
          <t>Chocolate em pó 50% 1 kg</t>
        </is>
      </c>
      <c r="N6880" t="inlineStr">
        <is>
          <t>Confeitaria</t>
        </is>
      </c>
      <c r="O6880" t="n">
        <v>2</v>
      </c>
      <c r="P6880" t="n">
        <v>2</v>
      </c>
      <c r="Q6880" t="n">
        <v>0</v>
      </c>
    </row>
    <row r="6881">
      <c r="J6881" t="inlineStr">
        <is>
          <t>A</t>
        </is>
      </c>
      <c r="K6881" t="n">
        <v>2026</v>
      </c>
      <c r="L6881" t="n">
        <v>2</v>
      </c>
      <c r="M6881" t="inlineStr">
        <is>
          <t>Chocolate em pó 50% 1 kg</t>
        </is>
      </c>
      <c r="N6881" t="inlineStr">
        <is>
          <t>Confeitaria</t>
        </is>
      </c>
      <c r="O6881" t="n">
        <v>2</v>
      </c>
      <c r="P6881" t="n">
        <v>3</v>
      </c>
      <c r="Q6881" t="n">
        <v>1</v>
      </c>
    </row>
    <row r="6882">
      <c r="J6882" t="inlineStr">
        <is>
          <t>M</t>
        </is>
      </c>
      <c r="K6882" t="n">
        <v>2026</v>
      </c>
      <c r="L6882" t="n">
        <v>2</v>
      </c>
      <c r="M6882" t="inlineStr">
        <is>
          <t>Chocolate em pó 50% 1 kg</t>
        </is>
      </c>
      <c r="N6882" t="inlineStr">
        <is>
          <t>Confeitaria</t>
        </is>
      </c>
      <c r="O6882" t="n">
        <v>1</v>
      </c>
      <c r="P6882" t="n">
        <v>1</v>
      </c>
      <c r="Q6882" t="n">
        <v>0</v>
      </c>
    </row>
    <row r="6883">
      <c r="J6883" t="inlineStr">
        <is>
          <t>A</t>
        </is>
      </c>
      <c r="K6883" t="n">
        <v>2026</v>
      </c>
      <c r="L6883" t="n">
        <v>3</v>
      </c>
      <c r="M6883" t="inlineStr">
        <is>
          <t>Chocolate em pó 50% 1 kg</t>
        </is>
      </c>
      <c r="N6883" t="inlineStr">
        <is>
          <t>Confeitaria</t>
        </is>
      </c>
      <c r="O6883" t="n">
        <v>4</v>
      </c>
      <c r="P6883" t="n">
        <v>6</v>
      </c>
      <c r="Q6883" t="n">
        <v>2</v>
      </c>
    </row>
    <row r="6884">
      <c r="J6884" t="inlineStr">
        <is>
          <t>M</t>
        </is>
      </c>
      <c r="K6884" t="n">
        <v>2026</v>
      </c>
      <c r="L6884" t="n">
        <v>3</v>
      </c>
      <c r="M6884" t="inlineStr">
        <is>
          <t>Chocolate em pó 50% 1 kg</t>
        </is>
      </c>
      <c r="N6884" t="inlineStr">
        <is>
          <t>Confeitaria</t>
        </is>
      </c>
      <c r="O6884" t="n">
        <v>3</v>
      </c>
      <c r="P6884" t="n">
        <v>3</v>
      </c>
      <c r="Q6884" t="n">
        <v>0</v>
      </c>
    </row>
    <row r="6885">
      <c r="J6885" t="inlineStr">
        <is>
          <t>A</t>
        </is>
      </c>
      <c r="K6885" t="n">
        <v>2026</v>
      </c>
      <c r="L6885" t="n">
        <v>4</v>
      </c>
      <c r="M6885" t="inlineStr">
        <is>
          <t>Chocolate em pó 50% 1 kg</t>
        </is>
      </c>
      <c r="N6885" t="inlineStr">
        <is>
          <t>Confeitaria</t>
        </is>
      </c>
      <c r="O6885" t="n">
        <v>4</v>
      </c>
      <c r="P6885" t="n">
        <v>6</v>
      </c>
      <c r="Q6885" t="n">
        <v>2</v>
      </c>
    </row>
    <row r="6886">
      <c r="J6886" t="inlineStr">
        <is>
          <t>A</t>
        </is>
      </c>
      <c r="K6886" t="n">
        <v>2026</v>
      </c>
      <c r="L6886" t="n">
        <v>5</v>
      </c>
      <c r="M6886" t="inlineStr">
        <is>
          <t>Chocolate em pó 50% 1 kg</t>
        </is>
      </c>
      <c r="N6886" t="inlineStr">
        <is>
          <t>Confeitaria</t>
        </is>
      </c>
      <c r="O6886" t="n">
        <v>4</v>
      </c>
      <c r="P6886" t="n">
        <v>7</v>
      </c>
      <c r="Q6886" t="n">
        <v>2</v>
      </c>
    </row>
    <row r="6887">
      <c r="J6887" t="inlineStr">
        <is>
          <t>M</t>
        </is>
      </c>
      <c r="K6887" t="n">
        <v>2026</v>
      </c>
      <c r="L6887" t="n">
        <v>5</v>
      </c>
      <c r="M6887" t="inlineStr">
        <is>
          <t>Chocolate em pó 50% 1 kg</t>
        </is>
      </c>
      <c r="N6887" t="inlineStr">
        <is>
          <t>Confeitaria</t>
        </is>
      </c>
      <c r="O6887" t="n">
        <v>1</v>
      </c>
      <c r="P6887" t="n">
        <v>1</v>
      </c>
      <c r="Q6887" t="n">
        <v>0</v>
      </c>
    </row>
    <row r="6888">
      <c r="J6888" t="inlineStr">
        <is>
          <t>A</t>
        </is>
      </c>
      <c r="K6888" t="n">
        <v>2026</v>
      </c>
      <c r="L6888" t="n">
        <v>6</v>
      </c>
      <c r="M6888" t="inlineStr">
        <is>
          <t>Chocolate em pó 50% 1 kg</t>
        </is>
      </c>
      <c r="N6888" t="inlineStr">
        <is>
          <t>Confeitaria</t>
        </is>
      </c>
      <c r="O6888" t="n">
        <v>5</v>
      </c>
      <c r="P6888" t="n">
        <v>8</v>
      </c>
      <c r="Q6888" t="n">
        <v>3</v>
      </c>
    </row>
    <row r="6889">
      <c r="J6889" t="inlineStr">
        <is>
          <t>M</t>
        </is>
      </c>
      <c r="K6889" t="n">
        <v>2026</v>
      </c>
      <c r="L6889" t="n">
        <v>6</v>
      </c>
      <c r="M6889" t="inlineStr">
        <is>
          <t>Chocolate em pó 50% 1 kg</t>
        </is>
      </c>
      <c r="N6889" t="inlineStr">
        <is>
          <t>Confeitaria</t>
        </is>
      </c>
      <c r="O6889" t="n">
        <v>1</v>
      </c>
      <c r="P6889" t="n">
        <v>1</v>
      </c>
      <c r="Q6889" t="n">
        <v>0</v>
      </c>
    </row>
    <row r="6890">
      <c r="J6890" t="inlineStr">
        <is>
          <t>A</t>
        </is>
      </c>
      <c r="K6890" t="n">
        <v>2026</v>
      </c>
      <c r="L6890" t="n">
        <v>7</v>
      </c>
      <c r="M6890" t="inlineStr">
        <is>
          <t>Chocolate em pó 50% 1 kg</t>
        </is>
      </c>
      <c r="N6890" t="inlineStr">
        <is>
          <t>Confeitaria</t>
        </is>
      </c>
      <c r="O6890" t="n">
        <v>5</v>
      </c>
      <c r="P6890" t="n">
        <v>9</v>
      </c>
      <c r="Q6890" t="n">
        <v>3</v>
      </c>
    </row>
    <row r="6891">
      <c r="J6891" t="inlineStr">
        <is>
          <t>M</t>
        </is>
      </c>
      <c r="K6891" t="n">
        <v>2026</v>
      </c>
      <c r="L6891" t="n">
        <v>7</v>
      </c>
      <c r="M6891" t="inlineStr">
        <is>
          <t>Chocolate em pó 50% 1 kg</t>
        </is>
      </c>
      <c r="N6891" t="inlineStr">
        <is>
          <t>Confeitaria</t>
        </is>
      </c>
      <c r="O6891" t="n">
        <v>1</v>
      </c>
      <c r="P6891" t="n">
        <v>1</v>
      </c>
      <c r="Q6891" t="n">
        <v>0</v>
      </c>
    </row>
    <row r="6892">
      <c r="J6892" t="inlineStr">
        <is>
          <t>A</t>
        </is>
      </c>
      <c r="K6892" t="n">
        <v>2026</v>
      </c>
      <c r="L6892" t="n">
        <v>8</v>
      </c>
      <c r="M6892" t="inlineStr">
        <is>
          <t>Chocolate em pó 50% 1 kg</t>
        </is>
      </c>
      <c r="N6892" t="inlineStr">
        <is>
          <t>Confeitaria</t>
        </is>
      </c>
      <c r="O6892" t="n">
        <v>5</v>
      </c>
      <c r="P6892" t="n">
        <v>9</v>
      </c>
      <c r="Q6892" t="n">
        <v>3</v>
      </c>
    </row>
    <row r="6893">
      <c r="J6893" t="inlineStr">
        <is>
          <t>A</t>
        </is>
      </c>
      <c r="K6893" t="n">
        <v>2026</v>
      </c>
      <c r="L6893" t="n">
        <v>9</v>
      </c>
      <c r="M6893" t="inlineStr">
        <is>
          <t>Chocolate em pó 50% 1 kg</t>
        </is>
      </c>
      <c r="N6893" t="inlineStr">
        <is>
          <t>Confeitaria</t>
        </is>
      </c>
      <c r="O6893" t="n">
        <v>5</v>
      </c>
      <c r="P6893" t="n">
        <v>9</v>
      </c>
      <c r="Q6893" t="n">
        <v>3</v>
      </c>
    </row>
    <row r="6894">
      <c r="J6894" t="inlineStr">
        <is>
          <t>A</t>
        </is>
      </c>
      <c r="K6894" t="n">
        <v>2026</v>
      </c>
      <c r="L6894" t="n">
        <v>10</v>
      </c>
      <c r="M6894" t="inlineStr">
        <is>
          <t>Chocolate em pó 50% 1 kg</t>
        </is>
      </c>
      <c r="N6894" t="inlineStr">
        <is>
          <t>Confeitaria</t>
        </is>
      </c>
      <c r="O6894" t="n">
        <v>5</v>
      </c>
      <c r="P6894" t="n">
        <v>9</v>
      </c>
      <c r="Q6894" t="n">
        <v>3</v>
      </c>
    </row>
    <row r="6895">
      <c r="J6895" t="inlineStr">
        <is>
          <t>A</t>
        </is>
      </c>
      <c r="K6895" t="n">
        <v>2026</v>
      </c>
      <c r="L6895" t="n">
        <v>11</v>
      </c>
      <c r="M6895" t="inlineStr">
        <is>
          <t>Chocolate em pó 50% 1 kg</t>
        </is>
      </c>
      <c r="N6895" t="inlineStr">
        <is>
          <t>Confeitaria</t>
        </is>
      </c>
      <c r="O6895" t="n">
        <v>5</v>
      </c>
      <c r="P6895" t="n">
        <v>9</v>
      </c>
      <c r="Q6895" t="n">
        <v>3</v>
      </c>
    </row>
    <row r="6896">
      <c r="J6896" t="inlineStr">
        <is>
          <t>A</t>
        </is>
      </c>
      <c r="K6896" t="n">
        <v>2026</v>
      </c>
      <c r="L6896" t="n">
        <v>12</v>
      </c>
      <c r="M6896" t="inlineStr">
        <is>
          <t>Chocolate em pó 50% 1 kg</t>
        </is>
      </c>
      <c r="N6896" t="inlineStr">
        <is>
          <t>Confeitaria</t>
        </is>
      </c>
      <c r="O6896" t="n">
        <v>5</v>
      </c>
      <c r="P6896" t="n">
        <v>9</v>
      </c>
      <c r="Q6896" t="n">
        <v>3</v>
      </c>
    </row>
    <row r="6897">
      <c r="J6897" t="inlineStr">
        <is>
          <t>A</t>
        </is>
      </c>
      <c r="K6897" t="n">
        <v>2026</v>
      </c>
      <c r="L6897" t="n">
        <v>4</v>
      </c>
      <c r="M6897" t="inlineStr">
        <is>
          <t>Chocolate em pó 50% 1 kg</t>
        </is>
      </c>
      <c r="N6897" t="inlineStr">
        <is>
          <t>Distribuidor Alimentos</t>
        </is>
      </c>
      <c r="O6897" t="n">
        <v>1</v>
      </c>
      <c r="P6897" t="n">
        <v>1</v>
      </c>
      <c r="Q6897" t="n">
        <v>0</v>
      </c>
    </row>
    <row r="6898">
      <c r="J6898" t="inlineStr">
        <is>
          <t>M</t>
        </is>
      </c>
      <c r="K6898" t="n">
        <v>2026</v>
      </c>
      <c r="L6898" t="n">
        <v>4</v>
      </c>
      <c r="M6898" t="inlineStr">
        <is>
          <t>Chocolate em pó 50% 1 kg</t>
        </is>
      </c>
      <c r="N6898" t="inlineStr">
        <is>
          <t>Distribuidor Alimentos</t>
        </is>
      </c>
      <c r="O6898" t="n">
        <v>1</v>
      </c>
      <c r="P6898" t="n">
        <v>1</v>
      </c>
      <c r="Q6898" t="n">
        <v>0</v>
      </c>
    </row>
    <row r="6899">
      <c r="J6899" t="inlineStr">
        <is>
          <t>A</t>
        </is>
      </c>
      <c r="K6899" t="n">
        <v>2026</v>
      </c>
      <c r="L6899" t="n">
        <v>5</v>
      </c>
      <c r="M6899" t="inlineStr">
        <is>
          <t>Chocolate em pó 50% 1 kg</t>
        </is>
      </c>
      <c r="N6899" t="inlineStr">
        <is>
          <t>Distribuidor Alimentos</t>
        </is>
      </c>
      <c r="O6899" t="n">
        <v>1</v>
      </c>
      <c r="P6899" t="n">
        <v>2</v>
      </c>
      <c r="Q6899" t="n">
        <v>0</v>
      </c>
    </row>
    <row r="6900">
      <c r="J6900" t="inlineStr">
        <is>
          <t>M</t>
        </is>
      </c>
      <c r="K6900" t="n">
        <v>2026</v>
      </c>
      <c r="L6900" t="n">
        <v>5</v>
      </c>
      <c r="M6900" t="inlineStr">
        <is>
          <t>Chocolate em pó 50% 1 kg</t>
        </is>
      </c>
      <c r="N6900" t="inlineStr">
        <is>
          <t>Distribuidor Alimentos</t>
        </is>
      </c>
      <c r="O6900" t="n">
        <v>1</v>
      </c>
      <c r="P6900" t="n">
        <v>1</v>
      </c>
      <c r="Q6900" t="n">
        <v>0</v>
      </c>
    </row>
    <row r="6901">
      <c r="J6901" t="inlineStr">
        <is>
          <t>A</t>
        </is>
      </c>
      <c r="K6901" t="n">
        <v>2026</v>
      </c>
      <c r="L6901" t="n">
        <v>6</v>
      </c>
      <c r="M6901" t="inlineStr">
        <is>
          <t>Chocolate em pó 50% 1 kg</t>
        </is>
      </c>
      <c r="N6901" t="inlineStr">
        <is>
          <t>Distribuidor Alimentos</t>
        </is>
      </c>
      <c r="O6901" t="n">
        <v>1</v>
      </c>
      <c r="P6901" t="n">
        <v>2</v>
      </c>
      <c r="Q6901" t="n">
        <v>0</v>
      </c>
    </row>
    <row r="6902">
      <c r="J6902" t="inlineStr">
        <is>
          <t>A</t>
        </is>
      </c>
      <c r="K6902" t="n">
        <v>2026</v>
      </c>
      <c r="L6902" t="n">
        <v>7</v>
      </c>
      <c r="M6902" t="inlineStr">
        <is>
          <t>Chocolate em pó 50% 1 kg</t>
        </is>
      </c>
      <c r="N6902" t="inlineStr">
        <is>
          <t>Distribuidor Alimentos</t>
        </is>
      </c>
      <c r="O6902" t="n">
        <v>1</v>
      </c>
      <c r="P6902" t="n">
        <v>3</v>
      </c>
      <c r="Q6902" t="n">
        <v>0</v>
      </c>
    </row>
    <row r="6903">
      <c r="J6903" t="inlineStr">
        <is>
          <t>M</t>
        </is>
      </c>
      <c r="K6903" t="n">
        <v>2026</v>
      </c>
      <c r="L6903" t="n">
        <v>7</v>
      </c>
      <c r="M6903" t="inlineStr">
        <is>
          <t>Chocolate em pó 50% 1 kg</t>
        </is>
      </c>
      <c r="N6903" t="inlineStr">
        <is>
          <t>Distribuidor Alimentos</t>
        </is>
      </c>
      <c r="O6903" t="n">
        <v>1</v>
      </c>
      <c r="P6903" t="n">
        <v>1</v>
      </c>
      <c r="Q6903" t="n">
        <v>0</v>
      </c>
    </row>
    <row r="6904">
      <c r="J6904" t="inlineStr">
        <is>
          <t>A</t>
        </is>
      </c>
      <c r="K6904" t="n">
        <v>2026</v>
      </c>
      <c r="L6904" t="n">
        <v>8</v>
      </c>
      <c r="M6904" t="inlineStr">
        <is>
          <t>Chocolate em pó 50% 1 kg</t>
        </is>
      </c>
      <c r="N6904" t="inlineStr">
        <is>
          <t>Distribuidor Alimentos</t>
        </is>
      </c>
      <c r="O6904" t="n">
        <v>1</v>
      </c>
      <c r="P6904" t="n">
        <v>3</v>
      </c>
      <c r="Q6904" t="n">
        <v>0</v>
      </c>
    </row>
    <row r="6905">
      <c r="J6905" t="inlineStr">
        <is>
          <t>A</t>
        </is>
      </c>
      <c r="K6905" t="n">
        <v>2026</v>
      </c>
      <c r="L6905" t="n">
        <v>9</v>
      </c>
      <c r="M6905" t="inlineStr">
        <is>
          <t>Chocolate em pó 50% 1 kg</t>
        </is>
      </c>
      <c r="N6905" t="inlineStr">
        <is>
          <t>Distribuidor Alimentos</t>
        </is>
      </c>
      <c r="O6905" t="n">
        <v>1</v>
      </c>
      <c r="P6905" t="n">
        <v>3</v>
      </c>
      <c r="Q6905" t="n">
        <v>0</v>
      </c>
    </row>
    <row r="6906">
      <c r="J6906" t="inlineStr">
        <is>
          <t>A</t>
        </is>
      </c>
      <c r="K6906" t="n">
        <v>2026</v>
      </c>
      <c r="L6906" t="n">
        <v>10</v>
      </c>
      <c r="M6906" t="inlineStr">
        <is>
          <t>Chocolate em pó 50% 1 kg</t>
        </is>
      </c>
      <c r="N6906" t="inlineStr">
        <is>
          <t>Distribuidor Alimentos</t>
        </is>
      </c>
      <c r="O6906" t="n">
        <v>1</v>
      </c>
      <c r="P6906" t="n">
        <v>3</v>
      </c>
      <c r="Q6906" t="n">
        <v>0</v>
      </c>
    </row>
    <row r="6907">
      <c r="J6907" t="inlineStr">
        <is>
          <t>A</t>
        </is>
      </c>
      <c r="K6907" t="n">
        <v>2026</v>
      </c>
      <c r="L6907" t="n">
        <v>11</v>
      </c>
      <c r="M6907" t="inlineStr">
        <is>
          <t>Chocolate em pó 50% 1 kg</t>
        </is>
      </c>
      <c r="N6907" t="inlineStr">
        <is>
          <t>Distribuidor Alimentos</t>
        </is>
      </c>
      <c r="O6907" t="n">
        <v>1</v>
      </c>
      <c r="P6907" t="n">
        <v>3</v>
      </c>
      <c r="Q6907" t="n">
        <v>0</v>
      </c>
    </row>
    <row r="6908">
      <c r="J6908" t="inlineStr">
        <is>
          <t>A</t>
        </is>
      </c>
      <c r="K6908" t="n">
        <v>2026</v>
      </c>
      <c r="L6908" t="n">
        <v>12</v>
      </c>
      <c r="M6908" t="inlineStr">
        <is>
          <t>Chocolate em pó 50% 1 kg</t>
        </is>
      </c>
      <c r="N6908" t="inlineStr">
        <is>
          <t>Distribuidor Alimentos</t>
        </is>
      </c>
      <c r="O6908" t="n">
        <v>1</v>
      </c>
      <c r="P6908" t="n">
        <v>3</v>
      </c>
      <c r="Q6908" t="n">
        <v>0</v>
      </c>
    </row>
    <row r="6909">
      <c r="J6909" t="inlineStr">
        <is>
          <t>A</t>
        </is>
      </c>
      <c r="K6909" t="n">
        <v>2026</v>
      </c>
      <c r="L6909" t="n">
        <v>1</v>
      </c>
      <c r="M6909" t="inlineStr">
        <is>
          <t>Chocolate em pó 50% 1 kg</t>
        </is>
      </c>
      <c r="N6909" t="inlineStr">
        <is>
          <t>Churrascaria</t>
        </is>
      </c>
      <c r="O6909" t="n">
        <v>2</v>
      </c>
      <c r="P6909" t="n">
        <v>2</v>
      </c>
      <c r="Q6909" t="n">
        <v>0</v>
      </c>
    </row>
    <row r="6910">
      <c r="J6910" t="inlineStr">
        <is>
          <t>M</t>
        </is>
      </c>
      <c r="K6910" t="n">
        <v>2026</v>
      </c>
      <c r="L6910" t="n">
        <v>1</v>
      </c>
      <c r="M6910" t="inlineStr">
        <is>
          <t>Chocolate em pó 50% 1 kg</t>
        </is>
      </c>
      <c r="N6910" t="inlineStr">
        <is>
          <t>Churrascaria</t>
        </is>
      </c>
      <c r="O6910" t="n">
        <v>2</v>
      </c>
      <c r="P6910" t="n">
        <v>2</v>
      </c>
      <c r="Q6910" t="n">
        <v>0</v>
      </c>
    </row>
    <row r="6911">
      <c r="J6911" t="inlineStr">
        <is>
          <t>A</t>
        </is>
      </c>
      <c r="K6911" t="n">
        <v>2026</v>
      </c>
      <c r="L6911" t="n">
        <v>2</v>
      </c>
      <c r="M6911" t="inlineStr">
        <is>
          <t>Chocolate em pó 50% 1 kg</t>
        </is>
      </c>
      <c r="N6911" t="inlineStr">
        <is>
          <t>Churrascaria</t>
        </is>
      </c>
      <c r="O6911" t="n">
        <v>4</v>
      </c>
      <c r="P6911" t="n">
        <v>8</v>
      </c>
      <c r="Q6911" t="n">
        <v>0</v>
      </c>
    </row>
    <row r="6912">
      <c r="J6912" t="inlineStr">
        <is>
          <t>M</t>
        </is>
      </c>
      <c r="K6912" t="n">
        <v>2026</v>
      </c>
      <c r="L6912" t="n">
        <v>2</v>
      </c>
      <c r="M6912" t="inlineStr">
        <is>
          <t>Chocolate em pó 50% 1 kg</t>
        </is>
      </c>
      <c r="N6912" t="inlineStr">
        <is>
          <t>Churrascaria</t>
        </is>
      </c>
      <c r="O6912" t="n">
        <v>3</v>
      </c>
      <c r="P6912" t="n">
        <v>6</v>
      </c>
      <c r="Q6912" t="n">
        <v>0</v>
      </c>
    </row>
    <row r="6913">
      <c r="J6913" t="inlineStr">
        <is>
          <t>A</t>
        </is>
      </c>
      <c r="K6913" t="n">
        <v>2026</v>
      </c>
      <c r="L6913" t="n">
        <v>3</v>
      </c>
      <c r="M6913" t="inlineStr">
        <is>
          <t>Chocolate em pó 50% 1 kg</t>
        </is>
      </c>
      <c r="N6913" t="inlineStr">
        <is>
          <t>Churrascaria</t>
        </is>
      </c>
      <c r="O6913" t="n">
        <v>4</v>
      </c>
      <c r="P6913" t="n">
        <v>12</v>
      </c>
      <c r="Q6913" t="n">
        <v>0</v>
      </c>
    </row>
    <row r="6914">
      <c r="J6914" t="inlineStr">
        <is>
          <t>M</t>
        </is>
      </c>
      <c r="K6914" t="n">
        <v>2026</v>
      </c>
      <c r="L6914" t="n">
        <v>3</v>
      </c>
      <c r="M6914" t="inlineStr">
        <is>
          <t>Chocolate em pó 50% 1 kg</t>
        </is>
      </c>
      <c r="N6914" t="inlineStr">
        <is>
          <t>Churrascaria</t>
        </is>
      </c>
      <c r="O6914" t="n">
        <v>2</v>
      </c>
      <c r="P6914" t="n">
        <v>4</v>
      </c>
      <c r="Q6914" t="n">
        <v>0</v>
      </c>
    </row>
    <row r="6915">
      <c r="J6915" t="inlineStr">
        <is>
          <t>A</t>
        </is>
      </c>
      <c r="K6915" t="n">
        <v>2026</v>
      </c>
      <c r="L6915" t="n">
        <v>4</v>
      </c>
      <c r="M6915" t="inlineStr">
        <is>
          <t>Chocolate em pó 50% 1 kg</t>
        </is>
      </c>
      <c r="N6915" t="inlineStr">
        <is>
          <t>Churrascaria</t>
        </is>
      </c>
      <c r="O6915" t="n">
        <v>4</v>
      </c>
      <c r="P6915" t="n">
        <v>12</v>
      </c>
      <c r="Q6915" t="n">
        <v>0</v>
      </c>
    </row>
    <row r="6916">
      <c r="J6916" t="inlineStr">
        <is>
          <t>A</t>
        </is>
      </c>
      <c r="K6916" t="n">
        <v>2026</v>
      </c>
      <c r="L6916" t="n">
        <v>5</v>
      </c>
      <c r="M6916" t="inlineStr">
        <is>
          <t>Chocolate em pó 50% 1 kg</t>
        </is>
      </c>
      <c r="N6916" t="inlineStr">
        <is>
          <t>Churrascaria</t>
        </is>
      </c>
      <c r="O6916" t="n">
        <v>5</v>
      </c>
      <c r="P6916" t="n">
        <v>20</v>
      </c>
      <c r="Q6916" t="n">
        <v>1</v>
      </c>
    </row>
    <row r="6917">
      <c r="J6917" t="inlineStr">
        <is>
          <t>M</t>
        </is>
      </c>
      <c r="K6917" t="n">
        <v>2026</v>
      </c>
      <c r="L6917" t="n">
        <v>5</v>
      </c>
      <c r="M6917" t="inlineStr">
        <is>
          <t>Chocolate em pó 50% 1 kg</t>
        </is>
      </c>
      <c r="N6917" t="inlineStr">
        <is>
          <t>Churrascaria</t>
        </is>
      </c>
      <c r="O6917" t="n">
        <v>4</v>
      </c>
      <c r="P6917" t="n">
        <v>8</v>
      </c>
      <c r="Q6917" t="n">
        <v>0</v>
      </c>
    </row>
    <row r="6918">
      <c r="J6918" t="inlineStr">
        <is>
          <t>A</t>
        </is>
      </c>
      <c r="K6918" t="n">
        <v>2026</v>
      </c>
      <c r="L6918" t="n">
        <v>6</v>
      </c>
      <c r="M6918" t="inlineStr">
        <is>
          <t>Chocolate em pó 50% 1 kg</t>
        </is>
      </c>
      <c r="N6918" t="inlineStr">
        <is>
          <t>Churrascaria</t>
        </is>
      </c>
      <c r="O6918" t="n">
        <v>5</v>
      </c>
      <c r="P6918" t="n">
        <v>22</v>
      </c>
      <c r="Q6918" t="n">
        <v>1</v>
      </c>
    </row>
    <row r="6919">
      <c r="J6919" t="inlineStr">
        <is>
          <t>M</t>
        </is>
      </c>
      <c r="K6919" t="n">
        <v>2026</v>
      </c>
      <c r="L6919" t="n">
        <v>6</v>
      </c>
      <c r="M6919" t="inlineStr">
        <is>
          <t>Chocolate em pó 50% 1 kg</t>
        </is>
      </c>
      <c r="N6919" t="inlineStr">
        <is>
          <t>Churrascaria</t>
        </is>
      </c>
      <c r="O6919" t="n">
        <v>2</v>
      </c>
      <c r="P6919" t="n">
        <v>2</v>
      </c>
      <c r="Q6919" t="n">
        <v>0</v>
      </c>
    </row>
    <row r="6920">
      <c r="J6920" t="inlineStr">
        <is>
          <t>A</t>
        </is>
      </c>
      <c r="K6920" t="n">
        <v>2026</v>
      </c>
      <c r="L6920" t="n">
        <v>7</v>
      </c>
      <c r="M6920" t="inlineStr">
        <is>
          <t>Chocolate em pó 50% 1 kg</t>
        </is>
      </c>
      <c r="N6920" t="inlineStr">
        <is>
          <t>Churrascaria</t>
        </is>
      </c>
      <c r="O6920" t="n">
        <v>5</v>
      </c>
      <c r="P6920" t="n">
        <v>22</v>
      </c>
      <c r="Q6920" t="n">
        <v>1</v>
      </c>
    </row>
    <row r="6921">
      <c r="J6921" t="inlineStr">
        <is>
          <t>A</t>
        </is>
      </c>
      <c r="K6921" t="n">
        <v>2026</v>
      </c>
      <c r="L6921" t="n">
        <v>8</v>
      </c>
      <c r="M6921" t="inlineStr">
        <is>
          <t>Chocolate em pó 50% 1 kg</t>
        </is>
      </c>
      <c r="N6921" t="inlineStr">
        <is>
          <t>Churrascaria</t>
        </is>
      </c>
      <c r="O6921" t="n">
        <v>5</v>
      </c>
      <c r="P6921" t="n">
        <v>22</v>
      </c>
      <c r="Q6921" t="n">
        <v>1</v>
      </c>
    </row>
    <row r="6922">
      <c r="J6922" t="inlineStr">
        <is>
          <t>A</t>
        </is>
      </c>
      <c r="K6922" t="n">
        <v>2026</v>
      </c>
      <c r="L6922" t="n">
        <v>9</v>
      </c>
      <c r="M6922" t="inlineStr">
        <is>
          <t>Chocolate em pó 50% 1 kg</t>
        </is>
      </c>
      <c r="N6922" t="inlineStr">
        <is>
          <t>Churrascaria</t>
        </is>
      </c>
      <c r="O6922" t="n">
        <v>5</v>
      </c>
      <c r="P6922" t="n">
        <v>22</v>
      </c>
      <c r="Q6922" t="n">
        <v>1</v>
      </c>
    </row>
    <row r="6923">
      <c r="J6923" t="inlineStr">
        <is>
          <t>A</t>
        </is>
      </c>
      <c r="K6923" t="n">
        <v>2026</v>
      </c>
      <c r="L6923" t="n">
        <v>10</v>
      </c>
      <c r="M6923" t="inlineStr">
        <is>
          <t>Chocolate em pó 50% 1 kg</t>
        </is>
      </c>
      <c r="N6923" t="inlineStr">
        <is>
          <t>Churrascaria</t>
        </is>
      </c>
      <c r="O6923" t="n">
        <v>5</v>
      </c>
      <c r="P6923" t="n">
        <v>22</v>
      </c>
      <c r="Q6923" t="n">
        <v>1</v>
      </c>
    </row>
    <row r="6924">
      <c r="J6924" t="inlineStr">
        <is>
          <t>A</t>
        </is>
      </c>
      <c r="K6924" t="n">
        <v>2026</v>
      </c>
      <c r="L6924" t="n">
        <v>11</v>
      </c>
      <c r="M6924" t="inlineStr">
        <is>
          <t>Chocolate em pó 50% 1 kg</t>
        </is>
      </c>
      <c r="N6924" t="inlineStr">
        <is>
          <t>Churrascaria</t>
        </is>
      </c>
      <c r="O6924" t="n">
        <v>5</v>
      </c>
      <c r="P6924" t="n">
        <v>22</v>
      </c>
      <c r="Q6924" t="n">
        <v>1</v>
      </c>
    </row>
    <row r="6925">
      <c r="J6925" t="inlineStr">
        <is>
          <t>A</t>
        </is>
      </c>
      <c r="K6925" t="n">
        <v>2026</v>
      </c>
      <c r="L6925" t="n">
        <v>12</v>
      </c>
      <c r="M6925" t="inlineStr">
        <is>
          <t>Chocolate em pó 50% 1 kg</t>
        </is>
      </c>
      <c r="N6925" t="inlineStr">
        <is>
          <t>Churrascaria</t>
        </is>
      </c>
      <c r="O6925" t="n">
        <v>5</v>
      </c>
      <c r="P6925" t="n">
        <v>22</v>
      </c>
      <c r="Q6925" t="n">
        <v>1</v>
      </c>
    </row>
    <row r="6926">
      <c r="J6926" t="inlineStr">
        <is>
          <t>A</t>
        </is>
      </c>
      <c r="K6926" t="n">
        <v>2026</v>
      </c>
      <c r="L6926" t="n">
        <v>1</v>
      </c>
      <c r="M6926" t="inlineStr">
        <is>
          <t>Chocolate em pó 50% 1 kg</t>
        </is>
      </c>
      <c r="N6926" t="inlineStr">
        <is>
          <t>Não Selecionado</t>
        </is>
      </c>
      <c r="O6926" t="n">
        <v>1</v>
      </c>
      <c r="P6926" t="n">
        <v>1</v>
      </c>
      <c r="Q6926" t="n">
        <v>0</v>
      </c>
    </row>
    <row r="6927">
      <c r="J6927" t="inlineStr">
        <is>
          <t>M</t>
        </is>
      </c>
      <c r="K6927" t="n">
        <v>2026</v>
      </c>
      <c r="L6927" t="n">
        <v>1</v>
      </c>
      <c r="M6927" t="inlineStr">
        <is>
          <t>Chocolate em pó 50% 1 kg</t>
        </is>
      </c>
      <c r="N6927" t="inlineStr">
        <is>
          <t>Não Selecionado</t>
        </is>
      </c>
      <c r="O6927" t="n">
        <v>1</v>
      </c>
      <c r="P6927" t="n">
        <v>1</v>
      </c>
      <c r="Q6927" t="n">
        <v>0</v>
      </c>
    </row>
    <row r="6928">
      <c r="J6928" t="inlineStr">
        <is>
          <t>A</t>
        </is>
      </c>
      <c r="K6928" t="n">
        <v>2026</v>
      </c>
      <c r="L6928" t="n">
        <v>2</v>
      </c>
      <c r="M6928" t="inlineStr">
        <is>
          <t>Chocolate em pó 50% 1 kg</t>
        </is>
      </c>
      <c r="N6928" t="inlineStr">
        <is>
          <t>Não Selecionado</t>
        </is>
      </c>
      <c r="O6928" t="n">
        <v>2</v>
      </c>
      <c r="P6928" t="n">
        <v>2</v>
      </c>
      <c r="Q6928" t="n">
        <v>0</v>
      </c>
    </row>
    <row r="6929">
      <c r="J6929" t="inlineStr">
        <is>
          <t>M</t>
        </is>
      </c>
      <c r="K6929" t="n">
        <v>2026</v>
      </c>
      <c r="L6929" t="n">
        <v>2</v>
      </c>
      <c r="M6929" t="inlineStr">
        <is>
          <t>Chocolate em pó 50% 1 kg</t>
        </is>
      </c>
      <c r="N6929" t="inlineStr">
        <is>
          <t>Não Selecionado</t>
        </is>
      </c>
      <c r="O6929" t="n">
        <v>1</v>
      </c>
      <c r="P6929" t="n">
        <v>1</v>
      </c>
      <c r="Q6929" t="n">
        <v>0</v>
      </c>
    </row>
    <row r="6930">
      <c r="J6930" t="inlineStr">
        <is>
          <t>A</t>
        </is>
      </c>
      <c r="K6930" t="n">
        <v>2026</v>
      </c>
      <c r="L6930" t="n">
        <v>3</v>
      </c>
      <c r="M6930" t="inlineStr">
        <is>
          <t>Chocolate em pó 50% 1 kg</t>
        </is>
      </c>
      <c r="N6930" t="inlineStr">
        <is>
          <t>Não Selecionado</t>
        </is>
      </c>
      <c r="O6930" t="n">
        <v>2</v>
      </c>
      <c r="P6930" t="n">
        <v>5</v>
      </c>
      <c r="Q6930" t="n">
        <v>0</v>
      </c>
    </row>
    <row r="6931">
      <c r="J6931" t="inlineStr">
        <is>
          <t>M</t>
        </is>
      </c>
      <c r="K6931" t="n">
        <v>2026</v>
      </c>
      <c r="L6931" t="n">
        <v>3</v>
      </c>
      <c r="M6931" t="inlineStr">
        <is>
          <t>Chocolate em pó 50% 1 kg</t>
        </is>
      </c>
      <c r="N6931" t="inlineStr">
        <is>
          <t>Não Selecionado</t>
        </is>
      </c>
      <c r="O6931" t="n">
        <v>2</v>
      </c>
      <c r="P6931" t="n">
        <v>3</v>
      </c>
      <c r="Q6931" t="n">
        <v>0</v>
      </c>
    </row>
    <row r="6932">
      <c r="J6932" t="inlineStr">
        <is>
          <t>A</t>
        </is>
      </c>
      <c r="K6932" t="n">
        <v>2026</v>
      </c>
      <c r="L6932" t="n">
        <v>4</v>
      </c>
      <c r="M6932" t="inlineStr">
        <is>
          <t>Chocolate em pó 50% 1 kg</t>
        </is>
      </c>
      <c r="N6932" t="inlineStr">
        <is>
          <t>Não Selecionado</t>
        </is>
      </c>
      <c r="O6932" t="n">
        <v>2</v>
      </c>
      <c r="P6932" t="n">
        <v>5</v>
      </c>
      <c r="Q6932" t="n">
        <v>0</v>
      </c>
    </row>
    <row r="6933">
      <c r="J6933" t="inlineStr">
        <is>
          <t>A</t>
        </is>
      </c>
      <c r="K6933" t="n">
        <v>2026</v>
      </c>
      <c r="L6933" t="n">
        <v>5</v>
      </c>
      <c r="M6933" t="inlineStr">
        <is>
          <t>Chocolate em pó 50% 1 kg</t>
        </is>
      </c>
      <c r="N6933" t="inlineStr">
        <is>
          <t>Não Selecionado</t>
        </is>
      </c>
      <c r="O6933" t="n">
        <v>2</v>
      </c>
      <c r="P6933" t="n">
        <v>5</v>
      </c>
      <c r="Q6933" t="n">
        <v>0</v>
      </c>
    </row>
    <row r="6934">
      <c r="J6934" t="inlineStr">
        <is>
          <t>A</t>
        </is>
      </c>
      <c r="K6934" t="n">
        <v>2026</v>
      </c>
      <c r="L6934" t="n">
        <v>6</v>
      </c>
      <c r="M6934" t="inlineStr">
        <is>
          <t>Chocolate em pó 50% 1 kg</t>
        </is>
      </c>
      <c r="N6934" t="inlineStr">
        <is>
          <t>Não Selecionado</t>
        </is>
      </c>
      <c r="O6934" t="n">
        <v>2</v>
      </c>
      <c r="P6934" t="n">
        <v>5</v>
      </c>
      <c r="Q6934" t="n">
        <v>0</v>
      </c>
    </row>
    <row r="6935">
      <c r="J6935" t="inlineStr">
        <is>
          <t>A</t>
        </is>
      </c>
      <c r="K6935" t="n">
        <v>2026</v>
      </c>
      <c r="L6935" t="n">
        <v>7</v>
      </c>
      <c r="M6935" t="inlineStr">
        <is>
          <t>Chocolate em pó 50% 1 kg</t>
        </is>
      </c>
      <c r="N6935" t="inlineStr">
        <is>
          <t>Não Selecionado</t>
        </is>
      </c>
      <c r="O6935" t="n">
        <v>2</v>
      </c>
      <c r="P6935" t="n">
        <v>5</v>
      </c>
      <c r="Q6935" t="n">
        <v>0</v>
      </c>
    </row>
    <row r="6936">
      <c r="J6936" t="inlineStr">
        <is>
          <t>A</t>
        </is>
      </c>
      <c r="K6936" t="n">
        <v>2026</v>
      </c>
      <c r="L6936" t="n">
        <v>8</v>
      </c>
      <c r="M6936" t="inlineStr">
        <is>
          <t>Chocolate em pó 50% 1 kg</t>
        </is>
      </c>
      <c r="N6936" t="inlineStr">
        <is>
          <t>Não Selecionado</t>
        </is>
      </c>
      <c r="O6936" t="n">
        <v>2</v>
      </c>
      <c r="P6936" t="n">
        <v>5</v>
      </c>
      <c r="Q6936" t="n">
        <v>0</v>
      </c>
    </row>
    <row r="6937">
      <c r="J6937" t="inlineStr">
        <is>
          <t>A</t>
        </is>
      </c>
      <c r="K6937" t="n">
        <v>2026</v>
      </c>
      <c r="L6937" t="n">
        <v>9</v>
      </c>
      <c r="M6937" t="inlineStr">
        <is>
          <t>Chocolate em pó 50% 1 kg</t>
        </is>
      </c>
      <c r="N6937" t="inlineStr">
        <is>
          <t>Não Selecionado</t>
        </is>
      </c>
      <c r="O6937" t="n">
        <v>2</v>
      </c>
      <c r="P6937" t="n">
        <v>5</v>
      </c>
      <c r="Q6937" t="n">
        <v>0</v>
      </c>
    </row>
    <row r="6938">
      <c r="J6938" t="inlineStr">
        <is>
          <t>A</t>
        </is>
      </c>
      <c r="K6938" t="n">
        <v>2026</v>
      </c>
      <c r="L6938" t="n">
        <v>10</v>
      </c>
      <c r="M6938" t="inlineStr">
        <is>
          <t>Chocolate em pó 50% 1 kg</t>
        </is>
      </c>
      <c r="N6938" t="inlineStr">
        <is>
          <t>Não Selecionado</t>
        </is>
      </c>
      <c r="O6938" t="n">
        <v>2</v>
      </c>
      <c r="P6938" t="n">
        <v>5</v>
      </c>
      <c r="Q6938" t="n">
        <v>0</v>
      </c>
    </row>
    <row r="6939">
      <c r="J6939" t="inlineStr">
        <is>
          <t>A</t>
        </is>
      </c>
      <c r="K6939" t="n">
        <v>2026</v>
      </c>
      <c r="L6939" t="n">
        <v>11</v>
      </c>
      <c r="M6939" t="inlineStr">
        <is>
          <t>Chocolate em pó 50% 1 kg</t>
        </is>
      </c>
      <c r="N6939" t="inlineStr">
        <is>
          <t>Não Selecionado</t>
        </is>
      </c>
      <c r="O6939" t="n">
        <v>2</v>
      </c>
      <c r="P6939" t="n">
        <v>5</v>
      </c>
      <c r="Q6939" t="n">
        <v>0</v>
      </c>
    </row>
    <row r="6940">
      <c r="J6940" t="inlineStr">
        <is>
          <t>A</t>
        </is>
      </c>
      <c r="K6940" t="n">
        <v>2026</v>
      </c>
      <c r="L6940" t="n">
        <v>12</v>
      </c>
      <c r="M6940" t="inlineStr">
        <is>
          <t>Chocolate em pó 50% 1 kg</t>
        </is>
      </c>
      <c r="N6940" t="inlineStr">
        <is>
          <t>Não Selecionado</t>
        </is>
      </c>
      <c r="O6940" t="n">
        <v>2</v>
      </c>
      <c r="P6940" t="n">
        <v>5</v>
      </c>
      <c r="Q6940" t="n">
        <v>0</v>
      </c>
    </row>
    <row r="6941">
      <c r="J6941" t="inlineStr">
        <is>
          <t>A</t>
        </is>
      </c>
      <c r="K6941" t="n">
        <v>2026</v>
      </c>
      <c r="L6941" t="n">
        <v>7</v>
      </c>
      <c r="M6941" t="inlineStr">
        <is>
          <t>Chocolate em pó 50% 1 kg</t>
        </is>
      </c>
      <c r="N6941" t="inlineStr">
        <is>
          <t>Hospital / Casa de Repouso</t>
        </is>
      </c>
      <c r="O6941" t="n">
        <v>1</v>
      </c>
      <c r="P6941" t="n">
        <v>2</v>
      </c>
      <c r="Q6941" t="n">
        <v>1</v>
      </c>
    </row>
    <row r="6942">
      <c r="J6942" t="inlineStr">
        <is>
          <t>M</t>
        </is>
      </c>
      <c r="K6942" t="n">
        <v>2026</v>
      </c>
      <c r="L6942" t="n">
        <v>7</v>
      </c>
      <c r="M6942" t="inlineStr">
        <is>
          <t>Chocolate em pó 50% 1 kg</t>
        </is>
      </c>
      <c r="N6942" t="inlineStr">
        <is>
          <t>Hospital / Casa de Repouso</t>
        </is>
      </c>
      <c r="O6942" t="n">
        <v>1</v>
      </c>
      <c r="P6942" t="n">
        <v>2</v>
      </c>
      <c r="Q6942" t="n">
        <v>0</v>
      </c>
    </row>
    <row r="6943">
      <c r="J6943" t="inlineStr">
        <is>
          <t>A</t>
        </is>
      </c>
      <c r="K6943" t="n">
        <v>2026</v>
      </c>
      <c r="L6943" t="n">
        <v>8</v>
      </c>
      <c r="M6943" t="inlineStr">
        <is>
          <t>Chocolate em pó 50% 1 kg</t>
        </is>
      </c>
      <c r="N6943" t="inlineStr">
        <is>
          <t>Hospital / Casa de Repouso</t>
        </is>
      </c>
      <c r="O6943" t="n">
        <v>1</v>
      </c>
      <c r="P6943" t="n">
        <v>2</v>
      </c>
      <c r="Q6943" t="n">
        <v>1</v>
      </c>
    </row>
    <row r="6944">
      <c r="J6944" t="inlineStr">
        <is>
          <t>A</t>
        </is>
      </c>
      <c r="K6944" t="n">
        <v>2026</v>
      </c>
      <c r="L6944" t="n">
        <v>9</v>
      </c>
      <c r="M6944" t="inlineStr">
        <is>
          <t>Chocolate em pó 50% 1 kg</t>
        </is>
      </c>
      <c r="N6944" t="inlineStr">
        <is>
          <t>Hospital / Casa de Repouso</t>
        </is>
      </c>
      <c r="O6944" t="n">
        <v>1</v>
      </c>
      <c r="P6944" t="n">
        <v>2</v>
      </c>
      <c r="Q6944" t="n">
        <v>1</v>
      </c>
    </row>
    <row r="6945">
      <c r="J6945" t="inlineStr">
        <is>
          <t>A</t>
        </is>
      </c>
      <c r="K6945" t="n">
        <v>2026</v>
      </c>
      <c r="L6945" t="n">
        <v>10</v>
      </c>
      <c r="M6945" t="inlineStr">
        <is>
          <t>Chocolate em pó 50% 1 kg</t>
        </is>
      </c>
      <c r="N6945" t="inlineStr">
        <is>
          <t>Hospital / Casa de Repouso</t>
        </is>
      </c>
      <c r="O6945" t="n">
        <v>1</v>
      </c>
      <c r="P6945" t="n">
        <v>2</v>
      </c>
      <c r="Q6945" t="n">
        <v>1</v>
      </c>
    </row>
    <row r="6946">
      <c r="J6946" t="inlineStr">
        <is>
          <t>A</t>
        </is>
      </c>
      <c r="K6946" t="n">
        <v>2026</v>
      </c>
      <c r="L6946" t="n">
        <v>11</v>
      </c>
      <c r="M6946" t="inlineStr">
        <is>
          <t>Chocolate em pó 50% 1 kg</t>
        </is>
      </c>
      <c r="N6946" t="inlineStr">
        <is>
          <t>Hospital / Casa de Repouso</t>
        </is>
      </c>
      <c r="O6946" t="n">
        <v>1</v>
      </c>
      <c r="P6946" t="n">
        <v>2</v>
      </c>
      <c r="Q6946" t="n">
        <v>1</v>
      </c>
    </row>
    <row r="6947">
      <c r="J6947" t="inlineStr">
        <is>
          <t>A</t>
        </is>
      </c>
      <c r="K6947" t="n">
        <v>2026</v>
      </c>
      <c r="L6947" t="n">
        <v>12</v>
      </c>
      <c r="M6947" t="inlineStr">
        <is>
          <t>Chocolate em pó 50% 1 kg</t>
        </is>
      </c>
      <c r="N6947" t="inlineStr">
        <is>
          <t>Hospital / Casa de Repouso</t>
        </is>
      </c>
      <c r="O6947" t="n">
        <v>1</v>
      </c>
      <c r="P6947" t="n">
        <v>2</v>
      </c>
      <c r="Q6947" t="n">
        <v>1</v>
      </c>
    </row>
    <row r="6948">
      <c r="J6948" t="inlineStr">
        <is>
          <t>A</t>
        </is>
      </c>
      <c r="K6948" t="n">
        <v>2026</v>
      </c>
      <c r="L6948" t="n">
        <v>1</v>
      </c>
      <c r="M6948" t="inlineStr">
        <is>
          <t>Chocolate em pó 50% 1 kg</t>
        </is>
      </c>
      <c r="N6948" t="inlineStr">
        <is>
          <t>Clube / Associação Desportiva</t>
        </is>
      </c>
      <c r="O6948" t="n">
        <v>1</v>
      </c>
      <c r="P6948" t="n">
        <v>1</v>
      </c>
      <c r="Q6948" t="n">
        <v>0</v>
      </c>
    </row>
    <row r="6949">
      <c r="J6949" t="inlineStr">
        <is>
          <t>M</t>
        </is>
      </c>
      <c r="K6949" t="n">
        <v>2026</v>
      </c>
      <c r="L6949" t="n">
        <v>1</v>
      </c>
      <c r="M6949" t="inlineStr">
        <is>
          <t>Chocolate em pó 50% 1 kg</t>
        </is>
      </c>
      <c r="N6949" t="inlineStr">
        <is>
          <t>Clube / Associação Desportiva</t>
        </is>
      </c>
      <c r="O6949" t="n">
        <v>1</v>
      </c>
      <c r="P6949" t="n">
        <v>1</v>
      </c>
      <c r="Q6949" t="n">
        <v>0</v>
      </c>
    </row>
    <row r="6950">
      <c r="J6950" t="inlineStr">
        <is>
          <t>A</t>
        </is>
      </c>
      <c r="K6950" t="n">
        <v>2026</v>
      </c>
      <c r="L6950" t="n">
        <v>2</v>
      </c>
      <c r="M6950" t="inlineStr">
        <is>
          <t>Chocolate em pó 50% 1 kg</t>
        </is>
      </c>
      <c r="N6950" t="inlineStr">
        <is>
          <t>Clube / Associação Desportiva</t>
        </is>
      </c>
      <c r="O6950" t="n">
        <v>3</v>
      </c>
      <c r="P6950" t="n">
        <v>3</v>
      </c>
      <c r="Q6950" t="n">
        <v>1</v>
      </c>
    </row>
    <row r="6951">
      <c r="J6951" t="inlineStr">
        <is>
          <t>M</t>
        </is>
      </c>
      <c r="K6951" t="n">
        <v>2026</v>
      </c>
      <c r="L6951" t="n">
        <v>2</v>
      </c>
      <c r="M6951" t="inlineStr">
        <is>
          <t>Chocolate em pó 50% 1 kg</t>
        </is>
      </c>
      <c r="N6951" t="inlineStr">
        <is>
          <t>Clube / Associação Desportiva</t>
        </is>
      </c>
      <c r="O6951" t="n">
        <v>2</v>
      </c>
      <c r="P6951" t="n">
        <v>2</v>
      </c>
      <c r="Q6951" t="n">
        <v>0</v>
      </c>
    </row>
    <row r="6952">
      <c r="J6952" t="inlineStr">
        <is>
          <t>A</t>
        </is>
      </c>
      <c r="K6952" t="n">
        <v>2026</v>
      </c>
      <c r="L6952" t="n">
        <v>3</v>
      </c>
      <c r="M6952" t="inlineStr">
        <is>
          <t>Chocolate em pó 50% 1 kg</t>
        </is>
      </c>
      <c r="N6952" t="inlineStr">
        <is>
          <t>Clube / Associação Desportiva</t>
        </is>
      </c>
      <c r="O6952" t="n">
        <v>3</v>
      </c>
      <c r="P6952" t="n">
        <v>4</v>
      </c>
      <c r="Q6952" t="n">
        <v>1</v>
      </c>
    </row>
    <row r="6953">
      <c r="J6953" t="inlineStr">
        <is>
          <t>M</t>
        </is>
      </c>
      <c r="K6953" t="n">
        <v>2026</v>
      </c>
      <c r="L6953" t="n">
        <v>3</v>
      </c>
      <c r="M6953" t="inlineStr">
        <is>
          <t>Chocolate em pó 50% 1 kg</t>
        </is>
      </c>
      <c r="N6953" t="inlineStr">
        <is>
          <t>Clube / Associação Desportiva</t>
        </is>
      </c>
      <c r="O6953" t="n">
        <v>1</v>
      </c>
      <c r="P6953" t="n">
        <v>1</v>
      </c>
      <c r="Q6953" t="n">
        <v>0</v>
      </c>
    </row>
    <row r="6954">
      <c r="J6954" t="inlineStr">
        <is>
          <t>A</t>
        </is>
      </c>
      <c r="K6954" t="n">
        <v>2026</v>
      </c>
      <c r="L6954" t="n">
        <v>4</v>
      </c>
      <c r="M6954" t="inlineStr">
        <is>
          <t>Chocolate em pó 50% 1 kg</t>
        </is>
      </c>
      <c r="N6954" t="inlineStr">
        <is>
          <t>Clube / Associação Desportiva</t>
        </is>
      </c>
      <c r="O6954" t="n">
        <v>3</v>
      </c>
      <c r="P6954" t="n">
        <v>4</v>
      </c>
      <c r="Q6954" t="n">
        <v>1</v>
      </c>
    </row>
    <row r="6955">
      <c r="J6955" t="inlineStr">
        <is>
          <t>A</t>
        </is>
      </c>
      <c r="K6955" t="n">
        <v>2026</v>
      </c>
      <c r="L6955" t="n">
        <v>5</v>
      </c>
      <c r="M6955" t="inlineStr">
        <is>
          <t>Chocolate em pó 50% 1 kg</t>
        </is>
      </c>
      <c r="N6955" t="inlineStr">
        <is>
          <t>Clube / Associação Desportiva</t>
        </is>
      </c>
      <c r="O6955" t="n">
        <v>3</v>
      </c>
      <c r="P6955" t="n">
        <v>5</v>
      </c>
      <c r="Q6955" t="n">
        <v>1</v>
      </c>
    </row>
    <row r="6956">
      <c r="J6956" t="inlineStr">
        <is>
          <t>M</t>
        </is>
      </c>
      <c r="K6956" t="n">
        <v>2026</v>
      </c>
      <c r="L6956" t="n">
        <v>5</v>
      </c>
      <c r="M6956" t="inlineStr">
        <is>
          <t>Chocolate em pó 50% 1 kg</t>
        </is>
      </c>
      <c r="N6956" t="inlineStr">
        <is>
          <t>Clube / Associação Desportiva</t>
        </is>
      </c>
      <c r="O6956" t="n">
        <v>1</v>
      </c>
      <c r="P6956" t="n">
        <v>1</v>
      </c>
      <c r="Q6956" t="n">
        <v>0</v>
      </c>
    </row>
    <row r="6957">
      <c r="J6957" t="inlineStr">
        <is>
          <t>A</t>
        </is>
      </c>
      <c r="K6957" t="n">
        <v>2026</v>
      </c>
      <c r="L6957" t="n">
        <v>6</v>
      </c>
      <c r="M6957" t="inlineStr">
        <is>
          <t>Chocolate em pó 50% 1 kg</t>
        </is>
      </c>
      <c r="N6957" t="inlineStr">
        <is>
          <t>Clube / Associação Desportiva</t>
        </is>
      </c>
      <c r="O6957" t="n">
        <v>3</v>
      </c>
      <c r="P6957" t="n">
        <v>6</v>
      </c>
      <c r="Q6957" t="n">
        <v>1</v>
      </c>
    </row>
    <row r="6958">
      <c r="J6958" t="inlineStr">
        <is>
          <t>M</t>
        </is>
      </c>
      <c r="K6958" t="n">
        <v>2026</v>
      </c>
      <c r="L6958" t="n">
        <v>6</v>
      </c>
      <c r="M6958" t="inlineStr">
        <is>
          <t>Chocolate em pó 50% 1 kg</t>
        </is>
      </c>
      <c r="N6958" t="inlineStr">
        <is>
          <t>Clube / Associação Desportiva</t>
        </is>
      </c>
      <c r="O6958" t="n">
        <v>1</v>
      </c>
      <c r="P6958" t="n">
        <v>1</v>
      </c>
      <c r="Q6958" t="n">
        <v>0</v>
      </c>
    </row>
    <row r="6959">
      <c r="J6959" t="inlineStr">
        <is>
          <t>A</t>
        </is>
      </c>
      <c r="K6959" t="n">
        <v>2026</v>
      </c>
      <c r="L6959" t="n">
        <v>7</v>
      </c>
      <c r="M6959" t="inlineStr">
        <is>
          <t>Chocolate em pó 50% 1 kg</t>
        </is>
      </c>
      <c r="N6959" t="inlineStr">
        <is>
          <t>Clube / Associação Desportiva</t>
        </is>
      </c>
      <c r="O6959" t="n">
        <v>3</v>
      </c>
      <c r="P6959" t="n">
        <v>7</v>
      </c>
      <c r="Q6959" t="n">
        <v>1</v>
      </c>
    </row>
    <row r="6960">
      <c r="J6960" t="inlineStr">
        <is>
          <t>M</t>
        </is>
      </c>
      <c r="K6960" t="n">
        <v>2026</v>
      </c>
      <c r="L6960" t="n">
        <v>7</v>
      </c>
      <c r="M6960" t="inlineStr">
        <is>
          <t>Chocolate em pó 50% 1 kg</t>
        </is>
      </c>
      <c r="N6960" t="inlineStr">
        <is>
          <t>Clube / Associação Desportiva</t>
        </is>
      </c>
      <c r="O6960" t="n">
        <v>1</v>
      </c>
      <c r="P6960" t="n">
        <v>1</v>
      </c>
      <c r="Q6960" t="n">
        <v>0</v>
      </c>
    </row>
    <row r="6961">
      <c r="J6961" t="inlineStr">
        <is>
          <t>A</t>
        </is>
      </c>
      <c r="K6961" t="n">
        <v>2026</v>
      </c>
      <c r="L6961" t="n">
        <v>8</v>
      </c>
      <c r="M6961" t="inlineStr">
        <is>
          <t>Chocolate em pó 50% 1 kg</t>
        </is>
      </c>
      <c r="N6961" t="inlineStr">
        <is>
          <t>Clube / Associação Desportiva</t>
        </is>
      </c>
      <c r="O6961" t="n">
        <v>3</v>
      </c>
      <c r="P6961" t="n">
        <v>7</v>
      </c>
      <c r="Q6961" t="n">
        <v>1</v>
      </c>
    </row>
    <row r="6962">
      <c r="J6962" t="inlineStr">
        <is>
          <t>A</t>
        </is>
      </c>
      <c r="K6962" t="n">
        <v>2026</v>
      </c>
      <c r="L6962" t="n">
        <v>9</v>
      </c>
      <c r="M6962" t="inlineStr">
        <is>
          <t>Chocolate em pó 50% 1 kg</t>
        </is>
      </c>
      <c r="N6962" t="inlineStr">
        <is>
          <t>Clube / Associação Desportiva</t>
        </is>
      </c>
      <c r="O6962" t="n">
        <v>3</v>
      </c>
      <c r="P6962" t="n">
        <v>7</v>
      </c>
      <c r="Q6962" t="n">
        <v>1</v>
      </c>
    </row>
    <row r="6963">
      <c r="J6963" t="inlineStr">
        <is>
          <t>A</t>
        </is>
      </c>
      <c r="K6963" t="n">
        <v>2026</v>
      </c>
      <c r="L6963" t="n">
        <v>10</v>
      </c>
      <c r="M6963" t="inlineStr">
        <is>
          <t>Chocolate em pó 50% 1 kg</t>
        </is>
      </c>
      <c r="N6963" t="inlineStr">
        <is>
          <t>Clube / Associação Desportiva</t>
        </is>
      </c>
      <c r="O6963" t="n">
        <v>3</v>
      </c>
      <c r="P6963" t="n">
        <v>7</v>
      </c>
      <c r="Q6963" t="n">
        <v>1</v>
      </c>
    </row>
    <row r="6964">
      <c r="J6964" t="inlineStr">
        <is>
          <t>A</t>
        </is>
      </c>
      <c r="K6964" t="n">
        <v>2026</v>
      </c>
      <c r="L6964" t="n">
        <v>11</v>
      </c>
      <c r="M6964" t="inlineStr">
        <is>
          <t>Chocolate em pó 50% 1 kg</t>
        </is>
      </c>
      <c r="N6964" t="inlineStr">
        <is>
          <t>Clube / Associação Desportiva</t>
        </is>
      </c>
      <c r="O6964" t="n">
        <v>3</v>
      </c>
      <c r="P6964" t="n">
        <v>7</v>
      </c>
      <c r="Q6964" t="n">
        <v>1</v>
      </c>
    </row>
    <row r="6965">
      <c r="J6965" t="inlineStr">
        <is>
          <t>A</t>
        </is>
      </c>
      <c r="K6965" t="n">
        <v>2026</v>
      </c>
      <c r="L6965" t="n">
        <v>12</v>
      </c>
      <c r="M6965" t="inlineStr">
        <is>
          <t>Chocolate em pó 50% 1 kg</t>
        </is>
      </c>
      <c r="N6965" t="inlineStr">
        <is>
          <t>Clube / Associação Desportiva</t>
        </is>
      </c>
      <c r="O6965" t="n">
        <v>3</v>
      </c>
      <c r="P6965" t="n">
        <v>7</v>
      </c>
      <c r="Q6965" t="n">
        <v>1</v>
      </c>
    </row>
    <row r="6966">
      <c r="J6966" t="inlineStr">
        <is>
          <t>A</t>
        </is>
      </c>
      <c r="K6966" t="n">
        <v>2026</v>
      </c>
      <c r="L6966" t="n">
        <v>7</v>
      </c>
      <c r="M6966" t="inlineStr">
        <is>
          <t>Chocolate em pó 50% 1 kg</t>
        </is>
      </c>
      <c r="N6966" t="inlineStr">
        <is>
          <t>Casa Noturna</t>
        </is>
      </c>
      <c r="O6966" t="n">
        <v>2</v>
      </c>
      <c r="P6966" t="n">
        <v>2</v>
      </c>
      <c r="Q6966" t="n">
        <v>1</v>
      </c>
    </row>
    <row r="6967">
      <c r="J6967" t="inlineStr">
        <is>
          <t>M</t>
        </is>
      </c>
      <c r="K6967" t="n">
        <v>2026</v>
      </c>
      <c r="L6967" t="n">
        <v>7</v>
      </c>
      <c r="M6967" t="inlineStr">
        <is>
          <t>Chocolate em pó 50% 1 kg</t>
        </is>
      </c>
      <c r="N6967" t="inlineStr">
        <is>
          <t>Casa Noturna</t>
        </is>
      </c>
      <c r="O6967" t="n">
        <v>2</v>
      </c>
      <c r="P6967" t="n">
        <v>2</v>
      </c>
      <c r="Q6967" t="n">
        <v>0</v>
      </c>
    </row>
    <row r="6968">
      <c r="J6968" t="inlineStr">
        <is>
          <t>A</t>
        </is>
      </c>
      <c r="K6968" t="n">
        <v>2026</v>
      </c>
      <c r="L6968" t="n">
        <v>8</v>
      </c>
      <c r="M6968" t="inlineStr">
        <is>
          <t>Chocolate em pó 50% 1 kg</t>
        </is>
      </c>
      <c r="N6968" t="inlineStr">
        <is>
          <t>Casa Noturna</t>
        </is>
      </c>
      <c r="O6968" t="n">
        <v>2</v>
      </c>
      <c r="P6968" t="n">
        <v>2</v>
      </c>
      <c r="Q6968" t="n">
        <v>1</v>
      </c>
    </row>
    <row r="6969">
      <c r="J6969" t="inlineStr">
        <is>
          <t>A</t>
        </is>
      </c>
      <c r="K6969" t="n">
        <v>2026</v>
      </c>
      <c r="L6969" t="n">
        <v>9</v>
      </c>
      <c r="M6969" t="inlineStr">
        <is>
          <t>Chocolate em pó 50% 1 kg</t>
        </is>
      </c>
      <c r="N6969" t="inlineStr">
        <is>
          <t>Casa Noturna</t>
        </is>
      </c>
      <c r="O6969" t="n">
        <v>2</v>
      </c>
      <c r="P6969" t="n">
        <v>2</v>
      </c>
      <c r="Q6969" t="n">
        <v>1</v>
      </c>
    </row>
    <row r="6970">
      <c r="J6970" t="inlineStr">
        <is>
          <t>A</t>
        </is>
      </c>
      <c r="K6970" t="n">
        <v>2026</v>
      </c>
      <c r="L6970" t="n">
        <v>10</v>
      </c>
      <c r="M6970" t="inlineStr">
        <is>
          <t>Chocolate em pó 50% 1 kg</t>
        </is>
      </c>
      <c r="N6970" t="inlineStr">
        <is>
          <t>Casa Noturna</t>
        </is>
      </c>
      <c r="O6970" t="n">
        <v>2</v>
      </c>
      <c r="P6970" t="n">
        <v>2</v>
      </c>
      <c r="Q6970" t="n">
        <v>1</v>
      </c>
    </row>
    <row r="6971">
      <c r="J6971" t="inlineStr">
        <is>
          <t>A</t>
        </is>
      </c>
      <c r="K6971" t="n">
        <v>2026</v>
      </c>
      <c r="L6971" t="n">
        <v>11</v>
      </c>
      <c r="M6971" t="inlineStr">
        <is>
          <t>Chocolate em pó 50% 1 kg</t>
        </is>
      </c>
      <c r="N6971" t="inlineStr">
        <is>
          <t>Casa Noturna</t>
        </is>
      </c>
      <c r="O6971" t="n">
        <v>2</v>
      </c>
      <c r="P6971" t="n">
        <v>2</v>
      </c>
      <c r="Q6971" t="n">
        <v>1</v>
      </c>
    </row>
    <row r="6972">
      <c r="J6972" t="inlineStr">
        <is>
          <t>A</t>
        </is>
      </c>
      <c r="K6972" t="n">
        <v>2026</v>
      </c>
      <c r="L6972" t="n">
        <v>12</v>
      </c>
      <c r="M6972" t="inlineStr">
        <is>
          <t>Chocolate em pó 50% 1 kg</t>
        </is>
      </c>
      <c r="N6972" t="inlineStr">
        <is>
          <t>Casa Noturna</t>
        </is>
      </c>
      <c r="O6972" t="n">
        <v>2</v>
      </c>
      <c r="P6972" t="n">
        <v>2</v>
      </c>
      <c r="Q6972" t="n">
        <v>1</v>
      </c>
    </row>
    <row r="6973">
      <c r="J6973" t="inlineStr">
        <is>
          <t>A</t>
        </is>
      </c>
      <c r="K6973" t="n">
        <v>2026</v>
      </c>
      <c r="L6973" t="n">
        <v>5</v>
      </c>
      <c r="M6973" t="inlineStr">
        <is>
          <t>Chocolate em pó 50% 1 kg</t>
        </is>
      </c>
      <c r="N6973" t="inlineStr">
        <is>
          <t>Instituição de Ensino</t>
        </is>
      </c>
      <c r="O6973" t="n">
        <v>1</v>
      </c>
      <c r="P6973" t="n">
        <v>2</v>
      </c>
      <c r="Q6973" t="n">
        <v>1</v>
      </c>
    </row>
    <row r="6974">
      <c r="J6974" t="inlineStr">
        <is>
          <t>M</t>
        </is>
      </c>
      <c r="K6974" t="n">
        <v>2026</v>
      </c>
      <c r="L6974" t="n">
        <v>5</v>
      </c>
      <c r="M6974" t="inlineStr">
        <is>
          <t>Chocolate em pó 50% 1 kg</t>
        </is>
      </c>
      <c r="N6974" t="inlineStr">
        <is>
          <t>Instituição de Ensino</t>
        </is>
      </c>
      <c r="O6974" t="n">
        <v>1</v>
      </c>
      <c r="P6974" t="n">
        <v>2</v>
      </c>
      <c r="Q6974" t="n">
        <v>0</v>
      </c>
    </row>
    <row r="6975">
      <c r="J6975" t="inlineStr">
        <is>
          <t>A</t>
        </is>
      </c>
      <c r="K6975" t="n">
        <v>2026</v>
      </c>
      <c r="L6975" t="n">
        <v>6</v>
      </c>
      <c r="M6975" t="inlineStr">
        <is>
          <t>Chocolate em pó 50% 1 kg</t>
        </is>
      </c>
      <c r="N6975" t="inlineStr">
        <is>
          <t>Instituição de Ensino</t>
        </is>
      </c>
      <c r="O6975" t="n">
        <v>1</v>
      </c>
      <c r="P6975" t="n">
        <v>4</v>
      </c>
      <c r="Q6975" t="n">
        <v>1</v>
      </c>
    </row>
    <row r="6976">
      <c r="J6976" t="inlineStr">
        <is>
          <t>M</t>
        </is>
      </c>
      <c r="K6976" t="n">
        <v>2026</v>
      </c>
      <c r="L6976" t="n">
        <v>6</v>
      </c>
      <c r="M6976" t="inlineStr">
        <is>
          <t>Chocolate em pó 50% 1 kg</t>
        </is>
      </c>
      <c r="N6976" t="inlineStr">
        <is>
          <t>Instituição de Ensino</t>
        </is>
      </c>
      <c r="O6976" t="n">
        <v>1</v>
      </c>
      <c r="P6976" t="n">
        <v>2</v>
      </c>
      <c r="Q6976" t="n">
        <v>0</v>
      </c>
    </row>
    <row r="6977">
      <c r="J6977" t="inlineStr">
        <is>
          <t>A</t>
        </is>
      </c>
      <c r="K6977" t="n">
        <v>2026</v>
      </c>
      <c r="L6977" t="n">
        <v>7</v>
      </c>
      <c r="M6977" t="inlineStr">
        <is>
          <t>Chocolate em pó 50% 1 kg</t>
        </is>
      </c>
      <c r="N6977" t="inlineStr">
        <is>
          <t>Instituição de Ensino</t>
        </is>
      </c>
      <c r="O6977" t="n">
        <v>1</v>
      </c>
      <c r="P6977" t="n">
        <v>5</v>
      </c>
      <c r="Q6977" t="n">
        <v>1</v>
      </c>
    </row>
    <row r="6978">
      <c r="J6978" t="inlineStr">
        <is>
          <t>M</t>
        </is>
      </c>
      <c r="K6978" t="n">
        <v>2026</v>
      </c>
      <c r="L6978" t="n">
        <v>7</v>
      </c>
      <c r="M6978" t="inlineStr">
        <is>
          <t>Chocolate em pó 50% 1 kg</t>
        </is>
      </c>
      <c r="N6978" t="inlineStr">
        <is>
          <t>Instituição de Ensino</t>
        </is>
      </c>
      <c r="O6978" t="n">
        <v>1</v>
      </c>
      <c r="P6978" t="n">
        <v>1</v>
      </c>
      <c r="Q6978" t="n">
        <v>0</v>
      </c>
    </row>
    <row r="6979">
      <c r="J6979" t="inlineStr">
        <is>
          <t>A</t>
        </is>
      </c>
      <c r="K6979" t="n">
        <v>2026</v>
      </c>
      <c r="L6979" t="n">
        <v>8</v>
      </c>
      <c r="M6979" t="inlineStr">
        <is>
          <t>Chocolate em pó 50% 1 kg</t>
        </is>
      </c>
      <c r="N6979" t="inlineStr">
        <is>
          <t>Instituição de Ensino</t>
        </is>
      </c>
      <c r="O6979" t="n">
        <v>1</v>
      </c>
      <c r="P6979" t="n">
        <v>5</v>
      </c>
      <c r="Q6979" t="n">
        <v>1</v>
      </c>
    </row>
    <row r="6980">
      <c r="J6980" t="inlineStr">
        <is>
          <t>A</t>
        </is>
      </c>
      <c r="K6980" t="n">
        <v>2026</v>
      </c>
      <c r="L6980" t="n">
        <v>9</v>
      </c>
      <c r="M6980" t="inlineStr">
        <is>
          <t>Chocolate em pó 50% 1 kg</t>
        </is>
      </c>
      <c r="N6980" t="inlineStr">
        <is>
          <t>Instituição de Ensino</t>
        </is>
      </c>
      <c r="O6980" t="n">
        <v>1</v>
      </c>
      <c r="P6980" t="n">
        <v>5</v>
      </c>
      <c r="Q6980" t="n">
        <v>1</v>
      </c>
    </row>
    <row r="6981">
      <c r="J6981" t="inlineStr">
        <is>
          <t>A</t>
        </is>
      </c>
      <c r="K6981" t="n">
        <v>2026</v>
      </c>
      <c r="L6981" t="n">
        <v>10</v>
      </c>
      <c r="M6981" t="inlineStr">
        <is>
          <t>Chocolate em pó 50% 1 kg</t>
        </is>
      </c>
      <c r="N6981" t="inlineStr">
        <is>
          <t>Instituição de Ensino</t>
        </is>
      </c>
      <c r="O6981" t="n">
        <v>1</v>
      </c>
      <c r="P6981" t="n">
        <v>5</v>
      </c>
      <c r="Q6981" t="n">
        <v>1</v>
      </c>
    </row>
    <row r="6982">
      <c r="J6982" t="inlineStr">
        <is>
          <t>A</t>
        </is>
      </c>
      <c r="K6982" t="n">
        <v>2026</v>
      </c>
      <c r="L6982" t="n">
        <v>11</v>
      </c>
      <c r="M6982" t="inlineStr">
        <is>
          <t>Chocolate em pó 50% 1 kg</t>
        </is>
      </c>
      <c r="N6982" t="inlineStr">
        <is>
          <t>Instituição de Ensino</t>
        </is>
      </c>
      <c r="O6982" t="n">
        <v>1</v>
      </c>
      <c r="P6982" t="n">
        <v>5</v>
      </c>
      <c r="Q6982" t="n">
        <v>1</v>
      </c>
    </row>
    <row r="6983">
      <c r="J6983" t="inlineStr">
        <is>
          <t>A</t>
        </is>
      </c>
      <c r="K6983" t="n">
        <v>2026</v>
      </c>
      <c r="L6983" t="n">
        <v>12</v>
      </c>
      <c r="M6983" t="inlineStr">
        <is>
          <t>Chocolate em pó 50% 1 kg</t>
        </is>
      </c>
      <c r="N6983" t="inlineStr">
        <is>
          <t>Instituição de Ensino</t>
        </is>
      </c>
      <c r="O6983" t="n">
        <v>1</v>
      </c>
      <c r="P6983" t="n">
        <v>5</v>
      </c>
      <c r="Q6983" t="n">
        <v>1</v>
      </c>
    </row>
    <row r="6984">
      <c r="J6984" t="inlineStr">
        <is>
          <t>A</t>
        </is>
      </c>
      <c r="K6984" t="n">
        <v>2026</v>
      </c>
      <c r="L6984" t="n">
        <v>7</v>
      </c>
      <c r="M6984" t="inlineStr">
        <is>
          <t>Chocolate em pó 50% 1 kg</t>
        </is>
      </c>
      <c r="N6984" t="inlineStr">
        <is>
          <t>Colaborador</t>
        </is>
      </c>
      <c r="O6984" t="n">
        <v>1</v>
      </c>
      <c r="P6984" t="n">
        <v>1</v>
      </c>
      <c r="Q6984" t="n">
        <v>1</v>
      </c>
    </row>
    <row r="6985">
      <c r="J6985" t="inlineStr">
        <is>
          <t>M</t>
        </is>
      </c>
      <c r="K6985" t="n">
        <v>2026</v>
      </c>
      <c r="L6985" t="n">
        <v>7</v>
      </c>
      <c r="M6985" t="inlineStr">
        <is>
          <t>Chocolate em pó 50% 1 kg</t>
        </is>
      </c>
      <c r="N6985" t="inlineStr">
        <is>
          <t>Colaborador</t>
        </is>
      </c>
      <c r="O6985" t="n">
        <v>1</v>
      </c>
      <c r="P6985" t="n">
        <v>1</v>
      </c>
      <c r="Q6985" t="n">
        <v>0</v>
      </c>
    </row>
    <row r="6986">
      <c r="J6986" t="inlineStr">
        <is>
          <t>A</t>
        </is>
      </c>
      <c r="K6986" t="n">
        <v>2026</v>
      </c>
      <c r="L6986" t="n">
        <v>8</v>
      </c>
      <c r="M6986" t="inlineStr">
        <is>
          <t>Chocolate em pó 50% 1 kg</t>
        </is>
      </c>
      <c r="N6986" t="inlineStr">
        <is>
          <t>Colaborador</t>
        </is>
      </c>
      <c r="O6986" t="n">
        <v>1</v>
      </c>
      <c r="P6986" t="n">
        <v>1</v>
      </c>
      <c r="Q6986" t="n">
        <v>1</v>
      </c>
    </row>
    <row r="6987">
      <c r="J6987" t="inlineStr">
        <is>
          <t>A</t>
        </is>
      </c>
      <c r="K6987" t="n">
        <v>2026</v>
      </c>
      <c r="L6987" t="n">
        <v>9</v>
      </c>
      <c r="M6987" t="inlineStr">
        <is>
          <t>Chocolate em pó 50% 1 kg</t>
        </is>
      </c>
      <c r="N6987" t="inlineStr">
        <is>
          <t>Colaborador</t>
        </is>
      </c>
      <c r="O6987" t="n">
        <v>1</v>
      </c>
      <c r="P6987" t="n">
        <v>1</v>
      </c>
      <c r="Q6987" t="n">
        <v>1</v>
      </c>
    </row>
    <row r="6988">
      <c r="J6988" t="inlineStr">
        <is>
          <t>A</t>
        </is>
      </c>
      <c r="K6988" t="n">
        <v>2026</v>
      </c>
      <c r="L6988" t="n">
        <v>10</v>
      </c>
      <c r="M6988" t="inlineStr">
        <is>
          <t>Chocolate em pó 50% 1 kg</t>
        </is>
      </c>
      <c r="N6988" t="inlineStr">
        <is>
          <t>Colaborador</t>
        </is>
      </c>
      <c r="O6988" t="n">
        <v>1</v>
      </c>
      <c r="P6988" t="n">
        <v>1</v>
      </c>
      <c r="Q6988" t="n">
        <v>1</v>
      </c>
    </row>
    <row r="6989">
      <c r="J6989" t="inlineStr">
        <is>
          <t>A</t>
        </is>
      </c>
      <c r="K6989" t="n">
        <v>2026</v>
      </c>
      <c r="L6989" t="n">
        <v>11</v>
      </c>
      <c r="M6989" t="inlineStr">
        <is>
          <t>Chocolate em pó 50% 1 kg</t>
        </is>
      </c>
      <c r="N6989" t="inlineStr">
        <is>
          <t>Colaborador</t>
        </is>
      </c>
      <c r="O6989" t="n">
        <v>1</v>
      </c>
      <c r="P6989" t="n">
        <v>1</v>
      </c>
      <c r="Q6989" t="n">
        <v>1</v>
      </c>
    </row>
    <row r="6990">
      <c r="J6990" t="inlineStr">
        <is>
          <t>A</t>
        </is>
      </c>
      <c r="K6990" t="n">
        <v>2026</v>
      </c>
      <c r="L6990" t="n">
        <v>12</v>
      </c>
      <c r="M6990" t="inlineStr">
        <is>
          <t>Chocolate em pó 50% 1 kg</t>
        </is>
      </c>
      <c r="N6990" t="inlineStr">
        <is>
          <t>Colaborador</t>
        </is>
      </c>
      <c r="O6990" t="n">
        <v>1</v>
      </c>
      <c r="P6990" t="n">
        <v>1</v>
      </c>
      <c r="Q6990" t="n">
        <v>1</v>
      </c>
    </row>
    <row r="6991">
      <c r="J6991" t="inlineStr">
        <is>
          <t>A</t>
        </is>
      </c>
      <c r="K6991" t="n">
        <v>2026</v>
      </c>
      <c r="L6991" t="n">
        <v>5</v>
      </c>
      <c r="M6991" t="inlineStr">
        <is>
          <t>Chocolate em pó 50% 1 kg</t>
        </is>
      </c>
      <c r="N6991" t="inlineStr">
        <is>
          <t>Instituição Religiosa</t>
        </is>
      </c>
      <c r="O6991" t="n">
        <v>1</v>
      </c>
      <c r="P6991" t="n">
        <v>1</v>
      </c>
      <c r="Q6991" t="n">
        <v>1</v>
      </c>
    </row>
    <row r="6992">
      <c r="J6992" t="inlineStr">
        <is>
          <t>M</t>
        </is>
      </c>
      <c r="K6992" t="n">
        <v>2026</v>
      </c>
      <c r="L6992" t="n">
        <v>5</v>
      </c>
      <c r="M6992" t="inlineStr">
        <is>
          <t>Chocolate em pó 50% 1 kg</t>
        </is>
      </c>
      <c r="N6992" t="inlineStr">
        <is>
          <t>Instituição Religiosa</t>
        </is>
      </c>
      <c r="O6992" t="n">
        <v>1</v>
      </c>
      <c r="P6992" t="n">
        <v>1</v>
      </c>
      <c r="Q6992" t="n">
        <v>0</v>
      </c>
    </row>
    <row r="6993">
      <c r="J6993" t="inlineStr">
        <is>
          <t>A</t>
        </is>
      </c>
      <c r="K6993" t="n">
        <v>2026</v>
      </c>
      <c r="L6993" t="n">
        <v>6</v>
      </c>
      <c r="M6993" t="inlineStr">
        <is>
          <t>Chocolate em pó 50% 1 kg</t>
        </is>
      </c>
      <c r="N6993" t="inlineStr">
        <is>
          <t>Instituição Religiosa</t>
        </is>
      </c>
      <c r="O6993" t="n">
        <v>1</v>
      </c>
      <c r="P6993" t="n">
        <v>1</v>
      </c>
      <c r="Q6993" t="n">
        <v>1</v>
      </c>
    </row>
    <row r="6994">
      <c r="J6994" t="inlineStr">
        <is>
          <t>A</t>
        </is>
      </c>
      <c r="K6994" t="n">
        <v>2026</v>
      </c>
      <c r="L6994" t="n">
        <v>7</v>
      </c>
      <c r="M6994" t="inlineStr">
        <is>
          <t>Chocolate em pó 50% 1 kg</t>
        </is>
      </c>
      <c r="N6994" t="inlineStr">
        <is>
          <t>Instituição Religiosa</t>
        </is>
      </c>
      <c r="O6994" t="n">
        <v>1</v>
      </c>
      <c r="P6994" t="n">
        <v>1</v>
      </c>
      <c r="Q6994" t="n">
        <v>1</v>
      </c>
    </row>
    <row r="6995">
      <c r="J6995" t="inlineStr">
        <is>
          <t>A</t>
        </is>
      </c>
      <c r="K6995" t="n">
        <v>2026</v>
      </c>
      <c r="L6995" t="n">
        <v>8</v>
      </c>
      <c r="M6995" t="inlineStr">
        <is>
          <t>Chocolate em pó 50% 1 kg</t>
        </is>
      </c>
      <c r="N6995" t="inlineStr">
        <is>
          <t>Instituição Religiosa</t>
        </is>
      </c>
      <c r="O6995" t="n">
        <v>1</v>
      </c>
      <c r="P6995" t="n">
        <v>1</v>
      </c>
      <c r="Q6995" t="n">
        <v>1</v>
      </c>
    </row>
    <row r="6996">
      <c r="J6996" t="inlineStr">
        <is>
          <t>A</t>
        </is>
      </c>
      <c r="K6996" t="n">
        <v>2026</v>
      </c>
      <c r="L6996" t="n">
        <v>9</v>
      </c>
      <c r="M6996" t="inlineStr">
        <is>
          <t>Chocolate em pó 50% 1 kg</t>
        </is>
      </c>
      <c r="N6996" t="inlineStr">
        <is>
          <t>Instituição Religiosa</t>
        </is>
      </c>
      <c r="O6996" t="n">
        <v>1</v>
      </c>
      <c r="P6996" t="n">
        <v>1</v>
      </c>
      <c r="Q6996" t="n">
        <v>1</v>
      </c>
    </row>
    <row r="6997">
      <c r="J6997" t="inlineStr">
        <is>
          <t>A</t>
        </is>
      </c>
      <c r="K6997" t="n">
        <v>2026</v>
      </c>
      <c r="L6997" t="n">
        <v>10</v>
      </c>
      <c r="M6997" t="inlineStr">
        <is>
          <t>Chocolate em pó 50% 1 kg</t>
        </is>
      </c>
      <c r="N6997" t="inlineStr">
        <is>
          <t>Instituição Religiosa</t>
        </is>
      </c>
      <c r="O6997" t="n">
        <v>1</v>
      </c>
      <c r="P6997" t="n">
        <v>1</v>
      </c>
      <c r="Q6997" t="n">
        <v>1</v>
      </c>
    </row>
    <row r="6998">
      <c r="J6998" t="inlineStr">
        <is>
          <t>A</t>
        </is>
      </c>
      <c r="K6998" t="n">
        <v>2026</v>
      </c>
      <c r="L6998" t="n">
        <v>11</v>
      </c>
      <c r="M6998" t="inlineStr">
        <is>
          <t>Chocolate em pó 50% 1 kg</t>
        </is>
      </c>
      <c r="N6998" t="inlineStr">
        <is>
          <t>Instituição Religiosa</t>
        </is>
      </c>
      <c r="O6998" t="n">
        <v>1</v>
      </c>
      <c r="P6998" t="n">
        <v>1</v>
      </c>
      <c r="Q6998" t="n">
        <v>1</v>
      </c>
    </row>
    <row r="6999">
      <c r="J6999" t="inlineStr">
        <is>
          <t>A</t>
        </is>
      </c>
      <c r="K6999" t="n">
        <v>2026</v>
      </c>
      <c r="L6999" t="n">
        <v>12</v>
      </c>
      <c r="M6999" t="inlineStr">
        <is>
          <t>Chocolate em pó 50% 1 kg</t>
        </is>
      </c>
      <c r="N6999" t="inlineStr">
        <is>
          <t>Instituição Religiosa</t>
        </is>
      </c>
      <c r="O6999" t="n">
        <v>1</v>
      </c>
      <c r="P6999" t="n">
        <v>1</v>
      </c>
      <c r="Q6999" t="n">
        <v>1</v>
      </c>
    </row>
    <row r="7000">
      <c r="J7000" t="inlineStr">
        <is>
          <t>A</t>
        </is>
      </c>
      <c r="K7000" t="n">
        <v>2026</v>
      </c>
      <c r="L7000" t="n">
        <v>7</v>
      </c>
      <c r="M7000" t="inlineStr">
        <is>
          <t>Chocolate em pó 50% 1 kg</t>
        </is>
      </c>
      <c r="N7000" t="inlineStr">
        <is>
          <t>Orgão Público</t>
        </is>
      </c>
      <c r="O7000" t="n">
        <v>1</v>
      </c>
      <c r="P7000" t="n">
        <v>1</v>
      </c>
      <c r="Q7000" t="n">
        <v>0</v>
      </c>
    </row>
    <row r="7001">
      <c r="J7001" t="inlineStr">
        <is>
          <t>M</t>
        </is>
      </c>
      <c r="K7001" t="n">
        <v>2026</v>
      </c>
      <c r="L7001" t="n">
        <v>7</v>
      </c>
      <c r="M7001" t="inlineStr">
        <is>
          <t>Chocolate em pó 50% 1 kg</t>
        </is>
      </c>
      <c r="N7001" t="inlineStr">
        <is>
          <t>Orgão Público</t>
        </is>
      </c>
      <c r="O7001" t="n">
        <v>1</v>
      </c>
      <c r="P7001" t="n">
        <v>1</v>
      </c>
      <c r="Q7001" t="n">
        <v>0</v>
      </c>
    </row>
    <row r="7002">
      <c r="J7002" t="inlineStr">
        <is>
          <t>A</t>
        </is>
      </c>
      <c r="K7002" t="n">
        <v>2026</v>
      </c>
      <c r="L7002" t="n">
        <v>8</v>
      </c>
      <c r="M7002" t="inlineStr">
        <is>
          <t>Chocolate em pó 50% 1 kg</t>
        </is>
      </c>
      <c r="N7002" t="inlineStr">
        <is>
          <t>Orgão Público</t>
        </is>
      </c>
      <c r="O7002" t="n">
        <v>1</v>
      </c>
      <c r="P7002" t="n">
        <v>1</v>
      </c>
      <c r="Q7002" t="n">
        <v>0</v>
      </c>
    </row>
    <row r="7003">
      <c r="J7003" t="inlineStr">
        <is>
          <t>A</t>
        </is>
      </c>
      <c r="K7003" t="n">
        <v>2026</v>
      </c>
      <c r="L7003" t="n">
        <v>9</v>
      </c>
      <c r="M7003" t="inlineStr">
        <is>
          <t>Chocolate em pó 50% 1 kg</t>
        </is>
      </c>
      <c r="N7003" t="inlineStr">
        <is>
          <t>Orgão Público</t>
        </is>
      </c>
      <c r="O7003" t="n">
        <v>1</v>
      </c>
      <c r="P7003" t="n">
        <v>1</v>
      </c>
      <c r="Q7003" t="n">
        <v>0</v>
      </c>
    </row>
    <row r="7004">
      <c r="J7004" t="inlineStr">
        <is>
          <t>A</t>
        </is>
      </c>
      <c r="K7004" t="n">
        <v>2026</v>
      </c>
      <c r="L7004" t="n">
        <v>10</v>
      </c>
      <c r="M7004" t="inlineStr">
        <is>
          <t>Chocolate em pó 50% 1 kg</t>
        </is>
      </c>
      <c r="N7004" t="inlineStr">
        <is>
          <t>Orgão Público</t>
        </is>
      </c>
      <c r="O7004" t="n">
        <v>1</v>
      </c>
      <c r="P7004" t="n">
        <v>1</v>
      </c>
      <c r="Q7004" t="n">
        <v>0</v>
      </c>
    </row>
    <row r="7005">
      <c r="J7005" t="inlineStr">
        <is>
          <t>A</t>
        </is>
      </c>
      <c r="K7005" t="n">
        <v>2026</v>
      </c>
      <c r="L7005" t="n">
        <v>11</v>
      </c>
      <c r="M7005" t="inlineStr">
        <is>
          <t>Chocolate em pó 50% 1 kg</t>
        </is>
      </c>
      <c r="N7005" t="inlineStr">
        <is>
          <t>Orgão Público</t>
        </is>
      </c>
      <c r="O7005" t="n">
        <v>1</v>
      </c>
      <c r="P7005" t="n">
        <v>1</v>
      </c>
      <c r="Q7005" t="n">
        <v>0</v>
      </c>
    </row>
    <row r="7006">
      <c r="J7006" t="inlineStr">
        <is>
          <t>A</t>
        </is>
      </c>
      <c r="K7006" t="n">
        <v>2026</v>
      </c>
      <c r="L7006" t="n">
        <v>12</v>
      </c>
      <c r="M7006" t="inlineStr">
        <is>
          <t>Chocolate em pó 50% 1 kg</t>
        </is>
      </c>
      <c r="N7006" t="inlineStr">
        <is>
          <t>Orgão Público</t>
        </is>
      </c>
      <c r="O7006" t="n">
        <v>1</v>
      </c>
      <c r="P7006" t="n">
        <v>1</v>
      </c>
      <c r="Q7006" t="n">
        <v>0</v>
      </c>
    </row>
    <row r="7007">
      <c r="J7007" t="inlineStr">
        <is>
          <t>A</t>
        </is>
      </c>
      <c r="K7007" t="n">
        <v>2026</v>
      </c>
      <c r="L7007" t="n">
        <v>4</v>
      </c>
      <c r="M7007" t="inlineStr">
        <is>
          <t>Chocolate em pó 50% 1 kg</t>
        </is>
      </c>
      <c r="N7007" t="inlineStr">
        <is>
          <t>Açougue</t>
        </is>
      </c>
      <c r="O7007" t="n">
        <v>1</v>
      </c>
      <c r="P7007" t="n">
        <v>1</v>
      </c>
      <c r="Q7007" t="n">
        <v>1</v>
      </c>
    </row>
    <row r="7008">
      <c r="J7008" t="inlineStr">
        <is>
          <t>M</t>
        </is>
      </c>
      <c r="K7008" t="n">
        <v>2026</v>
      </c>
      <c r="L7008" t="n">
        <v>4</v>
      </c>
      <c r="M7008" t="inlineStr">
        <is>
          <t>Chocolate em pó 50% 1 kg</t>
        </is>
      </c>
      <c r="N7008" t="inlineStr">
        <is>
          <t>Açougue</t>
        </is>
      </c>
      <c r="O7008" t="n">
        <v>1</v>
      </c>
      <c r="P7008" t="n">
        <v>1</v>
      </c>
      <c r="Q7008" t="n">
        <v>0</v>
      </c>
    </row>
    <row r="7009">
      <c r="J7009" t="inlineStr">
        <is>
          <t>A</t>
        </is>
      </c>
      <c r="K7009" t="n">
        <v>2026</v>
      </c>
      <c r="L7009" t="n">
        <v>5</v>
      </c>
      <c r="M7009" t="inlineStr">
        <is>
          <t>Chocolate em pó 50% 1 kg</t>
        </is>
      </c>
      <c r="N7009" t="inlineStr">
        <is>
          <t>Açougue</t>
        </is>
      </c>
      <c r="O7009" t="n">
        <v>1</v>
      </c>
      <c r="P7009" t="n">
        <v>1</v>
      </c>
      <c r="Q7009" t="n">
        <v>1</v>
      </c>
    </row>
    <row r="7010">
      <c r="J7010" t="inlineStr">
        <is>
          <t>A</t>
        </is>
      </c>
      <c r="K7010" t="n">
        <v>2026</v>
      </c>
      <c r="L7010" t="n">
        <v>6</v>
      </c>
      <c r="M7010" t="inlineStr">
        <is>
          <t>Chocolate em pó 50% 1 kg</t>
        </is>
      </c>
      <c r="N7010" t="inlineStr">
        <is>
          <t>Açougue</t>
        </is>
      </c>
      <c r="O7010" t="n">
        <v>1</v>
      </c>
      <c r="P7010" t="n">
        <v>2</v>
      </c>
      <c r="Q7010" t="n">
        <v>1</v>
      </c>
    </row>
    <row r="7011">
      <c r="J7011" t="inlineStr">
        <is>
          <t>M</t>
        </is>
      </c>
      <c r="K7011" t="n">
        <v>2026</v>
      </c>
      <c r="L7011" t="n">
        <v>6</v>
      </c>
      <c r="M7011" t="inlineStr">
        <is>
          <t>Chocolate em pó 50% 1 kg</t>
        </is>
      </c>
      <c r="N7011" t="inlineStr">
        <is>
          <t>Açougue</t>
        </is>
      </c>
      <c r="O7011" t="n">
        <v>1</v>
      </c>
      <c r="P7011" t="n">
        <v>1</v>
      </c>
      <c r="Q7011" t="n">
        <v>0</v>
      </c>
    </row>
    <row r="7012">
      <c r="J7012" t="inlineStr">
        <is>
          <t>A</t>
        </is>
      </c>
      <c r="K7012" t="n">
        <v>2026</v>
      </c>
      <c r="L7012" t="n">
        <v>7</v>
      </c>
      <c r="M7012" t="inlineStr">
        <is>
          <t>Chocolate em pó 50% 1 kg</t>
        </is>
      </c>
      <c r="N7012" t="inlineStr">
        <is>
          <t>Açougue</t>
        </is>
      </c>
      <c r="O7012" t="n">
        <v>1</v>
      </c>
      <c r="P7012" t="n">
        <v>2</v>
      </c>
      <c r="Q7012" t="n">
        <v>1</v>
      </c>
    </row>
    <row r="7013">
      <c r="J7013" t="inlineStr">
        <is>
          <t>A</t>
        </is>
      </c>
      <c r="K7013" t="n">
        <v>2026</v>
      </c>
      <c r="L7013" t="n">
        <v>8</v>
      </c>
      <c r="M7013" t="inlineStr">
        <is>
          <t>Chocolate em pó 50% 1 kg</t>
        </is>
      </c>
      <c r="N7013" t="inlineStr">
        <is>
          <t>Açougue</t>
        </is>
      </c>
      <c r="O7013" t="n">
        <v>1</v>
      </c>
      <c r="P7013" t="n">
        <v>2</v>
      </c>
      <c r="Q7013" t="n">
        <v>1</v>
      </c>
    </row>
    <row r="7014">
      <c r="J7014" t="inlineStr">
        <is>
          <t>A</t>
        </is>
      </c>
      <c r="K7014" t="n">
        <v>2026</v>
      </c>
      <c r="L7014" t="n">
        <v>9</v>
      </c>
      <c r="M7014" t="inlineStr">
        <is>
          <t>Chocolate em pó 50% 1 kg</t>
        </is>
      </c>
      <c r="N7014" t="inlineStr">
        <is>
          <t>Açougue</t>
        </is>
      </c>
      <c r="O7014" t="n">
        <v>1</v>
      </c>
      <c r="P7014" t="n">
        <v>2</v>
      </c>
      <c r="Q7014" t="n">
        <v>1</v>
      </c>
    </row>
    <row r="7015">
      <c r="J7015" t="inlineStr">
        <is>
          <t>A</t>
        </is>
      </c>
      <c r="K7015" t="n">
        <v>2026</v>
      </c>
      <c r="L7015" t="n">
        <v>10</v>
      </c>
      <c r="M7015" t="inlineStr">
        <is>
          <t>Chocolate em pó 50% 1 kg</t>
        </is>
      </c>
      <c r="N7015" t="inlineStr">
        <is>
          <t>Açougue</t>
        </is>
      </c>
      <c r="O7015" t="n">
        <v>1</v>
      </c>
      <c r="P7015" t="n">
        <v>2</v>
      </c>
      <c r="Q7015" t="n">
        <v>1</v>
      </c>
    </row>
    <row r="7016">
      <c r="J7016" t="inlineStr">
        <is>
          <t>A</t>
        </is>
      </c>
      <c r="K7016" t="n">
        <v>2026</v>
      </c>
      <c r="L7016" t="n">
        <v>11</v>
      </c>
      <c r="M7016" t="inlineStr">
        <is>
          <t>Chocolate em pó 50% 1 kg</t>
        </is>
      </c>
      <c r="N7016" t="inlineStr">
        <is>
          <t>Açougue</t>
        </is>
      </c>
      <c r="O7016" t="n">
        <v>1</v>
      </c>
      <c r="P7016" t="n">
        <v>2</v>
      </c>
      <c r="Q7016" t="n">
        <v>1</v>
      </c>
    </row>
    <row r="7017">
      <c r="J7017" t="inlineStr">
        <is>
          <t>A</t>
        </is>
      </c>
      <c r="K7017" t="n">
        <v>2026</v>
      </c>
      <c r="L7017" t="n">
        <v>12</v>
      </c>
      <c r="M7017" t="inlineStr">
        <is>
          <t>Chocolate em pó 50% 1 kg</t>
        </is>
      </c>
      <c r="N7017" t="inlineStr">
        <is>
          <t>Açougue</t>
        </is>
      </c>
      <c r="O7017" t="n">
        <v>1</v>
      </c>
      <c r="P7017" t="n">
        <v>2</v>
      </c>
      <c r="Q7017" t="n">
        <v>1</v>
      </c>
    </row>
    <row r="7018">
      <c r="J7018" t="inlineStr">
        <is>
          <t>A</t>
        </is>
      </c>
      <c r="K7018" t="n">
        <v>2026</v>
      </c>
      <c r="L7018" t="n">
        <v>1</v>
      </c>
      <c r="M7018" t="inlineStr">
        <is>
          <t>Composto lácteo Alibralac 1 kg</t>
        </is>
      </c>
      <c r="N7018" t="inlineStr">
        <is>
          <t>Todos</t>
        </is>
      </c>
      <c r="O7018" t="n">
        <v>7</v>
      </c>
      <c r="P7018" t="n">
        <v>11</v>
      </c>
      <c r="Q7018" t="n">
        <v>0</v>
      </c>
    </row>
    <row r="7019">
      <c r="J7019" t="inlineStr">
        <is>
          <t>M</t>
        </is>
      </c>
      <c r="K7019" t="n">
        <v>2026</v>
      </c>
      <c r="L7019" t="n">
        <v>1</v>
      </c>
      <c r="M7019" t="inlineStr">
        <is>
          <t>Composto lácteo Alibralac 1 kg</t>
        </is>
      </c>
      <c r="N7019" t="inlineStr">
        <is>
          <t>Todos</t>
        </is>
      </c>
      <c r="O7019" t="n">
        <v>7</v>
      </c>
      <c r="P7019" t="n">
        <v>11</v>
      </c>
      <c r="Q7019" t="n">
        <v>0</v>
      </c>
    </row>
    <row r="7020">
      <c r="J7020" t="inlineStr">
        <is>
          <t>A</t>
        </is>
      </c>
      <c r="K7020" t="n">
        <v>2026</v>
      </c>
      <c r="L7020" t="n">
        <v>2</v>
      </c>
      <c r="M7020" t="inlineStr">
        <is>
          <t>Composto lácteo Alibralac 1 kg</t>
        </is>
      </c>
      <c r="N7020" t="inlineStr">
        <is>
          <t>Todos</t>
        </is>
      </c>
      <c r="O7020" t="n">
        <v>12</v>
      </c>
      <c r="P7020" t="n">
        <v>20</v>
      </c>
      <c r="Q7020" t="n">
        <v>1</v>
      </c>
    </row>
    <row r="7021">
      <c r="J7021" t="inlineStr">
        <is>
          <t>M</t>
        </is>
      </c>
      <c r="K7021" t="n">
        <v>2026</v>
      </c>
      <c r="L7021" t="n">
        <v>2</v>
      </c>
      <c r="M7021" t="inlineStr">
        <is>
          <t>Composto lácteo Alibralac 1 kg</t>
        </is>
      </c>
      <c r="N7021" t="inlineStr">
        <is>
          <t>Todos</t>
        </is>
      </c>
      <c r="O7021" t="n">
        <v>6</v>
      </c>
      <c r="P7021" t="n">
        <v>9</v>
      </c>
      <c r="Q7021" t="n">
        <v>0</v>
      </c>
    </row>
    <row r="7022">
      <c r="J7022" t="inlineStr">
        <is>
          <t>A</t>
        </is>
      </c>
      <c r="K7022" t="n">
        <v>2026</v>
      </c>
      <c r="L7022" t="n">
        <v>3</v>
      </c>
      <c r="M7022" t="inlineStr">
        <is>
          <t>Composto lácteo Alibralac 1 kg</t>
        </is>
      </c>
      <c r="N7022" t="inlineStr">
        <is>
          <t>Todos</t>
        </is>
      </c>
      <c r="O7022" t="n">
        <v>16</v>
      </c>
      <c r="P7022" t="n">
        <v>35</v>
      </c>
      <c r="Q7022" t="n">
        <v>5</v>
      </c>
    </row>
    <row r="7023">
      <c r="J7023" t="inlineStr">
        <is>
          <t>M</t>
        </is>
      </c>
      <c r="K7023" t="n">
        <v>2026</v>
      </c>
      <c r="L7023" t="n">
        <v>3</v>
      </c>
      <c r="M7023" t="inlineStr">
        <is>
          <t>Composto lácteo Alibralac 1 kg</t>
        </is>
      </c>
      <c r="N7023" t="inlineStr">
        <is>
          <t>Todos</t>
        </is>
      </c>
      <c r="O7023" t="n">
        <v>10</v>
      </c>
      <c r="P7023" t="n">
        <v>15</v>
      </c>
      <c r="Q7023" t="n">
        <v>0</v>
      </c>
    </row>
    <row r="7024">
      <c r="J7024" t="inlineStr">
        <is>
          <t>A</t>
        </is>
      </c>
      <c r="K7024" t="n">
        <v>2026</v>
      </c>
      <c r="L7024" t="n">
        <v>4</v>
      </c>
      <c r="M7024" t="inlineStr">
        <is>
          <t>Composto lácteo Alibralac 1 kg</t>
        </is>
      </c>
      <c r="N7024" t="inlineStr">
        <is>
          <t>Todos</t>
        </is>
      </c>
      <c r="O7024" t="n">
        <v>19</v>
      </c>
      <c r="P7024" t="n">
        <v>52</v>
      </c>
      <c r="Q7024" t="n">
        <v>7</v>
      </c>
    </row>
    <row r="7025">
      <c r="J7025" t="inlineStr">
        <is>
          <t>M</t>
        </is>
      </c>
      <c r="K7025" t="n">
        <v>2026</v>
      </c>
      <c r="L7025" t="n">
        <v>4</v>
      </c>
      <c r="M7025" t="inlineStr">
        <is>
          <t>Composto lácteo Alibralac 1 kg</t>
        </is>
      </c>
      <c r="N7025" t="inlineStr">
        <is>
          <t>Todos</t>
        </is>
      </c>
      <c r="O7025" t="n">
        <v>10</v>
      </c>
      <c r="P7025" t="n">
        <v>17</v>
      </c>
      <c r="Q7025" t="n">
        <v>0</v>
      </c>
    </row>
    <row r="7026">
      <c r="J7026" t="inlineStr">
        <is>
          <t>A</t>
        </is>
      </c>
      <c r="K7026" t="n">
        <v>2026</v>
      </c>
      <c r="L7026" t="n">
        <v>5</v>
      </c>
      <c r="M7026" t="inlineStr">
        <is>
          <t>Composto lácteo Alibralac 1 kg</t>
        </is>
      </c>
      <c r="N7026" t="inlineStr">
        <is>
          <t>Todos</t>
        </is>
      </c>
      <c r="O7026" t="n">
        <v>20</v>
      </c>
      <c r="P7026" t="n">
        <v>64</v>
      </c>
      <c r="Q7026" t="n">
        <v>8</v>
      </c>
    </row>
    <row r="7027">
      <c r="J7027" t="inlineStr">
        <is>
          <t>M</t>
        </is>
      </c>
      <c r="K7027" t="n">
        <v>2026</v>
      </c>
      <c r="L7027" t="n">
        <v>5</v>
      </c>
      <c r="M7027" t="inlineStr">
        <is>
          <t>Composto lácteo Alibralac 1 kg</t>
        </is>
      </c>
      <c r="N7027" t="inlineStr">
        <is>
          <t>Todos</t>
        </is>
      </c>
      <c r="O7027" t="n">
        <v>10</v>
      </c>
      <c r="P7027" t="n">
        <v>12</v>
      </c>
      <c r="Q7027" t="n">
        <v>0</v>
      </c>
    </row>
    <row r="7028">
      <c r="J7028" t="inlineStr">
        <is>
          <t>A</t>
        </is>
      </c>
      <c r="K7028" t="n">
        <v>2026</v>
      </c>
      <c r="L7028" t="n">
        <v>6</v>
      </c>
      <c r="M7028" t="inlineStr">
        <is>
          <t>Composto lácteo Alibralac 1 kg</t>
        </is>
      </c>
      <c r="N7028" t="inlineStr">
        <is>
          <t>Todos</t>
        </is>
      </c>
      <c r="O7028" t="n">
        <v>22</v>
      </c>
      <c r="P7028" t="n">
        <v>78</v>
      </c>
      <c r="Q7028" t="n">
        <v>10</v>
      </c>
    </row>
    <row r="7029">
      <c r="J7029" t="inlineStr">
        <is>
          <t>M</t>
        </is>
      </c>
      <c r="K7029" t="n">
        <v>2026</v>
      </c>
      <c r="L7029" t="n">
        <v>6</v>
      </c>
      <c r="M7029" t="inlineStr">
        <is>
          <t>Composto lácteo Alibralac 1 kg</t>
        </is>
      </c>
      <c r="N7029" t="inlineStr">
        <is>
          <t>Todos</t>
        </is>
      </c>
      <c r="O7029" t="n">
        <v>11</v>
      </c>
      <c r="P7029" t="n">
        <v>14</v>
      </c>
      <c r="Q7029" t="n">
        <v>0</v>
      </c>
    </row>
    <row r="7030">
      <c r="J7030" t="inlineStr">
        <is>
          <t>A</t>
        </is>
      </c>
      <c r="K7030" t="n">
        <v>2026</v>
      </c>
      <c r="L7030" t="n">
        <v>7</v>
      </c>
      <c r="M7030" t="inlineStr">
        <is>
          <t>Composto lácteo Alibralac 1 kg</t>
        </is>
      </c>
      <c r="N7030" t="inlineStr">
        <is>
          <t>Todos</t>
        </is>
      </c>
      <c r="O7030" t="n">
        <v>24</v>
      </c>
      <c r="P7030" t="n">
        <v>99</v>
      </c>
      <c r="Q7030" t="n">
        <v>12</v>
      </c>
    </row>
    <row r="7031">
      <c r="J7031" t="inlineStr">
        <is>
          <t>M</t>
        </is>
      </c>
      <c r="K7031" t="n">
        <v>2026</v>
      </c>
      <c r="L7031" t="n">
        <v>7</v>
      </c>
      <c r="M7031" t="inlineStr">
        <is>
          <t>Composto lácteo Alibralac 1 kg</t>
        </is>
      </c>
      <c r="N7031" t="inlineStr">
        <is>
          <t>Todos</t>
        </is>
      </c>
      <c r="O7031" t="n">
        <v>10</v>
      </c>
      <c r="P7031" t="n">
        <v>21</v>
      </c>
      <c r="Q7031" t="n">
        <v>0</v>
      </c>
    </row>
    <row r="7032">
      <c r="J7032" t="inlineStr">
        <is>
          <t>A</t>
        </is>
      </c>
      <c r="K7032" t="n">
        <v>2026</v>
      </c>
      <c r="L7032" t="n">
        <v>8</v>
      </c>
      <c r="M7032" t="inlineStr">
        <is>
          <t>Composto lácteo Alibralac 1 kg</t>
        </is>
      </c>
      <c r="N7032" t="inlineStr">
        <is>
          <t>Todos</t>
        </is>
      </c>
      <c r="O7032" t="n">
        <v>24</v>
      </c>
      <c r="P7032" t="n">
        <v>114</v>
      </c>
      <c r="Q7032" t="n">
        <v>12</v>
      </c>
    </row>
    <row r="7033">
      <c r="J7033" t="inlineStr">
        <is>
          <t>M</t>
        </is>
      </c>
      <c r="K7033" t="n">
        <v>2026</v>
      </c>
      <c r="L7033" t="n">
        <v>8</v>
      </c>
      <c r="M7033" t="inlineStr">
        <is>
          <t>Composto lácteo Alibralac 1 kg</t>
        </is>
      </c>
      <c r="N7033" t="inlineStr">
        <is>
          <t>Todos</t>
        </is>
      </c>
      <c r="O7033" t="n">
        <v>8</v>
      </c>
      <c r="P7033" t="n">
        <v>15</v>
      </c>
      <c r="Q7033" t="n">
        <v>0</v>
      </c>
    </row>
    <row r="7034">
      <c r="J7034" t="inlineStr">
        <is>
          <t>A</t>
        </is>
      </c>
      <c r="K7034" t="n">
        <v>2026</v>
      </c>
      <c r="L7034" t="n">
        <v>9</v>
      </c>
      <c r="M7034" t="inlineStr">
        <is>
          <t>Composto lácteo Alibralac 1 kg</t>
        </is>
      </c>
      <c r="N7034" t="inlineStr">
        <is>
          <t>Todos</t>
        </is>
      </c>
      <c r="O7034" t="n">
        <v>29</v>
      </c>
      <c r="P7034" t="n">
        <v>131</v>
      </c>
      <c r="Q7034" t="n">
        <v>14</v>
      </c>
    </row>
    <row r="7035">
      <c r="J7035" t="inlineStr">
        <is>
          <t>M</t>
        </is>
      </c>
      <c r="K7035" t="n">
        <v>2026</v>
      </c>
      <c r="L7035" t="n">
        <v>9</v>
      </c>
      <c r="M7035" t="inlineStr">
        <is>
          <t>Composto lácteo Alibralac 1 kg</t>
        </is>
      </c>
      <c r="N7035" t="inlineStr">
        <is>
          <t>Todos</t>
        </is>
      </c>
      <c r="O7035" t="n">
        <v>12</v>
      </c>
      <c r="P7035" t="n">
        <v>17</v>
      </c>
      <c r="Q7035" t="n">
        <v>0</v>
      </c>
    </row>
    <row r="7036">
      <c r="J7036" t="inlineStr">
        <is>
          <t>A</t>
        </is>
      </c>
      <c r="K7036" t="n">
        <v>2026</v>
      </c>
      <c r="L7036" t="n">
        <v>10</v>
      </c>
      <c r="M7036" t="inlineStr">
        <is>
          <t>Composto lácteo Alibralac 1 kg</t>
        </is>
      </c>
      <c r="N7036" t="inlineStr">
        <is>
          <t>Todos</t>
        </is>
      </c>
      <c r="O7036" t="n">
        <v>29</v>
      </c>
      <c r="P7036" t="n">
        <v>131</v>
      </c>
      <c r="Q7036" t="n">
        <v>14</v>
      </c>
    </row>
    <row r="7037">
      <c r="J7037" t="inlineStr">
        <is>
          <t>A</t>
        </is>
      </c>
      <c r="K7037" t="n">
        <v>2026</v>
      </c>
      <c r="L7037" t="n">
        <v>11</v>
      </c>
      <c r="M7037" t="inlineStr">
        <is>
          <t>Composto lácteo Alibralac 1 kg</t>
        </is>
      </c>
      <c r="N7037" t="inlineStr">
        <is>
          <t>Todos</t>
        </is>
      </c>
      <c r="O7037" t="n">
        <v>29</v>
      </c>
      <c r="P7037" t="n">
        <v>131</v>
      </c>
      <c r="Q7037" t="n">
        <v>14</v>
      </c>
    </row>
    <row r="7038">
      <c r="J7038" t="inlineStr">
        <is>
          <t>A</t>
        </is>
      </c>
      <c r="K7038" t="n">
        <v>2026</v>
      </c>
      <c r="L7038" t="n">
        <v>12</v>
      </c>
      <c r="M7038" t="inlineStr">
        <is>
          <t>Composto lácteo Alibralac 1 kg</t>
        </is>
      </c>
      <c r="N7038" t="inlineStr">
        <is>
          <t>Todos</t>
        </is>
      </c>
      <c r="O7038" t="n">
        <v>29</v>
      </c>
      <c r="P7038" t="n">
        <v>131</v>
      </c>
      <c r="Q7038" t="n">
        <v>14</v>
      </c>
    </row>
    <row r="7039">
      <c r="J7039" t="inlineStr">
        <is>
          <t>A</t>
        </is>
      </c>
      <c r="K7039" t="n">
        <v>2026</v>
      </c>
      <c r="L7039" t="n">
        <v>1</v>
      </c>
      <c r="M7039" t="inlineStr">
        <is>
          <t>Composto lácteo Alibralac 1 kg</t>
        </is>
      </c>
      <c r="N7039" t="inlineStr">
        <is>
          <t>Pizzaria</t>
        </is>
      </c>
      <c r="O7039" t="n">
        <v>1</v>
      </c>
      <c r="P7039" t="n">
        <v>1</v>
      </c>
      <c r="Q7039" t="n">
        <v>0</v>
      </c>
    </row>
    <row r="7040">
      <c r="J7040" t="inlineStr">
        <is>
          <t>M</t>
        </is>
      </c>
      <c r="K7040" t="n">
        <v>2026</v>
      </c>
      <c r="L7040" t="n">
        <v>1</v>
      </c>
      <c r="M7040" t="inlineStr">
        <is>
          <t>Composto lácteo Alibralac 1 kg</t>
        </is>
      </c>
      <c r="N7040" t="inlineStr">
        <is>
          <t>Pizzaria</t>
        </is>
      </c>
      <c r="O7040" t="n">
        <v>1</v>
      </c>
      <c r="P7040" t="n">
        <v>1</v>
      </c>
      <c r="Q7040" t="n">
        <v>0</v>
      </c>
    </row>
    <row r="7041">
      <c r="J7041" t="inlineStr">
        <is>
          <t>A</t>
        </is>
      </c>
      <c r="K7041" t="n">
        <v>2026</v>
      </c>
      <c r="L7041" t="n">
        <v>2</v>
      </c>
      <c r="M7041" t="inlineStr">
        <is>
          <t>Composto lácteo Alibralac 1 kg</t>
        </is>
      </c>
      <c r="N7041" t="inlineStr">
        <is>
          <t>Pizzaria</t>
        </is>
      </c>
      <c r="O7041" t="n">
        <v>3</v>
      </c>
      <c r="P7041" t="n">
        <v>3</v>
      </c>
      <c r="Q7041" t="n">
        <v>0</v>
      </c>
    </row>
    <row r="7042">
      <c r="J7042" t="inlineStr">
        <is>
          <t>M</t>
        </is>
      </c>
      <c r="K7042" t="n">
        <v>2026</v>
      </c>
      <c r="L7042" t="n">
        <v>2</v>
      </c>
      <c r="M7042" t="inlineStr">
        <is>
          <t>Composto lácteo Alibralac 1 kg</t>
        </is>
      </c>
      <c r="N7042" t="inlineStr">
        <is>
          <t>Pizzaria</t>
        </is>
      </c>
      <c r="O7042" t="n">
        <v>2</v>
      </c>
      <c r="P7042" t="n">
        <v>2</v>
      </c>
      <c r="Q7042" t="n">
        <v>0</v>
      </c>
    </row>
    <row r="7043">
      <c r="J7043" t="inlineStr">
        <is>
          <t>A</t>
        </is>
      </c>
      <c r="K7043" t="n">
        <v>2026</v>
      </c>
      <c r="L7043" t="n">
        <v>3</v>
      </c>
      <c r="M7043" t="inlineStr">
        <is>
          <t>Composto lácteo Alibralac 1 kg</t>
        </is>
      </c>
      <c r="N7043" t="inlineStr">
        <is>
          <t>Pizzaria</t>
        </is>
      </c>
      <c r="O7043" t="n">
        <v>4</v>
      </c>
      <c r="P7043" t="n">
        <v>5</v>
      </c>
      <c r="Q7043" t="n">
        <v>1</v>
      </c>
    </row>
    <row r="7044">
      <c r="J7044" t="inlineStr">
        <is>
          <t>M</t>
        </is>
      </c>
      <c r="K7044" t="n">
        <v>2026</v>
      </c>
      <c r="L7044" t="n">
        <v>3</v>
      </c>
      <c r="M7044" t="inlineStr">
        <is>
          <t>Composto lácteo Alibralac 1 kg</t>
        </is>
      </c>
      <c r="N7044" t="inlineStr">
        <is>
          <t>Pizzaria</t>
        </is>
      </c>
      <c r="O7044" t="n">
        <v>2</v>
      </c>
      <c r="P7044" t="n">
        <v>2</v>
      </c>
      <c r="Q7044" t="n">
        <v>0</v>
      </c>
    </row>
    <row r="7045">
      <c r="J7045" t="inlineStr">
        <is>
          <t>A</t>
        </is>
      </c>
      <c r="K7045" t="n">
        <v>2026</v>
      </c>
      <c r="L7045" t="n">
        <v>4</v>
      </c>
      <c r="M7045" t="inlineStr">
        <is>
          <t>Composto lácteo Alibralac 1 kg</t>
        </is>
      </c>
      <c r="N7045" t="inlineStr">
        <is>
          <t>Pizzaria</t>
        </is>
      </c>
      <c r="O7045" t="n">
        <v>5</v>
      </c>
      <c r="P7045" t="n">
        <v>7</v>
      </c>
      <c r="Q7045" t="n">
        <v>1</v>
      </c>
    </row>
    <row r="7046">
      <c r="J7046" t="inlineStr">
        <is>
          <t>M</t>
        </is>
      </c>
      <c r="K7046" t="n">
        <v>2026</v>
      </c>
      <c r="L7046" t="n">
        <v>4</v>
      </c>
      <c r="M7046" t="inlineStr">
        <is>
          <t>Composto lácteo Alibralac 1 kg</t>
        </is>
      </c>
      <c r="N7046" t="inlineStr">
        <is>
          <t>Pizzaria</t>
        </is>
      </c>
      <c r="O7046" t="n">
        <v>2</v>
      </c>
      <c r="P7046" t="n">
        <v>2</v>
      </c>
      <c r="Q7046" t="n">
        <v>0</v>
      </c>
    </row>
    <row r="7047">
      <c r="J7047" t="inlineStr">
        <is>
          <t>A</t>
        </is>
      </c>
      <c r="K7047" t="n">
        <v>2026</v>
      </c>
      <c r="L7047" t="n">
        <v>5</v>
      </c>
      <c r="M7047" t="inlineStr">
        <is>
          <t>Composto lácteo Alibralac 1 kg</t>
        </is>
      </c>
      <c r="N7047" t="inlineStr">
        <is>
          <t>Pizzaria</t>
        </is>
      </c>
      <c r="O7047" t="n">
        <v>5</v>
      </c>
      <c r="P7047" t="n">
        <v>8</v>
      </c>
      <c r="Q7047" t="n">
        <v>1</v>
      </c>
    </row>
    <row r="7048">
      <c r="J7048" t="inlineStr">
        <is>
          <t>M</t>
        </is>
      </c>
      <c r="K7048" t="n">
        <v>2026</v>
      </c>
      <c r="L7048" t="n">
        <v>5</v>
      </c>
      <c r="M7048" t="inlineStr">
        <is>
          <t>Composto lácteo Alibralac 1 kg</t>
        </is>
      </c>
      <c r="N7048" t="inlineStr">
        <is>
          <t>Pizzaria</t>
        </is>
      </c>
      <c r="O7048" t="n">
        <v>1</v>
      </c>
      <c r="P7048" t="n">
        <v>1</v>
      </c>
      <c r="Q7048" t="n">
        <v>0</v>
      </c>
    </row>
    <row r="7049">
      <c r="J7049" t="inlineStr">
        <is>
          <t>A</t>
        </is>
      </c>
      <c r="K7049" t="n">
        <v>2026</v>
      </c>
      <c r="L7049" t="n">
        <v>6</v>
      </c>
      <c r="M7049" t="inlineStr">
        <is>
          <t>Composto lácteo Alibralac 1 kg</t>
        </is>
      </c>
      <c r="N7049" t="inlineStr">
        <is>
          <t>Pizzaria</t>
        </is>
      </c>
      <c r="O7049" t="n">
        <v>6</v>
      </c>
      <c r="P7049" t="n">
        <v>11</v>
      </c>
      <c r="Q7049" t="n">
        <v>2</v>
      </c>
    </row>
    <row r="7050">
      <c r="J7050" t="inlineStr">
        <is>
          <t>M</t>
        </is>
      </c>
      <c r="K7050" t="n">
        <v>2026</v>
      </c>
      <c r="L7050" t="n">
        <v>6</v>
      </c>
      <c r="M7050" t="inlineStr">
        <is>
          <t>Composto lácteo Alibralac 1 kg</t>
        </is>
      </c>
      <c r="N7050" t="inlineStr">
        <is>
          <t>Pizzaria</t>
        </is>
      </c>
      <c r="O7050" t="n">
        <v>3</v>
      </c>
      <c r="P7050" t="n">
        <v>3</v>
      </c>
      <c r="Q7050" t="n">
        <v>0</v>
      </c>
    </row>
    <row r="7051">
      <c r="J7051" t="inlineStr">
        <is>
          <t>A</t>
        </is>
      </c>
      <c r="K7051" t="n">
        <v>2026</v>
      </c>
      <c r="L7051" t="n">
        <v>7</v>
      </c>
      <c r="M7051" t="inlineStr">
        <is>
          <t>Composto lácteo Alibralac 1 kg</t>
        </is>
      </c>
      <c r="N7051" t="inlineStr">
        <is>
          <t>Pizzaria</t>
        </is>
      </c>
      <c r="O7051" t="n">
        <v>6</v>
      </c>
      <c r="P7051" t="n">
        <v>12</v>
      </c>
      <c r="Q7051" t="n">
        <v>2</v>
      </c>
    </row>
    <row r="7052">
      <c r="J7052" t="inlineStr">
        <is>
          <t>M</t>
        </is>
      </c>
      <c r="K7052" t="n">
        <v>2026</v>
      </c>
      <c r="L7052" t="n">
        <v>7</v>
      </c>
      <c r="M7052" t="inlineStr">
        <is>
          <t>Composto lácteo Alibralac 1 kg</t>
        </is>
      </c>
      <c r="N7052" t="inlineStr">
        <is>
          <t>Pizzaria</t>
        </is>
      </c>
      <c r="O7052" t="n">
        <v>1</v>
      </c>
      <c r="P7052" t="n">
        <v>1</v>
      </c>
      <c r="Q7052" t="n">
        <v>0</v>
      </c>
    </row>
    <row r="7053">
      <c r="J7053" t="inlineStr">
        <is>
          <t>A</t>
        </is>
      </c>
      <c r="K7053" t="n">
        <v>2026</v>
      </c>
      <c r="L7053" t="n">
        <v>8</v>
      </c>
      <c r="M7053" t="inlineStr">
        <is>
          <t>Composto lácteo Alibralac 1 kg</t>
        </is>
      </c>
      <c r="N7053" t="inlineStr">
        <is>
          <t>Pizzaria</t>
        </is>
      </c>
      <c r="O7053" t="n">
        <v>6</v>
      </c>
      <c r="P7053" t="n">
        <v>14</v>
      </c>
      <c r="Q7053" t="n">
        <v>2</v>
      </c>
    </row>
    <row r="7054">
      <c r="J7054" t="inlineStr">
        <is>
          <t>M</t>
        </is>
      </c>
      <c r="K7054" t="n">
        <v>2026</v>
      </c>
      <c r="L7054" t="n">
        <v>8</v>
      </c>
      <c r="M7054" t="inlineStr">
        <is>
          <t>Composto lácteo Alibralac 1 kg</t>
        </is>
      </c>
      <c r="N7054" t="inlineStr">
        <is>
          <t>Pizzaria</t>
        </is>
      </c>
      <c r="O7054" t="n">
        <v>2</v>
      </c>
      <c r="P7054" t="n">
        <v>2</v>
      </c>
      <c r="Q7054" t="n">
        <v>0</v>
      </c>
    </row>
    <row r="7055">
      <c r="J7055" t="inlineStr">
        <is>
          <t>A</t>
        </is>
      </c>
      <c r="K7055" t="n">
        <v>2026</v>
      </c>
      <c r="L7055" t="n">
        <v>9</v>
      </c>
      <c r="M7055" t="inlineStr">
        <is>
          <t>Composto lácteo Alibralac 1 kg</t>
        </is>
      </c>
      <c r="N7055" t="inlineStr">
        <is>
          <t>Pizzaria</t>
        </is>
      </c>
      <c r="O7055" t="n">
        <v>6</v>
      </c>
      <c r="P7055" t="n">
        <v>14</v>
      </c>
      <c r="Q7055" t="n">
        <v>2</v>
      </c>
    </row>
    <row r="7056">
      <c r="J7056" t="inlineStr">
        <is>
          <t>A</t>
        </is>
      </c>
      <c r="K7056" t="n">
        <v>2026</v>
      </c>
      <c r="L7056" t="n">
        <v>10</v>
      </c>
      <c r="M7056" t="inlineStr">
        <is>
          <t>Composto lácteo Alibralac 1 kg</t>
        </is>
      </c>
      <c r="N7056" t="inlineStr">
        <is>
          <t>Pizzaria</t>
        </is>
      </c>
      <c r="O7056" t="n">
        <v>6</v>
      </c>
      <c r="P7056" t="n">
        <v>14</v>
      </c>
      <c r="Q7056" t="n">
        <v>2</v>
      </c>
    </row>
    <row r="7057">
      <c r="J7057" t="inlineStr">
        <is>
          <t>A</t>
        </is>
      </c>
      <c r="K7057" t="n">
        <v>2026</v>
      </c>
      <c r="L7057" t="n">
        <v>11</v>
      </c>
      <c r="M7057" t="inlineStr">
        <is>
          <t>Composto lácteo Alibralac 1 kg</t>
        </is>
      </c>
      <c r="N7057" t="inlineStr">
        <is>
          <t>Pizzaria</t>
        </is>
      </c>
      <c r="O7057" t="n">
        <v>6</v>
      </c>
      <c r="P7057" t="n">
        <v>14</v>
      </c>
      <c r="Q7057" t="n">
        <v>2</v>
      </c>
    </row>
    <row r="7058">
      <c r="J7058" t="inlineStr">
        <is>
          <t>A</t>
        </is>
      </c>
      <c r="K7058" t="n">
        <v>2026</v>
      </c>
      <c r="L7058" t="n">
        <v>12</v>
      </c>
      <c r="M7058" t="inlineStr">
        <is>
          <t>Composto lácteo Alibralac 1 kg</t>
        </is>
      </c>
      <c r="N7058" t="inlineStr">
        <is>
          <t>Pizzaria</t>
        </is>
      </c>
      <c r="O7058" t="n">
        <v>6</v>
      </c>
      <c r="P7058" t="n">
        <v>14</v>
      </c>
      <c r="Q7058" t="n">
        <v>2</v>
      </c>
    </row>
    <row r="7059">
      <c r="J7059" t="inlineStr">
        <is>
          <t>A</t>
        </is>
      </c>
      <c r="K7059" t="n">
        <v>2026</v>
      </c>
      <c r="L7059" t="n">
        <v>1</v>
      </c>
      <c r="M7059" t="inlineStr">
        <is>
          <t>Composto lácteo Alibralac 1 kg</t>
        </is>
      </c>
      <c r="N7059" t="inlineStr">
        <is>
          <t>Restaurante / Cantina</t>
        </is>
      </c>
      <c r="O7059" t="n">
        <v>3</v>
      </c>
      <c r="P7059" t="n">
        <v>7</v>
      </c>
      <c r="Q7059" t="n">
        <v>0</v>
      </c>
    </row>
    <row r="7060">
      <c r="J7060" t="inlineStr">
        <is>
          <t>M</t>
        </is>
      </c>
      <c r="K7060" t="n">
        <v>2026</v>
      </c>
      <c r="L7060" t="n">
        <v>1</v>
      </c>
      <c r="M7060" t="inlineStr">
        <is>
          <t>Composto lácteo Alibralac 1 kg</t>
        </is>
      </c>
      <c r="N7060" t="inlineStr">
        <is>
          <t>Restaurante / Cantina</t>
        </is>
      </c>
      <c r="O7060" t="n">
        <v>3</v>
      </c>
      <c r="P7060" t="n">
        <v>7</v>
      </c>
      <c r="Q7060" t="n">
        <v>0</v>
      </c>
    </row>
    <row r="7061">
      <c r="J7061" t="inlineStr">
        <is>
          <t>A</t>
        </is>
      </c>
      <c r="K7061" t="n">
        <v>2026</v>
      </c>
      <c r="L7061" t="n">
        <v>2</v>
      </c>
      <c r="M7061" t="inlineStr">
        <is>
          <t>Composto lácteo Alibralac 1 kg</t>
        </is>
      </c>
      <c r="N7061" t="inlineStr">
        <is>
          <t>Restaurante / Cantina</t>
        </is>
      </c>
      <c r="O7061" t="n">
        <v>3</v>
      </c>
      <c r="P7061" t="n">
        <v>9</v>
      </c>
      <c r="Q7061" t="n">
        <v>0</v>
      </c>
    </row>
    <row r="7062">
      <c r="J7062" t="inlineStr">
        <is>
          <t>M</t>
        </is>
      </c>
      <c r="K7062" t="n">
        <v>2026</v>
      </c>
      <c r="L7062" t="n">
        <v>2</v>
      </c>
      <c r="M7062" t="inlineStr">
        <is>
          <t>Composto lácteo Alibralac 1 kg</t>
        </is>
      </c>
      <c r="N7062" t="inlineStr">
        <is>
          <t>Restaurante / Cantina</t>
        </is>
      </c>
      <c r="O7062" t="n">
        <v>1</v>
      </c>
      <c r="P7062" t="n">
        <v>2</v>
      </c>
      <c r="Q7062" t="n">
        <v>0</v>
      </c>
    </row>
    <row r="7063">
      <c r="J7063" t="inlineStr">
        <is>
          <t>A</t>
        </is>
      </c>
      <c r="K7063" t="n">
        <v>2026</v>
      </c>
      <c r="L7063" t="n">
        <v>3</v>
      </c>
      <c r="M7063" t="inlineStr">
        <is>
          <t>Composto lácteo Alibralac 1 kg</t>
        </is>
      </c>
      <c r="N7063" t="inlineStr">
        <is>
          <t>Restaurante / Cantina</t>
        </is>
      </c>
      <c r="O7063" t="n">
        <v>4</v>
      </c>
      <c r="P7063" t="n">
        <v>14</v>
      </c>
      <c r="Q7063" t="n">
        <v>1</v>
      </c>
    </row>
    <row r="7064">
      <c r="J7064" t="inlineStr">
        <is>
          <t>M</t>
        </is>
      </c>
      <c r="K7064" t="n">
        <v>2026</v>
      </c>
      <c r="L7064" t="n">
        <v>3</v>
      </c>
      <c r="M7064" t="inlineStr">
        <is>
          <t>Composto lácteo Alibralac 1 kg</t>
        </is>
      </c>
      <c r="N7064" t="inlineStr">
        <is>
          <t>Restaurante / Cantina</t>
        </is>
      </c>
      <c r="O7064" t="n">
        <v>3</v>
      </c>
      <c r="P7064" t="n">
        <v>5</v>
      </c>
      <c r="Q7064" t="n">
        <v>0</v>
      </c>
    </row>
    <row r="7065">
      <c r="J7065" t="inlineStr">
        <is>
          <t>A</t>
        </is>
      </c>
      <c r="K7065" t="n">
        <v>2026</v>
      </c>
      <c r="L7065" t="n">
        <v>4</v>
      </c>
      <c r="M7065" t="inlineStr">
        <is>
          <t>Composto lácteo Alibralac 1 kg</t>
        </is>
      </c>
      <c r="N7065" t="inlineStr">
        <is>
          <t>Restaurante / Cantina</t>
        </is>
      </c>
      <c r="O7065" t="n">
        <v>5</v>
      </c>
      <c r="P7065" t="n">
        <v>22</v>
      </c>
      <c r="Q7065" t="n">
        <v>2</v>
      </c>
    </row>
    <row r="7066">
      <c r="J7066" t="inlineStr">
        <is>
          <t>M</t>
        </is>
      </c>
      <c r="K7066" t="n">
        <v>2026</v>
      </c>
      <c r="L7066" t="n">
        <v>4</v>
      </c>
      <c r="M7066" t="inlineStr">
        <is>
          <t>Composto lácteo Alibralac 1 kg</t>
        </is>
      </c>
      <c r="N7066" t="inlineStr">
        <is>
          <t>Restaurante / Cantina</t>
        </is>
      </c>
      <c r="O7066" t="n">
        <v>4</v>
      </c>
      <c r="P7066" t="n">
        <v>8</v>
      </c>
      <c r="Q7066" t="n">
        <v>0</v>
      </c>
    </row>
    <row r="7067">
      <c r="J7067" t="inlineStr">
        <is>
          <t>A</t>
        </is>
      </c>
      <c r="K7067" t="n">
        <v>2026</v>
      </c>
      <c r="L7067" t="n">
        <v>5</v>
      </c>
      <c r="M7067" t="inlineStr">
        <is>
          <t>Composto lácteo Alibralac 1 kg</t>
        </is>
      </c>
      <c r="N7067" t="inlineStr">
        <is>
          <t>Restaurante / Cantina</t>
        </is>
      </c>
      <c r="O7067" t="n">
        <v>5</v>
      </c>
      <c r="P7067" t="n">
        <v>26</v>
      </c>
      <c r="Q7067" t="n">
        <v>2</v>
      </c>
    </row>
    <row r="7068">
      <c r="J7068" t="inlineStr">
        <is>
          <t>M</t>
        </is>
      </c>
      <c r="K7068" t="n">
        <v>2026</v>
      </c>
      <c r="L7068" t="n">
        <v>5</v>
      </c>
      <c r="M7068" t="inlineStr">
        <is>
          <t>Composto lácteo Alibralac 1 kg</t>
        </is>
      </c>
      <c r="N7068" t="inlineStr">
        <is>
          <t>Restaurante / Cantina</t>
        </is>
      </c>
      <c r="O7068" t="n">
        <v>3</v>
      </c>
      <c r="P7068" t="n">
        <v>4</v>
      </c>
      <c r="Q7068" t="n">
        <v>0</v>
      </c>
    </row>
    <row r="7069">
      <c r="J7069" t="inlineStr">
        <is>
          <t>A</t>
        </is>
      </c>
      <c r="K7069" t="n">
        <v>2026</v>
      </c>
      <c r="L7069" t="n">
        <v>6</v>
      </c>
      <c r="M7069" t="inlineStr">
        <is>
          <t>Composto lácteo Alibralac 1 kg</t>
        </is>
      </c>
      <c r="N7069" t="inlineStr">
        <is>
          <t>Restaurante / Cantina</t>
        </is>
      </c>
      <c r="O7069" t="n">
        <v>5</v>
      </c>
      <c r="P7069" t="n">
        <v>33</v>
      </c>
      <c r="Q7069" t="n">
        <v>2</v>
      </c>
    </row>
    <row r="7070">
      <c r="J7070" t="inlineStr">
        <is>
          <t>M</t>
        </is>
      </c>
      <c r="K7070" t="n">
        <v>2026</v>
      </c>
      <c r="L7070" t="n">
        <v>6</v>
      </c>
      <c r="M7070" t="inlineStr">
        <is>
          <t>Composto lácteo Alibralac 1 kg</t>
        </is>
      </c>
      <c r="N7070" t="inlineStr">
        <is>
          <t>Restaurante / Cantina</t>
        </is>
      </c>
      <c r="O7070" t="n">
        <v>4</v>
      </c>
      <c r="P7070" t="n">
        <v>7</v>
      </c>
      <c r="Q7070" t="n">
        <v>0</v>
      </c>
    </row>
    <row r="7071">
      <c r="J7071" t="inlineStr">
        <is>
          <t>A</t>
        </is>
      </c>
      <c r="K7071" t="n">
        <v>2026</v>
      </c>
      <c r="L7071" t="n">
        <v>7</v>
      </c>
      <c r="M7071" t="inlineStr">
        <is>
          <t>Composto lácteo Alibralac 1 kg</t>
        </is>
      </c>
      <c r="N7071" t="inlineStr">
        <is>
          <t>Restaurante / Cantina</t>
        </is>
      </c>
      <c r="O7071" t="n">
        <v>5</v>
      </c>
      <c r="P7071" t="n">
        <v>47</v>
      </c>
      <c r="Q7071" t="n">
        <v>2</v>
      </c>
    </row>
    <row r="7072">
      <c r="J7072" t="inlineStr">
        <is>
          <t>M</t>
        </is>
      </c>
      <c r="K7072" t="n">
        <v>2026</v>
      </c>
      <c r="L7072" t="n">
        <v>7</v>
      </c>
      <c r="M7072" t="inlineStr">
        <is>
          <t>Composto lácteo Alibralac 1 kg</t>
        </is>
      </c>
      <c r="N7072" t="inlineStr">
        <is>
          <t>Restaurante / Cantina</t>
        </is>
      </c>
      <c r="O7072" t="n">
        <v>4</v>
      </c>
      <c r="P7072" t="n">
        <v>14</v>
      </c>
      <c r="Q7072" t="n">
        <v>0</v>
      </c>
    </row>
    <row r="7073">
      <c r="J7073" t="inlineStr">
        <is>
          <t>A</t>
        </is>
      </c>
      <c r="K7073" t="n">
        <v>2026</v>
      </c>
      <c r="L7073" t="n">
        <v>8</v>
      </c>
      <c r="M7073" t="inlineStr">
        <is>
          <t>Composto lácteo Alibralac 1 kg</t>
        </is>
      </c>
      <c r="N7073" t="inlineStr">
        <is>
          <t>Restaurante / Cantina</t>
        </is>
      </c>
      <c r="O7073" t="n">
        <v>5</v>
      </c>
      <c r="P7073" t="n">
        <v>57</v>
      </c>
      <c r="Q7073" t="n">
        <v>2</v>
      </c>
    </row>
    <row r="7074">
      <c r="J7074" t="inlineStr">
        <is>
          <t>M</t>
        </is>
      </c>
      <c r="K7074" t="n">
        <v>2026</v>
      </c>
      <c r="L7074" t="n">
        <v>8</v>
      </c>
      <c r="M7074" t="inlineStr">
        <is>
          <t>Composto lácteo Alibralac 1 kg</t>
        </is>
      </c>
      <c r="N7074" t="inlineStr">
        <is>
          <t>Restaurante / Cantina</t>
        </is>
      </c>
      <c r="O7074" t="n">
        <v>4</v>
      </c>
      <c r="P7074" t="n">
        <v>10</v>
      </c>
      <c r="Q7074" t="n">
        <v>0</v>
      </c>
    </row>
    <row r="7075">
      <c r="J7075" t="inlineStr">
        <is>
          <t>A</t>
        </is>
      </c>
      <c r="K7075" t="n">
        <v>2026</v>
      </c>
      <c r="L7075" t="n">
        <v>9</v>
      </c>
      <c r="M7075" t="inlineStr">
        <is>
          <t>Composto lácteo Alibralac 1 kg</t>
        </is>
      </c>
      <c r="N7075" t="inlineStr">
        <is>
          <t>Restaurante / Cantina</t>
        </is>
      </c>
      <c r="O7075" t="n">
        <v>6</v>
      </c>
      <c r="P7075" t="n">
        <v>63</v>
      </c>
      <c r="Q7075" t="n">
        <v>2</v>
      </c>
    </row>
    <row r="7076">
      <c r="J7076" t="inlineStr">
        <is>
          <t>M</t>
        </is>
      </c>
      <c r="K7076" t="n">
        <v>2026</v>
      </c>
      <c r="L7076" t="n">
        <v>9</v>
      </c>
      <c r="M7076" t="inlineStr">
        <is>
          <t>Composto lácteo Alibralac 1 kg</t>
        </is>
      </c>
      <c r="N7076" t="inlineStr">
        <is>
          <t>Restaurante / Cantina</t>
        </is>
      </c>
      <c r="O7076" t="n">
        <v>4</v>
      </c>
      <c r="P7076" t="n">
        <v>6</v>
      </c>
      <c r="Q7076" t="n">
        <v>0</v>
      </c>
    </row>
    <row r="7077">
      <c r="J7077" t="inlineStr">
        <is>
          <t>A</t>
        </is>
      </c>
      <c r="K7077" t="n">
        <v>2026</v>
      </c>
      <c r="L7077" t="n">
        <v>10</v>
      </c>
      <c r="M7077" t="inlineStr">
        <is>
          <t>Composto lácteo Alibralac 1 kg</t>
        </is>
      </c>
      <c r="N7077" t="inlineStr">
        <is>
          <t>Restaurante / Cantina</t>
        </is>
      </c>
      <c r="O7077" t="n">
        <v>6</v>
      </c>
      <c r="P7077" t="n">
        <v>63</v>
      </c>
      <c r="Q7077" t="n">
        <v>2</v>
      </c>
    </row>
    <row r="7078">
      <c r="J7078" t="inlineStr">
        <is>
          <t>A</t>
        </is>
      </c>
      <c r="K7078" t="n">
        <v>2026</v>
      </c>
      <c r="L7078" t="n">
        <v>11</v>
      </c>
      <c r="M7078" t="inlineStr">
        <is>
          <t>Composto lácteo Alibralac 1 kg</t>
        </is>
      </c>
      <c r="N7078" t="inlineStr">
        <is>
          <t>Restaurante / Cantina</t>
        </is>
      </c>
      <c r="O7078" t="n">
        <v>6</v>
      </c>
      <c r="P7078" t="n">
        <v>63</v>
      </c>
      <c r="Q7078" t="n">
        <v>2</v>
      </c>
    </row>
    <row r="7079">
      <c r="J7079" t="inlineStr">
        <is>
          <t>A</t>
        </is>
      </c>
      <c r="K7079" t="n">
        <v>2026</v>
      </c>
      <c r="L7079" t="n">
        <v>12</v>
      </c>
      <c r="M7079" t="inlineStr">
        <is>
          <t>Composto lácteo Alibralac 1 kg</t>
        </is>
      </c>
      <c r="N7079" t="inlineStr">
        <is>
          <t>Restaurante / Cantina</t>
        </is>
      </c>
      <c r="O7079" t="n">
        <v>6</v>
      </c>
      <c r="P7079" t="n">
        <v>63</v>
      </c>
      <c r="Q7079" t="n">
        <v>2</v>
      </c>
    </row>
    <row r="7080">
      <c r="J7080" t="inlineStr">
        <is>
          <t>A</t>
        </is>
      </c>
      <c r="K7080" t="n">
        <v>2026</v>
      </c>
      <c r="L7080" t="n">
        <v>2</v>
      </c>
      <c r="M7080" t="inlineStr">
        <is>
          <t>Composto lácteo Alibralac 1 kg</t>
        </is>
      </c>
      <c r="N7080" t="inlineStr">
        <is>
          <t>Cozinha Industrial</t>
        </is>
      </c>
      <c r="O7080" t="n">
        <v>1</v>
      </c>
      <c r="P7080" t="n">
        <v>1</v>
      </c>
      <c r="Q7080" t="n">
        <v>0</v>
      </c>
    </row>
    <row r="7081">
      <c r="J7081" t="inlineStr">
        <is>
          <t>M</t>
        </is>
      </c>
      <c r="K7081" t="n">
        <v>2026</v>
      </c>
      <c r="L7081" t="n">
        <v>2</v>
      </c>
      <c r="M7081" t="inlineStr">
        <is>
          <t>Composto lácteo Alibralac 1 kg</t>
        </is>
      </c>
      <c r="N7081" t="inlineStr">
        <is>
          <t>Cozinha Industrial</t>
        </is>
      </c>
      <c r="O7081" t="n">
        <v>1</v>
      </c>
      <c r="P7081" t="n">
        <v>1</v>
      </c>
      <c r="Q7081" t="n">
        <v>0</v>
      </c>
    </row>
    <row r="7082">
      <c r="J7082" t="inlineStr">
        <is>
          <t>A</t>
        </is>
      </c>
      <c r="K7082" t="n">
        <v>2026</v>
      </c>
      <c r="L7082" t="n">
        <v>3</v>
      </c>
      <c r="M7082" t="inlineStr">
        <is>
          <t>Composto lácteo Alibralac 1 kg</t>
        </is>
      </c>
      <c r="N7082" t="inlineStr">
        <is>
          <t>Cozinha Industrial</t>
        </is>
      </c>
      <c r="O7082" t="n">
        <v>1</v>
      </c>
      <c r="P7082" t="n">
        <v>1</v>
      </c>
      <c r="Q7082" t="n">
        <v>0</v>
      </c>
    </row>
    <row r="7083">
      <c r="J7083" t="inlineStr">
        <is>
          <t>A</t>
        </is>
      </c>
      <c r="K7083" t="n">
        <v>2026</v>
      </c>
      <c r="L7083" t="n">
        <v>4</v>
      </c>
      <c r="M7083" t="inlineStr">
        <is>
          <t>Composto lácteo Alibralac 1 kg</t>
        </is>
      </c>
      <c r="N7083" t="inlineStr">
        <is>
          <t>Cozinha Industrial</t>
        </is>
      </c>
      <c r="O7083" t="n">
        <v>1</v>
      </c>
      <c r="P7083" t="n">
        <v>1</v>
      </c>
      <c r="Q7083" t="n">
        <v>0</v>
      </c>
    </row>
    <row r="7084">
      <c r="J7084" t="inlineStr">
        <is>
          <t>A</t>
        </is>
      </c>
      <c r="K7084" t="n">
        <v>2026</v>
      </c>
      <c r="L7084" t="n">
        <v>5</v>
      </c>
      <c r="M7084" t="inlineStr">
        <is>
          <t>Composto lácteo Alibralac 1 kg</t>
        </is>
      </c>
      <c r="N7084" t="inlineStr">
        <is>
          <t>Cozinha Industrial</t>
        </is>
      </c>
      <c r="O7084" t="n">
        <v>1</v>
      </c>
      <c r="P7084" t="n">
        <v>1</v>
      </c>
      <c r="Q7084" t="n">
        <v>0</v>
      </c>
    </row>
    <row r="7085">
      <c r="J7085" t="inlineStr">
        <is>
          <t>A</t>
        </is>
      </c>
      <c r="K7085" t="n">
        <v>2026</v>
      </c>
      <c r="L7085" t="n">
        <v>6</v>
      </c>
      <c r="M7085" t="inlineStr">
        <is>
          <t>Composto lácteo Alibralac 1 kg</t>
        </is>
      </c>
      <c r="N7085" t="inlineStr">
        <is>
          <t>Cozinha Industrial</t>
        </is>
      </c>
      <c r="O7085" t="n">
        <v>1</v>
      </c>
      <c r="P7085" t="n">
        <v>1</v>
      </c>
      <c r="Q7085" t="n">
        <v>0</v>
      </c>
    </row>
    <row r="7086">
      <c r="J7086" t="inlineStr">
        <is>
          <t>A</t>
        </is>
      </c>
      <c r="K7086" t="n">
        <v>2026</v>
      </c>
      <c r="L7086" t="n">
        <v>7</v>
      </c>
      <c r="M7086" t="inlineStr">
        <is>
          <t>Composto lácteo Alibralac 1 kg</t>
        </is>
      </c>
      <c r="N7086" t="inlineStr">
        <is>
          <t>Cozinha Industrial</t>
        </is>
      </c>
      <c r="O7086" t="n">
        <v>1</v>
      </c>
      <c r="P7086" t="n">
        <v>1</v>
      </c>
      <c r="Q7086" t="n">
        <v>0</v>
      </c>
    </row>
    <row r="7087">
      <c r="J7087" t="inlineStr">
        <is>
          <t>A</t>
        </is>
      </c>
      <c r="K7087" t="n">
        <v>2026</v>
      </c>
      <c r="L7087" t="n">
        <v>8</v>
      </c>
      <c r="M7087" t="inlineStr">
        <is>
          <t>Composto lácteo Alibralac 1 kg</t>
        </is>
      </c>
      <c r="N7087" t="inlineStr">
        <is>
          <t>Cozinha Industrial</t>
        </is>
      </c>
      <c r="O7087" t="n">
        <v>1</v>
      </c>
      <c r="P7087" t="n">
        <v>1</v>
      </c>
      <c r="Q7087" t="n">
        <v>0</v>
      </c>
    </row>
    <row r="7088">
      <c r="J7088" t="inlineStr">
        <is>
          <t>A</t>
        </is>
      </c>
      <c r="K7088" t="n">
        <v>2026</v>
      </c>
      <c r="L7088" t="n">
        <v>9</v>
      </c>
      <c r="M7088" t="inlineStr">
        <is>
          <t>Composto lácteo Alibralac 1 kg</t>
        </is>
      </c>
      <c r="N7088" t="inlineStr">
        <is>
          <t>Cozinha Industrial</t>
        </is>
      </c>
      <c r="O7088" t="n">
        <v>1</v>
      </c>
      <c r="P7088" t="n">
        <v>1</v>
      </c>
      <c r="Q7088" t="n">
        <v>0</v>
      </c>
    </row>
    <row r="7089">
      <c r="J7089" t="inlineStr">
        <is>
          <t>A</t>
        </is>
      </c>
      <c r="K7089" t="n">
        <v>2026</v>
      </c>
      <c r="L7089" t="n">
        <v>10</v>
      </c>
      <c r="M7089" t="inlineStr">
        <is>
          <t>Composto lácteo Alibralac 1 kg</t>
        </is>
      </c>
      <c r="N7089" t="inlineStr">
        <is>
          <t>Cozinha Industrial</t>
        </is>
      </c>
      <c r="O7089" t="n">
        <v>1</v>
      </c>
      <c r="P7089" t="n">
        <v>1</v>
      </c>
      <c r="Q7089" t="n">
        <v>0</v>
      </c>
    </row>
    <row r="7090">
      <c r="J7090" t="inlineStr">
        <is>
          <t>A</t>
        </is>
      </c>
      <c r="K7090" t="n">
        <v>2026</v>
      </c>
      <c r="L7090" t="n">
        <v>11</v>
      </c>
      <c r="M7090" t="inlineStr">
        <is>
          <t>Composto lácteo Alibralac 1 kg</t>
        </is>
      </c>
      <c r="N7090" t="inlineStr">
        <is>
          <t>Cozinha Industrial</t>
        </is>
      </c>
      <c r="O7090" t="n">
        <v>1</v>
      </c>
      <c r="P7090" t="n">
        <v>1</v>
      </c>
      <c r="Q7090" t="n">
        <v>0</v>
      </c>
    </row>
    <row r="7091">
      <c r="J7091" t="inlineStr">
        <is>
          <t>A</t>
        </is>
      </c>
      <c r="K7091" t="n">
        <v>2026</v>
      </c>
      <c r="L7091" t="n">
        <v>12</v>
      </c>
      <c r="M7091" t="inlineStr">
        <is>
          <t>Composto lácteo Alibralac 1 kg</t>
        </is>
      </c>
      <c r="N7091" t="inlineStr">
        <is>
          <t>Cozinha Industrial</t>
        </is>
      </c>
      <c r="O7091" t="n">
        <v>1</v>
      </c>
      <c r="P7091" t="n">
        <v>1</v>
      </c>
      <c r="Q7091" t="n">
        <v>0</v>
      </c>
    </row>
    <row r="7092">
      <c r="J7092" t="inlineStr">
        <is>
          <t>A</t>
        </is>
      </c>
      <c r="K7092" t="n">
        <v>2026</v>
      </c>
      <c r="L7092" t="n">
        <v>1</v>
      </c>
      <c r="M7092" t="inlineStr">
        <is>
          <t>Composto lácteo Alibralac 1 kg</t>
        </is>
      </c>
      <c r="N7092" t="inlineStr">
        <is>
          <t>Fábrica de Massas</t>
        </is>
      </c>
      <c r="O7092" t="n">
        <v>1</v>
      </c>
      <c r="P7092" t="n">
        <v>1</v>
      </c>
      <c r="Q7092" t="n">
        <v>0</v>
      </c>
    </row>
    <row r="7093">
      <c r="J7093" t="inlineStr">
        <is>
          <t>M</t>
        </is>
      </c>
      <c r="K7093" t="n">
        <v>2026</v>
      </c>
      <c r="L7093" t="n">
        <v>1</v>
      </c>
      <c r="M7093" t="inlineStr">
        <is>
          <t>Composto lácteo Alibralac 1 kg</t>
        </is>
      </c>
      <c r="N7093" t="inlineStr">
        <is>
          <t>Fábrica de Massas</t>
        </is>
      </c>
      <c r="O7093" t="n">
        <v>1</v>
      </c>
      <c r="P7093" t="n">
        <v>1</v>
      </c>
      <c r="Q7093" t="n">
        <v>0</v>
      </c>
    </row>
    <row r="7094">
      <c r="J7094" t="inlineStr">
        <is>
          <t>A</t>
        </is>
      </c>
      <c r="K7094" t="n">
        <v>2026</v>
      </c>
      <c r="L7094" t="n">
        <v>2</v>
      </c>
      <c r="M7094" t="inlineStr">
        <is>
          <t>Composto lácteo Alibralac 1 kg</t>
        </is>
      </c>
      <c r="N7094" t="inlineStr">
        <is>
          <t>Fábrica de Massas</t>
        </is>
      </c>
      <c r="O7094" t="n">
        <v>1</v>
      </c>
      <c r="P7094" t="n">
        <v>1</v>
      </c>
      <c r="Q7094" t="n">
        <v>0</v>
      </c>
    </row>
    <row r="7095">
      <c r="J7095" t="inlineStr">
        <is>
          <t>A</t>
        </is>
      </c>
      <c r="K7095" t="n">
        <v>2026</v>
      </c>
      <c r="L7095" t="n">
        <v>3</v>
      </c>
      <c r="M7095" t="inlineStr">
        <is>
          <t>Composto lácteo Alibralac 1 kg</t>
        </is>
      </c>
      <c r="N7095" t="inlineStr">
        <is>
          <t>Fábrica de Massas</t>
        </is>
      </c>
      <c r="O7095" t="n">
        <v>1</v>
      </c>
      <c r="P7095" t="n">
        <v>2</v>
      </c>
      <c r="Q7095" t="n">
        <v>0</v>
      </c>
    </row>
    <row r="7096">
      <c r="J7096" t="inlineStr">
        <is>
          <t>M</t>
        </is>
      </c>
      <c r="K7096" t="n">
        <v>2026</v>
      </c>
      <c r="L7096" t="n">
        <v>3</v>
      </c>
      <c r="M7096" t="inlineStr">
        <is>
          <t>Composto lácteo Alibralac 1 kg</t>
        </is>
      </c>
      <c r="N7096" t="inlineStr">
        <is>
          <t>Fábrica de Massas</t>
        </is>
      </c>
      <c r="O7096" t="n">
        <v>1</v>
      </c>
      <c r="P7096" t="n">
        <v>1</v>
      </c>
      <c r="Q7096" t="n">
        <v>0</v>
      </c>
    </row>
    <row r="7097">
      <c r="J7097" t="inlineStr">
        <is>
          <t>A</t>
        </is>
      </c>
      <c r="K7097" t="n">
        <v>2026</v>
      </c>
      <c r="L7097" t="n">
        <v>4</v>
      </c>
      <c r="M7097" t="inlineStr">
        <is>
          <t>Composto lácteo Alibralac 1 kg</t>
        </is>
      </c>
      <c r="N7097" t="inlineStr">
        <is>
          <t>Fábrica de Massas</t>
        </is>
      </c>
      <c r="O7097" t="n">
        <v>1</v>
      </c>
      <c r="P7097" t="n">
        <v>2</v>
      </c>
      <c r="Q7097" t="n">
        <v>0</v>
      </c>
    </row>
    <row r="7098">
      <c r="J7098" t="inlineStr">
        <is>
          <t>A</t>
        </is>
      </c>
      <c r="K7098" t="n">
        <v>2026</v>
      </c>
      <c r="L7098" t="n">
        <v>5</v>
      </c>
      <c r="M7098" t="inlineStr">
        <is>
          <t>Composto lácteo Alibralac 1 kg</t>
        </is>
      </c>
      <c r="N7098" t="inlineStr">
        <is>
          <t>Fábrica de Massas</t>
        </is>
      </c>
      <c r="O7098" t="n">
        <v>1</v>
      </c>
      <c r="P7098" t="n">
        <v>3</v>
      </c>
      <c r="Q7098" t="n">
        <v>0</v>
      </c>
    </row>
    <row r="7099">
      <c r="J7099" t="inlineStr">
        <is>
          <t>M</t>
        </is>
      </c>
      <c r="K7099" t="n">
        <v>2026</v>
      </c>
      <c r="L7099" t="n">
        <v>5</v>
      </c>
      <c r="M7099" t="inlineStr">
        <is>
          <t>Composto lácteo Alibralac 1 kg</t>
        </is>
      </c>
      <c r="N7099" t="inlineStr">
        <is>
          <t>Fábrica de Massas</t>
        </is>
      </c>
      <c r="O7099" t="n">
        <v>1</v>
      </c>
      <c r="P7099" t="n">
        <v>1</v>
      </c>
      <c r="Q7099" t="n">
        <v>0</v>
      </c>
    </row>
    <row r="7100">
      <c r="J7100" t="inlineStr">
        <is>
          <t>A</t>
        </is>
      </c>
      <c r="K7100" t="n">
        <v>2026</v>
      </c>
      <c r="L7100" t="n">
        <v>6</v>
      </c>
      <c r="M7100" t="inlineStr">
        <is>
          <t>Composto lácteo Alibralac 1 kg</t>
        </is>
      </c>
      <c r="N7100" t="inlineStr">
        <is>
          <t>Fábrica de Massas</t>
        </is>
      </c>
      <c r="O7100" t="n">
        <v>1</v>
      </c>
      <c r="P7100" t="n">
        <v>3</v>
      </c>
      <c r="Q7100" t="n">
        <v>0</v>
      </c>
    </row>
    <row r="7101">
      <c r="J7101" t="inlineStr">
        <is>
          <t>A</t>
        </is>
      </c>
      <c r="K7101" t="n">
        <v>2026</v>
      </c>
      <c r="L7101" t="n">
        <v>7</v>
      </c>
      <c r="M7101" t="inlineStr">
        <is>
          <t>Composto lácteo Alibralac 1 kg</t>
        </is>
      </c>
      <c r="N7101" t="inlineStr">
        <is>
          <t>Fábrica de Massas</t>
        </is>
      </c>
      <c r="O7101" t="n">
        <v>1</v>
      </c>
      <c r="P7101" t="n">
        <v>3</v>
      </c>
      <c r="Q7101" t="n">
        <v>0</v>
      </c>
    </row>
    <row r="7102">
      <c r="J7102" t="inlineStr">
        <is>
          <t>A</t>
        </is>
      </c>
      <c r="K7102" t="n">
        <v>2026</v>
      </c>
      <c r="L7102" t="n">
        <v>8</v>
      </c>
      <c r="M7102" t="inlineStr">
        <is>
          <t>Composto lácteo Alibralac 1 kg</t>
        </is>
      </c>
      <c r="N7102" t="inlineStr">
        <is>
          <t>Fábrica de Massas</t>
        </is>
      </c>
      <c r="O7102" t="n">
        <v>1</v>
      </c>
      <c r="P7102" t="n">
        <v>3</v>
      </c>
      <c r="Q7102" t="n">
        <v>0</v>
      </c>
    </row>
    <row r="7103">
      <c r="J7103" t="inlineStr">
        <is>
          <t>A</t>
        </is>
      </c>
      <c r="K7103" t="n">
        <v>2026</v>
      </c>
      <c r="L7103" t="n">
        <v>9</v>
      </c>
      <c r="M7103" t="inlineStr">
        <is>
          <t>Composto lácteo Alibralac 1 kg</t>
        </is>
      </c>
      <c r="N7103" t="inlineStr">
        <is>
          <t>Fábrica de Massas</t>
        </is>
      </c>
      <c r="O7103" t="n">
        <v>1</v>
      </c>
      <c r="P7103" t="n">
        <v>4</v>
      </c>
      <c r="Q7103" t="n">
        <v>0</v>
      </c>
    </row>
    <row r="7104">
      <c r="J7104" t="inlineStr">
        <is>
          <t>M</t>
        </is>
      </c>
      <c r="K7104" t="n">
        <v>2026</v>
      </c>
      <c r="L7104" t="n">
        <v>9</v>
      </c>
      <c r="M7104" t="inlineStr">
        <is>
          <t>Composto lácteo Alibralac 1 kg</t>
        </is>
      </c>
      <c r="N7104" t="inlineStr">
        <is>
          <t>Fábrica de Massas</t>
        </is>
      </c>
      <c r="O7104" t="n">
        <v>1</v>
      </c>
      <c r="P7104" t="n">
        <v>1</v>
      </c>
      <c r="Q7104" t="n">
        <v>0</v>
      </c>
    </row>
    <row r="7105">
      <c r="J7105" t="inlineStr">
        <is>
          <t>A</t>
        </is>
      </c>
      <c r="K7105" t="n">
        <v>2026</v>
      </c>
      <c r="L7105" t="n">
        <v>10</v>
      </c>
      <c r="M7105" t="inlineStr">
        <is>
          <t>Composto lácteo Alibralac 1 kg</t>
        </is>
      </c>
      <c r="N7105" t="inlineStr">
        <is>
          <t>Fábrica de Massas</t>
        </is>
      </c>
      <c r="O7105" t="n">
        <v>1</v>
      </c>
      <c r="P7105" t="n">
        <v>4</v>
      </c>
      <c r="Q7105" t="n">
        <v>0</v>
      </c>
    </row>
    <row r="7106">
      <c r="J7106" t="inlineStr">
        <is>
          <t>A</t>
        </is>
      </c>
      <c r="K7106" t="n">
        <v>2026</v>
      </c>
      <c r="L7106" t="n">
        <v>11</v>
      </c>
      <c r="M7106" t="inlineStr">
        <is>
          <t>Composto lácteo Alibralac 1 kg</t>
        </is>
      </c>
      <c r="N7106" t="inlineStr">
        <is>
          <t>Fábrica de Massas</t>
        </is>
      </c>
      <c r="O7106" t="n">
        <v>1</v>
      </c>
      <c r="P7106" t="n">
        <v>4</v>
      </c>
      <c r="Q7106" t="n">
        <v>0</v>
      </c>
    </row>
    <row r="7107">
      <c r="J7107" t="inlineStr">
        <is>
          <t>A</t>
        </is>
      </c>
      <c r="K7107" t="n">
        <v>2026</v>
      </c>
      <c r="L7107" t="n">
        <v>12</v>
      </c>
      <c r="M7107" t="inlineStr">
        <is>
          <t>Composto lácteo Alibralac 1 kg</t>
        </is>
      </c>
      <c r="N7107" t="inlineStr">
        <is>
          <t>Fábrica de Massas</t>
        </is>
      </c>
      <c r="O7107" t="n">
        <v>1</v>
      </c>
      <c r="P7107" t="n">
        <v>4</v>
      </c>
      <c r="Q7107" t="n">
        <v>0</v>
      </c>
    </row>
    <row r="7108">
      <c r="J7108" t="inlineStr">
        <is>
          <t>A</t>
        </is>
      </c>
      <c r="K7108" t="n">
        <v>2026</v>
      </c>
      <c r="L7108" t="n">
        <v>1</v>
      </c>
      <c r="M7108" t="inlineStr">
        <is>
          <t>Composto lácteo Alibralac 1 kg</t>
        </is>
      </c>
      <c r="N7108" t="inlineStr">
        <is>
          <t>Outros</t>
        </is>
      </c>
      <c r="O7108" t="n">
        <v>1</v>
      </c>
      <c r="P7108" t="n">
        <v>1</v>
      </c>
      <c r="Q7108" t="n">
        <v>0</v>
      </c>
    </row>
    <row r="7109">
      <c r="J7109" t="inlineStr">
        <is>
          <t>M</t>
        </is>
      </c>
      <c r="K7109" t="n">
        <v>2026</v>
      </c>
      <c r="L7109" t="n">
        <v>1</v>
      </c>
      <c r="M7109" t="inlineStr">
        <is>
          <t>Composto lácteo Alibralac 1 kg</t>
        </is>
      </c>
      <c r="N7109" t="inlineStr">
        <is>
          <t>Outros</t>
        </is>
      </c>
      <c r="O7109" t="n">
        <v>1</v>
      </c>
      <c r="P7109" t="n">
        <v>1</v>
      </c>
      <c r="Q7109" t="n">
        <v>0</v>
      </c>
    </row>
    <row r="7110">
      <c r="J7110" t="inlineStr">
        <is>
          <t>A</t>
        </is>
      </c>
      <c r="K7110" t="n">
        <v>2026</v>
      </c>
      <c r="L7110" t="n">
        <v>2</v>
      </c>
      <c r="M7110" t="inlineStr">
        <is>
          <t>Composto lácteo Alibralac 1 kg</t>
        </is>
      </c>
      <c r="N7110" t="inlineStr">
        <is>
          <t>Outros</t>
        </is>
      </c>
      <c r="O7110" t="n">
        <v>1</v>
      </c>
      <c r="P7110" t="n">
        <v>1</v>
      </c>
      <c r="Q7110" t="n">
        <v>0</v>
      </c>
    </row>
    <row r="7111">
      <c r="J7111" t="inlineStr">
        <is>
          <t>A</t>
        </is>
      </c>
      <c r="K7111" t="n">
        <v>2026</v>
      </c>
      <c r="L7111" t="n">
        <v>3</v>
      </c>
      <c r="M7111" t="inlineStr">
        <is>
          <t>Composto lácteo Alibralac 1 kg</t>
        </is>
      </c>
      <c r="N7111" t="inlineStr">
        <is>
          <t>Outros</t>
        </is>
      </c>
      <c r="O7111" t="n">
        <v>1</v>
      </c>
      <c r="P7111" t="n">
        <v>1</v>
      </c>
      <c r="Q7111" t="n">
        <v>0</v>
      </c>
    </row>
    <row r="7112">
      <c r="J7112" t="inlineStr">
        <is>
          <t>A</t>
        </is>
      </c>
      <c r="K7112" t="n">
        <v>2026</v>
      </c>
      <c r="L7112" t="n">
        <v>4</v>
      </c>
      <c r="M7112" t="inlineStr">
        <is>
          <t>Composto lácteo Alibralac 1 kg</t>
        </is>
      </c>
      <c r="N7112" t="inlineStr">
        <is>
          <t>Outros</t>
        </is>
      </c>
      <c r="O7112" t="n">
        <v>1</v>
      </c>
      <c r="P7112" t="n">
        <v>1</v>
      </c>
      <c r="Q7112" t="n">
        <v>0</v>
      </c>
    </row>
    <row r="7113">
      <c r="J7113" t="inlineStr">
        <is>
          <t>A</t>
        </is>
      </c>
      <c r="K7113" t="n">
        <v>2026</v>
      </c>
      <c r="L7113" t="n">
        <v>5</v>
      </c>
      <c r="M7113" t="inlineStr">
        <is>
          <t>Composto lácteo Alibralac 1 kg</t>
        </is>
      </c>
      <c r="N7113" t="inlineStr">
        <is>
          <t>Outros</t>
        </is>
      </c>
      <c r="O7113" t="n">
        <v>1</v>
      </c>
      <c r="P7113" t="n">
        <v>1</v>
      </c>
      <c r="Q7113" t="n">
        <v>0</v>
      </c>
    </row>
    <row r="7114">
      <c r="J7114" t="inlineStr">
        <is>
          <t>A</t>
        </is>
      </c>
      <c r="K7114" t="n">
        <v>2026</v>
      </c>
      <c r="L7114" t="n">
        <v>6</v>
      </c>
      <c r="M7114" t="inlineStr">
        <is>
          <t>Composto lácteo Alibralac 1 kg</t>
        </is>
      </c>
      <c r="N7114" t="inlineStr">
        <is>
          <t>Outros</t>
        </is>
      </c>
      <c r="O7114" t="n">
        <v>1</v>
      </c>
      <c r="P7114" t="n">
        <v>1</v>
      </c>
      <c r="Q7114" t="n">
        <v>0</v>
      </c>
    </row>
    <row r="7115">
      <c r="J7115" t="inlineStr">
        <is>
          <t>A</t>
        </is>
      </c>
      <c r="K7115" t="n">
        <v>2026</v>
      </c>
      <c r="L7115" t="n">
        <v>7</v>
      </c>
      <c r="M7115" t="inlineStr">
        <is>
          <t>Composto lácteo Alibralac 1 kg</t>
        </is>
      </c>
      <c r="N7115" t="inlineStr">
        <is>
          <t>Outros</t>
        </is>
      </c>
      <c r="O7115" t="n">
        <v>1</v>
      </c>
      <c r="P7115" t="n">
        <v>1</v>
      </c>
      <c r="Q7115" t="n">
        <v>0</v>
      </c>
    </row>
    <row r="7116">
      <c r="J7116" t="inlineStr">
        <is>
          <t>A</t>
        </is>
      </c>
      <c r="K7116" t="n">
        <v>2026</v>
      </c>
      <c r="L7116" t="n">
        <v>8</v>
      </c>
      <c r="M7116" t="inlineStr">
        <is>
          <t>Composto lácteo Alibralac 1 kg</t>
        </is>
      </c>
      <c r="N7116" t="inlineStr">
        <is>
          <t>Outros</t>
        </is>
      </c>
      <c r="O7116" t="n">
        <v>1</v>
      </c>
      <c r="P7116" t="n">
        <v>1</v>
      </c>
      <c r="Q7116" t="n">
        <v>0</v>
      </c>
    </row>
    <row r="7117">
      <c r="J7117" t="inlineStr">
        <is>
          <t>A</t>
        </is>
      </c>
      <c r="K7117" t="n">
        <v>2026</v>
      </c>
      <c r="L7117" t="n">
        <v>9</v>
      </c>
      <c r="M7117" t="inlineStr">
        <is>
          <t>Composto lácteo Alibralac 1 kg</t>
        </is>
      </c>
      <c r="N7117" t="inlineStr">
        <is>
          <t>Outros</t>
        </is>
      </c>
      <c r="O7117" t="n">
        <v>1</v>
      </c>
      <c r="P7117" t="n">
        <v>1</v>
      </c>
      <c r="Q7117" t="n">
        <v>0</v>
      </c>
    </row>
    <row r="7118">
      <c r="J7118" t="inlineStr">
        <is>
          <t>A</t>
        </is>
      </c>
      <c r="K7118" t="n">
        <v>2026</v>
      </c>
      <c r="L7118" t="n">
        <v>10</v>
      </c>
      <c r="M7118" t="inlineStr">
        <is>
          <t>Composto lácteo Alibralac 1 kg</t>
        </is>
      </c>
      <c r="N7118" t="inlineStr">
        <is>
          <t>Outros</t>
        </is>
      </c>
      <c r="O7118" t="n">
        <v>1</v>
      </c>
      <c r="P7118" t="n">
        <v>1</v>
      </c>
      <c r="Q7118" t="n">
        <v>0</v>
      </c>
    </row>
    <row r="7119">
      <c r="J7119" t="inlineStr">
        <is>
          <t>A</t>
        </is>
      </c>
      <c r="K7119" t="n">
        <v>2026</v>
      </c>
      <c r="L7119" t="n">
        <v>11</v>
      </c>
      <c r="M7119" t="inlineStr">
        <is>
          <t>Composto lácteo Alibralac 1 kg</t>
        </is>
      </c>
      <c r="N7119" t="inlineStr">
        <is>
          <t>Outros</t>
        </is>
      </c>
      <c r="O7119" t="n">
        <v>1</v>
      </c>
      <c r="P7119" t="n">
        <v>1</v>
      </c>
      <c r="Q7119" t="n">
        <v>0</v>
      </c>
    </row>
    <row r="7120">
      <c r="J7120" t="inlineStr">
        <is>
          <t>A</t>
        </is>
      </c>
      <c r="K7120" t="n">
        <v>2026</v>
      </c>
      <c r="L7120" t="n">
        <v>12</v>
      </c>
      <c r="M7120" t="inlineStr">
        <is>
          <t>Composto lácteo Alibralac 1 kg</t>
        </is>
      </c>
      <c r="N7120" t="inlineStr">
        <is>
          <t>Outros</t>
        </is>
      </c>
      <c r="O7120" t="n">
        <v>1</v>
      </c>
      <c r="P7120" t="n">
        <v>1</v>
      </c>
      <c r="Q7120" t="n">
        <v>0</v>
      </c>
    </row>
    <row r="7121">
      <c r="J7121" t="inlineStr">
        <is>
          <t>A</t>
        </is>
      </c>
      <c r="K7121" t="n">
        <v>2026</v>
      </c>
      <c r="L7121" t="n">
        <v>6</v>
      </c>
      <c r="M7121" t="inlineStr">
        <is>
          <t>Composto lácteo Alibralac 1 kg</t>
        </is>
      </c>
      <c r="N7121" t="inlineStr">
        <is>
          <t>Pessoa Física</t>
        </is>
      </c>
      <c r="O7121" t="n">
        <v>1</v>
      </c>
      <c r="P7121" t="n">
        <v>1</v>
      </c>
      <c r="Q7121" t="n">
        <v>1</v>
      </c>
    </row>
    <row r="7122">
      <c r="J7122" t="inlineStr">
        <is>
          <t>M</t>
        </is>
      </c>
      <c r="K7122" t="n">
        <v>2026</v>
      </c>
      <c r="L7122" t="n">
        <v>6</v>
      </c>
      <c r="M7122" t="inlineStr">
        <is>
          <t>Composto lácteo Alibralac 1 kg</t>
        </is>
      </c>
      <c r="N7122" t="inlineStr">
        <is>
          <t>Pessoa Física</t>
        </is>
      </c>
      <c r="O7122" t="n">
        <v>1</v>
      </c>
      <c r="P7122" t="n">
        <v>1</v>
      </c>
      <c r="Q7122" t="n">
        <v>0</v>
      </c>
    </row>
    <row r="7123">
      <c r="J7123" t="inlineStr">
        <is>
          <t>A</t>
        </is>
      </c>
      <c r="K7123" t="n">
        <v>2026</v>
      </c>
      <c r="L7123" t="n">
        <v>7</v>
      </c>
      <c r="M7123" t="inlineStr">
        <is>
          <t>Composto lácteo Alibralac 1 kg</t>
        </is>
      </c>
      <c r="N7123" t="inlineStr">
        <is>
          <t>Pessoa Física</t>
        </is>
      </c>
      <c r="O7123" t="n">
        <v>1</v>
      </c>
      <c r="P7123" t="n">
        <v>2</v>
      </c>
      <c r="Q7123" t="n">
        <v>1</v>
      </c>
    </row>
    <row r="7124">
      <c r="J7124" t="inlineStr">
        <is>
          <t>M</t>
        </is>
      </c>
      <c r="K7124" t="n">
        <v>2026</v>
      </c>
      <c r="L7124" t="n">
        <v>7</v>
      </c>
      <c r="M7124" t="inlineStr">
        <is>
          <t>Composto lácteo Alibralac 1 kg</t>
        </is>
      </c>
      <c r="N7124" t="inlineStr">
        <is>
          <t>Pessoa Física</t>
        </is>
      </c>
      <c r="O7124" t="n">
        <v>1</v>
      </c>
      <c r="P7124" t="n">
        <v>1</v>
      </c>
      <c r="Q7124" t="n">
        <v>0</v>
      </c>
    </row>
    <row r="7125">
      <c r="J7125" t="inlineStr">
        <is>
          <t>A</t>
        </is>
      </c>
      <c r="K7125" t="n">
        <v>2026</v>
      </c>
      <c r="L7125" t="n">
        <v>8</v>
      </c>
      <c r="M7125" t="inlineStr">
        <is>
          <t>Composto lácteo Alibralac 1 kg</t>
        </is>
      </c>
      <c r="N7125" t="inlineStr">
        <is>
          <t>Pessoa Física</t>
        </is>
      </c>
      <c r="O7125" t="n">
        <v>1</v>
      </c>
      <c r="P7125" t="n">
        <v>2</v>
      </c>
      <c r="Q7125" t="n">
        <v>1</v>
      </c>
    </row>
    <row r="7126">
      <c r="J7126" t="inlineStr">
        <is>
          <t>A</t>
        </is>
      </c>
      <c r="K7126" t="n">
        <v>2026</v>
      </c>
      <c r="L7126" t="n">
        <v>9</v>
      </c>
      <c r="M7126" t="inlineStr">
        <is>
          <t>Composto lácteo Alibralac 1 kg</t>
        </is>
      </c>
      <c r="N7126" t="inlineStr">
        <is>
          <t>Pessoa Física</t>
        </is>
      </c>
      <c r="O7126" t="n">
        <v>2</v>
      </c>
      <c r="P7126" t="n">
        <v>5</v>
      </c>
      <c r="Q7126" t="n">
        <v>2</v>
      </c>
    </row>
    <row r="7127">
      <c r="J7127" t="inlineStr">
        <is>
          <t>M</t>
        </is>
      </c>
      <c r="K7127" t="n">
        <v>2026</v>
      </c>
      <c r="L7127" t="n">
        <v>9</v>
      </c>
      <c r="M7127" t="inlineStr">
        <is>
          <t>Composto lácteo Alibralac 1 kg</t>
        </is>
      </c>
      <c r="N7127" t="inlineStr">
        <is>
          <t>Pessoa Física</t>
        </is>
      </c>
      <c r="O7127" t="n">
        <v>1</v>
      </c>
      <c r="P7127" t="n">
        <v>3</v>
      </c>
      <c r="Q7127" t="n">
        <v>0</v>
      </c>
    </row>
    <row r="7128">
      <c r="J7128" t="inlineStr">
        <is>
          <t>A</t>
        </is>
      </c>
      <c r="K7128" t="n">
        <v>2026</v>
      </c>
      <c r="L7128" t="n">
        <v>10</v>
      </c>
      <c r="M7128" t="inlineStr">
        <is>
          <t>Composto lácteo Alibralac 1 kg</t>
        </is>
      </c>
      <c r="N7128" t="inlineStr">
        <is>
          <t>Pessoa Física</t>
        </is>
      </c>
      <c r="O7128" t="n">
        <v>2</v>
      </c>
      <c r="P7128" t="n">
        <v>5</v>
      </c>
      <c r="Q7128" t="n">
        <v>2</v>
      </c>
    </row>
    <row r="7129">
      <c r="J7129" t="inlineStr">
        <is>
          <t>A</t>
        </is>
      </c>
      <c r="K7129" t="n">
        <v>2026</v>
      </c>
      <c r="L7129" t="n">
        <v>11</v>
      </c>
      <c r="M7129" t="inlineStr">
        <is>
          <t>Composto lácteo Alibralac 1 kg</t>
        </is>
      </c>
      <c r="N7129" t="inlineStr">
        <is>
          <t>Pessoa Física</t>
        </is>
      </c>
      <c r="O7129" t="n">
        <v>2</v>
      </c>
      <c r="P7129" t="n">
        <v>5</v>
      </c>
      <c r="Q7129" t="n">
        <v>2</v>
      </c>
    </row>
    <row r="7130">
      <c r="J7130" t="inlineStr">
        <is>
          <t>A</t>
        </is>
      </c>
      <c r="K7130" t="n">
        <v>2026</v>
      </c>
      <c r="L7130" t="n">
        <v>12</v>
      </c>
      <c r="M7130" t="inlineStr">
        <is>
          <t>Composto lácteo Alibralac 1 kg</t>
        </is>
      </c>
      <c r="N7130" t="inlineStr">
        <is>
          <t>Pessoa Física</t>
        </is>
      </c>
      <c r="O7130" t="n">
        <v>2</v>
      </c>
      <c r="P7130" t="n">
        <v>5</v>
      </c>
      <c r="Q7130" t="n">
        <v>2</v>
      </c>
    </row>
    <row r="7131">
      <c r="J7131" t="inlineStr">
        <is>
          <t>A</t>
        </is>
      </c>
      <c r="K7131" t="n">
        <v>2026</v>
      </c>
      <c r="L7131" t="n">
        <v>3</v>
      </c>
      <c r="M7131" t="inlineStr">
        <is>
          <t>Composto lácteo Alibralac 1 kg</t>
        </is>
      </c>
      <c r="N7131" t="inlineStr">
        <is>
          <t>Esfiharia</t>
        </is>
      </c>
      <c r="O7131" t="n">
        <v>1</v>
      </c>
      <c r="P7131" t="n">
        <v>1</v>
      </c>
      <c r="Q7131" t="n">
        <v>1</v>
      </c>
    </row>
    <row r="7132">
      <c r="J7132" t="inlineStr">
        <is>
          <t>M</t>
        </is>
      </c>
      <c r="K7132" t="n">
        <v>2026</v>
      </c>
      <c r="L7132" t="n">
        <v>3</v>
      </c>
      <c r="M7132" t="inlineStr">
        <is>
          <t>Composto lácteo Alibralac 1 kg</t>
        </is>
      </c>
      <c r="N7132" t="inlineStr">
        <is>
          <t>Esfiharia</t>
        </is>
      </c>
      <c r="O7132" t="n">
        <v>1</v>
      </c>
      <c r="P7132" t="n">
        <v>1</v>
      </c>
      <c r="Q7132" t="n">
        <v>0</v>
      </c>
    </row>
    <row r="7133">
      <c r="J7133" t="inlineStr">
        <is>
          <t>A</t>
        </is>
      </c>
      <c r="K7133" t="n">
        <v>2026</v>
      </c>
      <c r="L7133" t="n">
        <v>4</v>
      </c>
      <c r="M7133" t="inlineStr">
        <is>
          <t>Composto lácteo Alibralac 1 kg</t>
        </is>
      </c>
      <c r="N7133" t="inlineStr">
        <is>
          <t>Esfiharia</t>
        </is>
      </c>
      <c r="O7133" t="n">
        <v>1</v>
      </c>
      <c r="P7133" t="n">
        <v>1</v>
      </c>
      <c r="Q7133" t="n">
        <v>1</v>
      </c>
    </row>
    <row r="7134">
      <c r="J7134" t="inlineStr">
        <is>
          <t>A</t>
        </is>
      </c>
      <c r="K7134" t="n">
        <v>2026</v>
      </c>
      <c r="L7134" t="n">
        <v>5</v>
      </c>
      <c r="M7134" t="inlineStr">
        <is>
          <t>Composto lácteo Alibralac 1 kg</t>
        </is>
      </c>
      <c r="N7134" t="inlineStr">
        <is>
          <t>Esfiharia</t>
        </is>
      </c>
      <c r="O7134" t="n">
        <v>1</v>
      </c>
      <c r="P7134" t="n">
        <v>1</v>
      </c>
      <c r="Q7134" t="n">
        <v>1</v>
      </c>
    </row>
    <row r="7135">
      <c r="J7135" t="inlineStr">
        <is>
          <t>A</t>
        </is>
      </c>
      <c r="K7135" t="n">
        <v>2026</v>
      </c>
      <c r="L7135" t="n">
        <v>6</v>
      </c>
      <c r="M7135" t="inlineStr">
        <is>
          <t>Composto lácteo Alibralac 1 kg</t>
        </is>
      </c>
      <c r="N7135" t="inlineStr">
        <is>
          <t>Esfiharia</t>
        </is>
      </c>
      <c r="O7135" t="n">
        <v>1</v>
      </c>
      <c r="P7135" t="n">
        <v>1</v>
      </c>
      <c r="Q7135" t="n">
        <v>1</v>
      </c>
    </row>
    <row r="7136">
      <c r="J7136" t="inlineStr">
        <is>
          <t>A</t>
        </is>
      </c>
      <c r="K7136" t="n">
        <v>2026</v>
      </c>
      <c r="L7136" t="n">
        <v>7</v>
      </c>
      <c r="M7136" t="inlineStr">
        <is>
          <t>Composto lácteo Alibralac 1 kg</t>
        </is>
      </c>
      <c r="N7136" t="inlineStr">
        <is>
          <t>Esfiharia</t>
        </is>
      </c>
      <c r="O7136" t="n">
        <v>1</v>
      </c>
      <c r="P7136" t="n">
        <v>1</v>
      </c>
      <c r="Q7136" t="n">
        <v>1</v>
      </c>
    </row>
    <row r="7137">
      <c r="J7137" t="inlineStr">
        <is>
          <t>A</t>
        </is>
      </c>
      <c r="K7137" t="n">
        <v>2026</v>
      </c>
      <c r="L7137" t="n">
        <v>8</v>
      </c>
      <c r="M7137" t="inlineStr">
        <is>
          <t>Composto lácteo Alibralac 1 kg</t>
        </is>
      </c>
      <c r="N7137" t="inlineStr">
        <is>
          <t>Esfiharia</t>
        </is>
      </c>
      <c r="O7137" t="n">
        <v>1</v>
      </c>
      <c r="P7137" t="n">
        <v>1</v>
      </c>
      <c r="Q7137" t="n">
        <v>1</v>
      </c>
    </row>
    <row r="7138">
      <c r="J7138" t="inlineStr">
        <is>
          <t>A</t>
        </is>
      </c>
      <c r="K7138" t="n">
        <v>2026</v>
      </c>
      <c r="L7138" t="n">
        <v>9</v>
      </c>
      <c r="M7138" t="inlineStr">
        <is>
          <t>Composto lácteo Alibralac 1 kg</t>
        </is>
      </c>
      <c r="N7138" t="inlineStr">
        <is>
          <t>Esfiharia</t>
        </is>
      </c>
      <c r="O7138" t="n">
        <v>1</v>
      </c>
      <c r="P7138" t="n">
        <v>1</v>
      </c>
      <c r="Q7138" t="n">
        <v>1</v>
      </c>
    </row>
    <row r="7139">
      <c r="J7139" t="inlineStr">
        <is>
          <t>A</t>
        </is>
      </c>
      <c r="K7139" t="n">
        <v>2026</v>
      </c>
      <c r="L7139" t="n">
        <v>10</v>
      </c>
      <c r="M7139" t="inlineStr">
        <is>
          <t>Composto lácteo Alibralac 1 kg</t>
        </is>
      </c>
      <c r="N7139" t="inlineStr">
        <is>
          <t>Esfiharia</t>
        </is>
      </c>
      <c r="O7139" t="n">
        <v>1</v>
      </c>
      <c r="P7139" t="n">
        <v>1</v>
      </c>
      <c r="Q7139" t="n">
        <v>1</v>
      </c>
    </row>
    <row r="7140">
      <c r="J7140" t="inlineStr">
        <is>
          <t>A</t>
        </is>
      </c>
      <c r="K7140" t="n">
        <v>2026</v>
      </c>
      <c r="L7140" t="n">
        <v>11</v>
      </c>
      <c r="M7140" t="inlineStr">
        <is>
          <t>Composto lácteo Alibralac 1 kg</t>
        </is>
      </c>
      <c r="N7140" t="inlineStr">
        <is>
          <t>Esfiharia</t>
        </is>
      </c>
      <c r="O7140" t="n">
        <v>1</v>
      </c>
      <c r="P7140" t="n">
        <v>1</v>
      </c>
      <c r="Q7140" t="n">
        <v>1</v>
      </c>
    </row>
    <row r="7141">
      <c r="J7141" t="inlineStr">
        <is>
          <t>A</t>
        </is>
      </c>
      <c r="K7141" t="n">
        <v>2026</v>
      </c>
      <c r="L7141" t="n">
        <v>12</v>
      </c>
      <c r="M7141" t="inlineStr">
        <is>
          <t>Composto lácteo Alibralac 1 kg</t>
        </is>
      </c>
      <c r="N7141" t="inlineStr">
        <is>
          <t>Esfiharia</t>
        </is>
      </c>
      <c r="O7141" t="n">
        <v>1</v>
      </c>
      <c r="P7141" t="n">
        <v>1</v>
      </c>
      <c r="Q7141" t="n">
        <v>1</v>
      </c>
    </row>
    <row r="7142">
      <c r="J7142" t="inlineStr">
        <is>
          <t>A</t>
        </is>
      </c>
      <c r="K7142" t="n">
        <v>2026</v>
      </c>
      <c r="L7142" t="n">
        <v>2</v>
      </c>
      <c r="M7142" t="inlineStr">
        <is>
          <t>Composto lácteo Alibralac 1 kg</t>
        </is>
      </c>
      <c r="N7142" t="inlineStr">
        <is>
          <t>Lanchonete / Cafeteria</t>
        </is>
      </c>
      <c r="O7142" t="n">
        <v>1</v>
      </c>
      <c r="P7142" t="n">
        <v>3</v>
      </c>
      <c r="Q7142" t="n">
        <v>1</v>
      </c>
    </row>
    <row r="7143">
      <c r="J7143" t="inlineStr">
        <is>
          <t>M</t>
        </is>
      </c>
      <c r="K7143" t="n">
        <v>2026</v>
      </c>
      <c r="L7143" t="n">
        <v>2</v>
      </c>
      <c r="M7143" t="inlineStr">
        <is>
          <t>Composto lácteo Alibralac 1 kg</t>
        </is>
      </c>
      <c r="N7143" t="inlineStr">
        <is>
          <t>Lanchonete / Cafeteria</t>
        </is>
      </c>
      <c r="O7143" t="n">
        <v>1</v>
      </c>
      <c r="P7143" t="n">
        <v>3</v>
      </c>
      <c r="Q7143" t="n">
        <v>0</v>
      </c>
    </row>
    <row r="7144">
      <c r="J7144" t="inlineStr">
        <is>
          <t>A</t>
        </is>
      </c>
      <c r="K7144" t="n">
        <v>2026</v>
      </c>
      <c r="L7144" t="n">
        <v>3</v>
      </c>
      <c r="M7144" t="inlineStr">
        <is>
          <t>Composto lácteo Alibralac 1 kg</t>
        </is>
      </c>
      <c r="N7144" t="inlineStr">
        <is>
          <t>Lanchonete / Cafeteria</t>
        </is>
      </c>
      <c r="O7144" t="n">
        <v>1</v>
      </c>
      <c r="P7144" t="n">
        <v>4</v>
      </c>
      <c r="Q7144" t="n">
        <v>1</v>
      </c>
    </row>
    <row r="7145">
      <c r="J7145" t="inlineStr">
        <is>
          <t>M</t>
        </is>
      </c>
      <c r="K7145" t="n">
        <v>2026</v>
      </c>
      <c r="L7145" t="n">
        <v>3</v>
      </c>
      <c r="M7145" t="inlineStr">
        <is>
          <t>Composto lácteo Alibralac 1 kg</t>
        </is>
      </c>
      <c r="N7145" t="inlineStr">
        <is>
          <t>Lanchonete / Cafeteria</t>
        </is>
      </c>
      <c r="O7145" t="n">
        <v>1</v>
      </c>
      <c r="P7145" t="n">
        <v>1</v>
      </c>
      <c r="Q7145" t="n">
        <v>0</v>
      </c>
    </row>
    <row r="7146">
      <c r="J7146" t="inlineStr">
        <is>
          <t>A</t>
        </is>
      </c>
      <c r="K7146" t="n">
        <v>2026</v>
      </c>
      <c r="L7146" t="n">
        <v>4</v>
      </c>
      <c r="M7146" t="inlineStr">
        <is>
          <t>Composto lácteo Alibralac 1 kg</t>
        </is>
      </c>
      <c r="N7146" t="inlineStr">
        <is>
          <t>Lanchonete / Cafeteria</t>
        </is>
      </c>
      <c r="O7146" t="n">
        <v>1</v>
      </c>
      <c r="P7146" t="n">
        <v>6</v>
      </c>
      <c r="Q7146" t="n">
        <v>1</v>
      </c>
    </row>
    <row r="7147">
      <c r="J7147" t="inlineStr">
        <is>
          <t>M</t>
        </is>
      </c>
      <c r="K7147" t="n">
        <v>2026</v>
      </c>
      <c r="L7147" t="n">
        <v>4</v>
      </c>
      <c r="M7147" t="inlineStr">
        <is>
          <t>Composto lácteo Alibralac 1 kg</t>
        </is>
      </c>
      <c r="N7147" t="inlineStr">
        <is>
          <t>Lanchonete / Cafeteria</t>
        </is>
      </c>
      <c r="O7147" t="n">
        <v>1</v>
      </c>
      <c r="P7147" t="n">
        <v>2</v>
      </c>
      <c r="Q7147" t="n">
        <v>0</v>
      </c>
    </row>
    <row r="7148">
      <c r="J7148" t="inlineStr">
        <is>
          <t>A</t>
        </is>
      </c>
      <c r="K7148" t="n">
        <v>2026</v>
      </c>
      <c r="L7148" t="n">
        <v>5</v>
      </c>
      <c r="M7148" t="inlineStr">
        <is>
          <t>Composto lácteo Alibralac 1 kg</t>
        </is>
      </c>
      <c r="N7148" t="inlineStr">
        <is>
          <t>Lanchonete / Cafeteria</t>
        </is>
      </c>
      <c r="O7148" t="n">
        <v>1</v>
      </c>
      <c r="P7148" t="n">
        <v>7</v>
      </c>
      <c r="Q7148" t="n">
        <v>1</v>
      </c>
    </row>
    <row r="7149">
      <c r="J7149" t="inlineStr">
        <is>
          <t>M</t>
        </is>
      </c>
      <c r="K7149" t="n">
        <v>2026</v>
      </c>
      <c r="L7149" t="n">
        <v>5</v>
      </c>
      <c r="M7149" t="inlineStr">
        <is>
          <t>Composto lácteo Alibralac 1 kg</t>
        </is>
      </c>
      <c r="N7149" t="inlineStr">
        <is>
          <t>Lanchonete / Cafeteria</t>
        </is>
      </c>
      <c r="O7149" t="n">
        <v>1</v>
      </c>
      <c r="P7149" t="n">
        <v>1</v>
      </c>
      <c r="Q7149" t="n">
        <v>0</v>
      </c>
    </row>
    <row r="7150">
      <c r="J7150" t="inlineStr">
        <is>
          <t>A</t>
        </is>
      </c>
      <c r="K7150" t="n">
        <v>2026</v>
      </c>
      <c r="L7150" t="n">
        <v>6</v>
      </c>
      <c r="M7150" t="inlineStr">
        <is>
          <t>Composto lácteo Alibralac 1 kg</t>
        </is>
      </c>
      <c r="N7150" t="inlineStr">
        <is>
          <t>Lanchonete / Cafeteria</t>
        </is>
      </c>
      <c r="O7150" t="n">
        <v>1</v>
      </c>
      <c r="P7150" t="n">
        <v>8</v>
      </c>
      <c r="Q7150" t="n">
        <v>1</v>
      </c>
    </row>
    <row r="7151">
      <c r="J7151" t="inlineStr">
        <is>
          <t>M</t>
        </is>
      </c>
      <c r="K7151" t="n">
        <v>2026</v>
      </c>
      <c r="L7151" t="n">
        <v>6</v>
      </c>
      <c r="M7151" t="inlineStr">
        <is>
          <t>Composto lácteo Alibralac 1 kg</t>
        </is>
      </c>
      <c r="N7151" t="inlineStr">
        <is>
          <t>Lanchonete / Cafeteria</t>
        </is>
      </c>
      <c r="O7151" t="n">
        <v>1</v>
      </c>
      <c r="P7151" t="n">
        <v>1</v>
      </c>
      <c r="Q7151" t="n">
        <v>0</v>
      </c>
    </row>
    <row r="7152">
      <c r="J7152" t="inlineStr">
        <is>
          <t>A</t>
        </is>
      </c>
      <c r="K7152" t="n">
        <v>2026</v>
      </c>
      <c r="L7152" t="n">
        <v>7</v>
      </c>
      <c r="M7152" t="inlineStr">
        <is>
          <t>Composto lácteo Alibralac 1 kg</t>
        </is>
      </c>
      <c r="N7152" t="inlineStr">
        <is>
          <t>Lanchonete / Cafeteria</t>
        </is>
      </c>
      <c r="O7152" t="n">
        <v>3</v>
      </c>
      <c r="P7152" t="n">
        <v>12</v>
      </c>
      <c r="Q7152" t="n">
        <v>3</v>
      </c>
    </row>
    <row r="7153">
      <c r="J7153" t="inlineStr">
        <is>
          <t>M</t>
        </is>
      </c>
      <c r="K7153" t="n">
        <v>2026</v>
      </c>
      <c r="L7153" t="n">
        <v>7</v>
      </c>
      <c r="M7153" t="inlineStr">
        <is>
          <t>Composto lácteo Alibralac 1 kg</t>
        </is>
      </c>
      <c r="N7153" t="inlineStr">
        <is>
          <t>Lanchonete / Cafeteria</t>
        </is>
      </c>
      <c r="O7153" t="n">
        <v>3</v>
      </c>
      <c r="P7153" t="n">
        <v>4</v>
      </c>
      <c r="Q7153" t="n">
        <v>0</v>
      </c>
    </row>
    <row r="7154">
      <c r="J7154" t="inlineStr">
        <is>
          <t>A</t>
        </is>
      </c>
      <c r="K7154" t="n">
        <v>2026</v>
      </c>
      <c r="L7154" t="n">
        <v>8</v>
      </c>
      <c r="M7154" t="inlineStr">
        <is>
          <t>Composto lácteo Alibralac 1 kg</t>
        </is>
      </c>
      <c r="N7154" t="inlineStr">
        <is>
          <t>Lanchonete / Cafeteria</t>
        </is>
      </c>
      <c r="O7154" t="n">
        <v>3</v>
      </c>
      <c r="P7154" t="n">
        <v>14</v>
      </c>
      <c r="Q7154" t="n">
        <v>3</v>
      </c>
    </row>
    <row r="7155">
      <c r="J7155" t="inlineStr">
        <is>
          <t>M</t>
        </is>
      </c>
      <c r="K7155" t="n">
        <v>2026</v>
      </c>
      <c r="L7155" t="n">
        <v>8</v>
      </c>
      <c r="M7155" t="inlineStr">
        <is>
          <t>Composto lácteo Alibralac 1 kg</t>
        </is>
      </c>
      <c r="N7155" t="inlineStr">
        <is>
          <t>Lanchonete / Cafeteria</t>
        </is>
      </c>
      <c r="O7155" t="n">
        <v>1</v>
      </c>
      <c r="P7155" t="n">
        <v>2</v>
      </c>
      <c r="Q7155" t="n">
        <v>0</v>
      </c>
    </row>
    <row r="7156">
      <c r="J7156" t="inlineStr">
        <is>
          <t>A</t>
        </is>
      </c>
      <c r="K7156" t="n">
        <v>2026</v>
      </c>
      <c r="L7156" t="n">
        <v>9</v>
      </c>
      <c r="M7156" t="inlineStr">
        <is>
          <t>Composto lácteo Alibralac 1 kg</t>
        </is>
      </c>
      <c r="N7156" t="inlineStr">
        <is>
          <t>Lanchonete / Cafeteria</t>
        </is>
      </c>
      <c r="O7156" t="n">
        <v>4</v>
      </c>
      <c r="P7156" t="n">
        <v>16</v>
      </c>
      <c r="Q7156" t="n">
        <v>3</v>
      </c>
    </row>
    <row r="7157">
      <c r="J7157" t="inlineStr">
        <is>
          <t>M</t>
        </is>
      </c>
      <c r="K7157" t="n">
        <v>2026</v>
      </c>
      <c r="L7157" t="n">
        <v>9</v>
      </c>
      <c r="M7157" t="inlineStr">
        <is>
          <t>Composto lácteo Alibralac 1 kg</t>
        </is>
      </c>
      <c r="N7157" t="inlineStr">
        <is>
          <t>Lanchonete / Cafeteria</t>
        </is>
      </c>
      <c r="O7157" t="n">
        <v>2</v>
      </c>
      <c r="P7157" t="n">
        <v>2</v>
      </c>
      <c r="Q7157" t="n">
        <v>0</v>
      </c>
    </row>
    <row r="7158">
      <c r="J7158" t="inlineStr">
        <is>
          <t>A</t>
        </is>
      </c>
      <c r="K7158" t="n">
        <v>2026</v>
      </c>
      <c r="L7158" t="n">
        <v>10</v>
      </c>
      <c r="M7158" t="inlineStr">
        <is>
          <t>Composto lácteo Alibralac 1 kg</t>
        </is>
      </c>
      <c r="N7158" t="inlineStr">
        <is>
          <t>Lanchonete / Cafeteria</t>
        </is>
      </c>
      <c r="O7158" t="n">
        <v>4</v>
      </c>
      <c r="P7158" t="n">
        <v>16</v>
      </c>
      <c r="Q7158" t="n">
        <v>3</v>
      </c>
    </row>
    <row r="7159">
      <c r="J7159" t="inlineStr">
        <is>
          <t>A</t>
        </is>
      </c>
      <c r="K7159" t="n">
        <v>2026</v>
      </c>
      <c r="L7159" t="n">
        <v>11</v>
      </c>
      <c r="M7159" t="inlineStr">
        <is>
          <t>Composto lácteo Alibralac 1 kg</t>
        </is>
      </c>
      <c r="N7159" t="inlineStr">
        <is>
          <t>Lanchonete / Cafeteria</t>
        </is>
      </c>
      <c r="O7159" t="n">
        <v>4</v>
      </c>
      <c r="P7159" t="n">
        <v>16</v>
      </c>
      <c r="Q7159" t="n">
        <v>3</v>
      </c>
    </row>
    <row r="7160">
      <c r="J7160" t="inlineStr">
        <is>
          <t>A</t>
        </is>
      </c>
      <c r="K7160" t="n">
        <v>2026</v>
      </c>
      <c r="L7160" t="n">
        <v>12</v>
      </c>
      <c r="M7160" t="inlineStr">
        <is>
          <t>Composto lácteo Alibralac 1 kg</t>
        </is>
      </c>
      <c r="N7160" t="inlineStr">
        <is>
          <t>Lanchonete / Cafeteria</t>
        </is>
      </c>
      <c r="O7160" t="n">
        <v>4</v>
      </c>
      <c r="P7160" t="n">
        <v>16</v>
      </c>
      <c r="Q7160" t="n">
        <v>3</v>
      </c>
    </row>
    <row r="7161">
      <c r="J7161" t="inlineStr">
        <is>
          <t>A</t>
        </is>
      </c>
      <c r="K7161" t="n">
        <v>2026</v>
      </c>
      <c r="L7161" t="n">
        <v>2</v>
      </c>
      <c r="M7161" t="inlineStr">
        <is>
          <t>Composto lácteo Alibralac 1 kg</t>
        </is>
      </c>
      <c r="N7161" t="inlineStr">
        <is>
          <t>Padaria</t>
        </is>
      </c>
      <c r="O7161" t="n">
        <v>1</v>
      </c>
      <c r="P7161" t="n">
        <v>1</v>
      </c>
      <c r="Q7161" t="n">
        <v>0</v>
      </c>
    </row>
    <row r="7162">
      <c r="J7162" t="inlineStr">
        <is>
          <t>M</t>
        </is>
      </c>
      <c r="K7162" t="n">
        <v>2026</v>
      </c>
      <c r="L7162" t="n">
        <v>2</v>
      </c>
      <c r="M7162" t="inlineStr">
        <is>
          <t>Composto lácteo Alibralac 1 kg</t>
        </is>
      </c>
      <c r="N7162" t="inlineStr">
        <is>
          <t>Padaria</t>
        </is>
      </c>
      <c r="O7162" t="n">
        <v>1</v>
      </c>
      <c r="P7162" t="n">
        <v>1</v>
      </c>
      <c r="Q7162" t="n">
        <v>0</v>
      </c>
    </row>
    <row r="7163">
      <c r="J7163" t="inlineStr">
        <is>
          <t>A</t>
        </is>
      </c>
      <c r="K7163" t="n">
        <v>2026</v>
      </c>
      <c r="L7163" t="n">
        <v>3</v>
      </c>
      <c r="M7163" t="inlineStr">
        <is>
          <t>Composto lácteo Alibralac 1 kg</t>
        </is>
      </c>
      <c r="N7163" t="inlineStr">
        <is>
          <t>Padaria</t>
        </is>
      </c>
      <c r="O7163" t="n">
        <v>1</v>
      </c>
      <c r="P7163" t="n">
        <v>3</v>
      </c>
      <c r="Q7163" t="n">
        <v>0</v>
      </c>
    </row>
    <row r="7164">
      <c r="J7164" t="inlineStr">
        <is>
          <t>M</t>
        </is>
      </c>
      <c r="K7164" t="n">
        <v>2026</v>
      </c>
      <c r="L7164" t="n">
        <v>3</v>
      </c>
      <c r="M7164" t="inlineStr">
        <is>
          <t>Composto lácteo Alibralac 1 kg</t>
        </is>
      </c>
      <c r="N7164" t="inlineStr">
        <is>
          <t>Padaria</t>
        </is>
      </c>
      <c r="O7164" t="n">
        <v>1</v>
      </c>
      <c r="P7164" t="n">
        <v>2</v>
      </c>
      <c r="Q7164" t="n">
        <v>0</v>
      </c>
    </row>
    <row r="7165">
      <c r="J7165" t="inlineStr">
        <is>
          <t>A</t>
        </is>
      </c>
      <c r="K7165" t="n">
        <v>2026</v>
      </c>
      <c r="L7165" t="n">
        <v>4</v>
      </c>
      <c r="M7165" t="inlineStr">
        <is>
          <t>Composto lácteo Alibralac 1 kg</t>
        </is>
      </c>
      <c r="N7165" t="inlineStr">
        <is>
          <t>Padaria</t>
        </is>
      </c>
      <c r="O7165" t="n">
        <v>3</v>
      </c>
      <c r="P7165" t="n">
        <v>5</v>
      </c>
      <c r="Q7165" t="n">
        <v>1</v>
      </c>
    </row>
    <row r="7166">
      <c r="J7166" t="inlineStr">
        <is>
          <t>M</t>
        </is>
      </c>
      <c r="K7166" t="n">
        <v>2026</v>
      </c>
      <c r="L7166" t="n">
        <v>4</v>
      </c>
      <c r="M7166" t="inlineStr">
        <is>
          <t>Composto lácteo Alibralac 1 kg</t>
        </is>
      </c>
      <c r="N7166" t="inlineStr">
        <is>
          <t>Padaria</t>
        </is>
      </c>
      <c r="O7166" t="n">
        <v>2</v>
      </c>
      <c r="P7166" t="n">
        <v>2</v>
      </c>
      <c r="Q7166" t="n">
        <v>0</v>
      </c>
    </row>
    <row r="7167">
      <c r="J7167" t="inlineStr">
        <is>
          <t>A</t>
        </is>
      </c>
      <c r="K7167" t="n">
        <v>2026</v>
      </c>
      <c r="L7167" t="n">
        <v>5</v>
      </c>
      <c r="M7167" t="inlineStr">
        <is>
          <t>Composto lácteo Alibralac 1 kg</t>
        </is>
      </c>
      <c r="N7167" t="inlineStr">
        <is>
          <t>Padaria</t>
        </is>
      </c>
      <c r="O7167" t="n">
        <v>3</v>
      </c>
      <c r="P7167" t="n">
        <v>7</v>
      </c>
      <c r="Q7167" t="n">
        <v>1</v>
      </c>
    </row>
    <row r="7168">
      <c r="J7168" t="inlineStr">
        <is>
          <t>M</t>
        </is>
      </c>
      <c r="K7168" t="n">
        <v>2026</v>
      </c>
      <c r="L7168" t="n">
        <v>5</v>
      </c>
      <c r="M7168" t="inlineStr">
        <is>
          <t>Composto lácteo Alibralac 1 kg</t>
        </is>
      </c>
      <c r="N7168" t="inlineStr">
        <is>
          <t>Padaria</t>
        </is>
      </c>
      <c r="O7168" t="n">
        <v>2</v>
      </c>
      <c r="P7168" t="n">
        <v>2</v>
      </c>
      <c r="Q7168" t="n">
        <v>0</v>
      </c>
    </row>
    <row r="7169">
      <c r="J7169" t="inlineStr">
        <is>
          <t>A</t>
        </is>
      </c>
      <c r="K7169" t="n">
        <v>2026</v>
      </c>
      <c r="L7169" t="n">
        <v>6</v>
      </c>
      <c r="M7169" t="inlineStr">
        <is>
          <t>Composto lácteo Alibralac 1 kg</t>
        </is>
      </c>
      <c r="N7169" t="inlineStr">
        <is>
          <t>Padaria</t>
        </is>
      </c>
      <c r="O7169" t="n">
        <v>3</v>
      </c>
      <c r="P7169" t="n">
        <v>8</v>
      </c>
      <c r="Q7169" t="n">
        <v>1</v>
      </c>
    </row>
    <row r="7170">
      <c r="J7170" t="inlineStr">
        <is>
          <t>M</t>
        </is>
      </c>
      <c r="K7170" t="n">
        <v>2026</v>
      </c>
      <c r="L7170" t="n">
        <v>6</v>
      </c>
      <c r="M7170" t="inlineStr">
        <is>
          <t>Composto lácteo Alibralac 1 kg</t>
        </is>
      </c>
      <c r="N7170" t="inlineStr">
        <is>
          <t>Padaria</t>
        </is>
      </c>
      <c r="O7170" t="n">
        <v>1</v>
      </c>
      <c r="P7170" t="n">
        <v>1</v>
      </c>
      <c r="Q7170" t="n">
        <v>0</v>
      </c>
    </row>
    <row r="7171">
      <c r="J7171" t="inlineStr">
        <is>
          <t>A</t>
        </is>
      </c>
      <c r="K7171" t="n">
        <v>2026</v>
      </c>
      <c r="L7171" t="n">
        <v>7</v>
      </c>
      <c r="M7171" t="inlineStr">
        <is>
          <t>Composto lácteo Alibralac 1 kg</t>
        </is>
      </c>
      <c r="N7171" t="inlineStr">
        <is>
          <t>Padaria</t>
        </is>
      </c>
      <c r="O7171" t="n">
        <v>3</v>
      </c>
      <c r="P7171" t="n">
        <v>8</v>
      </c>
      <c r="Q7171" t="n">
        <v>1</v>
      </c>
    </row>
    <row r="7172">
      <c r="J7172" t="inlineStr">
        <is>
          <t>A</t>
        </is>
      </c>
      <c r="K7172" t="n">
        <v>2026</v>
      </c>
      <c r="L7172" t="n">
        <v>8</v>
      </c>
      <c r="M7172" t="inlineStr">
        <is>
          <t>Composto lácteo Alibralac 1 kg</t>
        </is>
      </c>
      <c r="N7172" t="inlineStr">
        <is>
          <t>Padaria</t>
        </is>
      </c>
      <c r="O7172" t="n">
        <v>3</v>
      </c>
      <c r="P7172" t="n">
        <v>8</v>
      </c>
      <c r="Q7172" t="n">
        <v>1</v>
      </c>
    </row>
    <row r="7173">
      <c r="J7173" t="inlineStr">
        <is>
          <t>A</t>
        </is>
      </c>
      <c r="K7173" t="n">
        <v>2026</v>
      </c>
      <c r="L7173" t="n">
        <v>9</v>
      </c>
      <c r="M7173" t="inlineStr">
        <is>
          <t>Composto lácteo Alibralac 1 kg</t>
        </is>
      </c>
      <c r="N7173" t="inlineStr">
        <is>
          <t>Padaria</t>
        </is>
      </c>
      <c r="O7173" t="n">
        <v>3</v>
      </c>
      <c r="P7173" t="n">
        <v>9</v>
      </c>
      <c r="Q7173" t="n">
        <v>1</v>
      </c>
    </row>
    <row r="7174">
      <c r="J7174" t="inlineStr">
        <is>
          <t>M</t>
        </is>
      </c>
      <c r="K7174" t="n">
        <v>2026</v>
      </c>
      <c r="L7174" t="n">
        <v>9</v>
      </c>
      <c r="M7174" t="inlineStr">
        <is>
          <t>Composto lácteo Alibralac 1 kg</t>
        </is>
      </c>
      <c r="N7174" t="inlineStr">
        <is>
          <t>Padaria</t>
        </is>
      </c>
      <c r="O7174" t="n">
        <v>1</v>
      </c>
      <c r="P7174" t="n">
        <v>1</v>
      </c>
      <c r="Q7174" t="n">
        <v>0</v>
      </c>
    </row>
    <row r="7175">
      <c r="J7175" t="inlineStr">
        <is>
          <t>A</t>
        </is>
      </c>
      <c r="K7175" t="n">
        <v>2026</v>
      </c>
      <c r="L7175" t="n">
        <v>10</v>
      </c>
      <c r="M7175" t="inlineStr">
        <is>
          <t>Composto lácteo Alibralac 1 kg</t>
        </is>
      </c>
      <c r="N7175" t="inlineStr">
        <is>
          <t>Padaria</t>
        </is>
      </c>
      <c r="O7175" t="n">
        <v>3</v>
      </c>
      <c r="P7175" t="n">
        <v>9</v>
      </c>
      <c r="Q7175" t="n">
        <v>1</v>
      </c>
    </row>
    <row r="7176">
      <c r="J7176" t="inlineStr">
        <is>
          <t>A</t>
        </is>
      </c>
      <c r="K7176" t="n">
        <v>2026</v>
      </c>
      <c r="L7176" t="n">
        <v>11</v>
      </c>
      <c r="M7176" t="inlineStr">
        <is>
          <t>Composto lácteo Alibralac 1 kg</t>
        </is>
      </c>
      <c r="N7176" t="inlineStr">
        <is>
          <t>Padaria</t>
        </is>
      </c>
      <c r="O7176" t="n">
        <v>3</v>
      </c>
      <c r="P7176" t="n">
        <v>9</v>
      </c>
      <c r="Q7176" t="n">
        <v>1</v>
      </c>
    </row>
    <row r="7177">
      <c r="J7177" t="inlineStr">
        <is>
          <t>A</t>
        </is>
      </c>
      <c r="K7177" t="n">
        <v>2026</v>
      </c>
      <c r="L7177" t="n">
        <v>12</v>
      </c>
      <c r="M7177" t="inlineStr">
        <is>
          <t>Composto lácteo Alibralac 1 kg</t>
        </is>
      </c>
      <c r="N7177" t="inlineStr">
        <is>
          <t>Padaria</t>
        </is>
      </c>
      <c r="O7177" t="n">
        <v>3</v>
      </c>
      <c r="P7177" t="n">
        <v>9</v>
      </c>
      <c r="Q7177" t="n">
        <v>1</v>
      </c>
    </row>
    <row r="7178">
      <c r="J7178" t="inlineStr">
        <is>
          <t>A</t>
        </is>
      </c>
      <c r="K7178" t="n">
        <v>2026</v>
      </c>
      <c r="L7178" t="n">
        <v>9</v>
      </c>
      <c r="M7178" t="inlineStr">
        <is>
          <t>Composto lácteo Alibralac 1 kg</t>
        </is>
      </c>
      <c r="N7178" t="inlineStr">
        <is>
          <t>Supermercado</t>
        </is>
      </c>
      <c r="O7178" t="n">
        <v>1</v>
      </c>
      <c r="P7178" t="n">
        <v>1</v>
      </c>
      <c r="Q7178" t="n">
        <v>0</v>
      </c>
    </row>
    <row r="7179">
      <c r="J7179" t="inlineStr">
        <is>
          <t>M</t>
        </is>
      </c>
      <c r="K7179" t="n">
        <v>2026</v>
      </c>
      <c r="L7179" t="n">
        <v>9</v>
      </c>
      <c r="M7179" t="inlineStr">
        <is>
          <t>Composto lácteo Alibralac 1 kg</t>
        </is>
      </c>
      <c r="N7179" t="inlineStr">
        <is>
          <t>Supermercado</t>
        </is>
      </c>
      <c r="O7179" t="n">
        <v>1</v>
      </c>
      <c r="P7179" t="n">
        <v>1</v>
      </c>
      <c r="Q7179" t="n">
        <v>0</v>
      </c>
    </row>
    <row r="7180">
      <c r="J7180" t="inlineStr">
        <is>
          <t>A</t>
        </is>
      </c>
      <c r="K7180" t="n">
        <v>2026</v>
      </c>
      <c r="L7180" t="n">
        <v>10</v>
      </c>
      <c r="M7180" t="inlineStr">
        <is>
          <t>Composto lácteo Alibralac 1 kg</t>
        </is>
      </c>
      <c r="N7180" t="inlineStr">
        <is>
          <t>Supermercado</t>
        </is>
      </c>
      <c r="O7180" t="n">
        <v>1</v>
      </c>
      <c r="P7180" t="n">
        <v>1</v>
      </c>
      <c r="Q7180" t="n">
        <v>0</v>
      </c>
    </row>
    <row r="7181">
      <c r="J7181" t="inlineStr">
        <is>
          <t>A</t>
        </is>
      </c>
      <c r="K7181" t="n">
        <v>2026</v>
      </c>
      <c r="L7181" t="n">
        <v>11</v>
      </c>
      <c r="M7181" t="inlineStr">
        <is>
          <t>Composto lácteo Alibralac 1 kg</t>
        </is>
      </c>
      <c r="N7181" t="inlineStr">
        <is>
          <t>Supermercado</t>
        </is>
      </c>
      <c r="O7181" t="n">
        <v>1</v>
      </c>
      <c r="P7181" t="n">
        <v>1</v>
      </c>
      <c r="Q7181" t="n">
        <v>0</v>
      </c>
    </row>
    <row r="7182">
      <c r="J7182" t="inlineStr">
        <is>
          <t>A</t>
        </is>
      </c>
      <c r="K7182" t="n">
        <v>2026</v>
      </c>
      <c r="L7182" t="n">
        <v>12</v>
      </c>
      <c r="M7182" t="inlineStr">
        <is>
          <t>Composto lácteo Alibralac 1 kg</t>
        </is>
      </c>
      <c r="N7182" t="inlineStr">
        <is>
          <t>Supermercado</t>
        </is>
      </c>
      <c r="O7182" t="n">
        <v>1</v>
      </c>
      <c r="P7182" t="n">
        <v>1</v>
      </c>
      <c r="Q7182" t="n">
        <v>0</v>
      </c>
    </row>
    <row r="7183">
      <c r="J7183" t="inlineStr">
        <is>
          <t>A</t>
        </is>
      </c>
      <c r="K7183" t="n">
        <v>2026</v>
      </c>
      <c r="L7183" t="n">
        <v>1</v>
      </c>
      <c r="M7183" t="inlineStr">
        <is>
          <t>Composto lácteo Alibralac 1 kg</t>
        </is>
      </c>
      <c r="N7183" t="inlineStr">
        <is>
          <t>Hotel / Motel / Pousada</t>
        </is>
      </c>
      <c r="O7183" t="n">
        <v>1</v>
      </c>
      <c r="P7183" t="n">
        <v>1</v>
      </c>
      <c r="Q7183" t="n">
        <v>0</v>
      </c>
    </row>
    <row r="7184">
      <c r="J7184" t="inlineStr">
        <is>
          <t>M</t>
        </is>
      </c>
      <c r="K7184" t="n">
        <v>2026</v>
      </c>
      <c r="L7184" t="n">
        <v>1</v>
      </c>
      <c r="M7184" t="inlineStr">
        <is>
          <t>Composto lácteo Alibralac 1 kg</t>
        </is>
      </c>
      <c r="N7184" t="inlineStr">
        <is>
          <t>Hotel / Motel / Pousada</t>
        </is>
      </c>
      <c r="O7184" t="n">
        <v>1</v>
      </c>
      <c r="P7184" t="n">
        <v>1</v>
      </c>
      <c r="Q7184" t="n">
        <v>0</v>
      </c>
    </row>
    <row r="7185">
      <c r="J7185" t="inlineStr">
        <is>
          <t>A</t>
        </is>
      </c>
      <c r="K7185" t="n">
        <v>2026</v>
      </c>
      <c r="L7185" t="n">
        <v>2</v>
      </c>
      <c r="M7185" t="inlineStr">
        <is>
          <t>Composto lácteo Alibralac 1 kg</t>
        </is>
      </c>
      <c r="N7185" t="inlineStr">
        <is>
          <t>Hotel / Motel / Pousada</t>
        </is>
      </c>
      <c r="O7185" t="n">
        <v>1</v>
      </c>
      <c r="P7185" t="n">
        <v>1</v>
      </c>
      <c r="Q7185" t="n">
        <v>0</v>
      </c>
    </row>
    <row r="7186">
      <c r="J7186" t="inlineStr">
        <is>
          <t>A</t>
        </is>
      </c>
      <c r="K7186" t="n">
        <v>2026</v>
      </c>
      <c r="L7186" t="n">
        <v>3</v>
      </c>
      <c r="M7186" t="inlineStr">
        <is>
          <t>Composto lácteo Alibralac 1 kg</t>
        </is>
      </c>
      <c r="N7186" t="inlineStr">
        <is>
          <t>Hotel / Motel / Pousada</t>
        </is>
      </c>
      <c r="O7186" t="n">
        <v>1</v>
      </c>
      <c r="P7186" t="n">
        <v>1</v>
      </c>
      <c r="Q7186" t="n">
        <v>0</v>
      </c>
    </row>
    <row r="7187">
      <c r="J7187" t="inlineStr">
        <is>
          <t>A</t>
        </is>
      </c>
      <c r="K7187" t="n">
        <v>2026</v>
      </c>
      <c r="L7187" t="n">
        <v>4</v>
      </c>
      <c r="M7187" t="inlineStr">
        <is>
          <t>Composto lácteo Alibralac 1 kg</t>
        </is>
      </c>
      <c r="N7187" t="inlineStr">
        <is>
          <t>Hotel / Motel / Pousada</t>
        </is>
      </c>
      <c r="O7187" t="n">
        <v>1</v>
      </c>
      <c r="P7187" t="n">
        <v>1</v>
      </c>
      <c r="Q7187" t="n">
        <v>0</v>
      </c>
    </row>
    <row r="7188">
      <c r="J7188" t="inlineStr">
        <is>
          <t>A</t>
        </is>
      </c>
      <c r="K7188" t="n">
        <v>2026</v>
      </c>
      <c r="L7188" t="n">
        <v>5</v>
      </c>
      <c r="M7188" t="inlineStr">
        <is>
          <t>Composto lácteo Alibralac 1 kg</t>
        </is>
      </c>
      <c r="N7188" t="inlineStr">
        <is>
          <t>Hotel / Motel / Pousada</t>
        </is>
      </c>
      <c r="O7188" t="n">
        <v>2</v>
      </c>
      <c r="P7188" t="n">
        <v>2</v>
      </c>
      <c r="Q7188" t="n">
        <v>1</v>
      </c>
    </row>
    <row r="7189">
      <c r="J7189" t="inlineStr">
        <is>
          <t>M</t>
        </is>
      </c>
      <c r="K7189" t="n">
        <v>2026</v>
      </c>
      <c r="L7189" t="n">
        <v>5</v>
      </c>
      <c r="M7189" t="inlineStr">
        <is>
          <t>Composto lácteo Alibralac 1 kg</t>
        </is>
      </c>
      <c r="N7189" t="inlineStr">
        <is>
          <t>Hotel / Motel / Pousada</t>
        </is>
      </c>
      <c r="O7189" t="n">
        <v>1</v>
      </c>
      <c r="P7189" t="n">
        <v>1</v>
      </c>
      <c r="Q7189" t="n">
        <v>0</v>
      </c>
    </row>
    <row r="7190">
      <c r="J7190" t="inlineStr">
        <is>
          <t>A</t>
        </is>
      </c>
      <c r="K7190" t="n">
        <v>2026</v>
      </c>
      <c r="L7190" t="n">
        <v>6</v>
      </c>
      <c r="M7190" t="inlineStr">
        <is>
          <t>Composto lácteo Alibralac 1 kg</t>
        </is>
      </c>
      <c r="N7190" t="inlineStr">
        <is>
          <t>Hotel / Motel / Pousada</t>
        </is>
      </c>
      <c r="O7190" t="n">
        <v>2</v>
      </c>
      <c r="P7190" t="n">
        <v>2</v>
      </c>
      <c r="Q7190" t="n">
        <v>1</v>
      </c>
    </row>
    <row r="7191">
      <c r="J7191" t="inlineStr">
        <is>
          <t>A</t>
        </is>
      </c>
      <c r="K7191" t="n">
        <v>2026</v>
      </c>
      <c r="L7191" t="n">
        <v>7</v>
      </c>
      <c r="M7191" t="inlineStr">
        <is>
          <t>Composto lácteo Alibralac 1 kg</t>
        </is>
      </c>
      <c r="N7191" t="inlineStr">
        <is>
          <t>Hotel / Motel / Pousada</t>
        </is>
      </c>
      <c r="O7191" t="n">
        <v>2</v>
      </c>
      <c r="P7191" t="n">
        <v>2</v>
      </c>
      <c r="Q7191" t="n">
        <v>1</v>
      </c>
    </row>
    <row r="7192">
      <c r="J7192" t="inlineStr">
        <is>
          <t>A</t>
        </is>
      </c>
      <c r="K7192" t="n">
        <v>2026</v>
      </c>
      <c r="L7192" t="n">
        <v>8</v>
      </c>
      <c r="M7192" t="inlineStr">
        <is>
          <t>Composto lácteo Alibralac 1 kg</t>
        </is>
      </c>
      <c r="N7192" t="inlineStr">
        <is>
          <t>Hotel / Motel / Pousada</t>
        </is>
      </c>
      <c r="O7192" t="n">
        <v>2</v>
      </c>
      <c r="P7192" t="n">
        <v>2</v>
      </c>
      <c r="Q7192" t="n">
        <v>1</v>
      </c>
    </row>
    <row r="7193">
      <c r="J7193" t="inlineStr">
        <is>
          <t>A</t>
        </is>
      </c>
      <c r="K7193" t="n">
        <v>2026</v>
      </c>
      <c r="L7193" t="n">
        <v>9</v>
      </c>
      <c r="M7193" t="inlineStr">
        <is>
          <t>Composto lácteo Alibralac 1 kg</t>
        </is>
      </c>
      <c r="N7193" t="inlineStr">
        <is>
          <t>Hotel / Motel / Pousada</t>
        </is>
      </c>
      <c r="O7193" t="n">
        <v>2</v>
      </c>
      <c r="P7193" t="n">
        <v>2</v>
      </c>
      <c r="Q7193" t="n">
        <v>1</v>
      </c>
    </row>
    <row r="7194">
      <c r="J7194" t="inlineStr">
        <is>
          <t>A</t>
        </is>
      </c>
      <c r="K7194" t="n">
        <v>2026</v>
      </c>
      <c r="L7194" t="n">
        <v>10</v>
      </c>
      <c r="M7194" t="inlineStr">
        <is>
          <t>Composto lácteo Alibralac 1 kg</t>
        </is>
      </c>
      <c r="N7194" t="inlineStr">
        <is>
          <t>Hotel / Motel / Pousada</t>
        </is>
      </c>
      <c r="O7194" t="n">
        <v>2</v>
      </c>
      <c r="P7194" t="n">
        <v>2</v>
      </c>
      <c r="Q7194" t="n">
        <v>1</v>
      </c>
    </row>
    <row r="7195">
      <c r="J7195" t="inlineStr">
        <is>
          <t>A</t>
        </is>
      </c>
      <c r="K7195" t="n">
        <v>2026</v>
      </c>
      <c r="L7195" t="n">
        <v>11</v>
      </c>
      <c r="M7195" t="inlineStr">
        <is>
          <t>Composto lácteo Alibralac 1 kg</t>
        </is>
      </c>
      <c r="N7195" t="inlineStr">
        <is>
          <t>Hotel / Motel / Pousada</t>
        </is>
      </c>
      <c r="O7195" t="n">
        <v>2</v>
      </c>
      <c r="P7195" t="n">
        <v>2</v>
      </c>
      <c r="Q7195" t="n">
        <v>1</v>
      </c>
    </row>
    <row r="7196">
      <c r="J7196" t="inlineStr">
        <is>
          <t>A</t>
        </is>
      </c>
      <c r="K7196" t="n">
        <v>2026</v>
      </c>
      <c r="L7196" t="n">
        <v>12</v>
      </c>
      <c r="M7196" t="inlineStr">
        <is>
          <t>Composto lácteo Alibralac 1 kg</t>
        </is>
      </c>
      <c r="N7196" t="inlineStr">
        <is>
          <t>Hotel / Motel / Pousada</t>
        </is>
      </c>
      <c r="O7196" t="n">
        <v>2</v>
      </c>
      <c r="P7196" t="n">
        <v>2</v>
      </c>
      <c r="Q7196" t="n">
        <v>1</v>
      </c>
    </row>
    <row r="7197">
      <c r="J7197" t="inlineStr">
        <is>
          <t>A</t>
        </is>
      </c>
      <c r="K7197" t="n">
        <v>2026</v>
      </c>
      <c r="L7197" t="n">
        <v>3</v>
      </c>
      <c r="M7197" t="inlineStr">
        <is>
          <t>Composto lácteo Alibralac 1 kg</t>
        </is>
      </c>
      <c r="N7197" t="inlineStr">
        <is>
          <t>Hamburgueria</t>
        </is>
      </c>
      <c r="O7197" t="n">
        <v>1</v>
      </c>
      <c r="P7197" t="n">
        <v>3</v>
      </c>
      <c r="Q7197" t="n">
        <v>1</v>
      </c>
    </row>
    <row r="7198">
      <c r="J7198" t="inlineStr">
        <is>
          <t>M</t>
        </is>
      </c>
      <c r="K7198" t="n">
        <v>2026</v>
      </c>
      <c r="L7198" t="n">
        <v>3</v>
      </c>
      <c r="M7198" t="inlineStr">
        <is>
          <t>Composto lácteo Alibralac 1 kg</t>
        </is>
      </c>
      <c r="N7198" t="inlineStr">
        <is>
          <t>Hamburgueria</t>
        </is>
      </c>
      <c r="O7198" t="n">
        <v>1</v>
      </c>
      <c r="P7198" t="n">
        <v>3</v>
      </c>
      <c r="Q7198" t="n">
        <v>0</v>
      </c>
    </row>
    <row r="7199">
      <c r="J7199" t="inlineStr">
        <is>
          <t>A</t>
        </is>
      </c>
      <c r="K7199" t="n">
        <v>2026</v>
      </c>
      <c r="L7199" t="n">
        <v>4</v>
      </c>
      <c r="M7199" t="inlineStr">
        <is>
          <t>Composto lácteo Alibralac 1 kg</t>
        </is>
      </c>
      <c r="N7199" t="inlineStr">
        <is>
          <t>Hamburgueria</t>
        </is>
      </c>
      <c r="O7199" t="n">
        <v>1</v>
      </c>
      <c r="P7199" t="n">
        <v>6</v>
      </c>
      <c r="Q7199" t="n">
        <v>1</v>
      </c>
    </row>
    <row r="7200">
      <c r="J7200" t="inlineStr">
        <is>
          <t>M</t>
        </is>
      </c>
      <c r="K7200" t="n">
        <v>2026</v>
      </c>
      <c r="L7200" t="n">
        <v>4</v>
      </c>
      <c r="M7200" t="inlineStr">
        <is>
          <t>Composto lácteo Alibralac 1 kg</t>
        </is>
      </c>
      <c r="N7200" t="inlineStr">
        <is>
          <t>Hamburgueria</t>
        </is>
      </c>
      <c r="O7200" t="n">
        <v>1</v>
      </c>
      <c r="P7200" t="n">
        <v>3</v>
      </c>
      <c r="Q7200" t="n">
        <v>0</v>
      </c>
    </row>
    <row r="7201">
      <c r="J7201" t="inlineStr">
        <is>
          <t>A</t>
        </is>
      </c>
      <c r="K7201" t="n">
        <v>2026</v>
      </c>
      <c r="L7201" t="n">
        <v>5</v>
      </c>
      <c r="M7201" t="inlineStr">
        <is>
          <t>Composto lácteo Alibralac 1 kg</t>
        </is>
      </c>
      <c r="N7201" t="inlineStr">
        <is>
          <t>Hamburgueria</t>
        </is>
      </c>
      <c r="O7201" t="n">
        <v>1</v>
      </c>
      <c r="P7201" t="n">
        <v>8</v>
      </c>
      <c r="Q7201" t="n">
        <v>1</v>
      </c>
    </row>
    <row r="7202">
      <c r="J7202" t="inlineStr">
        <is>
          <t>M</t>
        </is>
      </c>
      <c r="K7202" t="n">
        <v>2026</v>
      </c>
      <c r="L7202" t="n">
        <v>5</v>
      </c>
      <c r="M7202" t="inlineStr">
        <is>
          <t>Composto lácteo Alibralac 1 kg</t>
        </is>
      </c>
      <c r="N7202" t="inlineStr">
        <is>
          <t>Hamburgueria</t>
        </is>
      </c>
      <c r="O7202" t="n">
        <v>1</v>
      </c>
      <c r="P7202" t="n">
        <v>2</v>
      </c>
      <c r="Q7202" t="n">
        <v>0</v>
      </c>
    </row>
    <row r="7203">
      <c r="J7203" t="inlineStr">
        <is>
          <t>A</t>
        </is>
      </c>
      <c r="K7203" t="n">
        <v>2026</v>
      </c>
      <c r="L7203" t="n">
        <v>6</v>
      </c>
      <c r="M7203" t="inlineStr">
        <is>
          <t>Composto lácteo Alibralac 1 kg</t>
        </is>
      </c>
      <c r="N7203" t="inlineStr">
        <is>
          <t>Hamburgueria</t>
        </is>
      </c>
      <c r="O7203" t="n">
        <v>1</v>
      </c>
      <c r="P7203" t="n">
        <v>9</v>
      </c>
      <c r="Q7203" t="n">
        <v>1</v>
      </c>
    </row>
    <row r="7204">
      <c r="J7204" t="inlineStr">
        <is>
          <t>M</t>
        </is>
      </c>
      <c r="K7204" t="n">
        <v>2026</v>
      </c>
      <c r="L7204" t="n">
        <v>6</v>
      </c>
      <c r="M7204" t="inlineStr">
        <is>
          <t>Composto lácteo Alibralac 1 kg</t>
        </is>
      </c>
      <c r="N7204" t="inlineStr">
        <is>
          <t>Hamburgueria</t>
        </is>
      </c>
      <c r="O7204" t="n">
        <v>1</v>
      </c>
      <c r="P7204" t="n">
        <v>1</v>
      </c>
      <c r="Q7204" t="n">
        <v>0</v>
      </c>
    </row>
    <row r="7205">
      <c r="J7205" t="inlineStr">
        <is>
          <t>A</t>
        </is>
      </c>
      <c r="K7205" t="n">
        <v>2026</v>
      </c>
      <c r="L7205" t="n">
        <v>7</v>
      </c>
      <c r="M7205" t="inlineStr">
        <is>
          <t>Composto lácteo Alibralac 1 kg</t>
        </is>
      </c>
      <c r="N7205" t="inlineStr">
        <is>
          <t>Hamburgueria</t>
        </is>
      </c>
      <c r="O7205" t="n">
        <v>1</v>
      </c>
      <c r="P7205" t="n">
        <v>10</v>
      </c>
      <c r="Q7205" t="n">
        <v>1</v>
      </c>
    </row>
    <row r="7206">
      <c r="J7206" t="inlineStr">
        <is>
          <t>M</t>
        </is>
      </c>
      <c r="K7206" t="n">
        <v>2026</v>
      </c>
      <c r="L7206" t="n">
        <v>7</v>
      </c>
      <c r="M7206" t="inlineStr">
        <is>
          <t>Composto lácteo Alibralac 1 kg</t>
        </is>
      </c>
      <c r="N7206" t="inlineStr">
        <is>
          <t>Hamburgueria</t>
        </is>
      </c>
      <c r="O7206" t="n">
        <v>1</v>
      </c>
      <c r="P7206" t="n">
        <v>1</v>
      </c>
      <c r="Q7206" t="n">
        <v>0</v>
      </c>
    </row>
    <row r="7207">
      <c r="J7207" t="inlineStr">
        <is>
          <t>A</t>
        </is>
      </c>
      <c r="K7207" t="n">
        <v>2026</v>
      </c>
      <c r="L7207" t="n">
        <v>8</v>
      </c>
      <c r="M7207" t="inlineStr">
        <is>
          <t>Composto lácteo Alibralac 1 kg</t>
        </is>
      </c>
      <c r="N7207" t="inlineStr">
        <is>
          <t>Hamburgueria</t>
        </is>
      </c>
      <c r="O7207" t="n">
        <v>1</v>
      </c>
      <c r="P7207" t="n">
        <v>11</v>
      </c>
      <c r="Q7207" t="n">
        <v>1</v>
      </c>
    </row>
    <row r="7208">
      <c r="J7208" t="inlineStr">
        <is>
          <t>M</t>
        </is>
      </c>
      <c r="K7208" t="n">
        <v>2026</v>
      </c>
      <c r="L7208" t="n">
        <v>8</v>
      </c>
      <c r="M7208" t="inlineStr">
        <is>
          <t>Composto lácteo Alibralac 1 kg</t>
        </is>
      </c>
      <c r="N7208" t="inlineStr">
        <is>
          <t>Hamburgueria</t>
        </is>
      </c>
      <c r="O7208" t="n">
        <v>1</v>
      </c>
      <c r="P7208" t="n">
        <v>1</v>
      </c>
      <c r="Q7208" t="n">
        <v>0</v>
      </c>
    </row>
    <row r="7209">
      <c r="J7209" t="inlineStr">
        <is>
          <t>A</t>
        </is>
      </c>
      <c r="K7209" t="n">
        <v>2026</v>
      </c>
      <c r="L7209" t="n">
        <v>9</v>
      </c>
      <c r="M7209" t="inlineStr">
        <is>
          <t>Composto lácteo Alibralac 1 kg</t>
        </is>
      </c>
      <c r="N7209" t="inlineStr">
        <is>
          <t>Hamburgueria</t>
        </is>
      </c>
      <c r="O7209" t="n">
        <v>1</v>
      </c>
      <c r="P7209" t="n">
        <v>13</v>
      </c>
      <c r="Q7209" t="n">
        <v>1</v>
      </c>
    </row>
    <row r="7210">
      <c r="J7210" t="inlineStr">
        <is>
          <t>M</t>
        </is>
      </c>
      <c r="K7210" t="n">
        <v>2026</v>
      </c>
      <c r="L7210" t="n">
        <v>9</v>
      </c>
      <c r="M7210" t="inlineStr">
        <is>
          <t>Composto lácteo Alibralac 1 kg</t>
        </is>
      </c>
      <c r="N7210" t="inlineStr">
        <is>
          <t>Hamburgueria</t>
        </is>
      </c>
      <c r="O7210" t="n">
        <v>1</v>
      </c>
      <c r="P7210" t="n">
        <v>2</v>
      </c>
      <c r="Q7210" t="n">
        <v>0</v>
      </c>
    </row>
    <row r="7211">
      <c r="J7211" t="inlineStr">
        <is>
          <t>A</t>
        </is>
      </c>
      <c r="K7211" t="n">
        <v>2026</v>
      </c>
      <c r="L7211" t="n">
        <v>10</v>
      </c>
      <c r="M7211" t="inlineStr">
        <is>
          <t>Composto lácteo Alibralac 1 kg</t>
        </is>
      </c>
      <c r="N7211" t="inlineStr">
        <is>
          <t>Hamburgueria</t>
        </is>
      </c>
      <c r="O7211" t="n">
        <v>1</v>
      </c>
      <c r="P7211" t="n">
        <v>13</v>
      </c>
      <c r="Q7211" t="n">
        <v>1</v>
      </c>
    </row>
    <row r="7212">
      <c r="J7212" t="inlineStr">
        <is>
          <t>A</t>
        </is>
      </c>
      <c r="K7212" t="n">
        <v>2026</v>
      </c>
      <c r="L7212" t="n">
        <v>11</v>
      </c>
      <c r="M7212" t="inlineStr">
        <is>
          <t>Composto lácteo Alibralac 1 kg</t>
        </is>
      </c>
      <c r="N7212" t="inlineStr">
        <is>
          <t>Hamburgueria</t>
        </is>
      </c>
      <c r="O7212" t="n">
        <v>1</v>
      </c>
      <c r="P7212" t="n">
        <v>13</v>
      </c>
      <c r="Q7212" t="n">
        <v>1</v>
      </c>
    </row>
    <row r="7213">
      <c r="J7213" t="inlineStr">
        <is>
          <t>A</t>
        </is>
      </c>
      <c r="K7213" t="n">
        <v>2026</v>
      </c>
      <c r="L7213" t="n">
        <v>12</v>
      </c>
      <c r="M7213" t="inlineStr">
        <is>
          <t>Composto lácteo Alibralac 1 kg</t>
        </is>
      </c>
      <c r="N7213" t="inlineStr">
        <is>
          <t>Hamburgueria</t>
        </is>
      </c>
      <c r="O7213" t="n">
        <v>1</v>
      </c>
      <c r="P7213" t="n">
        <v>13</v>
      </c>
      <c r="Q7213" t="n">
        <v>1</v>
      </c>
    </row>
    <row r="7214">
      <c r="J7214" t="inlineStr">
        <is>
          <t>A</t>
        </is>
      </c>
      <c r="K7214" t="n">
        <v>2026</v>
      </c>
      <c r="L7214" t="n">
        <v>9</v>
      </c>
      <c r="M7214" t="inlineStr">
        <is>
          <t>Composto lácteo Alibralac 1 kg</t>
        </is>
      </c>
      <c r="N7214" t="inlineStr">
        <is>
          <t>Distribuidor Alimentos</t>
        </is>
      </c>
      <c r="O7214" t="n">
        <v>1</v>
      </c>
      <c r="P7214" t="n">
        <v>1</v>
      </c>
      <c r="Q7214" t="n">
        <v>1</v>
      </c>
    </row>
    <row r="7215">
      <c r="J7215" t="inlineStr">
        <is>
          <t>M</t>
        </is>
      </c>
      <c r="K7215" t="n">
        <v>2026</v>
      </c>
      <c r="L7215" t="n">
        <v>9</v>
      </c>
      <c r="M7215" t="inlineStr">
        <is>
          <t>Composto lácteo Alibralac 1 kg</t>
        </is>
      </c>
      <c r="N7215" t="inlineStr">
        <is>
          <t>Distribuidor Alimentos</t>
        </is>
      </c>
      <c r="O7215" t="n">
        <v>1</v>
      </c>
      <c r="P7215" t="n">
        <v>1</v>
      </c>
      <c r="Q7215" t="n">
        <v>0</v>
      </c>
    </row>
    <row r="7216">
      <c r="J7216" t="inlineStr">
        <is>
          <t>A</t>
        </is>
      </c>
      <c r="K7216" t="n">
        <v>2026</v>
      </c>
      <c r="L7216" t="n">
        <v>10</v>
      </c>
      <c r="M7216" t="inlineStr">
        <is>
          <t>Composto lácteo Alibralac 1 kg</t>
        </is>
      </c>
      <c r="N7216" t="inlineStr">
        <is>
          <t>Distribuidor Alimentos</t>
        </is>
      </c>
      <c r="O7216" t="n">
        <v>1</v>
      </c>
      <c r="P7216" t="n">
        <v>1</v>
      </c>
      <c r="Q7216" t="n">
        <v>1</v>
      </c>
    </row>
    <row r="7217">
      <c r="J7217" t="inlineStr">
        <is>
          <t>A</t>
        </is>
      </c>
      <c r="K7217" t="n">
        <v>2026</v>
      </c>
      <c r="L7217" t="n">
        <v>11</v>
      </c>
      <c r="M7217" t="inlineStr">
        <is>
          <t>Composto lácteo Alibralac 1 kg</t>
        </is>
      </c>
      <c r="N7217" t="inlineStr">
        <is>
          <t>Distribuidor Alimentos</t>
        </is>
      </c>
      <c r="O7217" t="n">
        <v>1</v>
      </c>
      <c r="P7217" t="n">
        <v>1</v>
      </c>
      <c r="Q7217" t="n">
        <v>1</v>
      </c>
    </row>
    <row r="7218">
      <c r="J7218" t="inlineStr">
        <is>
          <t>A</t>
        </is>
      </c>
      <c r="K7218" t="n">
        <v>2026</v>
      </c>
      <c r="L7218" t="n">
        <v>12</v>
      </c>
      <c r="M7218" t="inlineStr">
        <is>
          <t>Composto lácteo Alibralac 1 kg</t>
        </is>
      </c>
      <c r="N7218" t="inlineStr">
        <is>
          <t>Distribuidor Alimentos</t>
        </is>
      </c>
      <c r="O7218" t="n">
        <v>1</v>
      </c>
      <c r="P7218" t="n">
        <v>1</v>
      </c>
      <c r="Q7218" t="n">
        <v>1</v>
      </c>
    </row>
    <row r="7219">
      <c r="J7219" t="inlineStr">
        <is>
          <t>A</t>
        </is>
      </c>
      <c r="K7219" t="n">
        <v>2026</v>
      </c>
      <c r="L7219" t="n">
        <v>1</v>
      </c>
      <c r="M7219" t="inlineStr">
        <is>
          <t>Composto lácteo Merilú 400 g</t>
        </is>
      </c>
      <c r="N7219" t="inlineStr">
        <is>
          <t>Todos</t>
        </is>
      </c>
      <c r="O7219" t="n">
        <v>6</v>
      </c>
      <c r="P7219" t="n">
        <v>7</v>
      </c>
      <c r="Q7219" t="n">
        <v>1</v>
      </c>
    </row>
    <row r="7220">
      <c r="J7220" t="inlineStr">
        <is>
          <t>M</t>
        </is>
      </c>
      <c r="K7220" t="n">
        <v>2026</v>
      </c>
      <c r="L7220" t="n">
        <v>1</v>
      </c>
      <c r="M7220" t="inlineStr">
        <is>
          <t>Composto lácteo Merilú 400 g</t>
        </is>
      </c>
      <c r="N7220" t="inlineStr">
        <is>
          <t>Todos</t>
        </is>
      </c>
      <c r="O7220" t="n">
        <v>6</v>
      </c>
      <c r="P7220" t="n">
        <v>7</v>
      </c>
      <c r="Q7220" t="n">
        <v>0</v>
      </c>
    </row>
    <row r="7221">
      <c r="J7221" t="inlineStr">
        <is>
          <t>A</t>
        </is>
      </c>
      <c r="K7221" t="n">
        <v>2026</v>
      </c>
      <c r="L7221" t="n">
        <v>2</v>
      </c>
      <c r="M7221" t="inlineStr">
        <is>
          <t>Composto lácteo Merilú 400 g</t>
        </is>
      </c>
      <c r="N7221" t="inlineStr">
        <is>
          <t>Todos</t>
        </is>
      </c>
      <c r="O7221" t="n">
        <v>12</v>
      </c>
      <c r="P7221" t="n">
        <v>18</v>
      </c>
      <c r="Q7221" t="n">
        <v>3</v>
      </c>
    </row>
    <row r="7222">
      <c r="J7222" t="inlineStr">
        <is>
          <t>M</t>
        </is>
      </c>
      <c r="K7222" t="n">
        <v>2026</v>
      </c>
      <c r="L7222" t="n">
        <v>2</v>
      </c>
      <c r="M7222" t="inlineStr">
        <is>
          <t>Composto lácteo Merilú 400 g</t>
        </is>
      </c>
      <c r="N7222" t="inlineStr">
        <is>
          <t>Todos</t>
        </is>
      </c>
      <c r="O7222" t="n">
        <v>10</v>
      </c>
      <c r="P7222" t="n">
        <v>11</v>
      </c>
      <c r="Q7222" t="n">
        <v>0</v>
      </c>
    </row>
    <row r="7223">
      <c r="J7223" t="inlineStr">
        <is>
          <t>A</t>
        </is>
      </c>
      <c r="K7223" t="n">
        <v>2026</v>
      </c>
      <c r="L7223" t="n">
        <v>3</v>
      </c>
      <c r="M7223" t="inlineStr">
        <is>
          <t>Composto lácteo Merilú 400 g</t>
        </is>
      </c>
      <c r="N7223" t="inlineStr">
        <is>
          <t>Todos</t>
        </is>
      </c>
      <c r="O7223" t="n">
        <v>14</v>
      </c>
      <c r="P7223" t="n">
        <v>24</v>
      </c>
      <c r="Q7223" t="n">
        <v>3</v>
      </c>
    </row>
    <row r="7224">
      <c r="J7224" t="inlineStr">
        <is>
          <t>M</t>
        </is>
      </c>
      <c r="K7224" t="n">
        <v>2026</v>
      </c>
      <c r="L7224" t="n">
        <v>3</v>
      </c>
      <c r="M7224" t="inlineStr">
        <is>
          <t>Composto lácteo Merilú 400 g</t>
        </is>
      </c>
      <c r="N7224" t="inlineStr">
        <is>
          <t>Todos</t>
        </is>
      </c>
      <c r="O7224" t="n">
        <v>4</v>
      </c>
      <c r="P7224" t="n">
        <v>6</v>
      </c>
      <c r="Q7224" t="n">
        <v>0</v>
      </c>
    </row>
    <row r="7225">
      <c r="J7225" t="inlineStr">
        <is>
          <t>A</t>
        </is>
      </c>
      <c r="K7225" t="n">
        <v>2026</v>
      </c>
      <c r="L7225" t="n">
        <v>4</v>
      </c>
      <c r="M7225" t="inlineStr">
        <is>
          <t>Composto lácteo Merilú 400 g</t>
        </is>
      </c>
      <c r="N7225" t="inlineStr">
        <is>
          <t>Todos</t>
        </is>
      </c>
      <c r="O7225" t="n">
        <v>16</v>
      </c>
      <c r="P7225" t="n">
        <v>33</v>
      </c>
      <c r="Q7225" t="n">
        <v>3</v>
      </c>
    </row>
    <row r="7226">
      <c r="J7226" t="inlineStr">
        <is>
          <t>M</t>
        </is>
      </c>
      <c r="K7226" t="n">
        <v>2026</v>
      </c>
      <c r="L7226" t="n">
        <v>4</v>
      </c>
      <c r="M7226" t="inlineStr">
        <is>
          <t>Composto lácteo Merilú 400 g</t>
        </is>
      </c>
      <c r="N7226" t="inlineStr">
        <is>
          <t>Todos</t>
        </is>
      </c>
      <c r="O7226" t="n">
        <v>5</v>
      </c>
      <c r="P7226" t="n">
        <v>9</v>
      </c>
      <c r="Q7226" t="n">
        <v>0</v>
      </c>
    </row>
    <row r="7227">
      <c r="J7227" t="inlineStr">
        <is>
          <t>A</t>
        </is>
      </c>
      <c r="K7227" t="n">
        <v>2026</v>
      </c>
      <c r="L7227" t="n">
        <v>5</v>
      </c>
      <c r="M7227" t="inlineStr">
        <is>
          <t>Composto lácteo Merilú 400 g</t>
        </is>
      </c>
      <c r="N7227" t="inlineStr">
        <is>
          <t>Todos</t>
        </is>
      </c>
      <c r="O7227" t="n">
        <v>25</v>
      </c>
      <c r="P7227" t="n">
        <v>51</v>
      </c>
      <c r="Q7227" t="n">
        <v>9</v>
      </c>
    </row>
    <row r="7228">
      <c r="J7228" t="inlineStr">
        <is>
          <t>M</t>
        </is>
      </c>
      <c r="K7228" t="n">
        <v>2026</v>
      </c>
      <c r="L7228" t="n">
        <v>5</v>
      </c>
      <c r="M7228" t="inlineStr">
        <is>
          <t>Composto lácteo Merilú 400 g</t>
        </is>
      </c>
      <c r="N7228" t="inlineStr">
        <is>
          <t>Todos</t>
        </is>
      </c>
      <c r="O7228" t="n">
        <v>13</v>
      </c>
      <c r="P7228" t="n">
        <v>18</v>
      </c>
      <c r="Q7228" t="n">
        <v>0</v>
      </c>
    </row>
    <row r="7229">
      <c r="J7229" t="inlineStr">
        <is>
          <t>A</t>
        </is>
      </c>
      <c r="K7229" t="n">
        <v>2026</v>
      </c>
      <c r="L7229" t="n">
        <v>6</v>
      </c>
      <c r="M7229" t="inlineStr">
        <is>
          <t>Composto lácteo Merilú 400 g</t>
        </is>
      </c>
      <c r="N7229" t="inlineStr">
        <is>
          <t>Todos</t>
        </is>
      </c>
      <c r="O7229" t="n">
        <v>28</v>
      </c>
      <c r="P7229" t="n">
        <v>61</v>
      </c>
      <c r="Q7229" t="n">
        <v>10</v>
      </c>
    </row>
    <row r="7230">
      <c r="J7230" t="inlineStr">
        <is>
          <t>M</t>
        </is>
      </c>
      <c r="K7230" t="n">
        <v>2026</v>
      </c>
      <c r="L7230" t="n">
        <v>6</v>
      </c>
      <c r="M7230" t="inlineStr">
        <is>
          <t>Composto lácteo Merilú 400 g</t>
        </is>
      </c>
      <c r="N7230" t="inlineStr">
        <is>
          <t>Todos</t>
        </is>
      </c>
      <c r="O7230" t="n">
        <v>8</v>
      </c>
      <c r="P7230" t="n">
        <v>10</v>
      </c>
      <c r="Q7230" t="n">
        <v>0</v>
      </c>
    </row>
    <row r="7231">
      <c r="J7231" t="inlineStr">
        <is>
          <t>A</t>
        </is>
      </c>
      <c r="K7231" t="n">
        <v>2026</v>
      </c>
      <c r="L7231" t="n">
        <v>7</v>
      </c>
      <c r="M7231" t="inlineStr">
        <is>
          <t>Composto lácteo Merilú 400 g</t>
        </is>
      </c>
      <c r="N7231" t="inlineStr">
        <is>
          <t>Todos</t>
        </is>
      </c>
      <c r="O7231" t="n">
        <v>31</v>
      </c>
      <c r="P7231" t="n">
        <v>75</v>
      </c>
      <c r="Q7231" t="n">
        <v>12</v>
      </c>
    </row>
    <row r="7232">
      <c r="J7232" t="inlineStr">
        <is>
          <t>M</t>
        </is>
      </c>
      <c r="K7232" t="n">
        <v>2026</v>
      </c>
      <c r="L7232" t="n">
        <v>7</v>
      </c>
      <c r="M7232" t="inlineStr">
        <is>
          <t>Composto lácteo Merilú 400 g</t>
        </is>
      </c>
      <c r="N7232" t="inlineStr">
        <is>
          <t>Todos</t>
        </is>
      </c>
      <c r="O7232" t="n">
        <v>9</v>
      </c>
      <c r="P7232" t="n">
        <v>14</v>
      </c>
      <c r="Q7232" t="n">
        <v>0</v>
      </c>
    </row>
    <row r="7233">
      <c r="J7233" t="inlineStr">
        <is>
          <t>A</t>
        </is>
      </c>
      <c r="K7233" t="n">
        <v>2026</v>
      </c>
      <c r="L7233" t="n">
        <v>8</v>
      </c>
      <c r="M7233" t="inlineStr">
        <is>
          <t>Composto lácteo Merilú 400 g</t>
        </is>
      </c>
      <c r="N7233" t="inlineStr">
        <is>
          <t>Todos</t>
        </is>
      </c>
      <c r="O7233" t="n">
        <v>33</v>
      </c>
      <c r="P7233" t="n">
        <v>86</v>
      </c>
      <c r="Q7233" t="n">
        <v>14</v>
      </c>
    </row>
    <row r="7234">
      <c r="J7234" t="inlineStr">
        <is>
          <t>M</t>
        </is>
      </c>
      <c r="K7234" t="n">
        <v>2026</v>
      </c>
      <c r="L7234" t="n">
        <v>8</v>
      </c>
      <c r="M7234" t="inlineStr">
        <is>
          <t>Composto lácteo Merilú 400 g</t>
        </is>
      </c>
      <c r="N7234" t="inlineStr">
        <is>
          <t>Todos</t>
        </is>
      </c>
      <c r="O7234" t="n">
        <v>9</v>
      </c>
      <c r="P7234" t="n">
        <v>11</v>
      </c>
      <c r="Q7234" t="n">
        <v>0</v>
      </c>
    </row>
    <row r="7235">
      <c r="J7235" t="inlineStr">
        <is>
          <t>A</t>
        </is>
      </c>
      <c r="K7235" t="n">
        <v>2026</v>
      </c>
      <c r="L7235" t="n">
        <v>9</v>
      </c>
      <c r="M7235" t="inlineStr">
        <is>
          <t>Composto lácteo Merilú 400 g</t>
        </is>
      </c>
      <c r="N7235" t="inlineStr">
        <is>
          <t>Todos</t>
        </is>
      </c>
      <c r="O7235" t="n">
        <v>35</v>
      </c>
      <c r="P7235" t="n">
        <v>93</v>
      </c>
      <c r="Q7235" t="n">
        <v>15</v>
      </c>
    </row>
    <row r="7236">
      <c r="J7236" t="inlineStr">
        <is>
          <t>M</t>
        </is>
      </c>
      <c r="K7236" t="n">
        <v>2026</v>
      </c>
      <c r="L7236" t="n">
        <v>9</v>
      </c>
      <c r="M7236" t="inlineStr">
        <is>
          <t>Composto lácteo Merilú 400 g</t>
        </is>
      </c>
      <c r="N7236" t="inlineStr">
        <is>
          <t>Todos</t>
        </is>
      </c>
      <c r="O7236" t="n">
        <v>7</v>
      </c>
      <c r="P7236" t="n">
        <v>7</v>
      </c>
      <c r="Q7236" t="n">
        <v>0</v>
      </c>
    </row>
    <row r="7237">
      <c r="J7237" t="inlineStr">
        <is>
          <t>A</t>
        </is>
      </c>
      <c r="K7237" t="n">
        <v>2026</v>
      </c>
      <c r="L7237" t="n">
        <v>10</v>
      </c>
      <c r="M7237" t="inlineStr">
        <is>
          <t>Composto lácteo Merilú 400 g</t>
        </is>
      </c>
      <c r="N7237" t="inlineStr">
        <is>
          <t>Todos</t>
        </is>
      </c>
      <c r="O7237" t="n">
        <v>35</v>
      </c>
      <c r="P7237" t="n">
        <v>93</v>
      </c>
      <c r="Q7237" t="n">
        <v>15</v>
      </c>
    </row>
    <row r="7238">
      <c r="J7238" t="inlineStr">
        <is>
          <t>A</t>
        </is>
      </c>
      <c r="K7238" t="n">
        <v>2026</v>
      </c>
      <c r="L7238" t="n">
        <v>11</v>
      </c>
      <c r="M7238" t="inlineStr">
        <is>
          <t>Composto lácteo Merilú 400 g</t>
        </is>
      </c>
      <c r="N7238" t="inlineStr">
        <is>
          <t>Todos</t>
        </is>
      </c>
      <c r="O7238" t="n">
        <v>35</v>
      </c>
      <c r="P7238" t="n">
        <v>93</v>
      </c>
      <c r="Q7238" t="n">
        <v>15</v>
      </c>
    </row>
    <row r="7239">
      <c r="J7239" t="inlineStr">
        <is>
          <t>A</t>
        </is>
      </c>
      <c r="K7239" t="n">
        <v>2026</v>
      </c>
      <c r="L7239" t="n">
        <v>12</v>
      </c>
      <c r="M7239" t="inlineStr">
        <is>
          <t>Composto lácteo Merilú 400 g</t>
        </is>
      </c>
      <c r="N7239" t="inlineStr">
        <is>
          <t>Todos</t>
        </is>
      </c>
      <c r="O7239" t="n">
        <v>35</v>
      </c>
      <c r="P7239" t="n">
        <v>93</v>
      </c>
      <c r="Q7239" t="n">
        <v>15</v>
      </c>
    </row>
    <row r="7240">
      <c r="J7240" t="inlineStr">
        <is>
          <t>A</t>
        </is>
      </c>
      <c r="K7240" t="n">
        <v>2026</v>
      </c>
      <c r="L7240" t="n">
        <v>2</v>
      </c>
      <c r="M7240" t="inlineStr">
        <is>
          <t>Composto lácteo Merilú 400 g</t>
        </is>
      </c>
      <c r="N7240" t="inlineStr">
        <is>
          <t>Pizzaria</t>
        </is>
      </c>
      <c r="O7240" t="n">
        <v>1</v>
      </c>
      <c r="P7240" t="n">
        <v>1</v>
      </c>
      <c r="Q7240" t="n">
        <v>0</v>
      </c>
    </row>
    <row r="7241">
      <c r="J7241" t="inlineStr">
        <is>
          <t>M</t>
        </is>
      </c>
      <c r="K7241" t="n">
        <v>2026</v>
      </c>
      <c r="L7241" t="n">
        <v>2</v>
      </c>
      <c r="M7241" t="inlineStr">
        <is>
          <t>Composto lácteo Merilú 400 g</t>
        </is>
      </c>
      <c r="N7241" t="inlineStr">
        <is>
          <t>Pizzaria</t>
        </is>
      </c>
      <c r="O7241" t="n">
        <v>1</v>
      </c>
      <c r="P7241" t="n">
        <v>1</v>
      </c>
      <c r="Q7241" t="n">
        <v>0</v>
      </c>
    </row>
    <row r="7242">
      <c r="J7242" t="inlineStr">
        <is>
          <t>A</t>
        </is>
      </c>
      <c r="K7242" t="n">
        <v>2026</v>
      </c>
      <c r="L7242" t="n">
        <v>3</v>
      </c>
      <c r="M7242" t="inlineStr">
        <is>
          <t>Composto lácteo Merilú 400 g</t>
        </is>
      </c>
      <c r="N7242" t="inlineStr">
        <is>
          <t>Pizzaria</t>
        </is>
      </c>
      <c r="O7242" t="n">
        <v>2</v>
      </c>
      <c r="P7242" t="n">
        <v>2</v>
      </c>
      <c r="Q7242" t="n">
        <v>0</v>
      </c>
    </row>
    <row r="7243">
      <c r="J7243" t="inlineStr">
        <is>
          <t>M</t>
        </is>
      </c>
      <c r="K7243" t="n">
        <v>2026</v>
      </c>
      <c r="L7243" t="n">
        <v>3</v>
      </c>
      <c r="M7243" t="inlineStr">
        <is>
          <t>Composto lácteo Merilú 400 g</t>
        </is>
      </c>
      <c r="N7243" t="inlineStr">
        <is>
          <t>Pizzaria</t>
        </is>
      </c>
      <c r="O7243" t="n">
        <v>1</v>
      </c>
      <c r="P7243" t="n">
        <v>1</v>
      </c>
      <c r="Q7243" t="n">
        <v>0</v>
      </c>
    </row>
    <row r="7244">
      <c r="J7244" t="inlineStr">
        <is>
          <t>A</t>
        </is>
      </c>
      <c r="K7244" t="n">
        <v>2026</v>
      </c>
      <c r="L7244" t="n">
        <v>4</v>
      </c>
      <c r="M7244" t="inlineStr">
        <is>
          <t>Composto lácteo Merilú 400 g</t>
        </is>
      </c>
      <c r="N7244" t="inlineStr">
        <is>
          <t>Pizzaria</t>
        </is>
      </c>
      <c r="O7244" t="n">
        <v>3</v>
      </c>
      <c r="P7244" t="n">
        <v>3</v>
      </c>
      <c r="Q7244" t="n">
        <v>0</v>
      </c>
    </row>
    <row r="7245">
      <c r="J7245" t="inlineStr">
        <is>
          <t>M</t>
        </is>
      </c>
      <c r="K7245" t="n">
        <v>2026</v>
      </c>
      <c r="L7245" t="n">
        <v>4</v>
      </c>
      <c r="M7245" t="inlineStr">
        <is>
          <t>Composto lácteo Merilú 400 g</t>
        </is>
      </c>
      <c r="N7245" t="inlineStr">
        <is>
          <t>Pizzaria</t>
        </is>
      </c>
      <c r="O7245" t="n">
        <v>1</v>
      </c>
      <c r="P7245" t="n">
        <v>1</v>
      </c>
      <c r="Q7245" t="n">
        <v>0</v>
      </c>
    </row>
    <row r="7246">
      <c r="J7246" t="inlineStr">
        <is>
          <t>A</t>
        </is>
      </c>
      <c r="K7246" t="n">
        <v>2026</v>
      </c>
      <c r="L7246" t="n">
        <v>5</v>
      </c>
      <c r="M7246" t="inlineStr">
        <is>
          <t>Composto lácteo Merilú 400 g</t>
        </is>
      </c>
      <c r="N7246" t="inlineStr">
        <is>
          <t>Pizzaria</t>
        </is>
      </c>
      <c r="O7246" t="n">
        <v>3</v>
      </c>
      <c r="P7246" t="n">
        <v>4</v>
      </c>
      <c r="Q7246" t="n">
        <v>0</v>
      </c>
    </row>
    <row r="7247">
      <c r="J7247" t="inlineStr">
        <is>
          <t>M</t>
        </is>
      </c>
      <c r="K7247" t="n">
        <v>2026</v>
      </c>
      <c r="L7247" t="n">
        <v>5</v>
      </c>
      <c r="M7247" t="inlineStr">
        <is>
          <t>Composto lácteo Merilú 400 g</t>
        </is>
      </c>
      <c r="N7247" t="inlineStr">
        <is>
          <t>Pizzaria</t>
        </is>
      </c>
      <c r="O7247" t="n">
        <v>1</v>
      </c>
      <c r="P7247" t="n">
        <v>1</v>
      </c>
      <c r="Q7247" t="n">
        <v>0</v>
      </c>
    </row>
    <row r="7248">
      <c r="J7248" t="inlineStr">
        <is>
          <t>A</t>
        </is>
      </c>
      <c r="K7248" t="n">
        <v>2026</v>
      </c>
      <c r="L7248" t="n">
        <v>6</v>
      </c>
      <c r="M7248" t="inlineStr">
        <is>
          <t>Composto lácteo Merilú 400 g</t>
        </is>
      </c>
      <c r="N7248" t="inlineStr">
        <is>
          <t>Pizzaria</t>
        </is>
      </c>
      <c r="O7248" t="n">
        <v>4</v>
      </c>
      <c r="P7248" t="n">
        <v>5</v>
      </c>
      <c r="Q7248" t="n">
        <v>0</v>
      </c>
    </row>
    <row r="7249">
      <c r="J7249" t="inlineStr">
        <is>
          <t>M</t>
        </is>
      </c>
      <c r="K7249" t="n">
        <v>2026</v>
      </c>
      <c r="L7249" t="n">
        <v>6</v>
      </c>
      <c r="M7249" t="inlineStr">
        <is>
          <t>Composto lácteo Merilú 400 g</t>
        </is>
      </c>
      <c r="N7249" t="inlineStr">
        <is>
          <t>Pizzaria</t>
        </is>
      </c>
      <c r="O7249" t="n">
        <v>1</v>
      </c>
      <c r="P7249" t="n">
        <v>1</v>
      </c>
      <c r="Q7249" t="n">
        <v>0</v>
      </c>
    </row>
    <row r="7250">
      <c r="J7250" t="inlineStr">
        <is>
          <t>A</t>
        </is>
      </c>
      <c r="K7250" t="n">
        <v>2026</v>
      </c>
      <c r="L7250" t="n">
        <v>7</v>
      </c>
      <c r="M7250" t="inlineStr">
        <is>
          <t>Composto lácteo Merilú 400 g</t>
        </is>
      </c>
      <c r="N7250" t="inlineStr">
        <is>
          <t>Pizzaria</t>
        </is>
      </c>
      <c r="O7250" t="n">
        <v>4</v>
      </c>
      <c r="P7250" t="n">
        <v>8</v>
      </c>
      <c r="Q7250" t="n">
        <v>0</v>
      </c>
    </row>
    <row r="7251">
      <c r="J7251" t="inlineStr">
        <is>
          <t>M</t>
        </is>
      </c>
      <c r="K7251" t="n">
        <v>2026</v>
      </c>
      <c r="L7251" t="n">
        <v>7</v>
      </c>
      <c r="M7251" t="inlineStr">
        <is>
          <t>Composto lácteo Merilú 400 g</t>
        </is>
      </c>
      <c r="N7251" t="inlineStr">
        <is>
          <t>Pizzaria</t>
        </is>
      </c>
      <c r="O7251" t="n">
        <v>2</v>
      </c>
      <c r="P7251" t="n">
        <v>3</v>
      </c>
      <c r="Q7251" t="n">
        <v>0</v>
      </c>
    </row>
    <row r="7252">
      <c r="J7252" t="inlineStr">
        <is>
          <t>A</t>
        </is>
      </c>
      <c r="K7252" t="n">
        <v>2026</v>
      </c>
      <c r="L7252" t="n">
        <v>8</v>
      </c>
      <c r="M7252" t="inlineStr">
        <is>
          <t>Composto lácteo Merilú 400 g</t>
        </is>
      </c>
      <c r="N7252" t="inlineStr">
        <is>
          <t>Pizzaria</t>
        </is>
      </c>
      <c r="O7252" t="n">
        <v>4</v>
      </c>
      <c r="P7252" t="n">
        <v>12</v>
      </c>
      <c r="Q7252" t="n">
        <v>0</v>
      </c>
    </row>
    <row r="7253">
      <c r="J7253" t="inlineStr">
        <is>
          <t>M</t>
        </is>
      </c>
      <c r="K7253" t="n">
        <v>2026</v>
      </c>
      <c r="L7253" t="n">
        <v>8</v>
      </c>
      <c r="M7253" t="inlineStr">
        <is>
          <t>Composto lácteo Merilú 400 g</t>
        </is>
      </c>
      <c r="N7253" t="inlineStr">
        <is>
          <t>Pizzaria</t>
        </is>
      </c>
      <c r="O7253" t="n">
        <v>2</v>
      </c>
      <c r="P7253" t="n">
        <v>4</v>
      </c>
      <c r="Q7253" t="n">
        <v>0</v>
      </c>
    </row>
    <row r="7254">
      <c r="J7254" t="inlineStr">
        <is>
          <t>A</t>
        </is>
      </c>
      <c r="K7254" t="n">
        <v>2026</v>
      </c>
      <c r="L7254" t="n">
        <v>9</v>
      </c>
      <c r="M7254" t="inlineStr">
        <is>
          <t>Composto lácteo Merilú 400 g</t>
        </is>
      </c>
      <c r="N7254" t="inlineStr">
        <is>
          <t>Pizzaria</t>
        </is>
      </c>
      <c r="O7254" t="n">
        <v>5</v>
      </c>
      <c r="P7254" t="n">
        <v>14</v>
      </c>
      <c r="Q7254" t="n">
        <v>1</v>
      </c>
    </row>
    <row r="7255">
      <c r="J7255" t="inlineStr">
        <is>
          <t>M</t>
        </is>
      </c>
      <c r="K7255" t="n">
        <v>2026</v>
      </c>
      <c r="L7255" t="n">
        <v>9</v>
      </c>
      <c r="M7255" t="inlineStr">
        <is>
          <t>Composto lácteo Merilú 400 g</t>
        </is>
      </c>
      <c r="N7255" t="inlineStr">
        <is>
          <t>Pizzaria</t>
        </is>
      </c>
      <c r="O7255" t="n">
        <v>2</v>
      </c>
      <c r="P7255" t="n">
        <v>2</v>
      </c>
      <c r="Q7255" t="n">
        <v>0</v>
      </c>
    </row>
    <row r="7256">
      <c r="J7256" t="inlineStr">
        <is>
          <t>A</t>
        </is>
      </c>
      <c r="K7256" t="n">
        <v>2026</v>
      </c>
      <c r="L7256" t="n">
        <v>10</v>
      </c>
      <c r="M7256" t="inlineStr">
        <is>
          <t>Composto lácteo Merilú 400 g</t>
        </is>
      </c>
      <c r="N7256" t="inlineStr">
        <is>
          <t>Pizzaria</t>
        </is>
      </c>
      <c r="O7256" t="n">
        <v>5</v>
      </c>
      <c r="P7256" t="n">
        <v>14</v>
      </c>
      <c r="Q7256" t="n">
        <v>1</v>
      </c>
    </row>
    <row r="7257">
      <c r="J7257" t="inlineStr">
        <is>
          <t>A</t>
        </is>
      </c>
      <c r="K7257" t="n">
        <v>2026</v>
      </c>
      <c r="L7257" t="n">
        <v>11</v>
      </c>
      <c r="M7257" t="inlineStr">
        <is>
          <t>Composto lácteo Merilú 400 g</t>
        </is>
      </c>
      <c r="N7257" t="inlineStr">
        <is>
          <t>Pizzaria</t>
        </is>
      </c>
      <c r="O7257" t="n">
        <v>5</v>
      </c>
      <c r="P7257" t="n">
        <v>14</v>
      </c>
      <c r="Q7257" t="n">
        <v>1</v>
      </c>
    </row>
    <row r="7258">
      <c r="J7258" t="inlineStr">
        <is>
          <t>A</t>
        </is>
      </c>
      <c r="K7258" t="n">
        <v>2026</v>
      </c>
      <c r="L7258" t="n">
        <v>12</v>
      </c>
      <c r="M7258" t="inlineStr">
        <is>
          <t>Composto lácteo Merilú 400 g</t>
        </is>
      </c>
      <c r="N7258" t="inlineStr">
        <is>
          <t>Pizzaria</t>
        </is>
      </c>
      <c r="O7258" t="n">
        <v>5</v>
      </c>
      <c r="P7258" t="n">
        <v>14</v>
      </c>
      <c r="Q7258" t="n">
        <v>1</v>
      </c>
    </row>
    <row r="7259">
      <c r="J7259" t="inlineStr">
        <is>
          <t>A</t>
        </is>
      </c>
      <c r="K7259" t="n">
        <v>2026</v>
      </c>
      <c r="L7259" t="n">
        <v>1</v>
      </c>
      <c r="M7259" t="inlineStr">
        <is>
          <t>Composto lácteo Merilú 400 g</t>
        </is>
      </c>
      <c r="N7259" t="inlineStr">
        <is>
          <t>Restaurante / Cantina</t>
        </is>
      </c>
      <c r="O7259" t="n">
        <v>2</v>
      </c>
      <c r="P7259" t="n">
        <v>3</v>
      </c>
      <c r="Q7259" t="n">
        <v>0</v>
      </c>
    </row>
    <row r="7260">
      <c r="J7260" t="inlineStr">
        <is>
          <t>M</t>
        </is>
      </c>
      <c r="K7260" t="n">
        <v>2026</v>
      </c>
      <c r="L7260" t="n">
        <v>1</v>
      </c>
      <c r="M7260" t="inlineStr">
        <is>
          <t>Composto lácteo Merilú 400 g</t>
        </is>
      </c>
      <c r="N7260" t="inlineStr">
        <is>
          <t>Restaurante / Cantina</t>
        </is>
      </c>
      <c r="O7260" t="n">
        <v>2</v>
      </c>
      <c r="P7260" t="n">
        <v>3</v>
      </c>
      <c r="Q7260" t="n">
        <v>0</v>
      </c>
    </row>
    <row r="7261">
      <c r="J7261" t="inlineStr">
        <is>
          <t>A</t>
        </is>
      </c>
      <c r="K7261" t="n">
        <v>2026</v>
      </c>
      <c r="L7261" t="n">
        <v>2</v>
      </c>
      <c r="M7261" t="inlineStr">
        <is>
          <t>Composto lácteo Merilú 400 g</t>
        </is>
      </c>
      <c r="N7261" t="inlineStr">
        <is>
          <t>Restaurante / Cantina</t>
        </is>
      </c>
      <c r="O7261" t="n">
        <v>5</v>
      </c>
      <c r="P7261" t="n">
        <v>7</v>
      </c>
      <c r="Q7261" t="n">
        <v>1</v>
      </c>
    </row>
    <row r="7262">
      <c r="J7262" t="inlineStr">
        <is>
          <t>M</t>
        </is>
      </c>
      <c r="K7262" t="n">
        <v>2026</v>
      </c>
      <c r="L7262" t="n">
        <v>2</v>
      </c>
      <c r="M7262" t="inlineStr">
        <is>
          <t>Composto lácteo Merilú 400 g</t>
        </is>
      </c>
      <c r="N7262" t="inlineStr">
        <is>
          <t>Restaurante / Cantina</t>
        </is>
      </c>
      <c r="O7262" t="n">
        <v>4</v>
      </c>
      <c r="P7262" t="n">
        <v>4</v>
      </c>
      <c r="Q7262" t="n">
        <v>0</v>
      </c>
    </row>
    <row r="7263">
      <c r="J7263" t="inlineStr">
        <is>
          <t>A</t>
        </is>
      </c>
      <c r="K7263" t="n">
        <v>2026</v>
      </c>
      <c r="L7263" t="n">
        <v>3</v>
      </c>
      <c r="M7263" t="inlineStr">
        <is>
          <t>Composto lácteo Merilú 400 g</t>
        </is>
      </c>
      <c r="N7263" t="inlineStr">
        <is>
          <t>Restaurante / Cantina</t>
        </is>
      </c>
      <c r="O7263" t="n">
        <v>5</v>
      </c>
      <c r="P7263" t="n">
        <v>11</v>
      </c>
      <c r="Q7263" t="n">
        <v>1</v>
      </c>
    </row>
    <row r="7264">
      <c r="J7264" t="inlineStr">
        <is>
          <t>M</t>
        </is>
      </c>
      <c r="K7264" t="n">
        <v>2026</v>
      </c>
      <c r="L7264" t="n">
        <v>3</v>
      </c>
      <c r="M7264" t="inlineStr">
        <is>
          <t>Composto lácteo Merilú 400 g</t>
        </is>
      </c>
      <c r="N7264" t="inlineStr">
        <is>
          <t>Restaurante / Cantina</t>
        </is>
      </c>
      <c r="O7264" t="n">
        <v>2</v>
      </c>
      <c r="P7264" t="n">
        <v>4</v>
      </c>
      <c r="Q7264" t="n">
        <v>0</v>
      </c>
    </row>
    <row r="7265">
      <c r="J7265" t="inlineStr">
        <is>
          <t>A</t>
        </is>
      </c>
      <c r="K7265" t="n">
        <v>2026</v>
      </c>
      <c r="L7265" t="n">
        <v>4</v>
      </c>
      <c r="M7265" t="inlineStr">
        <is>
          <t>Composto lácteo Merilú 400 g</t>
        </is>
      </c>
      <c r="N7265" t="inlineStr">
        <is>
          <t>Restaurante / Cantina</t>
        </is>
      </c>
      <c r="O7265" t="n">
        <v>5</v>
      </c>
      <c r="P7265" t="n">
        <v>17</v>
      </c>
      <c r="Q7265" t="n">
        <v>1</v>
      </c>
    </row>
    <row r="7266">
      <c r="J7266" t="inlineStr">
        <is>
          <t>M</t>
        </is>
      </c>
      <c r="K7266" t="n">
        <v>2026</v>
      </c>
      <c r="L7266" t="n">
        <v>4</v>
      </c>
      <c r="M7266" t="inlineStr">
        <is>
          <t>Composto lácteo Merilú 400 g</t>
        </is>
      </c>
      <c r="N7266" t="inlineStr">
        <is>
          <t>Restaurante / Cantina</t>
        </is>
      </c>
      <c r="O7266" t="n">
        <v>2</v>
      </c>
      <c r="P7266" t="n">
        <v>6</v>
      </c>
      <c r="Q7266" t="n">
        <v>0</v>
      </c>
    </row>
    <row r="7267">
      <c r="J7267" t="inlineStr">
        <is>
          <t>A</t>
        </is>
      </c>
      <c r="K7267" t="n">
        <v>2026</v>
      </c>
      <c r="L7267" t="n">
        <v>5</v>
      </c>
      <c r="M7267" t="inlineStr">
        <is>
          <t>Composto lácteo Merilú 400 g</t>
        </is>
      </c>
      <c r="N7267" t="inlineStr">
        <is>
          <t>Restaurante / Cantina</t>
        </is>
      </c>
      <c r="O7267" t="n">
        <v>8</v>
      </c>
      <c r="P7267" t="n">
        <v>26</v>
      </c>
      <c r="Q7267" t="n">
        <v>2</v>
      </c>
    </row>
    <row r="7268">
      <c r="J7268" t="inlineStr">
        <is>
          <t>M</t>
        </is>
      </c>
      <c r="K7268" t="n">
        <v>2026</v>
      </c>
      <c r="L7268" t="n">
        <v>5</v>
      </c>
      <c r="M7268" t="inlineStr">
        <is>
          <t>Composto lácteo Merilú 400 g</t>
        </is>
      </c>
      <c r="N7268" t="inlineStr">
        <is>
          <t>Restaurante / Cantina</t>
        </is>
      </c>
      <c r="O7268" t="n">
        <v>4</v>
      </c>
      <c r="P7268" t="n">
        <v>9</v>
      </c>
      <c r="Q7268" t="n">
        <v>0</v>
      </c>
    </row>
    <row r="7269">
      <c r="J7269" t="inlineStr">
        <is>
          <t>A</t>
        </is>
      </c>
      <c r="K7269" t="n">
        <v>2026</v>
      </c>
      <c r="L7269" t="n">
        <v>6</v>
      </c>
      <c r="M7269" t="inlineStr">
        <is>
          <t>Composto lácteo Merilú 400 g</t>
        </is>
      </c>
      <c r="N7269" t="inlineStr">
        <is>
          <t>Restaurante / Cantina</t>
        </is>
      </c>
      <c r="O7269" t="n">
        <v>9</v>
      </c>
      <c r="P7269" t="n">
        <v>32</v>
      </c>
      <c r="Q7269" t="n">
        <v>3</v>
      </c>
    </row>
    <row r="7270">
      <c r="J7270" t="inlineStr">
        <is>
          <t>M</t>
        </is>
      </c>
      <c r="K7270" t="n">
        <v>2026</v>
      </c>
      <c r="L7270" t="n">
        <v>6</v>
      </c>
      <c r="M7270" t="inlineStr">
        <is>
          <t>Composto lácteo Merilú 400 g</t>
        </is>
      </c>
      <c r="N7270" t="inlineStr">
        <is>
          <t>Restaurante / Cantina</t>
        </is>
      </c>
      <c r="O7270" t="n">
        <v>4</v>
      </c>
      <c r="P7270" t="n">
        <v>6</v>
      </c>
      <c r="Q7270" t="n">
        <v>0</v>
      </c>
    </row>
    <row r="7271">
      <c r="J7271" t="inlineStr">
        <is>
          <t>A</t>
        </is>
      </c>
      <c r="K7271" t="n">
        <v>2026</v>
      </c>
      <c r="L7271" t="n">
        <v>7</v>
      </c>
      <c r="M7271" t="inlineStr">
        <is>
          <t>Composto lácteo Merilú 400 g</t>
        </is>
      </c>
      <c r="N7271" t="inlineStr">
        <is>
          <t>Restaurante / Cantina</t>
        </is>
      </c>
      <c r="O7271" t="n">
        <v>10</v>
      </c>
      <c r="P7271" t="n">
        <v>35</v>
      </c>
      <c r="Q7271" t="n">
        <v>4</v>
      </c>
    </row>
    <row r="7272">
      <c r="J7272" t="inlineStr">
        <is>
          <t>M</t>
        </is>
      </c>
      <c r="K7272" t="n">
        <v>2026</v>
      </c>
      <c r="L7272" t="n">
        <v>7</v>
      </c>
      <c r="M7272" t="inlineStr">
        <is>
          <t>Composto lácteo Merilú 400 g</t>
        </is>
      </c>
      <c r="N7272" t="inlineStr">
        <is>
          <t>Restaurante / Cantina</t>
        </is>
      </c>
      <c r="O7272" t="n">
        <v>2</v>
      </c>
      <c r="P7272" t="n">
        <v>3</v>
      </c>
      <c r="Q7272" t="n">
        <v>0</v>
      </c>
    </row>
    <row r="7273">
      <c r="J7273" t="inlineStr">
        <is>
          <t>A</t>
        </is>
      </c>
      <c r="K7273" t="n">
        <v>2026</v>
      </c>
      <c r="L7273" t="n">
        <v>8</v>
      </c>
      <c r="M7273" t="inlineStr">
        <is>
          <t>Composto lácteo Merilú 400 g</t>
        </is>
      </c>
      <c r="N7273" t="inlineStr">
        <is>
          <t>Restaurante / Cantina</t>
        </is>
      </c>
      <c r="O7273" t="n">
        <v>11</v>
      </c>
      <c r="P7273" t="n">
        <v>38</v>
      </c>
      <c r="Q7273" t="n">
        <v>5</v>
      </c>
    </row>
    <row r="7274">
      <c r="J7274" t="inlineStr">
        <is>
          <t>M</t>
        </is>
      </c>
      <c r="K7274" t="n">
        <v>2026</v>
      </c>
      <c r="L7274" t="n">
        <v>8</v>
      </c>
      <c r="M7274" t="inlineStr">
        <is>
          <t>Composto lácteo Merilú 400 g</t>
        </is>
      </c>
      <c r="N7274" t="inlineStr">
        <is>
          <t>Restaurante / Cantina</t>
        </is>
      </c>
      <c r="O7274" t="n">
        <v>3</v>
      </c>
      <c r="P7274" t="n">
        <v>3</v>
      </c>
      <c r="Q7274" t="n">
        <v>0</v>
      </c>
    </row>
    <row r="7275">
      <c r="J7275" t="inlineStr">
        <is>
          <t>A</t>
        </is>
      </c>
      <c r="K7275" t="n">
        <v>2026</v>
      </c>
      <c r="L7275" t="n">
        <v>9</v>
      </c>
      <c r="M7275" t="inlineStr">
        <is>
          <t>Composto lácteo Merilú 400 g</t>
        </is>
      </c>
      <c r="N7275" t="inlineStr">
        <is>
          <t>Restaurante / Cantina</t>
        </is>
      </c>
      <c r="O7275" t="n">
        <v>12</v>
      </c>
      <c r="P7275" t="n">
        <v>41</v>
      </c>
      <c r="Q7275" t="n">
        <v>5</v>
      </c>
    </row>
    <row r="7276">
      <c r="J7276" t="inlineStr">
        <is>
          <t>M</t>
        </is>
      </c>
      <c r="K7276" t="n">
        <v>2026</v>
      </c>
      <c r="L7276" t="n">
        <v>9</v>
      </c>
      <c r="M7276" t="inlineStr">
        <is>
          <t>Composto lácteo Merilú 400 g</t>
        </is>
      </c>
      <c r="N7276" t="inlineStr">
        <is>
          <t>Restaurante / Cantina</t>
        </is>
      </c>
      <c r="O7276" t="n">
        <v>3</v>
      </c>
      <c r="P7276" t="n">
        <v>3</v>
      </c>
      <c r="Q7276" t="n">
        <v>0</v>
      </c>
    </row>
    <row r="7277">
      <c r="J7277" t="inlineStr">
        <is>
          <t>A</t>
        </is>
      </c>
      <c r="K7277" t="n">
        <v>2026</v>
      </c>
      <c r="L7277" t="n">
        <v>10</v>
      </c>
      <c r="M7277" t="inlineStr">
        <is>
          <t>Composto lácteo Merilú 400 g</t>
        </is>
      </c>
      <c r="N7277" t="inlineStr">
        <is>
          <t>Restaurante / Cantina</t>
        </is>
      </c>
      <c r="O7277" t="n">
        <v>12</v>
      </c>
      <c r="P7277" t="n">
        <v>41</v>
      </c>
      <c r="Q7277" t="n">
        <v>5</v>
      </c>
    </row>
    <row r="7278">
      <c r="J7278" t="inlineStr">
        <is>
          <t>A</t>
        </is>
      </c>
      <c r="K7278" t="n">
        <v>2026</v>
      </c>
      <c r="L7278" t="n">
        <v>11</v>
      </c>
      <c r="M7278" t="inlineStr">
        <is>
          <t>Composto lácteo Merilú 400 g</t>
        </is>
      </c>
      <c r="N7278" t="inlineStr">
        <is>
          <t>Restaurante / Cantina</t>
        </is>
      </c>
      <c r="O7278" t="n">
        <v>12</v>
      </c>
      <c r="P7278" t="n">
        <v>41</v>
      </c>
      <c r="Q7278" t="n">
        <v>5</v>
      </c>
    </row>
    <row r="7279">
      <c r="J7279" t="inlineStr">
        <is>
          <t>A</t>
        </is>
      </c>
      <c r="K7279" t="n">
        <v>2026</v>
      </c>
      <c r="L7279" t="n">
        <v>12</v>
      </c>
      <c r="M7279" t="inlineStr">
        <is>
          <t>Composto lácteo Merilú 400 g</t>
        </is>
      </c>
      <c r="N7279" t="inlineStr">
        <is>
          <t>Restaurante / Cantina</t>
        </is>
      </c>
      <c r="O7279" t="n">
        <v>12</v>
      </c>
      <c r="P7279" t="n">
        <v>41</v>
      </c>
      <c r="Q7279" t="n">
        <v>5</v>
      </c>
    </row>
    <row r="7280">
      <c r="J7280" t="inlineStr">
        <is>
          <t>A</t>
        </is>
      </c>
      <c r="K7280" t="n">
        <v>2026</v>
      </c>
      <c r="L7280" t="n">
        <v>7</v>
      </c>
      <c r="M7280" t="inlineStr">
        <is>
          <t>Composto lácteo Merilú 400 g</t>
        </is>
      </c>
      <c r="N7280" t="inlineStr">
        <is>
          <t>Cozinha Industrial</t>
        </is>
      </c>
      <c r="O7280" t="n">
        <v>1</v>
      </c>
      <c r="P7280" t="n">
        <v>2</v>
      </c>
      <c r="Q7280" t="n">
        <v>0</v>
      </c>
    </row>
    <row r="7281">
      <c r="J7281" t="inlineStr">
        <is>
          <t>M</t>
        </is>
      </c>
      <c r="K7281" t="n">
        <v>2026</v>
      </c>
      <c r="L7281" t="n">
        <v>7</v>
      </c>
      <c r="M7281" t="inlineStr">
        <is>
          <t>Composto lácteo Merilú 400 g</t>
        </is>
      </c>
      <c r="N7281" t="inlineStr">
        <is>
          <t>Cozinha Industrial</t>
        </is>
      </c>
      <c r="O7281" t="n">
        <v>1</v>
      </c>
      <c r="P7281" t="n">
        <v>2</v>
      </c>
      <c r="Q7281" t="n">
        <v>0</v>
      </c>
    </row>
    <row r="7282">
      <c r="J7282" t="inlineStr">
        <is>
          <t>A</t>
        </is>
      </c>
      <c r="K7282" t="n">
        <v>2026</v>
      </c>
      <c r="L7282" t="n">
        <v>8</v>
      </c>
      <c r="M7282" t="inlineStr">
        <is>
          <t>Composto lácteo Merilú 400 g</t>
        </is>
      </c>
      <c r="N7282" t="inlineStr">
        <is>
          <t>Cozinha Industrial</t>
        </is>
      </c>
      <c r="O7282" t="n">
        <v>1</v>
      </c>
      <c r="P7282" t="n">
        <v>3</v>
      </c>
      <c r="Q7282" t="n">
        <v>0</v>
      </c>
    </row>
    <row r="7283">
      <c r="J7283" t="inlineStr">
        <is>
          <t>M</t>
        </is>
      </c>
      <c r="K7283" t="n">
        <v>2026</v>
      </c>
      <c r="L7283" t="n">
        <v>8</v>
      </c>
      <c r="M7283" t="inlineStr">
        <is>
          <t>Composto lácteo Merilú 400 g</t>
        </is>
      </c>
      <c r="N7283" t="inlineStr">
        <is>
          <t>Cozinha Industrial</t>
        </is>
      </c>
      <c r="O7283" t="n">
        <v>1</v>
      </c>
      <c r="P7283" t="n">
        <v>1</v>
      </c>
      <c r="Q7283" t="n">
        <v>0</v>
      </c>
    </row>
    <row r="7284">
      <c r="J7284" t="inlineStr">
        <is>
          <t>A</t>
        </is>
      </c>
      <c r="K7284" t="n">
        <v>2026</v>
      </c>
      <c r="L7284" t="n">
        <v>9</v>
      </c>
      <c r="M7284" t="inlineStr">
        <is>
          <t>Composto lácteo Merilú 400 g</t>
        </is>
      </c>
      <c r="N7284" t="inlineStr">
        <is>
          <t>Cozinha Industrial</t>
        </is>
      </c>
      <c r="O7284" t="n">
        <v>1</v>
      </c>
      <c r="P7284" t="n">
        <v>3</v>
      </c>
      <c r="Q7284" t="n">
        <v>0</v>
      </c>
    </row>
    <row r="7285">
      <c r="J7285" t="inlineStr">
        <is>
          <t>A</t>
        </is>
      </c>
      <c r="K7285" t="n">
        <v>2026</v>
      </c>
      <c r="L7285" t="n">
        <v>10</v>
      </c>
      <c r="M7285" t="inlineStr">
        <is>
          <t>Composto lácteo Merilú 400 g</t>
        </is>
      </c>
      <c r="N7285" t="inlineStr">
        <is>
          <t>Cozinha Industrial</t>
        </is>
      </c>
      <c r="O7285" t="n">
        <v>1</v>
      </c>
      <c r="P7285" t="n">
        <v>3</v>
      </c>
      <c r="Q7285" t="n">
        <v>0</v>
      </c>
    </row>
    <row r="7286">
      <c r="J7286" t="inlineStr">
        <is>
          <t>A</t>
        </is>
      </c>
      <c r="K7286" t="n">
        <v>2026</v>
      </c>
      <c r="L7286" t="n">
        <v>11</v>
      </c>
      <c r="M7286" t="inlineStr">
        <is>
          <t>Composto lácteo Merilú 400 g</t>
        </is>
      </c>
      <c r="N7286" t="inlineStr">
        <is>
          <t>Cozinha Industrial</t>
        </is>
      </c>
      <c r="O7286" t="n">
        <v>1</v>
      </c>
      <c r="P7286" t="n">
        <v>3</v>
      </c>
      <c r="Q7286" t="n">
        <v>0</v>
      </c>
    </row>
    <row r="7287">
      <c r="J7287" t="inlineStr">
        <is>
          <t>A</t>
        </is>
      </c>
      <c r="K7287" t="n">
        <v>2026</v>
      </c>
      <c r="L7287" t="n">
        <v>12</v>
      </c>
      <c r="M7287" t="inlineStr">
        <is>
          <t>Composto lácteo Merilú 400 g</t>
        </is>
      </c>
      <c r="N7287" t="inlineStr">
        <is>
          <t>Cozinha Industrial</t>
        </is>
      </c>
      <c r="O7287" t="n">
        <v>1</v>
      </c>
      <c r="P7287" t="n">
        <v>3</v>
      </c>
      <c r="Q7287" t="n">
        <v>0</v>
      </c>
    </row>
    <row r="7288">
      <c r="J7288" t="inlineStr">
        <is>
          <t>A</t>
        </is>
      </c>
      <c r="K7288" t="n">
        <v>2026</v>
      </c>
      <c r="L7288" t="n">
        <v>3</v>
      </c>
      <c r="M7288" t="inlineStr">
        <is>
          <t>Composto lácteo Merilú 400 g</t>
        </is>
      </c>
      <c r="N7288" t="inlineStr">
        <is>
          <t>Fábrica de Massas</t>
        </is>
      </c>
      <c r="O7288" t="n">
        <v>1</v>
      </c>
      <c r="P7288" t="n">
        <v>1</v>
      </c>
      <c r="Q7288" t="n">
        <v>0</v>
      </c>
    </row>
    <row r="7289">
      <c r="J7289" t="inlineStr">
        <is>
          <t>M</t>
        </is>
      </c>
      <c r="K7289" t="n">
        <v>2026</v>
      </c>
      <c r="L7289" t="n">
        <v>3</v>
      </c>
      <c r="M7289" t="inlineStr">
        <is>
          <t>Composto lácteo Merilú 400 g</t>
        </is>
      </c>
      <c r="N7289" t="inlineStr">
        <is>
          <t>Fábrica de Massas</t>
        </is>
      </c>
      <c r="O7289" t="n">
        <v>1</v>
      </c>
      <c r="P7289" t="n">
        <v>1</v>
      </c>
      <c r="Q7289" t="n">
        <v>0</v>
      </c>
    </row>
    <row r="7290">
      <c r="J7290" t="inlineStr">
        <is>
          <t>A</t>
        </is>
      </c>
      <c r="K7290" t="n">
        <v>2026</v>
      </c>
      <c r="L7290" t="n">
        <v>4</v>
      </c>
      <c r="M7290" t="inlineStr">
        <is>
          <t>Composto lácteo Merilú 400 g</t>
        </is>
      </c>
      <c r="N7290" t="inlineStr">
        <is>
          <t>Fábrica de Massas</t>
        </is>
      </c>
      <c r="O7290" t="n">
        <v>1</v>
      </c>
      <c r="P7290" t="n">
        <v>1</v>
      </c>
      <c r="Q7290" t="n">
        <v>0</v>
      </c>
    </row>
    <row r="7291">
      <c r="J7291" t="inlineStr">
        <is>
          <t>A</t>
        </is>
      </c>
      <c r="K7291" t="n">
        <v>2026</v>
      </c>
      <c r="L7291" t="n">
        <v>5</v>
      </c>
      <c r="M7291" t="inlineStr">
        <is>
          <t>Composto lácteo Merilú 400 g</t>
        </is>
      </c>
      <c r="N7291" t="inlineStr">
        <is>
          <t>Fábrica de Massas</t>
        </is>
      </c>
      <c r="O7291" t="n">
        <v>1</v>
      </c>
      <c r="P7291" t="n">
        <v>1</v>
      </c>
      <c r="Q7291" t="n">
        <v>0</v>
      </c>
    </row>
    <row r="7292">
      <c r="J7292" t="inlineStr">
        <is>
          <t>A</t>
        </is>
      </c>
      <c r="K7292" t="n">
        <v>2026</v>
      </c>
      <c r="L7292" t="n">
        <v>6</v>
      </c>
      <c r="M7292" t="inlineStr">
        <is>
          <t>Composto lácteo Merilú 400 g</t>
        </is>
      </c>
      <c r="N7292" t="inlineStr">
        <is>
          <t>Fábrica de Massas</t>
        </is>
      </c>
      <c r="O7292" t="n">
        <v>1</v>
      </c>
      <c r="P7292" t="n">
        <v>1</v>
      </c>
      <c r="Q7292" t="n">
        <v>0</v>
      </c>
    </row>
    <row r="7293">
      <c r="J7293" t="inlineStr">
        <is>
          <t>A</t>
        </is>
      </c>
      <c r="K7293" t="n">
        <v>2026</v>
      </c>
      <c r="L7293" t="n">
        <v>7</v>
      </c>
      <c r="M7293" t="inlineStr">
        <is>
          <t>Composto lácteo Merilú 400 g</t>
        </is>
      </c>
      <c r="N7293" t="inlineStr">
        <is>
          <t>Fábrica de Massas</t>
        </is>
      </c>
      <c r="O7293" t="n">
        <v>1</v>
      </c>
      <c r="P7293" t="n">
        <v>1</v>
      </c>
      <c r="Q7293" t="n">
        <v>0</v>
      </c>
    </row>
    <row r="7294">
      <c r="J7294" t="inlineStr">
        <is>
          <t>A</t>
        </is>
      </c>
      <c r="K7294" t="n">
        <v>2026</v>
      </c>
      <c r="L7294" t="n">
        <v>8</v>
      </c>
      <c r="M7294" t="inlineStr">
        <is>
          <t>Composto lácteo Merilú 400 g</t>
        </is>
      </c>
      <c r="N7294" t="inlineStr">
        <is>
          <t>Fábrica de Massas</t>
        </is>
      </c>
      <c r="O7294" t="n">
        <v>1</v>
      </c>
      <c r="P7294" t="n">
        <v>1</v>
      </c>
      <c r="Q7294" t="n">
        <v>0</v>
      </c>
    </row>
    <row r="7295">
      <c r="J7295" t="inlineStr">
        <is>
          <t>A</t>
        </is>
      </c>
      <c r="K7295" t="n">
        <v>2026</v>
      </c>
      <c r="L7295" t="n">
        <v>9</v>
      </c>
      <c r="M7295" t="inlineStr">
        <is>
          <t>Composto lácteo Merilú 400 g</t>
        </is>
      </c>
      <c r="N7295" t="inlineStr">
        <is>
          <t>Fábrica de Massas</t>
        </is>
      </c>
      <c r="O7295" t="n">
        <v>1</v>
      </c>
      <c r="P7295" t="n">
        <v>1</v>
      </c>
      <c r="Q7295" t="n">
        <v>0</v>
      </c>
    </row>
    <row r="7296">
      <c r="J7296" t="inlineStr">
        <is>
          <t>A</t>
        </is>
      </c>
      <c r="K7296" t="n">
        <v>2026</v>
      </c>
      <c r="L7296" t="n">
        <v>10</v>
      </c>
      <c r="M7296" t="inlineStr">
        <is>
          <t>Composto lácteo Merilú 400 g</t>
        </is>
      </c>
      <c r="N7296" t="inlineStr">
        <is>
          <t>Fábrica de Massas</t>
        </is>
      </c>
      <c r="O7296" t="n">
        <v>1</v>
      </c>
      <c r="P7296" t="n">
        <v>1</v>
      </c>
      <c r="Q7296" t="n">
        <v>0</v>
      </c>
    </row>
    <row r="7297">
      <c r="J7297" t="inlineStr">
        <is>
          <t>A</t>
        </is>
      </c>
      <c r="K7297" t="n">
        <v>2026</v>
      </c>
      <c r="L7297" t="n">
        <v>11</v>
      </c>
      <c r="M7297" t="inlineStr">
        <is>
          <t>Composto lácteo Merilú 400 g</t>
        </is>
      </c>
      <c r="N7297" t="inlineStr">
        <is>
          <t>Fábrica de Massas</t>
        </is>
      </c>
      <c r="O7297" t="n">
        <v>1</v>
      </c>
      <c r="P7297" t="n">
        <v>1</v>
      </c>
      <c r="Q7297" t="n">
        <v>0</v>
      </c>
    </row>
    <row r="7298">
      <c r="J7298" t="inlineStr">
        <is>
          <t>A</t>
        </is>
      </c>
      <c r="K7298" t="n">
        <v>2026</v>
      </c>
      <c r="L7298" t="n">
        <v>12</v>
      </c>
      <c r="M7298" t="inlineStr">
        <is>
          <t>Composto lácteo Merilú 400 g</t>
        </is>
      </c>
      <c r="N7298" t="inlineStr">
        <is>
          <t>Fábrica de Massas</t>
        </is>
      </c>
      <c r="O7298" t="n">
        <v>1</v>
      </c>
      <c r="P7298" t="n">
        <v>1</v>
      </c>
      <c r="Q7298" t="n">
        <v>0</v>
      </c>
    </row>
    <row r="7299">
      <c r="J7299" t="inlineStr">
        <is>
          <t>A</t>
        </is>
      </c>
      <c r="K7299" t="n">
        <v>2026</v>
      </c>
      <c r="L7299" t="n">
        <v>2</v>
      </c>
      <c r="M7299" t="inlineStr">
        <is>
          <t>Composto lácteo Merilú 400 g</t>
        </is>
      </c>
      <c r="N7299" t="inlineStr">
        <is>
          <t>Pessoa Física</t>
        </is>
      </c>
      <c r="O7299" t="n">
        <v>1</v>
      </c>
      <c r="P7299" t="n">
        <v>1</v>
      </c>
      <c r="Q7299" t="n">
        <v>1</v>
      </c>
    </row>
    <row r="7300">
      <c r="J7300" t="inlineStr">
        <is>
          <t>M</t>
        </is>
      </c>
      <c r="K7300" t="n">
        <v>2026</v>
      </c>
      <c r="L7300" t="n">
        <v>2</v>
      </c>
      <c r="M7300" t="inlineStr">
        <is>
          <t>Composto lácteo Merilú 400 g</t>
        </is>
      </c>
      <c r="N7300" t="inlineStr">
        <is>
          <t>Pessoa Física</t>
        </is>
      </c>
      <c r="O7300" t="n">
        <v>1</v>
      </c>
      <c r="P7300" t="n">
        <v>1</v>
      </c>
      <c r="Q7300" t="n">
        <v>0</v>
      </c>
    </row>
    <row r="7301">
      <c r="J7301" t="inlineStr">
        <is>
          <t>A</t>
        </is>
      </c>
      <c r="K7301" t="n">
        <v>2026</v>
      </c>
      <c r="L7301" t="n">
        <v>3</v>
      </c>
      <c r="M7301" t="inlineStr">
        <is>
          <t>Composto lácteo Merilú 400 g</t>
        </is>
      </c>
      <c r="N7301" t="inlineStr">
        <is>
          <t>Pessoa Física</t>
        </is>
      </c>
      <c r="O7301" t="n">
        <v>1</v>
      </c>
      <c r="P7301" t="n">
        <v>1</v>
      </c>
      <c r="Q7301" t="n">
        <v>1</v>
      </c>
    </row>
    <row r="7302">
      <c r="J7302" t="inlineStr">
        <is>
          <t>A</t>
        </is>
      </c>
      <c r="K7302" t="n">
        <v>2026</v>
      </c>
      <c r="L7302" t="n">
        <v>4</v>
      </c>
      <c r="M7302" t="inlineStr">
        <is>
          <t>Composto lácteo Merilú 400 g</t>
        </is>
      </c>
      <c r="N7302" t="inlineStr">
        <is>
          <t>Pessoa Física</t>
        </is>
      </c>
      <c r="O7302" t="n">
        <v>1</v>
      </c>
      <c r="P7302" t="n">
        <v>1</v>
      </c>
      <c r="Q7302" t="n">
        <v>1</v>
      </c>
    </row>
    <row r="7303">
      <c r="J7303" t="inlineStr">
        <is>
          <t>A</t>
        </is>
      </c>
      <c r="K7303" t="n">
        <v>2026</v>
      </c>
      <c r="L7303" t="n">
        <v>5</v>
      </c>
      <c r="M7303" t="inlineStr">
        <is>
          <t>Composto lácteo Merilú 400 g</t>
        </is>
      </c>
      <c r="N7303" t="inlineStr">
        <is>
          <t>Pessoa Física</t>
        </is>
      </c>
      <c r="O7303" t="n">
        <v>1</v>
      </c>
      <c r="P7303" t="n">
        <v>1</v>
      </c>
      <c r="Q7303" t="n">
        <v>1</v>
      </c>
    </row>
    <row r="7304">
      <c r="J7304" t="inlineStr">
        <is>
          <t>A</t>
        </is>
      </c>
      <c r="K7304" t="n">
        <v>2026</v>
      </c>
      <c r="L7304" t="n">
        <v>6</v>
      </c>
      <c r="M7304" t="inlineStr">
        <is>
          <t>Composto lácteo Merilú 400 g</t>
        </is>
      </c>
      <c r="N7304" t="inlineStr">
        <is>
          <t>Pessoa Física</t>
        </is>
      </c>
      <c r="O7304" t="n">
        <v>1</v>
      </c>
      <c r="P7304" t="n">
        <v>1</v>
      </c>
      <c r="Q7304" t="n">
        <v>1</v>
      </c>
    </row>
    <row r="7305">
      <c r="J7305" t="inlineStr">
        <is>
          <t>A</t>
        </is>
      </c>
      <c r="K7305" t="n">
        <v>2026</v>
      </c>
      <c r="L7305" t="n">
        <v>7</v>
      </c>
      <c r="M7305" t="inlineStr">
        <is>
          <t>Composto lácteo Merilú 400 g</t>
        </is>
      </c>
      <c r="N7305" t="inlineStr">
        <is>
          <t>Pessoa Física</t>
        </is>
      </c>
      <c r="O7305" t="n">
        <v>1</v>
      </c>
      <c r="P7305" t="n">
        <v>1</v>
      </c>
      <c r="Q7305" t="n">
        <v>1</v>
      </c>
    </row>
    <row r="7306">
      <c r="J7306" t="inlineStr">
        <is>
          <t>A</t>
        </is>
      </c>
      <c r="K7306" t="n">
        <v>2026</v>
      </c>
      <c r="L7306" t="n">
        <v>8</v>
      </c>
      <c r="M7306" t="inlineStr">
        <is>
          <t>Composto lácteo Merilú 400 g</t>
        </is>
      </c>
      <c r="N7306" t="inlineStr">
        <is>
          <t>Pessoa Física</t>
        </is>
      </c>
      <c r="O7306" t="n">
        <v>1</v>
      </c>
      <c r="P7306" t="n">
        <v>1</v>
      </c>
      <c r="Q7306" t="n">
        <v>1</v>
      </c>
    </row>
    <row r="7307">
      <c r="J7307" t="inlineStr">
        <is>
          <t>A</t>
        </is>
      </c>
      <c r="K7307" t="n">
        <v>2026</v>
      </c>
      <c r="L7307" t="n">
        <v>9</v>
      </c>
      <c r="M7307" t="inlineStr">
        <is>
          <t>Composto lácteo Merilú 400 g</t>
        </is>
      </c>
      <c r="N7307" t="inlineStr">
        <is>
          <t>Pessoa Física</t>
        </is>
      </c>
      <c r="O7307" t="n">
        <v>1</v>
      </c>
      <c r="P7307" t="n">
        <v>1</v>
      </c>
      <c r="Q7307" t="n">
        <v>1</v>
      </c>
    </row>
    <row r="7308">
      <c r="J7308" t="inlineStr">
        <is>
          <t>A</t>
        </is>
      </c>
      <c r="K7308" t="n">
        <v>2026</v>
      </c>
      <c r="L7308" t="n">
        <v>10</v>
      </c>
      <c r="M7308" t="inlineStr">
        <is>
          <t>Composto lácteo Merilú 400 g</t>
        </is>
      </c>
      <c r="N7308" t="inlineStr">
        <is>
          <t>Pessoa Física</t>
        </is>
      </c>
      <c r="O7308" t="n">
        <v>1</v>
      </c>
      <c r="P7308" t="n">
        <v>1</v>
      </c>
      <c r="Q7308" t="n">
        <v>1</v>
      </c>
    </row>
    <row r="7309">
      <c r="J7309" t="inlineStr">
        <is>
          <t>A</t>
        </is>
      </c>
      <c r="K7309" t="n">
        <v>2026</v>
      </c>
      <c r="L7309" t="n">
        <v>11</v>
      </c>
      <c r="M7309" t="inlineStr">
        <is>
          <t>Composto lácteo Merilú 400 g</t>
        </is>
      </c>
      <c r="N7309" t="inlineStr">
        <is>
          <t>Pessoa Física</t>
        </is>
      </c>
      <c r="O7309" t="n">
        <v>1</v>
      </c>
      <c r="P7309" t="n">
        <v>1</v>
      </c>
      <c r="Q7309" t="n">
        <v>1</v>
      </c>
    </row>
    <row r="7310">
      <c r="J7310" t="inlineStr">
        <is>
          <t>A</t>
        </is>
      </c>
      <c r="K7310" t="n">
        <v>2026</v>
      </c>
      <c r="L7310" t="n">
        <v>12</v>
      </c>
      <c r="M7310" t="inlineStr">
        <is>
          <t>Composto lácteo Merilú 400 g</t>
        </is>
      </c>
      <c r="N7310" t="inlineStr">
        <is>
          <t>Pessoa Física</t>
        </is>
      </c>
      <c r="O7310" t="n">
        <v>1</v>
      </c>
      <c r="P7310" t="n">
        <v>1</v>
      </c>
      <c r="Q7310" t="n">
        <v>1</v>
      </c>
    </row>
    <row r="7311">
      <c r="J7311" t="inlineStr">
        <is>
          <t>A</t>
        </is>
      </c>
      <c r="K7311" t="n">
        <v>2026</v>
      </c>
      <c r="L7311" t="n">
        <v>1</v>
      </c>
      <c r="M7311" t="inlineStr">
        <is>
          <t>Composto lácteo Merilú 400 g</t>
        </is>
      </c>
      <c r="N7311" t="inlineStr">
        <is>
          <t>Esfiharia</t>
        </is>
      </c>
      <c r="O7311" t="n">
        <v>1</v>
      </c>
      <c r="P7311" t="n">
        <v>1</v>
      </c>
      <c r="Q7311" t="n">
        <v>1</v>
      </c>
    </row>
    <row r="7312">
      <c r="J7312" t="inlineStr">
        <is>
          <t>M</t>
        </is>
      </c>
      <c r="K7312" t="n">
        <v>2026</v>
      </c>
      <c r="L7312" t="n">
        <v>1</v>
      </c>
      <c r="M7312" t="inlineStr">
        <is>
          <t>Composto lácteo Merilú 400 g</t>
        </is>
      </c>
      <c r="N7312" t="inlineStr">
        <is>
          <t>Esfiharia</t>
        </is>
      </c>
      <c r="O7312" t="n">
        <v>1</v>
      </c>
      <c r="P7312" t="n">
        <v>1</v>
      </c>
      <c r="Q7312" t="n">
        <v>0</v>
      </c>
    </row>
    <row r="7313">
      <c r="J7313" t="inlineStr">
        <is>
          <t>A</t>
        </is>
      </c>
      <c r="K7313" t="n">
        <v>2026</v>
      </c>
      <c r="L7313" t="n">
        <v>2</v>
      </c>
      <c r="M7313" t="inlineStr">
        <is>
          <t>Composto lácteo Merilú 400 g</t>
        </is>
      </c>
      <c r="N7313" t="inlineStr">
        <is>
          <t>Esfiharia</t>
        </is>
      </c>
      <c r="O7313" t="n">
        <v>1</v>
      </c>
      <c r="P7313" t="n">
        <v>2</v>
      </c>
      <c r="Q7313" t="n">
        <v>1</v>
      </c>
    </row>
    <row r="7314">
      <c r="J7314" t="inlineStr">
        <is>
          <t>M</t>
        </is>
      </c>
      <c r="K7314" t="n">
        <v>2026</v>
      </c>
      <c r="L7314" t="n">
        <v>2</v>
      </c>
      <c r="M7314" t="inlineStr">
        <is>
          <t>Composto lácteo Merilú 400 g</t>
        </is>
      </c>
      <c r="N7314" t="inlineStr">
        <is>
          <t>Esfiharia</t>
        </is>
      </c>
      <c r="O7314" t="n">
        <v>1</v>
      </c>
      <c r="P7314" t="n">
        <v>1</v>
      </c>
      <c r="Q7314" t="n">
        <v>0</v>
      </c>
    </row>
    <row r="7315">
      <c r="J7315" t="inlineStr">
        <is>
          <t>A</t>
        </is>
      </c>
      <c r="K7315" t="n">
        <v>2026</v>
      </c>
      <c r="L7315" t="n">
        <v>3</v>
      </c>
      <c r="M7315" t="inlineStr">
        <is>
          <t>Composto lácteo Merilú 400 g</t>
        </is>
      </c>
      <c r="N7315" t="inlineStr">
        <is>
          <t>Esfiharia</t>
        </is>
      </c>
      <c r="O7315" t="n">
        <v>1</v>
      </c>
      <c r="P7315" t="n">
        <v>2</v>
      </c>
      <c r="Q7315" t="n">
        <v>1</v>
      </c>
    </row>
    <row r="7316">
      <c r="J7316" t="inlineStr">
        <is>
          <t>A</t>
        </is>
      </c>
      <c r="K7316" t="n">
        <v>2026</v>
      </c>
      <c r="L7316" t="n">
        <v>4</v>
      </c>
      <c r="M7316" t="inlineStr">
        <is>
          <t>Composto lácteo Merilú 400 g</t>
        </is>
      </c>
      <c r="N7316" t="inlineStr">
        <is>
          <t>Esfiharia</t>
        </is>
      </c>
      <c r="O7316" t="n">
        <v>1</v>
      </c>
      <c r="P7316" t="n">
        <v>2</v>
      </c>
      <c r="Q7316" t="n">
        <v>1</v>
      </c>
    </row>
    <row r="7317">
      <c r="J7317" t="inlineStr">
        <is>
          <t>A</t>
        </is>
      </c>
      <c r="K7317" t="n">
        <v>2026</v>
      </c>
      <c r="L7317" t="n">
        <v>5</v>
      </c>
      <c r="M7317" t="inlineStr">
        <is>
          <t>Composto lácteo Merilú 400 g</t>
        </is>
      </c>
      <c r="N7317" t="inlineStr">
        <is>
          <t>Esfiharia</t>
        </is>
      </c>
      <c r="O7317" t="n">
        <v>2</v>
      </c>
      <c r="P7317" t="n">
        <v>3</v>
      </c>
      <c r="Q7317" t="n">
        <v>2</v>
      </c>
    </row>
    <row r="7318">
      <c r="J7318" t="inlineStr">
        <is>
          <t>M</t>
        </is>
      </c>
      <c r="K7318" t="n">
        <v>2026</v>
      </c>
      <c r="L7318" t="n">
        <v>5</v>
      </c>
      <c r="M7318" t="inlineStr">
        <is>
          <t>Composto lácteo Merilú 400 g</t>
        </is>
      </c>
      <c r="N7318" t="inlineStr">
        <is>
          <t>Esfiharia</t>
        </is>
      </c>
      <c r="O7318" t="n">
        <v>1</v>
      </c>
      <c r="P7318" t="n">
        <v>1</v>
      </c>
      <c r="Q7318" t="n">
        <v>0</v>
      </c>
    </row>
    <row r="7319">
      <c r="J7319" t="inlineStr">
        <is>
          <t>A</t>
        </is>
      </c>
      <c r="K7319" t="n">
        <v>2026</v>
      </c>
      <c r="L7319" t="n">
        <v>6</v>
      </c>
      <c r="M7319" t="inlineStr">
        <is>
          <t>Composto lácteo Merilú 400 g</t>
        </is>
      </c>
      <c r="N7319" t="inlineStr">
        <is>
          <t>Esfiharia</t>
        </is>
      </c>
      <c r="O7319" t="n">
        <v>2</v>
      </c>
      <c r="P7319" t="n">
        <v>3</v>
      </c>
      <c r="Q7319" t="n">
        <v>2</v>
      </c>
    </row>
    <row r="7320">
      <c r="J7320" t="inlineStr">
        <is>
          <t>A</t>
        </is>
      </c>
      <c r="K7320" t="n">
        <v>2026</v>
      </c>
      <c r="L7320" t="n">
        <v>7</v>
      </c>
      <c r="M7320" t="inlineStr">
        <is>
          <t>Composto lácteo Merilú 400 g</t>
        </is>
      </c>
      <c r="N7320" t="inlineStr">
        <is>
          <t>Esfiharia</t>
        </is>
      </c>
      <c r="O7320" t="n">
        <v>3</v>
      </c>
      <c r="P7320" t="n">
        <v>5</v>
      </c>
      <c r="Q7320" t="n">
        <v>3</v>
      </c>
    </row>
    <row r="7321">
      <c r="J7321" t="inlineStr">
        <is>
          <t>M</t>
        </is>
      </c>
      <c r="K7321" t="n">
        <v>2026</v>
      </c>
      <c r="L7321" t="n">
        <v>7</v>
      </c>
      <c r="M7321" t="inlineStr">
        <is>
          <t>Composto lácteo Merilú 400 g</t>
        </is>
      </c>
      <c r="N7321" t="inlineStr">
        <is>
          <t>Esfiharia</t>
        </is>
      </c>
      <c r="O7321" t="n">
        <v>2</v>
      </c>
      <c r="P7321" t="n">
        <v>2</v>
      </c>
      <c r="Q7321" t="n">
        <v>0</v>
      </c>
    </row>
    <row r="7322">
      <c r="J7322" t="inlineStr">
        <is>
          <t>A</t>
        </is>
      </c>
      <c r="K7322" t="n">
        <v>2026</v>
      </c>
      <c r="L7322" t="n">
        <v>8</v>
      </c>
      <c r="M7322" t="inlineStr">
        <is>
          <t>Composto lácteo Merilú 400 g</t>
        </is>
      </c>
      <c r="N7322" t="inlineStr">
        <is>
          <t>Esfiharia</t>
        </is>
      </c>
      <c r="O7322" t="n">
        <v>3</v>
      </c>
      <c r="P7322" t="n">
        <v>5</v>
      </c>
      <c r="Q7322" t="n">
        <v>3</v>
      </c>
    </row>
    <row r="7323">
      <c r="J7323" t="inlineStr">
        <is>
          <t>A</t>
        </is>
      </c>
      <c r="K7323" t="n">
        <v>2026</v>
      </c>
      <c r="L7323" t="n">
        <v>9</v>
      </c>
      <c r="M7323" t="inlineStr">
        <is>
          <t>Composto lácteo Merilú 400 g</t>
        </is>
      </c>
      <c r="N7323" t="inlineStr">
        <is>
          <t>Esfiharia</t>
        </is>
      </c>
      <c r="O7323" t="n">
        <v>3</v>
      </c>
      <c r="P7323" t="n">
        <v>6</v>
      </c>
      <c r="Q7323" t="n">
        <v>3</v>
      </c>
    </row>
    <row r="7324">
      <c r="J7324" t="inlineStr">
        <is>
          <t>M</t>
        </is>
      </c>
      <c r="K7324" t="n">
        <v>2026</v>
      </c>
      <c r="L7324" t="n">
        <v>9</v>
      </c>
      <c r="M7324" t="inlineStr">
        <is>
          <t>Composto lácteo Merilú 400 g</t>
        </is>
      </c>
      <c r="N7324" t="inlineStr">
        <is>
          <t>Esfiharia</t>
        </is>
      </c>
      <c r="O7324" t="n">
        <v>1</v>
      </c>
      <c r="P7324" t="n">
        <v>1</v>
      </c>
      <c r="Q7324" t="n">
        <v>0</v>
      </c>
    </row>
    <row r="7325">
      <c r="J7325" t="inlineStr">
        <is>
          <t>A</t>
        </is>
      </c>
      <c r="K7325" t="n">
        <v>2026</v>
      </c>
      <c r="L7325" t="n">
        <v>10</v>
      </c>
      <c r="M7325" t="inlineStr">
        <is>
          <t>Composto lácteo Merilú 400 g</t>
        </is>
      </c>
      <c r="N7325" t="inlineStr">
        <is>
          <t>Esfiharia</t>
        </is>
      </c>
      <c r="O7325" t="n">
        <v>3</v>
      </c>
      <c r="P7325" t="n">
        <v>6</v>
      </c>
      <c r="Q7325" t="n">
        <v>3</v>
      </c>
    </row>
    <row r="7326">
      <c r="J7326" t="inlineStr">
        <is>
          <t>A</t>
        </is>
      </c>
      <c r="K7326" t="n">
        <v>2026</v>
      </c>
      <c r="L7326" t="n">
        <v>11</v>
      </c>
      <c r="M7326" t="inlineStr">
        <is>
          <t>Composto lácteo Merilú 400 g</t>
        </is>
      </c>
      <c r="N7326" t="inlineStr">
        <is>
          <t>Esfiharia</t>
        </is>
      </c>
      <c r="O7326" t="n">
        <v>3</v>
      </c>
      <c r="P7326" t="n">
        <v>6</v>
      </c>
      <c r="Q7326" t="n">
        <v>3</v>
      </c>
    </row>
    <row r="7327">
      <c r="J7327" t="inlineStr">
        <is>
          <t>A</t>
        </is>
      </c>
      <c r="K7327" t="n">
        <v>2026</v>
      </c>
      <c r="L7327" t="n">
        <v>12</v>
      </c>
      <c r="M7327" t="inlineStr">
        <is>
          <t>Composto lácteo Merilú 400 g</t>
        </is>
      </c>
      <c r="N7327" t="inlineStr">
        <is>
          <t>Esfiharia</t>
        </is>
      </c>
      <c r="O7327" t="n">
        <v>3</v>
      </c>
      <c r="P7327" t="n">
        <v>6</v>
      </c>
      <c r="Q7327" t="n">
        <v>3</v>
      </c>
    </row>
    <row r="7328">
      <c r="J7328" t="inlineStr">
        <is>
          <t>A</t>
        </is>
      </c>
      <c r="K7328" t="n">
        <v>2026</v>
      </c>
      <c r="L7328" t="n">
        <v>1</v>
      </c>
      <c r="M7328" t="inlineStr">
        <is>
          <t>Composto lácteo Merilú 400 g</t>
        </is>
      </c>
      <c r="N7328" t="inlineStr">
        <is>
          <t>Lanchonete / Cafeteria</t>
        </is>
      </c>
      <c r="O7328" t="n">
        <v>1</v>
      </c>
      <c r="P7328" t="n">
        <v>1</v>
      </c>
      <c r="Q7328" t="n">
        <v>0</v>
      </c>
    </row>
    <row r="7329">
      <c r="J7329" t="inlineStr">
        <is>
          <t>M</t>
        </is>
      </c>
      <c r="K7329" t="n">
        <v>2026</v>
      </c>
      <c r="L7329" t="n">
        <v>1</v>
      </c>
      <c r="M7329" t="inlineStr">
        <is>
          <t>Composto lácteo Merilú 400 g</t>
        </is>
      </c>
      <c r="N7329" t="inlineStr">
        <is>
          <t>Lanchonete / Cafeteria</t>
        </is>
      </c>
      <c r="O7329" t="n">
        <v>1</v>
      </c>
      <c r="P7329" t="n">
        <v>1</v>
      </c>
      <c r="Q7329" t="n">
        <v>0</v>
      </c>
    </row>
    <row r="7330">
      <c r="J7330" t="inlineStr">
        <is>
          <t>A</t>
        </is>
      </c>
      <c r="K7330" t="n">
        <v>2026</v>
      </c>
      <c r="L7330" t="n">
        <v>2</v>
      </c>
      <c r="M7330" t="inlineStr">
        <is>
          <t>Composto lácteo Merilú 400 g</t>
        </is>
      </c>
      <c r="N7330" t="inlineStr">
        <is>
          <t>Lanchonete / Cafeteria</t>
        </is>
      </c>
      <c r="O7330" t="n">
        <v>2</v>
      </c>
      <c r="P7330" t="n">
        <v>2</v>
      </c>
      <c r="Q7330" t="n">
        <v>0</v>
      </c>
    </row>
    <row r="7331">
      <c r="J7331" t="inlineStr">
        <is>
          <t>M</t>
        </is>
      </c>
      <c r="K7331" t="n">
        <v>2026</v>
      </c>
      <c r="L7331" t="n">
        <v>2</v>
      </c>
      <c r="M7331" t="inlineStr">
        <is>
          <t>Composto lácteo Merilú 400 g</t>
        </is>
      </c>
      <c r="N7331" t="inlineStr">
        <is>
          <t>Lanchonete / Cafeteria</t>
        </is>
      </c>
      <c r="O7331" t="n">
        <v>1</v>
      </c>
      <c r="P7331" t="n">
        <v>1</v>
      </c>
      <c r="Q7331" t="n">
        <v>0</v>
      </c>
    </row>
    <row r="7332">
      <c r="J7332" t="inlineStr">
        <is>
          <t>A</t>
        </is>
      </c>
      <c r="K7332" t="n">
        <v>2026</v>
      </c>
      <c r="L7332" t="n">
        <v>3</v>
      </c>
      <c r="M7332" t="inlineStr">
        <is>
          <t>Composto lácteo Merilú 400 g</t>
        </is>
      </c>
      <c r="N7332" t="inlineStr">
        <is>
          <t>Lanchonete / Cafeteria</t>
        </is>
      </c>
      <c r="O7332" t="n">
        <v>2</v>
      </c>
      <c r="P7332" t="n">
        <v>2</v>
      </c>
      <c r="Q7332" t="n">
        <v>0</v>
      </c>
    </row>
    <row r="7333">
      <c r="J7333" t="inlineStr">
        <is>
          <t>A</t>
        </is>
      </c>
      <c r="K7333" t="n">
        <v>2026</v>
      </c>
      <c r="L7333" t="n">
        <v>4</v>
      </c>
      <c r="M7333" t="inlineStr">
        <is>
          <t>Composto lácteo Merilú 400 g</t>
        </is>
      </c>
      <c r="N7333" t="inlineStr">
        <is>
          <t>Lanchonete / Cafeteria</t>
        </is>
      </c>
      <c r="O7333" t="n">
        <v>2</v>
      </c>
      <c r="P7333" t="n">
        <v>2</v>
      </c>
      <c r="Q7333" t="n">
        <v>0</v>
      </c>
    </row>
    <row r="7334">
      <c r="J7334" t="inlineStr">
        <is>
          <t>A</t>
        </is>
      </c>
      <c r="K7334" t="n">
        <v>2026</v>
      </c>
      <c r="L7334" t="n">
        <v>5</v>
      </c>
      <c r="M7334" t="inlineStr">
        <is>
          <t>Composto lácteo Merilú 400 g</t>
        </is>
      </c>
      <c r="N7334" t="inlineStr">
        <is>
          <t>Lanchonete / Cafeteria</t>
        </is>
      </c>
      <c r="O7334" t="n">
        <v>3</v>
      </c>
      <c r="P7334" t="n">
        <v>3</v>
      </c>
      <c r="Q7334" t="n">
        <v>1</v>
      </c>
    </row>
    <row r="7335">
      <c r="J7335" t="inlineStr">
        <is>
          <t>M</t>
        </is>
      </c>
      <c r="K7335" t="n">
        <v>2026</v>
      </c>
      <c r="L7335" t="n">
        <v>5</v>
      </c>
      <c r="M7335" t="inlineStr">
        <is>
          <t>Composto lácteo Merilú 400 g</t>
        </is>
      </c>
      <c r="N7335" t="inlineStr">
        <is>
          <t>Lanchonete / Cafeteria</t>
        </is>
      </c>
      <c r="O7335" t="n">
        <v>1</v>
      </c>
      <c r="P7335" t="n">
        <v>1</v>
      </c>
      <c r="Q7335" t="n">
        <v>0</v>
      </c>
    </row>
    <row r="7336">
      <c r="J7336" t="inlineStr">
        <is>
          <t>A</t>
        </is>
      </c>
      <c r="K7336" t="n">
        <v>2026</v>
      </c>
      <c r="L7336" t="n">
        <v>6</v>
      </c>
      <c r="M7336" t="inlineStr">
        <is>
          <t>Composto lácteo Merilú 400 g</t>
        </is>
      </c>
      <c r="N7336" t="inlineStr">
        <is>
          <t>Lanchonete / Cafeteria</t>
        </is>
      </c>
      <c r="O7336" t="n">
        <v>3</v>
      </c>
      <c r="P7336" t="n">
        <v>3</v>
      </c>
      <c r="Q7336" t="n">
        <v>1</v>
      </c>
    </row>
    <row r="7337">
      <c r="J7337" t="inlineStr">
        <is>
          <t>A</t>
        </is>
      </c>
      <c r="K7337" t="n">
        <v>2026</v>
      </c>
      <c r="L7337" t="n">
        <v>7</v>
      </c>
      <c r="M7337" t="inlineStr">
        <is>
          <t>Composto lácteo Merilú 400 g</t>
        </is>
      </c>
      <c r="N7337" t="inlineStr">
        <is>
          <t>Lanchonete / Cafeteria</t>
        </is>
      </c>
      <c r="O7337" t="n">
        <v>3</v>
      </c>
      <c r="P7337" t="n">
        <v>3</v>
      </c>
      <c r="Q7337" t="n">
        <v>1</v>
      </c>
    </row>
    <row r="7338">
      <c r="J7338" t="inlineStr">
        <is>
          <t>A</t>
        </is>
      </c>
      <c r="K7338" t="n">
        <v>2026</v>
      </c>
      <c r="L7338" t="n">
        <v>8</v>
      </c>
      <c r="M7338" t="inlineStr">
        <is>
          <t>Composto lácteo Merilú 400 g</t>
        </is>
      </c>
      <c r="N7338" t="inlineStr">
        <is>
          <t>Lanchonete / Cafeteria</t>
        </is>
      </c>
      <c r="O7338" t="n">
        <v>3</v>
      </c>
      <c r="P7338" t="n">
        <v>3</v>
      </c>
      <c r="Q7338" t="n">
        <v>1</v>
      </c>
    </row>
    <row r="7339">
      <c r="J7339" t="inlineStr">
        <is>
          <t>A</t>
        </is>
      </c>
      <c r="K7339" t="n">
        <v>2026</v>
      </c>
      <c r="L7339" t="n">
        <v>9</v>
      </c>
      <c r="M7339" t="inlineStr">
        <is>
          <t>Composto lácteo Merilú 400 g</t>
        </is>
      </c>
      <c r="N7339" t="inlineStr">
        <is>
          <t>Lanchonete / Cafeteria</t>
        </is>
      </c>
      <c r="O7339" t="n">
        <v>3</v>
      </c>
      <c r="P7339" t="n">
        <v>3</v>
      </c>
      <c r="Q7339" t="n">
        <v>1</v>
      </c>
    </row>
    <row r="7340">
      <c r="J7340" t="inlineStr">
        <is>
          <t>A</t>
        </is>
      </c>
      <c r="K7340" t="n">
        <v>2026</v>
      </c>
      <c r="L7340" t="n">
        <v>10</v>
      </c>
      <c r="M7340" t="inlineStr">
        <is>
          <t>Composto lácteo Merilú 400 g</t>
        </is>
      </c>
      <c r="N7340" t="inlineStr">
        <is>
          <t>Lanchonete / Cafeteria</t>
        </is>
      </c>
      <c r="O7340" t="n">
        <v>3</v>
      </c>
      <c r="P7340" t="n">
        <v>3</v>
      </c>
      <c r="Q7340" t="n">
        <v>1</v>
      </c>
    </row>
    <row r="7341">
      <c r="J7341" t="inlineStr">
        <is>
          <t>A</t>
        </is>
      </c>
      <c r="K7341" t="n">
        <v>2026</v>
      </c>
      <c r="L7341" t="n">
        <v>11</v>
      </c>
      <c r="M7341" t="inlineStr">
        <is>
          <t>Composto lácteo Merilú 400 g</t>
        </is>
      </c>
      <c r="N7341" t="inlineStr">
        <is>
          <t>Lanchonete / Cafeteria</t>
        </is>
      </c>
      <c r="O7341" t="n">
        <v>3</v>
      </c>
      <c r="P7341" t="n">
        <v>3</v>
      </c>
      <c r="Q7341" t="n">
        <v>1</v>
      </c>
    </row>
    <row r="7342">
      <c r="J7342" t="inlineStr">
        <is>
          <t>A</t>
        </is>
      </c>
      <c r="K7342" t="n">
        <v>2026</v>
      </c>
      <c r="L7342" t="n">
        <v>12</v>
      </c>
      <c r="M7342" t="inlineStr">
        <is>
          <t>Composto lácteo Merilú 400 g</t>
        </is>
      </c>
      <c r="N7342" t="inlineStr">
        <is>
          <t>Lanchonete / Cafeteria</t>
        </is>
      </c>
      <c r="O7342" t="n">
        <v>3</v>
      </c>
      <c r="P7342" t="n">
        <v>3</v>
      </c>
      <c r="Q7342" t="n">
        <v>1</v>
      </c>
    </row>
    <row r="7343">
      <c r="J7343" t="inlineStr">
        <is>
          <t>A</t>
        </is>
      </c>
      <c r="K7343" t="n">
        <v>2026</v>
      </c>
      <c r="L7343" t="n">
        <v>1</v>
      </c>
      <c r="M7343" t="inlineStr">
        <is>
          <t>Composto lácteo Merilú 400 g</t>
        </is>
      </c>
      <c r="N7343" t="inlineStr">
        <is>
          <t>Padaria</t>
        </is>
      </c>
      <c r="O7343" t="n">
        <v>1</v>
      </c>
      <c r="P7343" t="n">
        <v>1</v>
      </c>
      <c r="Q7343" t="n">
        <v>0</v>
      </c>
    </row>
    <row r="7344">
      <c r="J7344" t="inlineStr">
        <is>
          <t>M</t>
        </is>
      </c>
      <c r="K7344" t="n">
        <v>2026</v>
      </c>
      <c r="L7344" t="n">
        <v>1</v>
      </c>
      <c r="M7344" t="inlineStr">
        <is>
          <t>Composto lácteo Merilú 400 g</t>
        </is>
      </c>
      <c r="N7344" t="inlineStr">
        <is>
          <t>Padaria</t>
        </is>
      </c>
      <c r="O7344" t="n">
        <v>1</v>
      </c>
      <c r="P7344" t="n">
        <v>1</v>
      </c>
      <c r="Q7344" t="n">
        <v>0</v>
      </c>
    </row>
    <row r="7345">
      <c r="J7345" t="inlineStr">
        <is>
          <t>A</t>
        </is>
      </c>
      <c r="K7345" t="n">
        <v>2026</v>
      </c>
      <c r="L7345" t="n">
        <v>2</v>
      </c>
      <c r="M7345" t="inlineStr">
        <is>
          <t>Composto lácteo Merilú 400 g</t>
        </is>
      </c>
      <c r="N7345" t="inlineStr">
        <is>
          <t>Padaria</t>
        </is>
      </c>
      <c r="O7345" t="n">
        <v>1</v>
      </c>
      <c r="P7345" t="n">
        <v>2</v>
      </c>
      <c r="Q7345" t="n">
        <v>0</v>
      </c>
    </row>
    <row r="7346">
      <c r="J7346" t="inlineStr">
        <is>
          <t>M</t>
        </is>
      </c>
      <c r="K7346" t="n">
        <v>2026</v>
      </c>
      <c r="L7346" t="n">
        <v>2</v>
      </c>
      <c r="M7346" t="inlineStr">
        <is>
          <t>Composto lácteo Merilú 400 g</t>
        </is>
      </c>
      <c r="N7346" t="inlineStr">
        <is>
          <t>Padaria</t>
        </is>
      </c>
      <c r="O7346" t="n">
        <v>1</v>
      </c>
      <c r="P7346" t="n">
        <v>1</v>
      </c>
      <c r="Q7346" t="n">
        <v>0</v>
      </c>
    </row>
    <row r="7347">
      <c r="J7347" t="inlineStr">
        <is>
          <t>A</t>
        </is>
      </c>
      <c r="K7347" t="n">
        <v>2026</v>
      </c>
      <c r="L7347" t="n">
        <v>3</v>
      </c>
      <c r="M7347" t="inlineStr">
        <is>
          <t>Composto lácteo Merilú 400 g</t>
        </is>
      </c>
      <c r="N7347" t="inlineStr">
        <is>
          <t>Padaria</t>
        </is>
      </c>
      <c r="O7347" t="n">
        <v>1</v>
      </c>
      <c r="P7347" t="n">
        <v>2</v>
      </c>
      <c r="Q7347" t="n">
        <v>0</v>
      </c>
    </row>
    <row r="7348">
      <c r="J7348" t="inlineStr">
        <is>
          <t>A</t>
        </is>
      </c>
      <c r="K7348" t="n">
        <v>2026</v>
      </c>
      <c r="L7348" t="n">
        <v>4</v>
      </c>
      <c r="M7348" t="inlineStr">
        <is>
          <t>Composto lácteo Merilú 400 g</t>
        </is>
      </c>
      <c r="N7348" t="inlineStr">
        <is>
          <t>Padaria</t>
        </is>
      </c>
      <c r="O7348" t="n">
        <v>2</v>
      </c>
      <c r="P7348" t="n">
        <v>3</v>
      </c>
      <c r="Q7348" t="n">
        <v>0</v>
      </c>
    </row>
    <row r="7349">
      <c r="J7349" t="inlineStr">
        <is>
          <t>M</t>
        </is>
      </c>
      <c r="K7349" t="n">
        <v>2026</v>
      </c>
      <c r="L7349" t="n">
        <v>4</v>
      </c>
      <c r="M7349" t="inlineStr">
        <is>
          <t>Composto lácteo Merilú 400 g</t>
        </is>
      </c>
      <c r="N7349" t="inlineStr">
        <is>
          <t>Padaria</t>
        </is>
      </c>
      <c r="O7349" t="n">
        <v>1</v>
      </c>
      <c r="P7349" t="n">
        <v>1</v>
      </c>
      <c r="Q7349" t="n">
        <v>0</v>
      </c>
    </row>
    <row r="7350">
      <c r="J7350" t="inlineStr">
        <is>
          <t>A</t>
        </is>
      </c>
      <c r="K7350" t="n">
        <v>2026</v>
      </c>
      <c r="L7350" t="n">
        <v>5</v>
      </c>
      <c r="M7350" t="inlineStr">
        <is>
          <t>Composto lácteo Merilú 400 g</t>
        </is>
      </c>
      <c r="N7350" t="inlineStr">
        <is>
          <t>Padaria</t>
        </is>
      </c>
      <c r="O7350" t="n">
        <v>3</v>
      </c>
      <c r="P7350" t="n">
        <v>5</v>
      </c>
      <c r="Q7350" t="n">
        <v>1</v>
      </c>
    </row>
    <row r="7351">
      <c r="J7351" t="inlineStr">
        <is>
          <t>M</t>
        </is>
      </c>
      <c r="K7351" t="n">
        <v>2026</v>
      </c>
      <c r="L7351" t="n">
        <v>5</v>
      </c>
      <c r="M7351" t="inlineStr">
        <is>
          <t>Composto lácteo Merilú 400 g</t>
        </is>
      </c>
      <c r="N7351" t="inlineStr">
        <is>
          <t>Padaria</t>
        </is>
      </c>
      <c r="O7351" t="n">
        <v>2</v>
      </c>
      <c r="P7351" t="n">
        <v>2</v>
      </c>
      <c r="Q7351" t="n">
        <v>0</v>
      </c>
    </row>
    <row r="7352">
      <c r="J7352" t="inlineStr">
        <is>
          <t>A</t>
        </is>
      </c>
      <c r="K7352" t="n">
        <v>2026</v>
      </c>
      <c r="L7352" t="n">
        <v>6</v>
      </c>
      <c r="M7352" t="inlineStr">
        <is>
          <t>Composto lácteo Merilú 400 g</t>
        </is>
      </c>
      <c r="N7352" t="inlineStr">
        <is>
          <t>Padaria</t>
        </is>
      </c>
      <c r="O7352" t="n">
        <v>4</v>
      </c>
      <c r="P7352" t="n">
        <v>7</v>
      </c>
      <c r="Q7352" t="n">
        <v>1</v>
      </c>
    </row>
    <row r="7353">
      <c r="J7353" t="inlineStr">
        <is>
          <t>M</t>
        </is>
      </c>
      <c r="K7353" t="n">
        <v>2026</v>
      </c>
      <c r="L7353" t="n">
        <v>6</v>
      </c>
      <c r="M7353" t="inlineStr">
        <is>
          <t>Composto lácteo Merilú 400 g</t>
        </is>
      </c>
      <c r="N7353" t="inlineStr">
        <is>
          <t>Padaria</t>
        </is>
      </c>
      <c r="O7353" t="n">
        <v>2</v>
      </c>
      <c r="P7353" t="n">
        <v>2</v>
      </c>
      <c r="Q7353" t="n">
        <v>0</v>
      </c>
    </row>
    <row r="7354">
      <c r="J7354" t="inlineStr">
        <is>
          <t>A</t>
        </is>
      </c>
      <c r="K7354" t="n">
        <v>2026</v>
      </c>
      <c r="L7354" t="n">
        <v>7</v>
      </c>
      <c r="M7354" t="inlineStr">
        <is>
          <t>Composto lácteo Merilú 400 g</t>
        </is>
      </c>
      <c r="N7354" t="inlineStr">
        <is>
          <t>Padaria</t>
        </is>
      </c>
      <c r="O7354" t="n">
        <v>4</v>
      </c>
      <c r="P7354" t="n">
        <v>8</v>
      </c>
      <c r="Q7354" t="n">
        <v>1</v>
      </c>
    </row>
    <row r="7355">
      <c r="J7355" t="inlineStr">
        <is>
          <t>M</t>
        </is>
      </c>
      <c r="K7355" t="n">
        <v>2026</v>
      </c>
      <c r="L7355" t="n">
        <v>7</v>
      </c>
      <c r="M7355" t="inlineStr">
        <is>
          <t>Composto lácteo Merilú 400 g</t>
        </is>
      </c>
      <c r="N7355" t="inlineStr">
        <is>
          <t>Padaria</t>
        </is>
      </c>
      <c r="O7355" t="n">
        <v>1</v>
      </c>
      <c r="P7355" t="n">
        <v>1</v>
      </c>
      <c r="Q7355" t="n">
        <v>0</v>
      </c>
    </row>
    <row r="7356">
      <c r="J7356" t="inlineStr">
        <is>
          <t>A</t>
        </is>
      </c>
      <c r="K7356" t="n">
        <v>2026</v>
      </c>
      <c r="L7356" t="n">
        <v>8</v>
      </c>
      <c r="M7356" t="inlineStr">
        <is>
          <t>Composto lácteo Merilú 400 g</t>
        </is>
      </c>
      <c r="N7356" t="inlineStr">
        <is>
          <t>Padaria</t>
        </is>
      </c>
      <c r="O7356" t="n">
        <v>4</v>
      </c>
      <c r="P7356" t="n">
        <v>9</v>
      </c>
      <c r="Q7356" t="n">
        <v>1</v>
      </c>
    </row>
    <row r="7357">
      <c r="J7357" t="inlineStr">
        <is>
          <t>M</t>
        </is>
      </c>
      <c r="K7357" t="n">
        <v>2026</v>
      </c>
      <c r="L7357" t="n">
        <v>8</v>
      </c>
      <c r="M7357" t="inlineStr">
        <is>
          <t>Composto lácteo Merilú 400 g</t>
        </is>
      </c>
      <c r="N7357" t="inlineStr">
        <is>
          <t>Padaria</t>
        </is>
      </c>
      <c r="O7357" t="n">
        <v>1</v>
      </c>
      <c r="P7357" t="n">
        <v>1</v>
      </c>
      <c r="Q7357" t="n">
        <v>0</v>
      </c>
    </row>
    <row r="7358">
      <c r="J7358" t="inlineStr">
        <is>
          <t>A</t>
        </is>
      </c>
      <c r="K7358" t="n">
        <v>2026</v>
      </c>
      <c r="L7358" t="n">
        <v>9</v>
      </c>
      <c r="M7358" t="inlineStr">
        <is>
          <t>Composto lácteo Merilú 400 g</t>
        </is>
      </c>
      <c r="N7358" t="inlineStr">
        <is>
          <t>Padaria</t>
        </is>
      </c>
      <c r="O7358" t="n">
        <v>4</v>
      </c>
      <c r="P7358" t="n">
        <v>9</v>
      </c>
      <c r="Q7358" t="n">
        <v>1</v>
      </c>
    </row>
    <row r="7359">
      <c r="J7359" t="inlineStr">
        <is>
          <t>A</t>
        </is>
      </c>
      <c r="K7359" t="n">
        <v>2026</v>
      </c>
      <c r="L7359" t="n">
        <v>10</v>
      </c>
      <c r="M7359" t="inlineStr">
        <is>
          <t>Composto lácteo Merilú 400 g</t>
        </is>
      </c>
      <c r="N7359" t="inlineStr">
        <is>
          <t>Padaria</t>
        </is>
      </c>
      <c r="O7359" t="n">
        <v>4</v>
      </c>
      <c r="P7359" t="n">
        <v>9</v>
      </c>
      <c r="Q7359" t="n">
        <v>1</v>
      </c>
    </row>
    <row r="7360">
      <c r="J7360" t="inlineStr">
        <is>
          <t>A</t>
        </is>
      </c>
      <c r="K7360" t="n">
        <v>2026</v>
      </c>
      <c r="L7360" t="n">
        <v>11</v>
      </c>
      <c r="M7360" t="inlineStr">
        <is>
          <t>Composto lácteo Merilú 400 g</t>
        </is>
      </c>
      <c r="N7360" t="inlineStr">
        <is>
          <t>Padaria</t>
        </is>
      </c>
      <c r="O7360" t="n">
        <v>4</v>
      </c>
      <c r="P7360" t="n">
        <v>9</v>
      </c>
      <c r="Q7360" t="n">
        <v>1</v>
      </c>
    </row>
    <row r="7361">
      <c r="J7361" t="inlineStr">
        <is>
          <t>A</t>
        </is>
      </c>
      <c r="K7361" t="n">
        <v>2026</v>
      </c>
      <c r="L7361" t="n">
        <v>12</v>
      </c>
      <c r="M7361" t="inlineStr">
        <is>
          <t>Composto lácteo Merilú 400 g</t>
        </is>
      </c>
      <c r="N7361" t="inlineStr">
        <is>
          <t>Padaria</t>
        </is>
      </c>
      <c r="O7361" t="n">
        <v>4</v>
      </c>
      <c r="P7361" t="n">
        <v>9</v>
      </c>
      <c r="Q7361" t="n">
        <v>1</v>
      </c>
    </row>
    <row r="7362">
      <c r="J7362" t="inlineStr">
        <is>
          <t>A</t>
        </is>
      </c>
      <c r="K7362" t="n">
        <v>2026</v>
      </c>
      <c r="L7362" t="n">
        <v>1</v>
      </c>
      <c r="M7362" t="inlineStr">
        <is>
          <t>Composto lácteo Merilú 400 g</t>
        </is>
      </c>
      <c r="N7362" t="inlineStr">
        <is>
          <t>Supermercado</t>
        </is>
      </c>
      <c r="O7362" t="n">
        <v>1</v>
      </c>
      <c r="P7362" t="n">
        <v>1</v>
      </c>
      <c r="Q7362" t="n">
        <v>0</v>
      </c>
    </row>
    <row r="7363">
      <c r="J7363" t="inlineStr">
        <is>
          <t>M</t>
        </is>
      </c>
      <c r="K7363" t="n">
        <v>2026</v>
      </c>
      <c r="L7363" t="n">
        <v>1</v>
      </c>
      <c r="M7363" t="inlineStr">
        <is>
          <t>Composto lácteo Merilú 400 g</t>
        </is>
      </c>
      <c r="N7363" t="inlineStr">
        <is>
          <t>Supermercado</t>
        </is>
      </c>
      <c r="O7363" t="n">
        <v>1</v>
      </c>
      <c r="P7363" t="n">
        <v>1</v>
      </c>
      <c r="Q7363" t="n">
        <v>0</v>
      </c>
    </row>
    <row r="7364">
      <c r="J7364" t="inlineStr">
        <is>
          <t>A</t>
        </is>
      </c>
      <c r="K7364" t="n">
        <v>2026</v>
      </c>
      <c r="L7364" t="n">
        <v>2</v>
      </c>
      <c r="M7364" t="inlineStr">
        <is>
          <t>Composto lácteo Merilú 400 g</t>
        </is>
      </c>
      <c r="N7364" t="inlineStr">
        <is>
          <t>Supermercado</t>
        </is>
      </c>
      <c r="O7364" t="n">
        <v>1</v>
      </c>
      <c r="P7364" t="n">
        <v>3</v>
      </c>
      <c r="Q7364" t="n">
        <v>0</v>
      </c>
    </row>
    <row r="7365">
      <c r="J7365" t="inlineStr">
        <is>
          <t>M</t>
        </is>
      </c>
      <c r="K7365" t="n">
        <v>2026</v>
      </c>
      <c r="L7365" t="n">
        <v>2</v>
      </c>
      <c r="M7365" t="inlineStr">
        <is>
          <t>Composto lácteo Merilú 400 g</t>
        </is>
      </c>
      <c r="N7365" t="inlineStr">
        <is>
          <t>Supermercado</t>
        </is>
      </c>
      <c r="O7365" t="n">
        <v>1</v>
      </c>
      <c r="P7365" t="n">
        <v>2</v>
      </c>
      <c r="Q7365" t="n">
        <v>0</v>
      </c>
    </row>
    <row r="7366">
      <c r="J7366" t="inlineStr">
        <is>
          <t>A</t>
        </is>
      </c>
      <c r="K7366" t="n">
        <v>2026</v>
      </c>
      <c r="L7366" t="n">
        <v>3</v>
      </c>
      <c r="M7366" t="inlineStr">
        <is>
          <t>Composto lácteo Merilú 400 g</t>
        </is>
      </c>
      <c r="N7366" t="inlineStr">
        <is>
          <t>Supermercado</t>
        </is>
      </c>
      <c r="O7366" t="n">
        <v>1</v>
      </c>
      <c r="P7366" t="n">
        <v>3</v>
      </c>
      <c r="Q7366" t="n">
        <v>0</v>
      </c>
    </row>
    <row r="7367">
      <c r="J7367" t="inlineStr">
        <is>
          <t>A</t>
        </is>
      </c>
      <c r="K7367" t="n">
        <v>2026</v>
      </c>
      <c r="L7367" t="n">
        <v>4</v>
      </c>
      <c r="M7367" t="inlineStr">
        <is>
          <t>Composto lácteo Merilú 400 g</t>
        </is>
      </c>
      <c r="N7367" t="inlineStr">
        <is>
          <t>Supermercado</t>
        </is>
      </c>
      <c r="O7367" t="n">
        <v>1</v>
      </c>
      <c r="P7367" t="n">
        <v>4</v>
      </c>
      <c r="Q7367" t="n">
        <v>0</v>
      </c>
    </row>
    <row r="7368">
      <c r="J7368" t="inlineStr">
        <is>
          <t>M</t>
        </is>
      </c>
      <c r="K7368" t="n">
        <v>2026</v>
      </c>
      <c r="L7368" t="n">
        <v>4</v>
      </c>
      <c r="M7368" t="inlineStr">
        <is>
          <t>Composto lácteo Merilú 400 g</t>
        </is>
      </c>
      <c r="N7368" t="inlineStr">
        <is>
          <t>Supermercado</t>
        </is>
      </c>
      <c r="O7368" t="n">
        <v>1</v>
      </c>
      <c r="P7368" t="n">
        <v>1</v>
      </c>
      <c r="Q7368" t="n">
        <v>0</v>
      </c>
    </row>
    <row r="7369">
      <c r="J7369" t="inlineStr">
        <is>
          <t>A</t>
        </is>
      </c>
      <c r="K7369" t="n">
        <v>2026</v>
      </c>
      <c r="L7369" t="n">
        <v>5</v>
      </c>
      <c r="M7369" t="inlineStr">
        <is>
          <t>Composto lácteo Merilú 400 g</t>
        </is>
      </c>
      <c r="N7369" t="inlineStr">
        <is>
          <t>Supermercado</t>
        </is>
      </c>
      <c r="O7369" t="n">
        <v>1</v>
      </c>
      <c r="P7369" t="n">
        <v>5</v>
      </c>
      <c r="Q7369" t="n">
        <v>0</v>
      </c>
    </row>
    <row r="7370">
      <c r="J7370" t="inlineStr">
        <is>
          <t>M</t>
        </is>
      </c>
      <c r="K7370" t="n">
        <v>2026</v>
      </c>
      <c r="L7370" t="n">
        <v>5</v>
      </c>
      <c r="M7370" t="inlineStr">
        <is>
          <t>Composto lácteo Merilú 400 g</t>
        </is>
      </c>
      <c r="N7370" t="inlineStr">
        <is>
          <t>Supermercado</t>
        </is>
      </c>
      <c r="O7370" t="n">
        <v>1</v>
      </c>
      <c r="P7370" t="n">
        <v>1</v>
      </c>
      <c r="Q7370" t="n">
        <v>0</v>
      </c>
    </row>
    <row r="7371">
      <c r="J7371" t="inlineStr">
        <is>
          <t>A</t>
        </is>
      </c>
      <c r="K7371" t="n">
        <v>2026</v>
      </c>
      <c r="L7371" t="n">
        <v>6</v>
      </c>
      <c r="M7371" t="inlineStr">
        <is>
          <t>Composto lácteo Merilú 400 g</t>
        </is>
      </c>
      <c r="N7371" t="inlineStr">
        <is>
          <t>Supermercado</t>
        </is>
      </c>
      <c r="O7371" t="n">
        <v>1</v>
      </c>
      <c r="P7371" t="n">
        <v>6</v>
      </c>
      <c r="Q7371" t="n">
        <v>0</v>
      </c>
    </row>
    <row r="7372">
      <c r="J7372" t="inlineStr">
        <is>
          <t>M</t>
        </is>
      </c>
      <c r="K7372" t="n">
        <v>2026</v>
      </c>
      <c r="L7372" t="n">
        <v>6</v>
      </c>
      <c r="M7372" t="inlineStr">
        <is>
          <t>Composto lácteo Merilú 400 g</t>
        </is>
      </c>
      <c r="N7372" t="inlineStr">
        <is>
          <t>Supermercado</t>
        </is>
      </c>
      <c r="O7372" t="n">
        <v>1</v>
      </c>
      <c r="P7372" t="n">
        <v>1</v>
      </c>
      <c r="Q7372" t="n">
        <v>0</v>
      </c>
    </row>
    <row r="7373">
      <c r="J7373" t="inlineStr">
        <is>
          <t>A</t>
        </is>
      </c>
      <c r="K7373" t="n">
        <v>2026</v>
      </c>
      <c r="L7373" t="n">
        <v>7</v>
      </c>
      <c r="M7373" t="inlineStr">
        <is>
          <t>Composto lácteo Merilú 400 g</t>
        </is>
      </c>
      <c r="N7373" t="inlineStr">
        <is>
          <t>Supermercado</t>
        </is>
      </c>
      <c r="O7373" t="n">
        <v>1</v>
      </c>
      <c r="P7373" t="n">
        <v>9</v>
      </c>
      <c r="Q7373" t="n">
        <v>0</v>
      </c>
    </row>
    <row r="7374">
      <c r="J7374" t="inlineStr">
        <is>
          <t>M</t>
        </is>
      </c>
      <c r="K7374" t="n">
        <v>2026</v>
      </c>
      <c r="L7374" t="n">
        <v>7</v>
      </c>
      <c r="M7374" t="inlineStr">
        <is>
          <t>Composto lácteo Merilú 400 g</t>
        </is>
      </c>
      <c r="N7374" t="inlineStr">
        <is>
          <t>Supermercado</t>
        </is>
      </c>
      <c r="O7374" t="n">
        <v>1</v>
      </c>
      <c r="P7374" t="n">
        <v>3</v>
      </c>
      <c r="Q7374" t="n">
        <v>0</v>
      </c>
    </row>
    <row r="7375">
      <c r="J7375" t="inlineStr">
        <is>
          <t>A</t>
        </is>
      </c>
      <c r="K7375" t="n">
        <v>2026</v>
      </c>
      <c r="L7375" t="n">
        <v>8</v>
      </c>
      <c r="M7375" t="inlineStr">
        <is>
          <t>Composto lácteo Merilú 400 g</t>
        </is>
      </c>
      <c r="N7375" t="inlineStr">
        <is>
          <t>Supermercado</t>
        </is>
      </c>
      <c r="O7375" t="n">
        <v>1</v>
      </c>
      <c r="P7375" t="n">
        <v>10</v>
      </c>
      <c r="Q7375" t="n">
        <v>0</v>
      </c>
    </row>
    <row r="7376">
      <c r="J7376" t="inlineStr">
        <is>
          <t>M</t>
        </is>
      </c>
      <c r="K7376" t="n">
        <v>2026</v>
      </c>
      <c r="L7376" t="n">
        <v>8</v>
      </c>
      <c r="M7376" t="inlineStr">
        <is>
          <t>Composto lácteo Merilú 400 g</t>
        </is>
      </c>
      <c r="N7376" t="inlineStr">
        <is>
          <t>Supermercado</t>
        </is>
      </c>
      <c r="O7376" t="n">
        <v>1</v>
      </c>
      <c r="P7376" t="n">
        <v>1</v>
      </c>
      <c r="Q7376" t="n">
        <v>0</v>
      </c>
    </row>
    <row r="7377">
      <c r="J7377" t="inlineStr">
        <is>
          <t>A</t>
        </is>
      </c>
      <c r="K7377" t="n">
        <v>2026</v>
      </c>
      <c r="L7377" t="n">
        <v>9</v>
      </c>
      <c r="M7377" t="inlineStr">
        <is>
          <t>Composto lácteo Merilú 400 g</t>
        </is>
      </c>
      <c r="N7377" t="inlineStr">
        <is>
          <t>Supermercado</t>
        </is>
      </c>
      <c r="O7377" t="n">
        <v>1</v>
      </c>
      <c r="P7377" t="n">
        <v>11</v>
      </c>
      <c r="Q7377" t="n">
        <v>0</v>
      </c>
    </row>
    <row r="7378">
      <c r="J7378" t="inlineStr">
        <is>
          <t>M</t>
        </is>
      </c>
      <c r="K7378" t="n">
        <v>2026</v>
      </c>
      <c r="L7378" t="n">
        <v>9</v>
      </c>
      <c r="M7378" t="inlineStr">
        <is>
          <t>Composto lácteo Merilú 400 g</t>
        </is>
      </c>
      <c r="N7378" t="inlineStr">
        <is>
          <t>Supermercado</t>
        </is>
      </c>
      <c r="O7378" t="n">
        <v>1</v>
      </c>
      <c r="P7378" t="n">
        <v>1</v>
      </c>
      <c r="Q7378" t="n">
        <v>0</v>
      </c>
    </row>
    <row r="7379">
      <c r="J7379" t="inlineStr">
        <is>
          <t>A</t>
        </is>
      </c>
      <c r="K7379" t="n">
        <v>2026</v>
      </c>
      <c r="L7379" t="n">
        <v>10</v>
      </c>
      <c r="M7379" t="inlineStr">
        <is>
          <t>Composto lácteo Merilú 400 g</t>
        </is>
      </c>
      <c r="N7379" t="inlineStr">
        <is>
          <t>Supermercado</t>
        </is>
      </c>
      <c r="O7379" t="n">
        <v>1</v>
      </c>
      <c r="P7379" t="n">
        <v>11</v>
      </c>
      <c r="Q7379" t="n">
        <v>0</v>
      </c>
    </row>
    <row r="7380">
      <c r="J7380" t="inlineStr">
        <is>
          <t>A</t>
        </is>
      </c>
      <c r="K7380" t="n">
        <v>2026</v>
      </c>
      <c r="L7380" t="n">
        <v>11</v>
      </c>
      <c r="M7380" t="inlineStr">
        <is>
          <t>Composto lácteo Merilú 400 g</t>
        </is>
      </c>
      <c r="N7380" t="inlineStr">
        <is>
          <t>Supermercado</t>
        </is>
      </c>
      <c r="O7380" t="n">
        <v>1</v>
      </c>
      <c r="P7380" t="n">
        <v>11</v>
      </c>
      <c r="Q7380" t="n">
        <v>0</v>
      </c>
    </row>
    <row r="7381">
      <c r="J7381" t="inlineStr">
        <is>
          <t>A</t>
        </is>
      </c>
      <c r="K7381" t="n">
        <v>2026</v>
      </c>
      <c r="L7381" t="n">
        <v>12</v>
      </c>
      <c r="M7381" t="inlineStr">
        <is>
          <t>Composto lácteo Merilú 400 g</t>
        </is>
      </c>
      <c r="N7381" t="inlineStr">
        <is>
          <t>Supermercado</t>
        </is>
      </c>
      <c r="O7381" t="n">
        <v>1</v>
      </c>
      <c r="P7381" t="n">
        <v>11</v>
      </c>
      <c r="Q7381" t="n">
        <v>0</v>
      </c>
    </row>
    <row r="7382">
      <c r="J7382" t="inlineStr">
        <is>
          <t>A</t>
        </is>
      </c>
      <c r="K7382" t="n">
        <v>2026</v>
      </c>
      <c r="L7382" t="n">
        <v>5</v>
      </c>
      <c r="M7382" t="inlineStr">
        <is>
          <t>Composto lácteo Merilú 400 g</t>
        </is>
      </c>
      <c r="N7382" t="inlineStr">
        <is>
          <t>Mercearia / Sacolão</t>
        </is>
      </c>
      <c r="O7382" t="n">
        <v>1</v>
      </c>
      <c r="P7382" t="n">
        <v>1</v>
      </c>
      <c r="Q7382" t="n">
        <v>0</v>
      </c>
    </row>
    <row r="7383">
      <c r="J7383" t="inlineStr">
        <is>
          <t>M</t>
        </is>
      </c>
      <c r="K7383" t="n">
        <v>2026</v>
      </c>
      <c r="L7383" t="n">
        <v>5</v>
      </c>
      <c r="M7383" t="inlineStr">
        <is>
          <t>Composto lácteo Merilú 400 g</t>
        </is>
      </c>
      <c r="N7383" t="inlineStr">
        <is>
          <t>Mercearia / Sacolão</t>
        </is>
      </c>
      <c r="O7383" t="n">
        <v>1</v>
      </c>
      <c r="P7383" t="n">
        <v>1</v>
      </c>
      <c r="Q7383" t="n">
        <v>0</v>
      </c>
    </row>
    <row r="7384">
      <c r="J7384" t="inlineStr">
        <is>
          <t>A</t>
        </is>
      </c>
      <c r="K7384" t="n">
        <v>2026</v>
      </c>
      <c r="L7384" t="n">
        <v>6</v>
      </c>
      <c r="M7384" t="inlineStr">
        <is>
          <t>Composto lácteo Merilú 400 g</t>
        </is>
      </c>
      <c r="N7384" t="inlineStr">
        <is>
          <t>Mercearia / Sacolão</t>
        </is>
      </c>
      <c r="O7384" t="n">
        <v>1</v>
      </c>
      <c r="P7384" t="n">
        <v>1</v>
      </c>
      <c r="Q7384" t="n">
        <v>0</v>
      </c>
    </row>
    <row r="7385">
      <c r="J7385" t="inlineStr">
        <is>
          <t>A</t>
        </is>
      </c>
      <c r="K7385" t="n">
        <v>2026</v>
      </c>
      <c r="L7385" t="n">
        <v>7</v>
      </c>
      <c r="M7385" t="inlineStr">
        <is>
          <t>Composto lácteo Merilú 400 g</t>
        </is>
      </c>
      <c r="N7385" t="inlineStr">
        <is>
          <t>Mercearia / Sacolão</t>
        </is>
      </c>
      <c r="O7385" t="n">
        <v>1</v>
      </c>
      <c r="P7385" t="n">
        <v>1</v>
      </c>
      <c r="Q7385" t="n">
        <v>0</v>
      </c>
    </row>
    <row r="7386">
      <c r="J7386" t="inlineStr">
        <is>
          <t>A</t>
        </is>
      </c>
      <c r="K7386" t="n">
        <v>2026</v>
      </c>
      <c r="L7386" t="n">
        <v>8</v>
      </c>
      <c r="M7386" t="inlineStr">
        <is>
          <t>Composto lácteo Merilú 400 g</t>
        </is>
      </c>
      <c r="N7386" t="inlineStr">
        <is>
          <t>Mercearia / Sacolão</t>
        </is>
      </c>
      <c r="O7386" t="n">
        <v>1</v>
      </c>
      <c r="P7386" t="n">
        <v>1</v>
      </c>
      <c r="Q7386" t="n">
        <v>0</v>
      </c>
    </row>
    <row r="7387">
      <c r="J7387" t="inlineStr">
        <is>
          <t>A</t>
        </is>
      </c>
      <c r="K7387" t="n">
        <v>2026</v>
      </c>
      <c r="L7387" t="n">
        <v>9</v>
      </c>
      <c r="M7387" t="inlineStr">
        <is>
          <t>Composto lácteo Merilú 400 g</t>
        </is>
      </c>
      <c r="N7387" t="inlineStr">
        <is>
          <t>Mercearia / Sacolão</t>
        </is>
      </c>
      <c r="O7387" t="n">
        <v>1</v>
      </c>
      <c r="P7387" t="n">
        <v>1</v>
      </c>
      <c r="Q7387" t="n">
        <v>0</v>
      </c>
    </row>
    <row r="7388">
      <c r="J7388" t="inlineStr">
        <is>
          <t>A</t>
        </is>
      </c>
      <c r="K7388" t="n">
        <v>2026</v>
      </c>
      <c r="L7388" t="n">
        <v>10</v>
      </c>
      <c r="M7388" t="inlineStr">
        <is>
          <t>Composto lácteo Merilú 400 g</t>
        </is>
      </c>
      <c r="N7388" t="inlineStr">
        <is>
          <t>Mercearia / Sacolão</t>
        </is>
      </c>
      <c r="O7388" t="n">
        <v>1</v>
      </c>
      <c r="P7388" t="n">
        <v>1</v>
      </c>
      <c r="Q7388" t="n">
        <v>0</v>
      </c>
    </row>
    <row r="7389">
      <c r="J7389" t="inlineStr">
        <is>
          <t>A</t>
        </is>
      </c>
      <c r="K7389" t="n">
        <v>2026</v>
      </c>
      <c r="L7389" t="n">
        <v>11</v>
      </c>
      <c r="M7389" t="inlineStr">
        <is>
          <t>Composto lácteo Merilú 400 g</t>
        </is>
      </c>
      <c r="N7389" t="inlineStr">
        <is>
          <t>Mercearia / Sacolão</t>
        </is>
      </c>
      <c r="O7389" t="n">
        <v>1</v>
      </c>
      <c r="P7389" t="n">
        <v>1</v>
      </c>
      <c r="Q7389" t="n">
        <v>0</v>
      </c>
    </row>
    <row r="7390">
      <c r="J7390" t="inlineStr">
        <is>
          <t>A</t>
        </is>
      </c>
      <c r="K7390" t="n">
        <v>2026</v>
      </c>
      <c r="L7390" t="n">
        <v>12</v>
      </c>
      <c r="M7390" t="inlineStr">
        <is>
          <t>Composto lácteo Merilú 400 g</t>
        </is>
      </c>
      <c r="N7390" t="inlineStr">
        <is>
          <t>Mercearia / Sacolão</t>
        </is>
      </c>
      <c r="O7390" t="n">
        <v>1</v>
      </c>
      <c r="P7390" t="n">
        <v>1</v>
      </c>
      <c r="Q7390" t="n">
        <v>0</v>
      </c>
    </row>
    <row r="7391">
      <c r="J7391" t="inlineStr">
        <is>
          <t>A</t>
        </is>
      </c>
      <c r="K7391" t="n">
        <v>2026</v>
      </c>
      <c r="L7391" t="n">
        <v>8</v>
      </c>
      <c r="M7391" t="inlineStr">
        <is>
          <t>Composto lácteo Merilú 400 g</t>
        </is>
      </c>
      <c r="N7391" t="inlineStr">
        <is>
          <t>Buffet</t>
        </is>
      </c>
      <c r="O7391" t="n">
        <v>1</v>
      </c>
      <c r="P7391" t="n">
        <v>1</v>
      </c>
      <c r="Q7391" t="n">
        <v>1</v>
      </c>
    </row>
    <row r="7392">
      <c r="J7392" t="inlineStr">
        <is>
          <t>M</t>
        </is>
      </c>
      <c r="K7392" t="n">
        <v>2026</v>
      </c>
      <c r="L7392" t="n">
        <v>8</v>
      </c>
      <c r="M7392" t="inlineStr">
        <is>
          <t>Composto lácteo Merilú 400 g</t>
        </is>
      </c>
      <c r="N7392" t="inlineStr">
        <is>
          <t>Buffet</t>
        </is>
      </c>
      <c r="O7392" t="n">
        <v>1</v>
      </c>
      <c r="P7392" t="n">
        <v>1</v>
      </c>
      <c r="Q7392" t="n">
        <v>0</v>
      </c>
    </row>
    <row r="7393">
      <c r="J7393" t="inlineStr">
        <is>
          <t>A</t>
        </is>
      </c>
      <c r="K7393" t="n">
        <v>2026</v>
      </c>
      <c r="L7393" t="n">
        <v>9</v>
      </c>
      <c r="M7393" t="inlineStr">
        <is>
          <t>Composto lácteo Merilú 400 g</t>
        </is>
      </c>
      <c r="N7393" t="inlineStr">
        <is>
          <t>Buffet</t>
        </is>
      </c>
      <c r="O7393" t="n">
        <v>1</v>
      </c>
      <c r="P7393" t="n">
        <v>1</v>
      </c>
      <c r="Q7393" t="n">
        <v>1</v>
      </c>
    </row>
    <row r="7394">
      <c r="J7394" t="inlineStr">
        <is>
          <t>A</t>
        </is>
      </c>
      <c r="K7394" t="n">
        <v>2026</v>
      </c>
      <c r="L7394" t="n">
        <v>10</v>
      </c>
      <c r="M7394" t="inlineStr">
        <is>
          <t>Composto lácteo Merilú 400 g</t>
        </is>
      </c>
      <c r="N7394" t="inlineStr">
        <is>
          <t>Buffet</t>
        </is>
      </c>
      <c r="O7394" t="n">
        <v>1</v>
      </c>
      <c r="P7394" t="n">
        <v>1</v>
      </c>
      <c r="Q7394" t="n">
        <v>1</v>
      </c>
    </row>
    <row r="7395">
      <c r="J7395" t="inlineStr">
        <is>
          <t>A</t>
        </is>
      </c>
      <c r="K7395" t="n">
        <v>2026</v>
      </c>
      <c r="L7395" t="n">
        <v>11</v>
      </c>
      <c r="M7395" t="inlineStr">
        <is>
          <t>Composto lácteo Merilú 400 g</t>
        </is>
      </c>
      <c r="N7395" t="inlineStr">
        <is>
          <t>Buffet</t>
        </is>
      </c>
      <c r="O7395" t="n">
        <v>1</v>
      </c>
      <c r="P7395" t="n">
        <v>1</v>
      </c>
      <c r="Q7395" t="n">
        <v>1</v>
      </c>
    </row>
    <row r="7396">
      <c r="J7396" t="inlineStr">
        <is>
          <t>A</t>
        </is>
      </c>
      <c r="K7396" t="n">
        <v>2026</v>
      </c>
      <c r="L7396" t="n">
        <v>12</v>
      </c>
      <c r="M7396" t="inlineStr">
        <is>
          <t>Composto lácteo Merilú 400 g</t>
        </is>
      </c>
      <c r="N7396" t="inlineStr">
        <is>
          <t>Buffet</t>
        </is>
      </c>
      <c r="O7396" t="n">
        <v>1</v>
      </c>
      <c r="P7396" t="n">
        <v>1</v>
      </c>
      <c r="Q7396" t="n">
        <v>1</v>
      </c>
    </row>
    <row r="7397">
      <c r="J7397" t="inlineStr">
        <is>
          <t>A</t>
        </is>
      </c>
      <c r="K7397" t="n">
        <v>2026</v>
      </c>
      <c r="L7397" t="n">
        <v>5</v>
      </c>
      <c r="M7397" t="inlineStr">
        <is>
          <t>Composto lácteo Merilú 400 g</t>
        </is>
      </c>
      <c r="N7397" t="inlineStr">
        <is>
          <t>Hamburgueria</t>
        </is>
      </c>
      <c r="O7397" t="n">
        <v>2</v>
      </c>
      <c r="P7397" t="n">
        <v>2</v>
      </c>
      <c r="Q7397" t="n">
        <v>2</v>
      </c>
    </row>
    <row r="7398">
      <c r="J7398" t="inlineStr">
        <is>
          <t>M</t>
        </is>
      </c>
      <c r="K7398" t="n">
        <v>2026</v>
      </c>
      <c r="L7398" t="n">
        <v>5</v>
      </c>
      <c r="M7398" t="inlineStr">
        <is>
          <t>Composto lácteo Merilú 400 g</t>
        </is>
      </c>
      <c r="N7398" t="inlineStr">
        <is>
          <t>Hamburgueria</t>
        </is>
      </c>
      <c r="O7398" t="n">
        <v>2</v>
      </c>
      <c r="P7398" t="n">
        <v>2</v>
      </c>
      <c r="Q7398" t="n">
        <v>0</v>
      </c>
    </row>
    <row r="7399">
      <c r="J7399" t="inlineStr">
        <is>
          <t>A</t>
        </is>
      </c>
      <c r="K7399" t="n">
        <v>2026</v>
      </c>
      <c r="L7399" t="n">
        <v>6</v>
      </c>
      <c r="M7399" t="inlineStr">
        <is>
          <t>Composto lácteo Merilú 400 g</t>
        </is>
      </c>
      <c r="N7399" t="inlineStr">
        <is>
          <t>Hamburgueria</t>
        </is>
      </c>
      <c r="O7399" t="n">
        <v>2</v>
      </c>
      <c r="P7399" t="n">
        <v>2</v>
      </c>
      <c r="Q7399" t="n">
        <v>2</v>
      </c>
    </row>
    <row r="7400">
      <c r="J7400" t="inlineStr">
        <is>
          <t>A</t>
        </is>
      </c>
      <c r="K7400" t="n">
        <v>2026</v>
      </c>
      <c r="L7400" t="n">
        <v>7</v>
      </c>
      <c r="M7400" t="inlineStr">
        <is>
          <t>Composto lácteo Merilú 400 g</t>
        </is>
      </c>
      <c r="N7400" t="inlineStr">
        <is>
          <t>Hamburgueria</t>
        </is>
      </c>
      <c r="O7400" t="n">
        <v>2</v>
      </c>
      <c r="P7400" t="n">
        <v>2</v>
      </c>
      <c r="Q7400" t="n">
        <v>2</v>
      </c>
    </row>
    <row r="7401">
      <c r="J7401" t="inlineStr">
        <is>
          <t>A</t>
        </is>
      </c>
      <c r="K7401" t="n">
        <v>2026</v>
      </c>
      <c r="L7401" t="n">
        <v>8</v>
      </c>
      <c r="M7401" t="inlineStr">
        <is>
          <t>Composto lácteo Merilú 400 g</t>
        </is>
      </c>
      <c r="N7401" t="inlineStr">
        <is>
          <t>Hamburgueria</t>
        </is>
      </c>
      <c r="O7401" t="n">
        <v>2</v>
      </c>
      <c r="P7401" t="n">
        <v>2</v>
      </c>
      <c r="Q7401" t="n">
        <v>2</v>
      </c>
    </row>
    <row r="7402">
      <c r="J7402" t="inlineStr">
        <is>
          <t>A</t>
        </is>
      </c>
      <c r="K7402" t="n">
        <v>2026</v>
      </c>
      <c r="L7402" t="n">
        <v>9</v>
      </c>
      <c r="M7402" t="inlineStr">
        <is>
          <t>Composto lácteo Merilú 400 g</t>
        </is>
      </c>
      <c r="N7402" t="inlineStr">
        <is>
          <t>Hamburgueria</t>
        </is>
      </c>
      <c r="O7402" t="n">
        <v>2</v>
      </c>
      <c r="P7402" t="n">
        <v>2</v>
      </c>
      <c r="Q7402" t="n">
        <v>2</v>
      </c>
    </row>
    <row r="7403">
      <c r="J7403" t="inlineStr">
        <is>
          <t>A</t>
        </is>
      </c>
      <c r="K7403" t="n">
        <v>2026</v>
      </c>
      <c r="L7403" t="n">
        <v>10</v>
      </c>
      <c r="M7403" t="inlineStr">
        <is>
          <t>Composto lácteo Merilú 400 g</t>
        </is>
      </c>
      <c r="N7403" t="inlineStr">
        <is>
          <t>Hamburgueria</t>
        </is>
      </c>
      <c r="O7403" t="n">
        <v>2</v>
      </c>
      <c r="P7403" t="n">
        <v>2</v>
      </c>
      <c r="Q7403" t="n">
        <v>2</v>
      </c>
    </row>
    <row r="7404">
      <c r="J7404" t="inlineStr">
        <is>
          <t>A</t>
        </is>
      </c>
      <c r="K7404" t="n">
        <v>2026</v>
      </c>
      <c r="L7404" t="n">
        <v>11</v>
      </c>
      <c r="M7404" t="inlineStr">
        <is>
          <t>Composto lácteo Merilú 400 g</t>
        </is>
      </c>
      <c r="N7404" t="inlineStr">
        <is>
          <t>Hamburgueria</t>
        </is>
      </c>
      <c r="O7404" t="n">
        <v>2</v>
      </c>
      <c r="P7404" t="n">
        <v>2</v>
      </c>
      <c r="Q7404" t="n">
        <v>2</v>
      </c>
    </row>
    <row r="7405">
      <c r="J7405" t="inlineStr">
        <is>
          <t>A</t>
        </is>
      </c>
      <c r="K7405" t="n">
        <v>2026</v>
      </c>
      <c r="L7405" t="n">
        <v>12</v>
      </c>
      <c r="M7405" t="inlineStr">
        <is>
          <t>Composto lácteo Merilú 400 g</t>
        </is>
      </c>
      <c r="N7405" t="inlineStr">
        <is>
          <t>Hamburgueria</t>
        </is>
      </c>
      <c r="O7405" t="n">
        <v>2</v>
      </c>
      <c r="P7405" t="n">
        <v>2</v>
      </c>
      <c r="Q740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>
        <f>Dashboard!$B$7</f>
        <v>2026</v>
      </c>
    </row>
    <row r="2">
      <c r="A2" t="inlineStr">
        <is>
          <t>MesSel</t>
        </is>
      </c>
      <c r="B2">
        <f>IFERROR(MATCH(Dashboard!$H$7,Dados!$T$2:$T$13,0),12)</f>
        <v>9</v>
      </c>
    </row>
    <row r="3">
      <c r="A3" t="inlineStr">
        <is>
          <t>UltMes</t>
        </is>
      </c>
      <c r="B3">
        <f>INDEX(Dados!$Y$2:$Y$4,MATCH(B1,Dados!$U$2:$U$4,0))</f>
        <v>9</v>
      </c>
    </row>
    <row r="4">
      <c r="A4" t="inlineStr">
        <is>
          <t>MesEf</t>
        </is>
      </c>
      <c r="B4">
        <f>MIN(B2,B3)</f>
        <v>9</v>
      </c>
    </row>
    <row r="5">
      <c r="A5" t="inlineStr">
        <is>
          <t>Prod</t>
        </is>
      </c>
      <c r="B5" t="str">
        <f>Dashboard!$K$7</f>
        <v>Todos</v>
      </c>
    </row>
    <row r="6">
      <c r="A6" t="inlineStr">
        <is>
          <t>Seg</t>
        </is>
      </c>
      <c r="B6" t="str">
        <f>Dashboard!$V$7</f>
        <v>Todos</v>
      </c>
    </row>
    <row r="7">
      <c r="A7" t="inlineStr">
        <is>
          <t>ProdCrit</t>
        </is>
      </c>
      <c r="B7" t="str">
        <f>IF(B5="Todos","*",B5)</f>
        <v>*</v>
      </c>
    </row>
    <row r="8">
      <c r="A8" t="inlineStr">
        <is>
          <t>SegCrit</t>
        </is>
      </c>
      <c r="B8" t="str">
        <f>IF(B6="Todos","*",B6)</f>
        <v>*</v>
      </c>
    </row>
    <row r="9">
      <c r="A9" t="inlineStr">
        <is>
          <t>AnoAnt</t>
        </is>
      </c>
      <c r="B9">
        <f>B1-1</f>
        <v>2025</v>
      </c>
    </row>
    <row r="10">
      <c r="A10" t="inlineStr">
        <is>
          <t>TemAnt</t>
        </is>
      </c>
      <c r="B10" t="b">
        <f>B1&gt;MIN(Dados!$U$2:$U$4)</f>
        <v>1</v>
      </c>
    </row>
    <row r="12">
      <c r="A12" t="inlineStr">
        <is>
          <t>Receita</t>
        </is>
      </c>
      <c r="B12">
        <f>SUMIFS(Dados!$E$2:$E$1841,Dados!$A$2:$A$1841,$B$1,Dados!$B$2:$B$1841,"&lt;="&amp;$B$4,Dados!$C$2:$C$1841,$B$7,Dados!$D$2:$D$1841,$B$8)</f>
        <v>2713238.81</v>
      </c>
      <c r="C12">
        <f>IF($B$10,SUMIFS(Dados!$E$2:$E$1841,Dados!$A$2:$A$1841,$B$9,Dados!$B$2:$B$1841,"&lt;="&amp;$B$4,Dados!$C$2:$C$1841,$B$7,Dados!$D$2:$D$1841,$B$8),0)</f>
        <v>2353832.89</v>
      </c>
      <c r="D12">
        <f>IF(AND($B$10,C12&gt;0),B12/C12-1,"")</f>
        <v>0.152689649943671</v>
      </c>
      <c r="E12">
        <f>IF(C12&gt;0,C12,"")</f>
        <v>2353832.89</v>
      </c>
    </row>
    <row r="13">
      <c r="A13" t="inlineStr">
        <is>
          <t>Kg</t>
        </is>
      </c>
      <c r="B13">
        <f>SUMIFS(Dados!$F$2:$F$1841,Dados!$A$2:$A$1841,$B$1,Dados!$B$2:$B$1841,"&lt;="&amp;$B$4,Dados!$C$2:$C$1841,$B$7,Dados!$D$2:$D$1841,$B$8)</f>
        <v>126898.36</v>
      </c>
      <c r="C13">
        <f>IF($B$10,SUMIFS(Dados!$F$2:$F$1841,Dados!$A$2:$A$1841,$B$9,Dados!$B$2:$B$1841,"&lt;="&amp;$B$4,Dados!$C$2:$C$1841,$B$7,Dados!$D$2:$D$1841,$B$8),0)</f>
        <v>108045.2</v>
      </c>
      <c r="D13">
        <f>IF(AND($B$10,C13&gt;0),B13/C13-1,"")</f>
        <v>0.174493267632435</v>
      </c>
      <c r="E13">
        <f>IF(C13&gt;0,C13,"")</f>
        <v>108045.2</v>
      </c>
    </row>
    <row r="14">
      <c r="A14" t="inlineStr">
        <is>
          <t>Clientes</t>
        </is>
      </c>
      <c r="B14">
        <f>SUMIFS(Dados!$O$2:$O$7405,Dados!$J$2:$J$7405,"A",Dados!$K$2:$K$7405,$B$1,Dados!$L$2:$L$7405,$B$4,Dados!$M$2:$M$7405,$B$5,Dados!$N$2:$N$7405,$B$6)</f>
        <v>674</v>
      </c>
      <c r="C14">
        <f>IF($B$10,SUMIFS(Dados!$O$2:$O$7405,Dados!$J$2:$J$7405,"A",Dados!$K$2:$K$7405,$B$9,Dados!$L$2:$L$7405,$B$4,Dados!$M$2:$M$7405,$B$5,Dados!$N$2:$N$7405,$B$6),0)</f>
        <v>600</v>
      </c>
      <c r="D14">
        <f>IF(AND($B$10,C14&gt;0),B14/C14-1,"")</f>
        <v>0.123333333333333</v>
      </c>
      <c r="E14">
        <f>IF(C14&gt;0,C14,"")</f>
        <v>600</v>
      </c>
    </row>
    <row r="15">
      <c r="A15" t="inlineStr">
        <is>
          <t>Pedidos</t>
        </is>
      </c>
      <c r="B15">
        <f>SUMIFS(Dados!$P$2:$P$7405,Dados!$J$2:$J$7405,"A",Dados!$K$2:$K$7405,$B$1,Dados!$L$2:$L$7405,$B$4,Dados!$M$2:$M$7405,$B$5,Dados!$N$2:$N$7405,$B$6)</f>
        <v>4635</v>
      </c>
      <c r="C15">
        <f>IF($B$10,SUMIFS(Dados!$P$2:$P$7405,Dados!$J$2:$J$7405,"A",Dados!$K$2:$K$7405,$B$9,Dados!$L$2:$L$7405,$B$4,Dados!$M$2:$M$7405,$B$5,Dados!$N$2:$N$7405,$B$6),0)</f>
        <v>4258</v>
      </c>
      <c r="D15">
        <f>IF(AND($B$10,C15&gt;0),B15/C15-1,"")</f>
        <v>0.0885392202912165</v>
      </c>
      <c r="E15">
        <f>IF(C15&gt;0,C15,"")</f>
        <v>4258</v>
      </c>
    </row>
    <row r="16">
      <c r="A16" t="inlineStr">
        <is>
          <t>Novos</t>
        </is>
      </c>
      <c r="B16">
        <f>IF($B$10,SUMIFS(Dados!$Q$2:$Q$7405,Dados!$J$2:$J$7405,"A",Dados!$K$2:$K$7405,$B$1,Dados!$L$2:$L$7405,$B$4,Dados!$M$2:$M$7405,$B$5,Dados!$N$2:$N$7405,$B$6),"")</f>
        <v>385</v>
      </c>
    </row>
    <row r="17">
      <c r="A17" t="inlineStr">
        <is>
          <t>Ticket</t>
        </is>
      </c>
      <c r="B17">
        <f>IFERROR(B12/B15,0)</f>
        <v>585.380541531823</v>
      </c>
      <c r="C17">
        <f>IFERROR(C12/C15,0)</f>
        <v>552.802463597933</v>
      </c>
      <c r="D17">
        <f>IF(AND($B$10,C17&gt;0),B17/C17-1,"")</f>
        <v>0.058932584565297</v>
      </c>
      <c r="E17">
        <f>IF(C17&gt;0,C17,"")</f>
        <v>552.802463597933</v>
      </c>
    </row>
    <row r="19">
      <c r="A19" t="inlineStr">
        <is>
          <t>Mes</t>
        </is>
      </c>
      <c r="B19" t="str">
        <f>""&amp;Dados!$U$2</f>
        <v>2024</v>
      </c>
      <c r="C19" t="str">
        <f>""&amp;Dados!$U$3</f>
        <v>2025</v>
      </c>
      <c r="D19" t="str">
        <f>""&amp;Dados!$U$4</f>
        <v>2026</v>
      </c>
      <c r="E19" t="str">
        <f>""&amp;$B$1</f>
        <v>2026</v>
      </c>
      <c r="F19" t="str">
        <f>""&amp;$B$9</f>
        <v>2025</v>
      </c>
    </row>
    <row r="20">
      <c r="A20" t="inlineStr">
        <is>
          <t>jan</t>
        </is>
      </c>
      <c r="B20">
        <f>IF(1&gt;Dados!$Y$2,NA(),SUMIFS(Dados!$E$2:$E$1841,Dados!$A$2:$A$1841,Dados!$U$2,Dados!$B$2:$B$1841,1,Dados!$C$2:$C$1841,$B$7,Dados!$D$2:$D$1841,$B$8))</f>
        <v>190167.02</v>
      </c>
      <c r="C20">
        <f>IF(1&gt;Dados!$Y$3,NA(),SUMIFS(Dados!$E$2:$E$1841,Dados!$A$2:$A$1841,Dados!$U$3,Dados!$B$2:$B$1841,1,Dados!$C$2:$C$1841,$B$7,Dados!$D$2:$D$1841,$B$8))</f>
        <v>284611.68</v>
      </c>
      <c r="D20">
        <f>IF(1&gt;Dados!$Y$4,NA(),SUMIFS(Dados!$E$2:$E$1841,Dados!$A$2:$A$1841,Dados!$U$4,Dados!$B$2:$B$1841,1,Dados!$C$2:$C$1841,$B$7,Dados!$D$2:$D$1841,$B$8))</f>
        <v>219545.26</v>
      </c>
      <c r="E20">
        <f>IF(1&gt;$B$4,NA(),SUMIFS(Dados!$O$2:$O$7405,Dados!$J$2:$J$7405,"M",Dados!$K$2:$K$7405,$B$1,Dados!$L$2:$L$7405,1,Dados!$M$2:$M$7405,$B$5,Dados!$N$2:$N$7405,$B$6))</f>
        <v>177</v>
      </c>
      <c r="F20">
        <f>IF(OR(1&gt;$B$4,NOT($B$10)),NA(),SUMIFS(Dados!$O$2:$O$7405,Dados!$J$2:$J$7405,"M",Dados!$K$2:$K$7405,$B$9,Dados!$L$2:$L$7405,1,Dados!$M$2:$M$7405,$B$5,Dados!$N$2:$N$7405,$B$6))</f>
        <v>210</v>
      </c>
      <c r="G20">
        <f>IF(ISNUMBER(E20),E20,0)</f>
        <v>177</v>
      </c>
      <c r="H20">
        <f>IF(1&gt;$B$4,0,SUMIFS(Dados!$E$2:$E$1841,Dados!$A$2:$A$1841,$B$1,Dados!$B$2:$B$1841,1,Dados!$C$2:$C$1841,$B$7,Dados!$D$2:$D$1841,$B$8))</f>
        <v>219545.26</v>
      </c>
    </row>
    <row r="21">
      <c r="A21" t="inlineStr">
        <is>
          <t>fev</t>
        </is>
      </c>
      <c r="B21">
        <f>IF(2&gt;Dados!$Y$2,NA(),SUMIFS(Dados!$E$2:$E$1841,Dados!$A$2:$A$1841,Dados!$U$2,Dados!$B$2:$B$1841,2,Dados!$C$2:$C$1841,$B$7,Dados!$D$2:$D$1841,$B$8))</f>
        <v>176951.75</v>
      </c>
      <c r="C21">
        <f>IF(2&gt;Dados!$Y$3,NA(),SUMIFS(Dados!$E$2:$E$1841,Dados!$A$2:$A$1841,Dados!$U$3,Dados!$B$2:$B$1841,2,Dados!$C$2:$C$1841,$B$7,Dados!$D$2:$D$1841,$B$8))</f>
        <v>268227.68</v>
      </c>
      <c r="D21">
        <f>IF(2&gt;Dados!$Y$4,NA(),SUMIFS(Dados!$E$2:$E$1841,Dados!$A$2:$A$1841,Dados!$U$4,Dados!$B$2:$B$1841,2,Dados!$C$2:$C$1841,$B$7,Dados!$D$2:$D$1841,$B$8))</f>
        <v>172340.11</v>
      </c>
      <c r="E21">
        <f>IF(2&gt;$B$4,NA(),SUMIFS(Dados!$O$2:$O$7405,Dados!$J$2:$J$7405,"M",Dados!$K$2:$K$7405,$B$1,Dados!$L$2:$L$7405,2,Dados!$M$2:$M$7405,$B$5,Dados!$N$2:$N$7405,$B$6))</f>
        <v>190</v>
      </c>
      <c r="F21">
        <f>IF(OR(2&gt;$B$4,NOT($B$10)),NA(),SUMIFS(Dados!$O$2:$O$7405,Dados!$J$2:$J$7405,"M",Dados!$K$2:$K$7405,$B$9,Dados!$L$2:$L$7405,2,Dados!$M$2:$M$7405,$B$5,Dados!$N$2:$N$7405,$B$6))</f>
        <v>227</v>
      </c>
      <c r="G21">
        <f>IF(ISNUMBER(E21),E21,0)</f>
        <v>190</v>
      </c>
      <c r="H21">
        <f>IF(2&gt;$B$4,0,SUMIFS(Dados!$E$2:$E$1841,Dados!$A$2:$A$1841,$B$1,Dados!$B$2:$B$1841,2,Dados!$C$2:$C$1841,$B$7,Dados!$D$2:$D$1841,$B$8))</f>
        <v>172340.11</v>
      </c>
    </row>
    <row r="22">
      <c r="A22" t="inlineStr">
        <is>
          <t>mar</t>
        </is>
      </c>
      <c r="B22">
        <f>IF(3&gt;Dados!$Y$2,NA(),SUMIFS(Dados!$E$2:$E$1841,Dados!$A$2:$A$1841,Dados!$U$2,Dados!$B$2:$B$1841,3,Dados!$C$2:$C$1841,$B$7,Dados!$D$2:$D$1841,$B$8))</f>
        <v>191008.75</v>
      </c>
      <c r="C22">
        <f>IF(3&gt;Dados!$Y$3,NA(),SUMIFS(Dados!$E$2:$E$1841,Dados!$A$2:$A$1841,Dados!$U$3,Dados!$B$2:$B$1841,3,Dados!$C$2:$C$1841,$B$7,Dados!$D$2:$D$1841,$B$8))</f>
        <v>237177.79</v>
      </c>
      <c r="D22">
        <f>IF(3&gt;Dados!$Y$4,NA(),SUMIFS(Dados!$E$2:$E$1841,Dados!$A$2:$A$1841,Dados!$U$4,Dados!$B$2:$B$1841,3,Dados!$C$2:$C$1841,$B$7,Dados!$D$2:$D$1841,$B$8))</f>
        <v>289865.78</v>
      </c>
      <c r="E22">
        <f>IF(3&gt;$B$4,NA(),SUMIFS(Dados!$O$2:$O$7405,Dados!$J$2:$J$7405,"M",Dados!$K$2:$K$7405,$B$1,Dados!$L$2:$L$7405,3,Dados!$M$2:$M$7405,$B$5,Dados!$N$2:$N$7405,$B$6))</f>
        <v>245</v>
      </c>
      <c r="F22">
        <f>IF(OR(3&gt;$B$4,NOT($B$10)),NA(),SUMIFS(Dados!$O$2:$O$7405,Dados!$J$2:$J$7405,"M",Dados!$K$2:$K$7405,$B$9,Dados!$L$2:$L$7405,3,Dados!$M$2:$M$7405,$B$5,Dados!$N$2:$N$7405,$B$6))</f>
        <v>187</v>
      </c>
      <c r="G22">
        <f>IF(ISNUMBER(E22),E22,0)</f>
        <v>245</v>
      </c>
      <c r="H22">
        <f>IF(3&gt;$B$4,0,SUMIFS(Dados!$E$2:$E$1841,Dados!$A$2:$A$1841,$B$1,Dados!$B$2:$B$1841,3,Dados!$C$2:$C$1841,$B$7,Dados!$D$2:$D$1841,$B$8))</f>
        <v>289865.78</v>
      </c>
    </row>
    <row r="23">
      <c r="A23" t="inlineStr">
        <is>
          <t>abr</t>
        </is>
      </c>
      <c r="B23">
        <f>IF(4&gt;Dados!$Y$2,NA(),SUMIFS(Dados!$E$2:$E$1841,Dados!$A$2:$A$1841,Dados!$U$2,Dados!$B$2:$B$1841,4,Dados!$C$2:$C$1841,$B$7,Dados!$D$2:$D$1841,$B$8))</f>
        <v>255943.64</v>
      </c>
      <c r="C23">
        <f>IF(4&gt;Dados!$Y$3,NA(),SUMIFS(Dados!$E$2:$E$1841,Dados!$A$2:$A$1841,Dados!$U$3,Dados!$B$2:$B$1841,4,Dados!$C$2:$C$1841,$B$7,Dados!$D$2:$D$1841,$B$8))</f>
        <v>273130.98</v>
      </c>
      <c r="D23">
        <f>IF(4&gt;Dados!$Y$4,NA(),SUMIFS(Dados!$E$2:$E$1841,Dados!$A$2:$A$1841,Dados!$U$4,Dados!$B$2:$B$1841,4,Dados!$C$2:$C$1841,$B$7,Dados!$D$2:$D$1841,$B$8))</f>
        <v>303138.86</v>
      </c>
      <c r="E23">
        <f>IF(4&gt;$B$4,NA(),SUMIFS(Dados!$O$2:$O$7405,Dados!$J$2:$J$7405,"M",Dados!$K$2:$K$7405,$B$1,Dados!$L$2:$L$7405,4,Dados!$M$2:$M$7405,$B$5,Dados!$N$2:$N$7405,$B$6))</f>
        <v>196</v>
      </c>
      <c r="F23">
        <f>IF(OR(4&gt;$B$4,NOT($B$10)),NA(),SUMIFS(Dados!$O$2:$O$7405,Dados!$J$2:$J$7405,"M",Dados!$K$2:$K$7405,$B$9,Dados!$L$2:$L$7405,4,Dados!$M$2:$M$7405,$B$5,Dados!$N$2:$N$7405,$B$6))</f>
        <v>166</v>
      </c>
      <c r="G23">
        <f>IF(ISNUMBER(E23),E23,0)</f>
        <v>196</v>
      </c>
      <c r="H23">
        <f>IF(4&gt;$B$4,0,SUMIFS(Dados!$E$2:$E$1841,Dados!$A$2:$A$1841,$B$1,Dados!$B$2:$B$1841,4,Dados!$C$2:$C$1841,$B$7,Dados!$D$2:$D$1841,$B$8))</f>
        <v>303138.86</v>
      </c>
    </row>
    <row r="24">
      <c r="A24" t="inlineStr">
        <is>
          <t>mai</t>
        </is>
      </c>
      <c r="B24">
        <f>IF(5&gt;Dados!$Y$2,NA(),SUMIFS(Dados!$E$2:$E$1841,Dados!$A$2:$A$1841,Dados!$U$2,Dados!$B$2:$B$1841,5,Dados!$C$2:$C$1841,$B$7,Dados!$D$2:$D$1841,$B$8))</f>
        <v>266888.81</v>
      </c>
      <c r="C24">
        <f>IF(5&gt;Dados!$Y$3,NA(),SUMIFS(Dados!$E$2:$E$1841,Dados!$A$2:$A$1841,Dados!$U$3,Dados!$B$2:$B$1841,5,Dados!$C$2:$C$1841,$B$7,Dados!$D$2:$D$1841,$B$8))</f>
        <v>260637.89</v>
      </c>
      <c r="D24">
        <f>IF(5&gt;Dados!$Y$4,NA(),SUMIFS(Dados!$E$2:$E$1841,Dados!$A$2:$A$1841,Dados!$U$4,Dados!$B$2:$B$1841,5,Dados!$C$2:$C$1841,$B$7,Dados!$D$2:$D$1841,$B$8))</f>
        <v>290237.59</v>
      </c>
      <c r="E24">
        <f>IF(5&gt;$B$4,NA(),SUMIFS(Dados!$O$2:$O$7405,Dados!$J$2:$J$7405,"M",Dados!$K$2:$K$7405,$B$1,Dados!$L$2:$L$7405,5,Dados!$M$2:$M$7405,$B$5,Dados!$N$2:$N$7405,$B$6))</f>
        <v>248</v>
      </c>
      <c r="F24">
        <f>IF(OR(5&gt;$B$4,NOT($B$10)),NA(),SUMIFS(Dados!$O$2:$O$7405,Dados!$J$2:$J$7405,"M",Dados!$K$2:$K$7405,$B$9,Dados!$L$2:$L$7405,5,Dados!$M$2:$M$7405,$B$5,Dados!$N$2:$N$7405,$B$6))</f>
        <v>204</v>
      </c>
      <c r="G24">
        <f>IF(ISNUMBER(E24),E24,0)</f>
        <v>248</v>
      </c>
      <c r="H24">
        <f>IF(5&gt;$B$4,0,SUMIFS(Dados!$E$2:$E$1841,Dados!$A$2:$A$1841,$B$1,Dados!$B$2:$B$1841,5,Dados!$C$2:$C$1841,$B$7,Dados!$D$2:$D$1841,$B$8))</f>
        <v>290237.59</v>
      </c>
    </row>
    <row r="25">
      <c r="A25" t="inlineStr">
        <is>
          <t>jun</t>
        </is>
      </c>
      <c r="B25">
        <f>IF(6&gt;Dados!$Y$2,NA(),SUMIFS(Dados!$E$2:$E$1841,Dados!$A$2:$A$1841,Dados!$U$2,Dados!$B$2:$B$1841,6,Dados!$C$2:$C$1841,$B$7,Dados!$D$2:$D$1841,$B$8))</f>
        <v>291887.91</v>
      </c>
      <c r="C25">
        <f>IF(6&gt;Dados!$Y$3,NA(),SUMIFS(Dados!$E$2:$E$1841,Dados!$A$2:$A$1841,Dados!$U$3,Dados!$B$2:$B$1841,6,Dados!$C$2:$C$1841,$B$7,Dados!$D$2:$D$1841,$B$8))</f>
        <v>278179.88</v>
      </c>
      <c r="D25">
        <f>IF(6&gt;Dados!$Y$4,NA(),SUMIFS(Dados!$E$2:$E$1841,Dados!$A$2:$A$1841,Dados!$U$4,Dados!$B$2:$B$1841,6,Dados!$C$2:$C$1841,$B$7,Dados!$D$2:$D$1841,$B$8))</f>
        <v>345357.26</v>
      </c>
      <c r="E25">
        <f>IF(6&gt;$B$4,NA(),SUMIFS(Dados!$O$2:$O$7405,Dados!$J$2:$J$7405,"M",Dados!$K$2:$K$7405,$B$1,Dados!$L$2:$L$7405,6,Dados!$M$2:$M$7405,$B$5,Dados!$N$2:$N$7405,$B$6))</f>
        <v>289</v>
      </c>
      <c r="F25">
        <f>IF(OR(6&gt;$B$4,NOT($B$10)),NA(),SUMIFS(Dados!$O$2:$O$7405,Dados!$J$2:$J$7405,"M",Dados!$K$2:$K$7405,$B$9,Dados!$L$2:$L$7405,6,Dados!$M$2:$M$7405,$B$5,Dados!$N$2:$N$7405,$B$6))</f>
        <v>204</v>
      </c>
      <c r="G25">
        <f>IF(ISNUMBER(E25),E25,0)</f>
        <v>289</v>
      </c>
      <c r="H25">
        <f>IF(6&gt;$B$4,0,SUMIFS(Dados!$E$2:$E$1841,Dados!$A$2:$A$1841,$B$1,Dados!$B$2:$B$1841,6,Dados!$C$2:$C$1841,$B$7,Dados!$D$2:$D$1841,$B$8))</f>
        <v>345357.26</v>
      </c>
    </row>
    <row r="26">
      <c r="A26" t="inlineStr">
        <is>
          <t>jul</t>
        </is>
      </c>
      <c r="B26">
        <f>IF(7&gt;Dados!$Y$2,NA(),SUMIFS(Dados!$E$2:$E$1841,Dados!$A$2:$A$1841,Dados!$U$2,Dados!$B$2:$B$1841,7,Dados!$C$2:$C$1841,$B$7,Dados!$D$2:$D$1841,$B$8))</f>
        <v>261634.16</v>
      </c>
      <c r="C26">
        <f>IF(7&gt;Dados!$Y$3,NA(),SUMIFS(Dados!$E$2:$E$1841,Dados!$A$2:$A$1841,Dados!$U$3,Dados!$B$2:$B$1841,7,Dados!$C$2:$C$1841,$B$7,Dados!$D$2:$D$1841,$B$8))</f>
        <v>243883.55</v>
      </c>
      <c r="D26">
        <f>IF(7&gt;Dados!$Y$4,NA(),SUMIFS(Dados!$E$2:$E$1841,Dados!$A$2:$A$1841,Dados!$U$4,Dados!$B$2:$B$1841,7,Dados!$C$2:$C$1841,$B$7,Dados!$D$2:$D$1841,$B$8))</f>
        <v>349927.13</v>
      </c>
      <c r="E26">
        <f>IF(7&gt;$B$4,NA(),SUMIFS(Dados!$O$2:$O$7405,Dados!$J$2:$J$7405,"M",Dados!$K$2:$K$7405,$B$1,Dados!$L$2:$L$7405,7,Dados!$M$2:$M$7405,$B$5,Dados!$N$2:$N$7405,$B$6))</f>
        <v>301</v>
      </c>
      <c r="F26">
        <f>IF(OR(7&gt;$B$4,NOT($B$10)),NA(),SUMIFS(Dados!$O$2:$O$7405,Dados!$J$2:$J$7405,"M",Dados!$K$2:$K$7405,$B$9,Dados!$L$2:$L$7405,7,Dados!$M$2:$M$7405,$B$5,Dados!$N$2:$N$7405,$B$6))</f>
        <v>240</v>
      </c>
      <c r="G26">
        <f>IF(ISNUMBER(E26),E26,0)</f>
        <v>301</v>
      </c>
      <c r="H26">
        <f>IF(7&gt;$B$4,0,SUMIFS(Dados!$E$2:$E$1841,Dados!$A$2:$A$1841,$B$1,Dados!$B$2:$B$1841,7,Dados!$C$2:$C$1841,$B$7,Dados!$D$2:$D$1841,$B$8))</f>
        <v>349927.13</v>
      </c>
    </row>
    <row r="27">
      <c r="A27" t="inlineStr">
        <is>
          <t>ago</t>
        </is>
      </c>
      <c r="B27">
        <f>IF(8&gt;Dados!$Y$2,NA(),SUMIFS(Dados!$E$2:$E$1841,Dados!$A$2:$A$1841,Dados!$U$2,Dados!$B$2:$B$1841,8,Dados!$C$2:$C$1841,$B$7,Dados!$D$2:$D$1841,$B$8))</f>
        <v>261835.44</v>
      </c>
      <c r="C27">
        <f>IF(8&gt;Dados!$Y$3,NA(),SUMIFS(Dados!$E$2:$E$1841,Dados!$A$2:$A$1841,Dados!$U$3,Dados!$B$2:$B$1841,8,Dados!$C$2:$C$1841,$B$7,Dados!$D$2:$D$1841,$B$8))</f>
        <v>239607.48</v>
      </c>
      <c r="D27">
        <f>IF(8&gt;Dados!$Y$4,NA(),SUMIFS(Dados!$E$2:$E$1841,Dados!$A$2:$A$1841,Dados!$U$4,Dados!$B$2:$B$1841,8,Dados!$C$2:$C$1841,$B$7,Dados!$D$2:$D$1841,$B$8))</f>
        <v>351854.01</v>
      </c>
      <c r="E27">
        <f>IF(8&gt;$B$4,NA(),SUMIFS(Dados!$O$2:$O$7405,Dados!$J$2:$J$7405,"M",Dados!$K$2:$K$7405,$B$1,Dados!$L$2:$L$7405,8,Dados!$M$2:$M$7405,$B$5,Dados!$N$2:$N$7405,$B$6))</f>
        <v>211</v>
      </c>
      <c r="F27">
        <f>IF(OR(8&gt;$B$4,NOT($B$10)),NA(),SUMIFS(Dados!$O$2:$O$7405,Dados!$J$2:$J$7405,"M",Dados!$K$2:$K$7405,$B$9,Dados!$L$2:$L$7405,8,Dados!$M$2:$M$7405,$B$5,Dados!$N$2:$N$7405,$B$6))</f>
        <v>223</v>
      </c>
      <c r="G27">
        <f>IF(ISNUMBER(E27),E27,0)</f>
        <v>211</v>
      </c>
      <c r="H27">
        <f>IF(8&gt;$B$4,0,SUMIFS(Dados!$E$2:$E$1841,Dados!$A$2:$A$1841,$B$1,Dados!$B$2:$B$1841,8,Dados!$C$2:$C$1841,$B$7,Dados!$D$2:$D$1841,$B$8))</f>
        <v>351854.01</v>
      </c>
    </row>
    <row r="28">
      <c r="A28" t="inlineStr">
        <is>
          <t>set</t>
        </is>
      </c>
      <c r="B28">
        <f>IF(9&gt;Dados!$Y$2,NA(),SUMIFS(Dados!$E$2:$E$1841,Dados!$A$2:$A$1841,Dados!$U$2,Dados!$B$2:$B$1841,9,Dados!$C$2:$C$1841,$B$7,Dados!$D$2:$D$1841,$B$8))</f>
        <v>282479.13</v>
      </c>
      <c r="C28">
        <f>IF(9&gt;Dados!$Y$3,NA(),SUMIFS(Dados!$E$2:$E$1841,Dados!$A$2:$A$1841,Dados!$U$3,Dados!$B$2:$B$1841,9,Dados!$C$2:$C$1841,$B$7,Dados!$D$2:$D$1841,$B$8))</f>
        <v>268375.96</v>
      </c>
      <c r="D28">
        <f>IF(9&gt;Dados!$Y$4,NA(),SUMIFS(Dados!$E$2:$E$1841,Dados!$A$2:$A$1841,Dados!$U$4,Dados!$B$2:$B$1841,9,Dados!$C$2:$C$1841,$B$7,Dados!$D$2:$D$1841,$B$8))</f>
        <v>390972.81</v>
      </c>
      <c r="E28">
        <f>IF(9&gt;$B$4,NA(),SUMIFS(Dados!$O$2:$O$7405,Dados!$J$2:$J$7405,"M",Dados!$K$2:$K$7405,$B$1,Dados!$L$2:$L$7405,9,Dados!$M$2:$M$7405,$B$5,Dados!$N$2:$N$7405,$B$6))</f>
        <v>184</v>
      </c>
      <c r="F28">
        <f>IF(OR(9&gt;$B$4,NOT($B$10)),NA(),SUMIFS(Dados!$O$2:$O$7405,Dados!$J$2:$J$7405,"M",Dados!$K$2:$K$7405,$B$9,Dados!$L$2:$L$7405,9,Dados!$M$2:$M$7405,$B$5,Dados!$N$2:$N$7405,$B$6))</f>
        <v>220</v>
      </c>
      <c r="G28">
        <f>IF(ISNUMBER(E28),E28,0)</f>
        <v>184</v>
      </c>
      <c r="H28">
        <f>IF(9&gt;$B$4,0,SUMIFS(Dados!$E$2:$E$1841,Dados!$A$2:$A$1841,$B$1,Dados!$B$2:$B$1841,9,Dados!$C$2:$C$1841,$B$7,Dados!$D$2:$D$1841,$B$8))</f>
        <v>390972.81</v>
      </c>
    </row>
    <row r="29">
      <c r="A29" t="inlineStr">
        <is>
          <t>out</t>
        </is>
      </c>
      <c r="B29">
        <f>IF(10&gt;Dados!$Y$2,NA(),SUMIFS(Dados!$E$2:$E$1841,Dados!$A$2:$A$1841,Dados!$U$2,Dados!$B$2:$B$1841,10,Dados!$C$2:$C$1841,$B$7,Dados!$D$2:$D$1841,$B$8))</f>
        <v>332189.5</v>
      </c>
      <c r="C29">
        <f>IF(10&gt;Dados!$Y$3,NA(),SUMIFS(Dados!$E$2:$E$1841,Dados!$A$2:$A$1841,Dados!$U$3,Dados!$B$2:$B$1841,10,Dados!$C$2:$C$1841,$B$7,Dados!$D$2:$D$1841,$B$8))</f>
        <v>268497.1</v>
      </c>
      <c r="D29" t="e">
        <f>IF(10&gt;Dados!$Y$4,NA(),SUMIFS(Dados!$E$2:$E$1841,Dados!$A$2:$A$1841,Dados!$U$4,Dados!$B$2:$B$1841,10,Dados!$C$2:$C$1841,$B$7,Dados!$D$2:$D$1841,$B$8))</f>
        <v>#N/A</v>
      </c>
      <c r="E29" t="e">
        <f>IF(10&gt;$B$4,NA(),SUMIFS(Dados!$O$2:$O$7405,Dados!$J$2:$J$7405,"M",Dados!$K$2:$K$7405,$B$1,Dados!$L$2:$L$7405,10,Dados!$M$2:$M$7405,$B$5,Dados!$N$2:$N$7405,$B$6))</f>
        <v>#N/A</v>
      </c>
      <c r="F29" t="e">
        <f>IF(OR(10&gt;$B$4,NOT($B$10)),NA(),SUMIFS(Dados!$O$2:$O$7405,Dados!$J$2:$J$7405,"M",Dados!$K$2:$K$7405,$B$9,Dados!$L$2:$L$7405,10,Dados!$M$2:$M$7405,$B$5,Dados!$N$2:$N$7405,$B$6))</f>
        <v>#N/A</v>
      </c>
      <c r="G29">
        <f>IF(ISNUMBER(E29),E29,0)</f>
        <v>0</v>
      </c>
      <c r="H29">
        <f>IF(10&gt;$B$4,0,SUMIFS(Dados!$E$2:$E$1841,Dados!$A$2:$A$1841,$B$1,Dados!$B$2:$B$1841,10,Dados!$C$2:$C$1841,$B$7,Dados!$D$2:$D$1841,$B$8))</f>
        <v>0</v>
      </c>
    </row>
    <row r="30">
      <c r="A30" t="inlineStr">
        <is>
          <t>nov</t>
        </is>
      </c>
      <c r="B30">
        <f>IF(11&gt;Dados!$Y$2,NA(),SUMIFS(Dados!$E$2:$E$1841,Dados!$A$2:$A$1841,Dados!$U$2,Dados!$B$2:$B$1841,11,Dados!$C$2:$C$1841,$B$7,Dados!$D$2:$D$1841,$B$8))</f>
        <v>290484.33</v>
      </c>
      <c r="C30">
        <f>IF(11&gt;Dados!$Y$3,NA(),SUMIFS(Dados!$E$2:$E$1841,Dados!$A$2:$A$1841,Dados!$U$3,Dados!$B$2:$B$1841,11,Dados!$C$2:$C$1841,$B$7,Dados!$D$2:$D$1841,$B$8))</f>
        <v>221817.2</v>
      </c>
      <c r="D30" t="e">
        <f>IF(11&gt;Dados!$Y$4,NA(),SUMIFS(Dados!$E$2:$E$1841,Dados!$A$2:$A$1841,Dados!$U$4,Dados!$B$2:$B$1841,11,Dados!$C$2:$C$1841,$B$7,Dados!$D$2:$D$1841,$B$8))</f>
        <v>#N/A</v>
      </c>
      <c r="E30" t="e">
        <f>IF(11&gt;$B$4,NA(),SUMIFS(Dados!$O$2:$O$7405,Dados!$J$2:$J$7405,"M",Dados!$K$2:$K$7405,$B$1,Dados!$L$2:$L$7405,11,Dados!$M$2:$M$7405,$B$5,Dados!$N$2:$N$7405,$B$6))</f>
        <v>#N/A</v>
      </c>
      <c r="F30" t="e">
        <f>IF(OR(11&gt;$B$4,NOT($B$10)),NA(),SUMIFS(Dados!$O$2:$O$7405,Dados!$J$2:$J$7405,"M",Dados!$K$2:$K$7405,$B$9,Dados!$L$2:$L$7405,11,Dados!$M$2:$M$7405,$B$5,Dados!$N$2:$N$7405,$B$6))</f>
        <v>#N/A</v>
      </c>
      <c r="G30">
        <f>IF(ISNUMBER(E30),E30,0)</f>
        <v>0</v>
      </c>
      <c r="H30">
        <f>IF(11&gt;$B$4,0,SUMIFS(Dados!$E$2:$E$1841,Dados!$A$2:$A$1841,$B$1,Dados!$B$2:$B$1841,11,Dados!$C$2:$C$1841,$B$7,Dados!$D$2:$D$1841,$B$8))</f>
        <v>0</v>
      </c>
    </row>
    <row r="31">
      <c r="A31" t="inlineStr">
        <is>
          <t>dez</t>
        </is>
      </c>
      <c r="B31">
        <f>IF(12&gt;Dados!$Y$2,NA(),SUMIFS(Dados!$E$2:$E$1841,Dados!$A$2:$A$1841,Dados!$U$2,Dados!$B$2:$B$1841,12,Dados!$C$2:$C$1841,$B$7,Dados!$D$2:$D$1841,$B$8))</f>
        <v>286858.07</v>
      </c>
      <c r="C31">
        <f>IF(12&gt;Dados!$Y$3,NA(),SUMIFS(Dados!$E$2:$E$1841,Dados!$A$2:$A$1841,Dados!$U$3,Dados!$B$2:$B$1841,12,Dados!$C$2:$C$1841,$B$7,Dados!$D$2:$D$1841,$B$8))</f>
        <v>187399.93</v>
      </c>
      <c r="D31" t="e">
        <f>IF(12&gt;Dados!$Y$4,NA(),SUMIFS(Dados!$E$2:$E$1841,Dados!$A$2:$A$1841,Dados!$U$4,Dados!$B$2:$B$1841,12,Dados!$C$2:$C$1841,$B$7,Dados!$D$2:$D$1841,$B$8))</f>
        <v>#N/A</v>
      </c>
      <c r="E31" t="e">
        <f>IF(12&gt;$B$4,NA(),SUMIFS(Dados!$O$2:$O$7405,Dados!$J$2:$J$7405,"M",Dados!$K$2:$K$7405,$B$1,Dados!$L$2:$L$7405,12,Dados!$M$2:$M$7405,$B$5,Dados!$N$2:$N$7405,$B$6))</f>
        <v>#N/A</v>
      </c>
      <c r="F31" t="e">
        <f>IF(OR(12&gt;$B$4,NOT($B$10)),NA(),SUMIFS(Dados!$O$2:$O$7405,Dados!$J$2:$J$7405,"M",Dados!$K$2:$K$7405,$B$9,Dados!$L$2:$L$7405,12,Dados!$M$2:$M$7405,$B$5,Dados!$N$2:$N$7405,$B$6))</f>
        <v>#N/A</v>
      </c>
      <c r="G31">
        <f>IF(ISNUMBER(E31),E31,0)</f>
        <v>0</v>
      </c>
      <c r="H31">
        <f>IF(12&gt;$B$4,0,SUMIFS(Dados!$E$2:$E$1841,Dados!$A$2:$A$1841,$B$1,Dados!$B$2:$B$1841,12,Dados!$C$2:$C$1841,$B$7,Dados!$D$2:$D$1841,$B$8))</f>
        <v>0</v>
      </c>
    </row>
    <row r="33">
      <c r="A33" t="inlineStr">
        <is>
          <t>MelhorMes</t>
        </is>
      </c>
      <c r="B33" t="str">
        <f>IFERROR("Melhor mês de "&amp;$B$1&amp;": "&amp;INDEX(Dados!$T$2:$T$13,MATCH(MAX(H20:H31),H20:H31,0))&amp;"/"&amp;RIGHT($B$1,2)&amp;" · R$ "&amp;FIXED(MAX(H20:H31)/1000,0)&amp;" mil","")</f>
        <v>Melhor mês de 2026: set/26 · R$ 391 mil</v>
      </c>
    </row>
    <row r="34">
      <c r="A34" t="inlineStr">
        <is>
          <t>PicoCli</t>
        </is>
      </c>
      <c r="B34" t="str">
        <f>IFERROR(IF(MAX(G20:G31)=0,"","Pico de "&amp;MAX(G20:G31)&amp;" clientes comprando em "&amp;INDEX(Dados!$T$2:$T$13,MATCH(MAX(G20:G31),G20:G31,0))),"")</f>
        <v>Pico de 301 clientes comprando em jul</v>
      </c>
    </row>
    <row r="40">
      <c r="A40" t="str">
        <f>Dados!$X$3</f>
        <v>Pizzaria</v>
      </c>
      <c r="B40">
        <f>SUMIFS(Dados!$E$2:$E$1841,Dados!$A$2:$A$1841,$B$1,Dados!$B$2:$B$1841,"&lt;="&amp;$B$4,Dados!$C$2:$C$1841,$B$7,Dados!$D$2:$D$1841,A40)</f>
        <v>1126847.76</v>
      </c>
      <c r="C40">
        <f>IF($B$10,SUMIFS(Dados!$E$2:$E$1841,Dados!$A$2:$A$1841,$B$9,Dados!$B$2:$B$1841,"&lt;="&amp;$B$4,Dados!$C$2:$C$1841,$B$7,Dados!$D$2:$D$1841,A40),0)</f>
        <v>827944.5</v>
      </c>
      <c r="D40">
        <f>B40+(1000-ROW())/1000000000</f>
        <v>1126847.76000096</v>
      </c>
      <c r="F40" t="inlineStr">
        <is>
          <t>Total</t>
        </is>
      </c>
      <c r="G40">
        <f>SUM($B$40:$B$72)</f>
        <v>2713238.81</v>
      </c>
    </row>
    <row r="41">
      <c r="A41" t="str">
        <f>Dados!$X$4</f>
        <v>Restaurante / Cantina</v>
      </c>
      <c r="B41">
        <f>SUMIFS(Dados!$E$2:$E$1841,Dados!$A$2:$A$1841,$B$1,Dados!$B$2:$B$1841,"&lt;="&amp;$B$4,Dados!$C$2:$C$1841,$B$7,Dados!$D$2:$D$1841,A41)</f>
        <v>481499.61</v>
      </c>
      <c r="C41">
        <f>IF($B$10,SUMIFS(Dados!$E$2:$E$1841,Dados!$A$2:$A$1841,$B$9,Dados!$B$2:$B$1841,"&lt;="&amp;$B$4,Dados!$C$2:$C$1841,$B$7,Dados!$D$2:$D$1841,A41),0)</f>
        <v>510454.23</v>
      </c>
      <c r="D41">
        <f>B41+(1000-ROW())/1000000000</f>
        <v>481499.610000959</v>
      </c>
      <c r="G41">
        <f>SUM($C$40:$C$72)</f>
        <v>2353832.89</v>
      </c>
    </row>
    <row r="42">
      <c r="A42" t="str">
        <f>Dados!$X$5</f>
        <v>Cozinha Industrial</v>
      </c>
      <c r="B42">
        <f>SUMIFS(Dados!$E$2:$E$1841,Dados!$A$2:$A$1841,$B$1,Dados!$B$2:$B$1841,"&lt;="&amp;$B$4,Dados!$C$2:$C$1841,$B$7,Dados!$D$2:$D$1841,A42)</f>
        <v>323229.13</v>
      </c>
      <c r="C42">
        <f>IF($B$10,SUMIFS(Dados!$E$2:$E$1841,Dados!$A$2:$A$1841,$B$9,Dados!$B$2:$B$1841,"&lt;="&amp;$B$4,Dados!$C$2:$C$1841,$B$7,Dados!$D$2:$D$1841,A42),0)</f>
        <v>125528.68</v>
      </c>
      <c r="D42">
        <f>B42+(1000-ROW())/1000000000</f>
        <v>323229.130000958</v>
      </c>
    </row>
    <row r="43">
      <c r="A43" t="str">
        <f>Dados!$X$6</f>
        <v>Fábrica de Massas</v>
      </c>
      <c r="B43">
        <f>SUMIFS(Dados!$E$2:$E$1841,Dados!$A$2:$A$1841,$B$1,Dados!$B$2:$B$1841,"&lt;="&amp;$B$4,Dados!$C$2:$C$1841,$B$7,Dados!$D$2:$D$1841,A43)</f>
        <v>140328.66</v>
      </c>
      <c r="C43">
        <f>IF($B$10,SUMIFS(Dados!$E$2:$E$1841,Dados!$A$2:$A$1841,$B$9,Dados!$B$2:$B$1841,"&lt;="&amp;$B$4,Dados!$C$2:$C$1841,$B$7,Dados!$D$2:$D$1841,A43),0)</f>
        <v>267507.91</v>
      </c>
      <c r="D43">
        <f>B43+(1000-ROW())/1000000000</f>
        <v>140328.660000957</v>
      </c>
    </row>
    <row r="44">
      <c r="A44" t="str">
        <f>Dados!$X$7</f>
        <v>Outros</v>
      </c>
      <c r="B44">
        <f>SUMIFS(Dados!$E$2:$E$1841,Dados!$A$2:$A$1841,$B$1,Dados!$B$2:$B$1841,"&lt;="&amp;$B$4,Dados!$C$2:$C$1841,$B$7,Dados!$D$2:$D$1841,A44)</f>
        <v>56900.43</v>
      </c>
      <c r="C44">
        <f>IF($B$10,SUMIFS(Dados!$E$2:$E$1841,Dados!$A$2:$A$1841,$B$9,Dados!$B$2:$B$1841,"&lt;="&amp;$B$4,Dados!$C$2:$C$1841,$B$7,Dados!$D$2:$D$1841,A44),0)</f>
        <v>221333.04</v>
      </c>
      <c r="D44">
        <f>B44+(1000-ROW())/1000000000</f>
        <v>56900.430000956</v>
      </c>
    </row>
    <row r="45">
      <c r="A45" t="str">
        <f>Dados!$X$8</f>
        <v>Pessoa Física</v>
      </c>
      <c r="B45">
        <f>SUMIFS(Dados!$E$2:$E$1841,Dados!$A$2:$A$1841,$B$1,Dados!$B$2:$B$1841,"&lt;="&amp;$B$4,Dados!$C$2:$C$1841,$B$7,Dados!$D$2:$D$1841,A45)</f>
        <v>90387.04</v>
      </c>
      <c r="C45">
        <f>IF($B$10,SUMIFS(Dados!$E$2:$E$1841,Dados!$A$2:$A$1841,$B$9,Dados!$B$2:$B$1841,"&lt;="&amp;$B$4,Dados!$C$2:$C$1841,$B$7,Dados!$D$2:$D$1841,A45),0)</f>
        <v>69534.66</v>
      </c>
      <c r="D45">
        <f>B45+(1000-ROW())/1000000000</f>
        <v>90387.040000955</v>
      </c>
    </row>
    <row r="46">
      <c r="A46" t="str">
        <f>Dados!$X$9</f>
        <v>Pastelaria</v>
      </c>
      <c r="B46">
        <f>SUMIFS(Dados!$E$2:$E$1841,Dados!$A$2:$A$1841,$B$1,Dados!$B$2:$B$1841,"&lt;="&amp;$B$4,Dados!$C$2:$C$1841,$B$7,Dados!$D$2:$D$1841,A46)</f>
        <v>58279.5</v>
      </c>
      <c r="C46">
        <f>IF($B$10,SUMIFS(Dados!$E$2:$E$1841,Dados!$A$2:$A$1841,$B$9,Dados!$B$2:$B$1841,"&lt;="&amp;$B$4,Dados!$C$2:$C$1841,$B$7,Dados!$D$2:$D$1841,A46),0)</f>
        <v>73387.07</v>
      </c>
      <c r="D46">
        <f>B46+(1000-ROW())/1000000000</f>
        <v>58279.500000954</v>
      </c>
    </row>
    <row r="47">
      <c r="A47" t="str">
        <f>Dados!$X$10</f>
        <v>Esfiharia</v>
      </c>
      <c r="B47">
        <f>SUMIFS(Dados!$E$2:$E$1841,Dados!$A$2:$A$1841,$B$1,Dados!$B$2:$B$1841,"&lt;="&amp;$B$4,Dados!$C$2:$C$1841,$B$7,Dados!$D$2:$D$1841,A47)</f>
        <v>81555.69</v>
      </c>
      <c r="C47">
        <f>IF($B$10,SUMIFS(Dados!$E$2:$E$1841,Dados!$A$2:$A$1841,$B$9,Dados!$B$2:$B$1841,"&lt;="&amp;$B$4,Dados!$C$2:$C$1841,$B$7,Dados!$D$2:$D$1841,A47),0)</f>
        <v>51916.49</v>
      </c>
      <c r="D47">
        <f>B47+(1000-ROW())/1000000000</f>
        <v>81555.690000953</v>
      </c>
    </row>
    <row r="48">
      <c r="A48" t="str">
        <f>Dados!$X$11</f>
        <v>Lanchonete / Cafeteria</v>
      </c>
      <c r="B48">
        <f>SUMIFS(Dados!$E$2:$E$1841,Dados!$A$2:$A$1841,$B$1,Dados!$B$2:$B$1841,"&lt;="&amp;$B$4,Dados!$C$2:$C$1841,$B$7,Dados!$D$2:$D$1841,A48)</f>
        <v>83644.1</v>
      </c>
      <c r="C48">
        <f>IF($B$10,SUMIFS(Dados!$E$2:$E$1841,Dados!$A$2:$A$1841,$B$9,Dados!$B$2:$B$1841,"&lt;="&amp;$B$4,Dados!$C$2:$C$1841,$B$7,Dados!$D$2:$D$1841,A48),0)</f>
        <v>37971.63</v>
      </c>
      <c r="D48">
        <f>B48+(1000-ROW())/1000000000</f>
        <v>83644.100000952</v>
      </c>
    </row>
    <row r="49">
      <c r="A49" t="str">
        <f>Dados!$X$12</f>
        <v>Padaria</v>
      </c>
      <c r="B49">
        <f>SUMIFS(Dados!$E$2:$E$1841,Dados!$A$2:$A$1841,$B$1,Dados!$B$2:$B$1841,"&lt;="&amp;$B$4,Dados!$C$2:$C$1841,$B$7,Dados!$D$2:$D$1841,A49)</f>
        <v>44872.06</v>
      </c>
      <c r="C49">
        <f>IF($B$10,SUMIFS(Dados!$E$2:$E$1841,Dados!$A$2:$A$1841,$B$9,Dados!$B$2:$B$1841,"&lt;="&amp;$B$4,Dados!$C$2:$C$1841,$B$7,Dados!$D$2:$D$1841,A49),0)</f>
        <v>39117.64</v>
      </c>
      <c r="D49">
        <f>B49+(1000-ROW())/1000000000</f>
        <v>44872.060000951</v>
      </c>
    </row>
    <row r="50">
      <c r="A50" t="str">
        <f>Dados!$X$13</f>
        <v>Supermercado</v>
      </c>
      <c r="B50">
        <f>SUMIFS(Dados!$E$2:$E$1841,Dados!$A$2:$A$1841,$B$1,Dados!$B$2:$B$1841,"&lt;="&amp;$B$4,Dados!$C$2:$C$1841,$B$7,Dados!$D$2:$D$1841,A50)</f>
        <v>33710</v>
      </c>
      <c r="C50">
        <f>IF($B$10,SUMIFS(Dados!$E$2:$E$1841,Dados!$A$2:$A$1841,$B$9,Dados!$B$2:$B$1841,"&lt;="&amp;$B$4,Dados!$C$2:$C$1841,$B$7,Dados!$D$2:$D$1841,A50),0)</f>
        <v>45691.81</v>
      </c>
      <c r="D50">
        <f>B50+(1000-ROW())/1000000000</f>
        <v>33710.00000095</v>
      </c>
    </row>
    <row r="51">
      <c r="A51" t="str">
        <f>Dados!$X$14</f>
        <v>Rotisserie</v>
      </c>
      <c r="B51">
        <f>SUMIFS(Dados!$E$2:$E$1841,Dados!$A$2:$A$1841,$B$1,Dados!$B$2:$B$1841,"&lt;="&amp;$B$4,Dados!$C$2:$C$1841,$B$7,Dados!$D$2:$D$1841,A51)</f>
        <v>69199.06</v>
      </c>
      <c r="C51">
        <f>IF($B$10,SUMIFS(Dados!$E$2:$E$1841,Dados!$A$2:$A$1841,$B$9,Dados!$B$2:$B$1841,"&lt;="&amp;$B$4,Dados!$C$2:$C$1841,$B$7,Dados!$D$2:$D$1841,A51),0)</f>
        <v>2703.69</v>
      </c>
      <c r="D51">
        <f>B51+(1000-ROW())/1000000000</f>
        <v>69199.060000949</v>
      </c>
    </row>
    <row r="52">
      <c r="A52" t="str">
        <f>Dados!$X$15</f>
        <v>Mercearia / Sacolão</v>
      </c>
      <c r="B52">
        <f>SUMIFS(Dados!$E$2:$E$1841,Dados!$A$2:$A$1841,$B$1,Dados!$B$2:$B$1841,"&lt;="&amp;$B$4,Dados!$C$2:$C$1841,$B$7,Dados!$D$2:$D$1841,A52)</f>
        <v>41987.32</v>
      </c>
      <c r="C52">
        <f>IF($B$10,SUMIFS(Dados!$E$2:$E$1841,Dados!$A$2:$A$1841,$B$9,Dados!$B$2:$B$1841,"&lt;="&amp;$B$4,Dados!$C$2:$C$1841,$B$7,Dados!$D$2:$D$1841,A52),0)</f>
        <v>14138.03</v>
      </c>
      <c r="D52">
        <f>B52+(1000-ROW())/1000000000</f>
        <v>41987.320000948</v>
      </c>
    </row>
    <row r="53">
      <c r="A53" t="str">
        <f>Dados!$X$16</f>
        <v>Buffet</v>
      </c>
      <c r="B53">
        <f>SUMIFS(Dados!$E$2:$E$1841,Dados!$A$2:$A$1841,$B$1,Dados!$B$2:$B$1841,"&lt;="&amp;$B$4,Dados!$C$2:$C$1841,$B$7,Dados!$D$2:$D$1841,A53)</f>
        <v>21785.87</v>
      </c>
      <c r="C53">
        <f>IF($B$10,SUMIFS(Dados!$E$2:$E$1841,Dados!$A$2:$A$1841,$B$9,Dados!$B$2:$B$1841,"&lt;="&amp;$B$4,Dados!$C$2:$C$1841,$B$7,Dados!$D$2:$D$1841,A53),0)</f>
        <v>12422.36</v>
      </c>
      <c r="D53">
        <f>B53+(1000-ROW())/1000000000</f>
        <v>21785.870000947</v>
      </c>
    </row>
    <row r="54">
      <c r="A54" t="str">
        <f>Dados!$X$17</f>
        <v>Hotel / Motel / Pousada</v>
      </c>
      <c r="B54">
        <f>SUMIFS(Dados!$E$2:$E$1841,Dados!$A$2:$A$1841,$B$1,Dados!$B$2:$B$1841,"&lt;="&amp;$B$4,Dados!$C$2:$C$1841,$B$7,Dados!$D$2:$D$1841,A54)</f>
        <v>12033.81</v>
      </c>
      <c r="C54">
        <f>IF($B$10,SUMIFS(Dados!$E$2:$E$1841,Dados!$A$2:$A$1841,$B$9,Dados!$B$2:$B$1841,"&lt;="&amp;$B$4,Dados!$C$2:$C$1841,$B$7,Dados!$D$2:$D$1841,A54),0)</f>
        <v>13176.36</v>
      </c>
      <c r="D54">
        <f>B54+(1000-ROW())/1000000000</f>
        <v>12033.810000946</v>
      </c>
    </row>
    <row r="55">
      <c r="A55" t="str">
        <f>Dados!$X$18</f>
        <v>Hamburgueria</v>
      </c>
      <c r="B55">
        <f>SUMIFS(Dados!$E$2:$E$1841,Dados!$A$2:$A$1841,$B$1,Dados!$B$2:$B$1841,"&lt;="&amp;$B$4,Dados!$C$2:$C$1841,$B$7,Dados!$D$2:$D$1841,A55)</f>
        <v>7561.55</v>
      </c>
      <c r="C55">
        <f>IF($B$10,SUMIFS(Dados!$E$2:$E$1841,Dados!$A$2:$A$1841,$B$9,Dados!$B$2:$B$1841,"&lt;="&amp;$B$4,Dados!$C$2:$C$1841,$B$7,Dados!$D$2:$D$1841,A55),0)</f>
        <v>8968.84</v>
      </c>
      <c r="D55">
        <f>B55+(1000-ROW())/1000000000</f>
        <v>7561.550000945</v>
      </c>
    </row>
    <row r="56">
      <c r="A56" t="str">
        <f>Dados!$X$19</f>
        <v>Laticínios / Distribuidor</v>
      </c>
      <c r="B56">
        <f>SUMIFS(Dados!$E$2:$E$1841,Dados!$A$2:$A$1841,$B$1,Dados!$B$2:$B$1841,"&lt;="&amp;$B$4,Dados!$C$2:$C$1841,$B$7,Dados!$D$2:$D$1841,A56)</f>
        <v>124.08</v>
      </c>
      <c r="C56">
        <f>IF($B$10,SUMIFS(Dados!$E$2:$E$1841,Dados!$A$2:$A$1841,$B$9,Dados!$B$2:$B$1841,"&lt;="&amp;$B$4,Dados!$C$2:$C$1841,$B$7,Dados!$D$2:$D$1841,A56),0)</f>
        <v>5153.01</v>
      </c>
      <c r="D56">
        <f>B56+(1000-ROW())/1000000000</f>
        <v>124.080000944</v>
      </c>
    </row>
    <row r="57">
      <c r="A57" t="str">
        <f>Dados!$X$20</f>
        <v>Cozinha Oriental</v>
      </c>
      <c r="B57">
        <f>SUMIFS(Dados!$E$2:$E$1841,Dados!$A$2:$A$1841,$B$1,Dados!$B$2:$B$1841,"&lt;="&amp;$B$4,Dados!$C$2:$C$1841,$B$7,Dados!$D$2:$D$1841,A57)</f>
        <v>5351.2</v>
      </c>
      <c r="C57">
        <f>IF($B$10,SUMIFS(Dados!$E$2:$E$1841,Dados!$A$2:$A$1841,$B$9,Dados!$B$2:$B$1841,"&lt;="&amp;$B$4,Dados!$C$2:$C$1841,$B$7,Dados!$D$2:$D$1841,A57),0)</f>
        <v>7711.71</v>
      </c>
      <c r="D57">
        <f>B57+(1000-ROW())/1000000000</f>
        <v>5351.200000943</v>
      </c>
    </row>
    <row r="58">
      <c r="A58" t="str">
        <f>Dados!$X$21</f>
        <v>Adega</v>
      </c>
      <c r="B58">
        <f>SUMIFS(Dados!$E$2:$E$1841,Dados!$A$2:$A$1841,$B$1,Dados!$B$2:$B$1841,"&lt;="&amp;$B$4,Dados!$C$2:$C$1841,$B$7,Dados!$D$2:$D$1841,A58)</f>
        <v>10794.51</v>
      </c>
      <c r="C58">
        <f>IF($B$10,SUMIFS(Dados!$E$2:$E$1841,Dados!$A$2:$A$1841,$B$9,Dados!$B$2:$B$1841,"&lt;="&amp;$B$4,Dados!$C$2:$C$1841,$B$7,Dados!$D$2:$D$1841,A58),0)</f>
        <v>849.24</v>
      </c>
      <c r="D58">
        <f>B58+(1000-ROW())/1000000000</f>
        <v>10794.510000942</v>
      </c>
    </row>
    <row r="59">
      <c r="A59" t="str">
        <f>Dados!$X$22</f>
        <v>Bar / Chopperia</v>
      </c>
      <c r="B59">
        <f>SUMIFS(Dados!$E$2:$E$1841,Dados!$A$2:$A$1841,$B$1,Dados!$B$2:$B$1841,"&lt;="&amp;$B$4,Dados!$C$2:$C$1841,$B$7,Dados!$D$2:$D$1841,A59)</f>
        <v>2177.16</v>
      </c>
      <c r="C59">
        <f>IF($B$10,SUMIFS(Dados!$E$2:$E$1841,Dados!$A$2:$A$1841,$B$9,Dados!$B$2:$B$1841,"&lt;="&amp;$B$4,Dados!$C$2:$C$1841,$B$7,Dados!$D$2:$D$1841,A59),0)</f>
        <v>4899.2</v>
      </c>
      <c r="D59">
        <f>B59+(1000-ROW())/1000000000</f>
        <v>2177.160000941</v>
      </c>
    </row>
    <row r="60">
      <c r="A60" t="str">
        <f>Dados!$X$23</f>
        <v>Confeitaria</v>
      </c>
      <c r="B60">
        <f>SUMIFS(Dados!$E$2:$E$1841,Dados!$A$2:$A$1841,$B$1,Dados!$B$2:$B$1841,"&lt;="&amp;$B$4,Dados!$C$2:$C$1841,$B$7,Dados!$D$2:$D$1841,A60)</f>
        <v>4221.93</v>
      </c>
      <c r="C60">
        <f>IF($B$10,SUMIFS(Dados!$E$2:$E$1841,Dados!$A$2:$A$1841,$B$9,Dados!$B$2:$B$1841,"&lt;="&amp;$B$4,Dados!$C$2:$C$1841,$B$7,Dados!$D$2:$D$1841,A60),0)</f>
        <v>4485.88</v>
      </c>
      <c r="D60">
        <f>B60+(1000-ROW())/1000000000</f>
        <v>4221.93000094</v>
      </c>
    </row>
    <row r="61">
      <c r="A61" t="str">
        <f>Dados!$X$24</f>
        <v>Distribuidor Alimentos</v>
      </c>
      <c r="B61">
        <f>SUMIFS(Dados!$E$2:$E$1841,Dados!$A$2:$A$1841,$B$1,Dados!$B$2:$B$1841,"&lt;="&amp;$B$4,Dados!$C$2:$C$1841,$B$7,Dados!$D$2:$D$1841,A61)</f>
        <v>11012.08</v>
      </c>
      <c r="C61">
        <f>IF($B$10,SUMIFS(Dados!$E$2:$E$1841,Dados!$A$2:$A$1841,$B$9,Dados!$B$2:$B$1841,"&lt;="&amp;$B$4,Dados!$C$2:$C$1841,$B$7,Dados!$D$2:$D$1841,A61),0)</f>
        <v>0</v>
      </c>
      <c r="D61">
        <f>B61+(1000-ROW())/1000000000</f>
        <v>11012.080000939</v>
      </c>
    </row>
    <row r="62">
      <c r="A62" t="str">
        <f>Dados!$X$25</f>
        <v>Churrascaria</v>
      </c>
      <c r="B62">
        <f>SUMIFS(Dados!$E$2:$E$1841,Dados!$A$2:$A$1841,$B$1,Dados!$B$2:$B$1841,"&lt;="&amp;$B$4,Dados!$C$2:$C$1841,$B$7,Dados!$D$2:$D$1841,A62)</f>
        <v>2500.2</v>
      </c>
      <c r="C62">
        <f>IF($B$10,SUMIFS(Dados!$E$2:$E$1841,Dados!$A$2:$A$1841,$B$9,Dados!$B$2:$B$1841,"&lt;="&amp;$B$4,Dados!$C$2:$C$1841,$B$7,Dados!$D$2:$D$1841,A62),0)</f>
        <v>2371.83</v>
      </c>
      <c r="D62">
        <f>B62+(1000-ROW())/1000000000</f>
        <v>2500.200000938</v>
      </c>
    </row>
    <row r="63">
      <c r="A63" t="str">
        <f>Dados!$X$26</f>
        <v>Não Selecionado</v>
      </c>
      <c r="B63">
        <f>SUMIFS(Dados!$E$2:$E$1841,Dados!$A$2:$A$1841,$B$1,Dados!$B$2:$B$1841,"&lt;="&amp;$B$4,Dados!$C$2:$C$1841,$B$7,Dados!$D$2:$D$1841,A63)</f>
        <v>1039.36</v>
      </c>
      <c r="C63">
        <f>IF($B$10,SUMIFS(Dados!$E$2:$E$1841,Dados!$A$2:$A$1841,$B$9,Dados!$B$2:$B$1841,"&lt;="&amp;$B$4,Dados!$C$2:$C$1841,$B$7,Dados!$D$2:$D$1841,A63),0)</f>
        <v>2958.81</v>
      </c>
      <c r="D63">
        <f>B63+(1000-ROW())/1000000000</f>
        <v>1039.360000937</v>
      </c>
    </row>
    <row r="64">
      <c r="A64" t="str">
        <f>Dados!$X$27</f>
        <v>Loja de Conveniência</v>
      </c>
      <c r="B64">
        <f>SUMIFS(Dados!$E$2:$E$1841,Dados!$A$2:$A$1841,$B$1,Dados!$B$2:$B$1841,"&lt;="&amp;$B$4,Dados!$C$2:$C$1841,$B$7,Dados!$D$2:$D$1841,A64)</f>
        <v>0</v>
      </c>
      <c r="C64">
        <f>IF($B$10,SUMIFS(Dados!$E$2:$E$1841,Dados!$A$2:$A$1841,$B$9,Dados!$B$2:$B$1841,"&lt;="&amp;$B$4,Dados!$C$2:$C$1841,$B$7,Dados!$D$2:$D$1841,A64),0)</f>
        <v>586.78</v>
      </c>
      <c r="D64">
        <f>B64+(1000-ROW())/1000000000</f>
        <v>9.36e-07</v>
      </c>
    </row>
    <row r="65">
      <c r="A65" t="str">
        <f>Dados!$X$28</f>
        <v>Hospital / Casa de Repouso</v>
      </c>
      <c r="B65">
        <f>SUMIFS(Dados!$E$2:$E$1841,Dados!$A$2:$A$1841,$B$1,Dados!$B$2:$B$1841,"&lt;="&amp;$B$4,Dados!$C$2:$C$1841,$B$7,Dados!$D$2:$D$1841,A65)</f>
        <v>225</v>
      </c>
      <c r="C65">
        <f>IF($B$10,SUMIFS(Dados!$E$2:$E$1841,Dados!$A$2:$A$1841,$B$9,Dados!$B$2:$B$1841,"&lt;="&amp;$B$4,Dados!$C$2:$C$1841,$B$7,Dados!$D$2:$D$1841,A65),0)</f>
        <v>2291.08</v>
      </c>
      <c r="D65">
        <f>B65+(1000-ROW())/1000000000</f>
        <v>225.000000935</v>
      </c>
    </row>
    <row r="66">
      <c r="A66" t="str">
        <f>Dados!$X$29</f>
        <v>Clube / Associação Desportiva</v>
      </c>
      <c r="B66">
        <f>SUMIFS(Dados!$E$2:$E$1841,Dados!$A$2:$A$1841,$B$1,Dados!$B$2:$B$1841,"&lt;="&amp;$B$4,Dados!$C$2:$C$1841,$B$7,Dados!$D$2:$D$1841,A66)</f>
        <v>592.48</v>
      </c>
      <c r="C66">
        <f>IF($B$10,SUMIFS(Dados!$E$2:$E$1841,Dados!$A$2:$A$1841,$B$9,Dados!$B$2:$B$1841,"&lt;="&amp;$B$4,Dados!$C$2:$C$1841,$B$7,Dados!$D$2:$D$1841,A66),0)</f>
        <v>93.39</v>
      </c>
      <c r="D66">
        <f>B66+(1000-ROW())/1000000000</f>
        <v>592.480000934</v>
      </c>
    </row>
    <row r="67">
      <c r="A67" t="str">
        <f>Dados!$X$30</f>
        <v>Casa Noturna</v>
      </c>
      <c r="B67">
        <f>SUMIFS(Dados!$E$2:$E$1841,Dados!$A$2:$A$1841,$B$1,Dados!$B$2:$B$1841,"&lt;="&amp;$B$4,Dados!$C$2:$C$1841,$B$7,Dados!$D$2:$D$1841,A67)</f>
        <v>139.2</v>
      </c>
      <c r="C67">
        <f>IF($B$10,SUMIFS(Dados!$E$2:$E$1841,Dados!$A$2:$A$1841,$B$9,Dados!$B$2:$B$1841,"&lt;="&amp;$B$4,Dados!$C$2:$C$1841,$B$7,Dados!$D$2:$D$1841,A67),0)</f>
        <v>186.54</v>
      </c>
      <c r="D67">
        <f>B67+(1000-ROW())/1000000000</f>
        <v>139.200000933</v>
      </c>
    </row>
    <row r="68">
      <c r="A68" t="str">
        <f>Dados!$X$31</f>
        <v>Instituição de Ensino</v>
      </c>
      <c r="B68">
        <f>SUMIFS(Dados!$E$2:$E$1841,Dados!$A$2:$A$1841,$B$1,Dados!$B$2:$B$1841,"&lt;="&amp;$B$4,Dados!$C$2:$C$1841,$B$7,Dados!$D$2:$D$1841,A68)</f>
        <v>783</v>
      </c>
      <c r="C68">
        <f>IF($B$10,SUMIFS(Dados!$E$2:$E$1841,Dados!$A$2:$A$1841,$B$9,Dados!$B$2:$B$1841,"&lt;="&amp;$B$4,Dados!$C$2:$C$1841,$B$7,Dados!$D$2:$D$1841,A68),0)</f>
        <v>0</v>
      </c>
      <c r="D68">
        <f>B68+(1000-ROW())/1000000000</f>
        <v>783.000000932</v>
      </c>
    </row>
    <row r="69">
      <c r="A69" t="str">
        <f>Dados!$X$32</f>
        <v>Colaborador</v>
      </c>
      <c r="B69">
        <f>SUMIFS(Dados!$E$2:$E$1841,Dados!$A$2:$A$1841,$B$1,Dados!$B$2:$B$1841,"&lt;="&amp;$B$4,Dados!$C$2:$C$1841,$B$7,Dados!$D$2:$D$1841,A69)</f>
        <v>45</v>
      </c>
      <c r="C69">
        <f>IF($B$10,SUMIFS(Dados!$E$2:$E$1841,Dados!$A$2:$A$1841,$B$9,Dados!$B$2:$B$1841,"&lt;="&amp;$B$4,Dados!$C$2:$C$1841,$B$7,Dados!$D$2:$D$1841,A69),0)</f>
        <v>229.96</v>
      </c>
      <c r="D69">
        <f>B69+(1000-ROW())/1000000000</f>
        <v>45.000000931</v>
      </c>
    </row>
    <row r="70">
      <c r="A70" t="str">
        <f>Dados!$X$33</f>
        <v>Instituição Religiosa</v>
      </c>
      <c r="B70">
        <f>SUMIFS(Dados!$E$2:$E$1841,Dados!$A$2:$A$1841,$B$1,Dados!$B$2:$B$1841,"&lt;="&amp;$B$4,Dados!$C$2:$C$1841,$B$7,Dados!$D$2:$D$1841,A70)</f>
        <v>46.35</v>
      </c>
      <c r="C70">
        <f>IF($B$10,SUMIFS(Dados!$E$2:$E$1841,Dados!$A$2:$A$1841,$B$9,Dados!$B$2:$B$1841,"&lt;="&amp;$B$4,Dados!$C$2:$C$1841,$B$7,Dados!$D$2:$D$1841,A70),0)</f>
        <v>218.52</v>
      </c>
      <c r="D70">
        <f>B70+(1000-ROW())/1000000000</f>
        <v>46.35000093</v>
      </c>
    </row>
    <row r="71">
      <c r="A71" t="str">
        <f>Dados!$X$34</f>
        <v>Orgão Público</v>
      </c>
      <c r="B71">
        <f>SUMIFS(Dados!$E$2:$E$1841,Dados!$A$2:$A$1841,$B$1,Dados!$B$2:$B$1841,"&lt;="&amp;$B$4,Dados!$C$2:$C$1841,$B$7,Dados!$D$2:$D$1841,A71)</f>
        <v>234</v>
      </c>
      <c r="C71">
        <f>IF($B$10,SUMIFS(Dados!$E$2:$E$1841,Dados!$A$2:$A$1841,$B$9,Dados!$B$2:$B$1841,"&lt;="&amp;$B$4,Dados!$C$2:$C$1841,$B$7,Dados!$D$2:$D$1841,A71),0)</f>
        <v>0</v>
      </c>
      <c r="D71">
        <f>B71+(1000-ROW())/1000000000</f>
        <v>234.000000929</v>
      </c>
    </row>
    <row r="72">
      <c r="A72" t="str">
        <f>Dados!$X$35</f>
        <v>Açougue</v>
      </c>
      <c r="B72">
        <f>SUMIFS(Dados!$E$2:$E$1841,Dados!$A$2:$A$1841,$B$1,Dados!$B$2:$B$1841,"&lt;="&amp;$B$4,Dados!$C$2:$C$1841,$B$7,Dados!$D$2:$D$1841,A72)</f>
        <v>131.67</v>
      </c>
      <c r="C72">
        <f>IF($B$10,SUMIFS(Dados!$E$2:$E$1841,Dados!$A$2:$A$1841,$B$9,Dados!$B$2:$B$1841,"&lt;="&amp;$B$4,Dados!$C$2:$C$1841,$B$7,Dados!$D$2:$D$1841,A72),0)</f>
        <v>0</v>
      </c>
      <c r="D72">
        <f>B72+(1000-ROW())/1000000000</f>
        <v>131.670000928</v>
      </c>
    </row>
    <row r="80">
      <c r="B80" t="str">
        <f>IF(C80&gt;0,INDEX($A$40:$A$72,MATCH(LARGE($D$40:$D$72,1),$D$40:$D$72,0)),"")</f>
        <v>Pizzaria</v>
      </c>
      <c r="C80">
        <f>INDEX($B$40:$B$72,MATCH(LARGE($D$40:$D$72,1),$D$40:$D$72,0))</f>
        <v>1126847.76</v>
      </c>
      <c r="D80">
        <f>INDEX($C$40:$C$72,MATCH(LARGE($D$40:$D$72,1),$D$40:$D$72,0))</f>
        <v>827944.5</v>
      </c>
      <c r="E80">
        <f>IF(B80="","",IFERROR(C80/$G$40,0))</f>
        <v>0.415314625401514</v>
      </c>
      <c r="F80">
        <f>IF(OR(B80="",NOT($B$10)),"",IF(D80=0,IF(C80&gt;0,"novo",""),C80/D80-1))</f>
        <v>0.361018474064385</v>
      </c>
      <c r="G80" t="str">
        <f>IF(B80="","",REPT("█",MAX(1,ROUND(C80/MAX($C$80:$C$88)*22,0))))</f>
        <v>██████████████████████</v>
      </c>
    </row>
    <row r="81">
      <c r="B81" t="str">
        <f>IF(C81&gt;0,INDEX($A$40:$A$72,MATCH(LARGE($D$40:$D$72,2),$D$40:$D$72,0)),"")</f>
        <v>Restaurante / Cantina</v>
      </c>
      <c r="C81">
        <f>INDEX($B$40:$B$72,MATCH(LARGE($D$40:$D$72,2),$D$40:$D$72,0))</f>
        <v>481499.61</v>
      </c>
      <c r="D81">
        <f>INDEX($C$40:$C$72,MATCH(LARGE($D$40:$D$72,2),$D$40:$D$72,0))</f>
        <v>510454.23</v>
      </c>
      <c r="E81">
        <f>IF(B81="","",IFERROR(C81/$G$40,0))</f>
        <v>0.177463040932987</v>
      </c>
      <c r="F81">
        <f>IF(OR(B81="",NOT($B$10)),"",IF(D81=0,IF(C81&gt;0,"novo",""),C81/D81-1))</f>
        <v>-0.0567232443151661</v>
      </c>
      <c r="G81" t="str">
        <f>IF(B81="","",REPT("█",MAX(1,ROUND(C81/MAX($C$80:$C$88)*22,0))))</f>
        <v>█████████</v>
      </c>
    </row>
    <row r="82">
      <c r="B82" t="str">
        <f>IF(C82&gt;0,INDEX($A$40:$A$72,MATCH(LARGE($D$40:$D$72,3),$D$40:$D$72,0)),"")</f>
        <v>Cozinha Industrial</v>
      </c>
      <c r="C82">
        <f>INDEX($B$40:$B$72,MATCH(LARGE($D$40:$D$72,3),$D$40:$D$72,0))</f>
        <v>323229.13</v>
      </c>
      <c r="D82">
        <f>INDEX($C$40:$C$72,MATCH(LARGE($D$40:$D$72,3),$D$40:$D$72,0))</f>
        <v>125528.68</v>
      </c>
      <c r="E82">
        <f>IF(B82="","",IFERROR(C82/$G$40,0))</f>
        <v>0.119130365085704</v>
      </c>
      <c r="F82">
        <f>IF(OR(B82="",NOT($B$10)),"",IF(D82=0,IF(C82&gt;0,"novo",""),C82/D82-1))</f>
        <v>1.57494247529728</v>
      </c>
      <c r="G82" t="str">
        <f>IF(B82="","",REPT("█",MAX(1,ROUND(C82/MAX($C$80:$C$88)*22,0))))</f>
        <v>██████</v>
      </c>
    </row>
    <row r="83">
      <c r="B83" t="str">
        <f>IF(C83&gt;0,INDEX($A$40:$A$72,MATCH(LARGE($D$40:$D$72,4),$D$40:$D$72,0)),"")</f>
        <v>Fábrica de Massas</v>
      </c>
      <c r="C83">
        <f>INDEX($B$40:$B$72,MATCH(LARGE($D$40:$D$72,4),$D$40:$D$72,0))</f>
        <v>140328.66</v>
      </c>
      <c r="D83">
        <f>INDEX($C$40:$C$72,MATCH(LARGE($D$40:$D$72,4),$D$40:$D$72,0))</f>
        <v>267507.91</v>
      </c>
      <c r="E83">
        <f>IF(B83="","",IFERROR(C83/$G$40,0))</f>
        <v>0.0517199811099562</v>
      </c>
      <c r="F83">
        <f>IF(OR(B83="",NOT($B$10)),"",IF(D83=0,IF(C83&gt;0,"novo",""),C83/D83-1))</f>
        <v>-0.475422390313617</v>
      </c>
      <c r="G83" t="str">
        <f>IF(B83="","",REPT("█",MAX(1,ROUND(C83/MAX($C$80:$C$88)*22,0))))</f>
        <v>███</v>
      </c>
    </row>
    <row r="84">
      <c r="B84" t="str">
        <f>IF(C84&gt;0,INDEX($A$40:$A$72,MATCH(LARGE($D$40:$D$72,5),$D$40:$D$72,0)),"")</f>
        <v>Pessoa Física</v>
      </c>
      <c r="C84">
        <f>INDEX($B$40:$B$72,MATCH(LARGE($D$40:$D$72,5),$D$40:$D$72,0))</f>
        <v>90387.04</v>
      </c>
      <c r="D84">
        <f>INDEX($C$40:$C$72,MATCH(LARGE($D$40:$D$72,5),$D$40:$D$72,0))</f>
        <v>69534.66</v>
      </c>
      <c r="E84">
        <f>IF(B84="","",IFERROR(C84/$G$40,0))</f>
        <v>0.0333133374278986</v>
      </c>
      <c r="F84">
        <f>IF(OR(B84="",NOT($B$10)),"",IF(D84=0,IF(C84&gt;0,"novo",""),C84/D84-1))</f>
        <v>0.299884690598904</v>
      </c>
      <c r="G84" t="str">
        <f>IF(B84="","",REPT("█",MAX(1,ROUND(C84/MAX($C$80:$C$88)*22,0))))</f>
        <v>██</v>
      </c>
    </row>
    <row r="85">
      <c r="B85" t="str">
        <f>IF(C85&gt;0,INDEX($A$40:$A$72,MATCH(LARGE($D$40:$D$72,6),$D$40:$D$72,0)),"")</f>
        <v>Lanchonete / Cafeteria</v>
      </c>
      <c r="C85">
        <f>INDEX($B$40:$B$72,MATCH(LARGE($D$40:$D$72,6),$D$40:$D$72,0))</f>
        <v>83644.1</v>
      </c>
      <c r="D85">
        <f>INDEX($C$40:$C$72,MATCH(LARGE($D$40:$D$72,6),$D$40:$D$72,0))</f>
        <v>37971.63</v>
      </c>
      <c r="E85">
        <f>IF(B85="","",IFERROR(C85/$G$40,0))</f>
        <v>0.030828137829858</v>
      </c>
      <c r="F85">
        <f>IF(OR(B85="",NOT($B$10)),"",IF(D85=0,IF(C85&gt;0,"novo",""),C85/D85-1))</f>
        <v>1.20280509422429</v>
      </c>
      <c r="G85" t="str">
        <f>IF(B85="","",REPT("█",MAX(1,ROUND(C85/MAX($C$80:$C$88)*22,0))))</f>
        <v>██</v>
      </c>
    </row>
    <row r="86">
      <c r="B86" t="str">
        <f>IF(C86&gt;0,INDEX($A$40:$A$72,MATCH(LARGE($D$40:$D$72,7),$D$40:$D$72,0)),"")</f>
        <v>Esfiharia</v>
      </c>
      <c r="C86">
        <f>INDEX($B$40:$B$72,MATCH(LARGE($D$40:$D$72,7),$D$40:$D$72,0))</f>
        <v>81555.69</v>
      </c>
      <c r="D86">
        <f>INDEX($C$40:$C$72,MATCH(LARGE($D$40:$D$72,7),$D$40:$D$72,0))</f>
        <v>51916.49</v>
      </c>
      <c r="E86">
        <f>IF(B86="","",IFERROR(C86/$G$40,0))</f>
        <v>0.0300584267405492</v>
      </c>
      <c r="F86">
        <f>IF(OR(B86="",NOT($B$10)),"",IF(D86=0,IF(C86&gt;0,"novo",""),C86/D86-1))</f>
        <v>0.570901461173512</v>
      </c>
      <c r="G86" t="str">
        <f>IF(B86="","",REPT("█",MAX(1,ROUND(C86/MAX($C$80:$C$88)*22,0))))</f>
        <v>██</v>
      </c>
    </row>
    <row r="87">
      <c r="B87" t="str">
        <f>IF(C87&gt;0,INDEX($A$40:$A$72,MATCH(LARGE($D$40:$D$72,8),$D$40:$D$72,0)),"")</f>
        <v>Rotisserie</v>
      </c>
      <c r="C87">
        <f>INDEX($B$40:$B$72,MATCH(LARGE($D$40:$D$72,8),$D$40:$D$72,0))</f>
        <v>69199.06</v>
      </c>
      <c r="D87">
        <f>INDEX($C$40:$C$72,MATCH(LARGE($D$40:$D$72,8),$D$40:$D$72,0))</f>
        <v>2703.69</v>
      </c>
      <c r="E87">
        <f>IF(B87="","",IFERROR(C87/$G$40,0))</f>
        <v>0.0255042275471506</v>
      </c>
      <c r="F87">
        <f>IF(OR(B87="",NOT($B$10)),"",IF(D87=0,IF(C87&gt;0,"novo",""),C87/D87-1))</f>
        <v>24.5943026012598</v>
      </c>
      <c r="G87" t="str">
        <f>IF(B87="","",REPT("█",MAX(1,ROUND(C87/MAX($C$80:$C$88)*22,0))))</f>
        <v>█</v>
      </c>
    </row>
    <row r="88">
      <c r="B88" t="str">
        <f>IF(COUNTIF($B$40:$B$72,"&gt;0")&gt;8,"Demais "&amp;(COUNTIF($B$40:$B$72,"&gt;0")-8)&amp;" segmentos","")</f>
        <v>Demais 24 segmentos</v>
      </c>
      <c r="C88">
        <f>IF(B88="",0,$G$40-SUM(C80:C87))</f>
        <v>316547.76</v>
      </c>
      <c r="D88">
        <f>IF(B88="",0,$G$41-SUM(D80:D87))</f>
        <v>460271.1</v>
      </c>
      <c r="E88">
        <f>IF(B88="","",IFERROR(C88/$G$40,0))</f>
        <v>0.116667857924382</v>
      </c>
      <c r="F88">
        <f>IF(OR(B88="",NOT($B$10)),"",IF(D88=0,IF(C88&gt;0,"novo",""),C88/D88-1))</f>
        <v>-0.312258014896005</v>
      </c>
      <c r="G88" t="str">
        <f>IF(B88="","",REPT("█",MAX(1,ROUND(C88/MAX($C$80:$C$88)*22,0))))</f>
        <v>██████</v>
      </c>
    </row>
    <row r="90">
      <c r="B90" t="str">
        <f>IFERROR(IF(B80="","",B80&amp;" responde por "&amp;FIXED(E80*100,1)&amp;"% do faturamento"&amp;IF(ISNUMBER(F80),IF(F80&gt;=10," e cresceu mais de 10 vezes",IF(F80&gt;=0," e cresceu "," e caiu ")&amp;FIXED(ABS(F80)*100,1)&amp;"%"),"")),"")</f>
        <v>Pizzaria responde por 41,5% do faturamento e cresceu 36,1%</v>
      </c>
    </row>
    <row r="100">
      <c r="A100" t="str">
        <f>Dados!$V$3</f>
        <v>Muçarela Mozzana 2 kg</v>
      </c>
      <c r="B100">
        <f>SUMIFS(Dados!$E$2:$E$1841,Dados!$A$2:$A$1841,$B$1,Dados!$B$2:$B$1841,"&lt;="&amp;$B$4,Dados!$C$2:$C$1841,A100,Dados!$D$2:$D$1841,$B$8)</f>
        <v>2106489.47</v>
      </c>
      <c r="C100">
        <f>IF($B$10,SUMIFS(Dados!$E$2:$E$1841,Dados!$A$2:$A$1841,$B$9,Dados!$B$2:$B$1841,"&lt;="&amp;$B$4,Dados!$C$2:$C$1841,A100,Dados!$D$2:$D$1841,$B$8),0)</f>
        <v>1262745.51</v>
      </c>
      <c r="D100">
        <f>SUMIFS(Dados!$F$2:$F$1841,Dados!$A$2:$A$1841,$B$1,Dados!$B$2:$B$1841,"&lt;="&amp;$B$4,Dados!$C$2:$C$1841,A100,Dados!$D$2:$D$1841,$B$8)</f>
        <v>98709.32</v>
      </c>
      <c r="E100">
        <f>SUMIFS(Dados!$O$2:$O$7405,Dados!$J$2:$J$7405,"A",Dados!$K$2:$K$7405,$B$1,Dados!$L$2:$L$7405,$B$4,Dados!$M$2:$M$7405,A100,Dados!$N$2:$N$7405,$B$6)</f>
        <v>343</v>
      </c>
      <c r="F100">
        <f>B100+C100/1000000+(1000-ROW())/1000000000</f>
        <v>2106490.73274641</v>
      </c>
      <c r="G100">
        <f>SUM($B$100:$B$106)</f>
        <v>2713238.81</v>
      </c>
      <c r="H100" t="str">
        <f>Dados!$W$3</f>
        <v>4657 · 8556</v>
      </c>
    </row>
    <row r="101">
      <c r="A101" t="str">
        <f>Dados!$V$4</f>
        <v>Muçarela Mozzalet 2 kg</v>
      </c>
      <c r="B101">
        <f>SUMIFS(Dados!$E$2:$E$1841,Dados!$A$2:$A$1841,$B$1,Dados!$B$2:$B$1841,"&lt;="&amp;$B$4,Dados!$C$2:$C$1841,A101,Dados!$D$2:$D$1841,$B$8)</f>
        <v>421730.89</v>
      </c>
      <c r="C101">
        <f>IF($B$10,SUMIFS(Dados!$E$2:$E$1841,Dados!$A$2:$A$1841,$B$9,Dados!$B$2:$B$1841,"&lt;="&amp;$B$4,Dados!$C$2:$C$1841,A101,Dados!$D$2:$D$1841,$B$8),0)</f>
        <v>900105.46</v>
      </c>
      <c r="D101">
        <f>SUMIFS(Dados!$F$2:$F$1841,Dados!$A$2:$A$1841,$B$1,Dados!$B$2:$B$1841,"&lt;="&amp;$B$4,Dados!$C$2:$C$1841,A101,Dados!$D$2:$D$1841,$B$8)</f>
        <v>18254</v>
      </c>
      <c r="E101">
        <f>SUMIFS(Dados!$O$2:$O$7405,Dados!$J$2:$J$7405,"A",Dados!$K$2:$K$7405,$B$1,Dados!$L$2:$L$7405,$B$4,Dados!$M$2:$M$7405,A101,Dados!$N$2:$N$7405,$B$6)</f>
        <v>42</v>
      </c>
      <c r="F101">
        <f>B101+C101/1000000+(1000-ROW())/1000000000</f>
        <v>421731.790106359</v>
      </c>
      <c r="H101" t="str">
        <f>Dados!$W$4</f>
        <v>4785</v>
      </c>
    </row>
    <row r="102">
      <c r="A102" t="str">
        <f>Dados!$V$5</f>
        <v>Requeijão Pizzalet 1.8 kg</v>
      </c>
      <c r="B102">
        <f>SUMIFS(Dados!$E$2:$E$1841,Dados!$A$2:$A$1841,$B$1,Dados!$B$2:$B$1841,"&lt;="&amp;$B$4,Dados!$C$2:$C$1841,A102,Dados!$D$2:$D$1841,$B$8)</f>
        <v>50857.21</v>
      </c>
      <c r="C102">
        <f>IF($B$10,SUMIFS(Dados!$E$2:$E$1841,Dados!$A$2:$A$1841,$B$9,Dados!$B$2:$B$1841,"&lt;="&amp;$B$4,Dados!$C$2:$C$1841,A102,Dados!$D$2:$D$1841,$B$8),0)</f>
        <v>88530.29</v>
      </c>
      <c r="D102">
        <f>SUMIFS(Dados!$F$2:$F$1841,Dados!$A$2:$A$1841,$B$1,Dados!$B$2:$B$1841,"&lt;="&amp;$B$4,Dados!$C$2:$C$1841,A102,Dados!$D$2:$D$1841,$B$8)</f>
        <v>5646.96</v>
      </c>
      <c r="E102">
        <f>SUMIFS(Dados!$O$2:$O$7405,Dados!$J$2:$J$7405,"A",Dados!$K$2:$K$7405,$B$1,Dados!$L$2:$L$7405,$B$4,Dados!$M$2:$M$7405,A102,Dados!$N$2:$N$7405,$B$6)</f>
        <v>20</v>
      </c>
      <c r="F102">
        <f>B102+C102/1000000+(1000-ROW())/1000000000</f>
        <v>50857.298531188</v>
      </c>
      <c r="H102" t="str">
        <f>Dados!$W$5</f>
        <v>4701</v>
      </c>
    </row>
    <row r="103">
      <c r="A103" t="str">
        <f>Dados!$V$6</f>
        <v>Chocolate em pó 50% 1 kg</v>
      </c>
      <c r="B103">
        <f>SUMIFS(Dados!$E$2:$E$1841,Dados!$A$2:$A$1841,$B$1,Dados!$B$2:$B$1841,"&lt;="&amp;$B$4,Dados!$C$2:$C$1841,A103,Dados!$D$2:$D$1841,$B$8)</f>
        <v>82852.01</v>
      </c>
      <c r="C103">
        <f>IF($B$10,SUMIFS(Dados!$E$2:$E$1841,Dados!$A$2:$A$1841,$B$9,Dados!$B$2:$B$1841,"&lt;="&amp;$B$4,Dados!$C$2:$C$1841,A103,Dados!$D$2:$D$1841,$B$8),0)</f>
        <v>49930.46</v>
      </c>
      <c r="D103">
        <f>SUMIFS(Dados!$F$2:$F$1841,Dados!$A$2:$A$1841,$B$1,Dados!$B$2:$B$1841,"&lt;="&amp;$B$4,Dados!$C$2:$C$1841,A103,Dados!$D$2:$D$1841,$B$8)</f>
        <v>1934.94</v>
      </c>
      <c r="E103">
        <f>SUMIFS(Dados!$O$2:$O$7405,Dados!$J$2:$J$7405,"A",Dados!$K$2:$K$7405,$B$1,Dados!$L$2:$L$7405,$B$4,Dados!$M$2:$M$7405,A103,Dados!$N$2:$N$7405,$B$6)</f>
        <v>259</v>
      </c>
      <c r="F103">
        <f>B103+C103/1000000+(1000-ROW())/1000000000</f>
        <v>82852.059931357</v>
      </c>
      <c r="H103" t="str">
        <f>Dados!$W$6</f>
        <v>4810</v>
      </c>
    </row>
    <row r="104">
      <c r="A104" t="str">
        <f>Dados!$V$7</f>
        <v>Composto lácteo Alibralac 1 kg</v>
      </c>
      <c r="B104">
        <f>SUMIFS(Dados!$E$2:$E$1841,Dados!$A$2:$A$1841,$B$1,Dados!$B$2:$B$1841,"&lt;="&amp;$B$4,Dados!$C$2:$C$1841,A104,Dados!$D$2:$D$1841,$B$8)</f>
        <v>28238.24</v>
      </c>
      <c r="C104">
        <f>IF($B$10,SUMIFS(Dados!$E$2:$E$1841,Dados!$A$2:$A$1841,$B$9,Dados!$B$2:$B$1841,"&lt;="&amp;$B$4,Dados!$C$2:$C$1841,A104,Dados!$D$2:$D$1841,$B$8),0)</f>
        <v>28333.53</v>
      </c>
      <c r="D104">
        <f>SUMIFS(Dados!$F$2:$F$1841,Dados!$A$2:$A$1841,$B$1,Dados!$B$2:$B$1841,"&lt;="&amp;$B$4,Dados!$C$2:$C$1841,A104,Dados!$D$2:$D$1841,$B$8)</f>
        <v>1146.48</v>
      </c>
      <c r="E104">
        <f>SUMIFS(Dados!$O$2:$O$7405,Dados!$J$2:$J$7405,"A",Dados!$K$2:$K$7405,$B$1,Dados!$L$2:$L$7405,$B$4,Dados!$M$2:$M$7405,A104,Dados!$N$2:$N$7405,$B$6)</f>
        <v>29</v>
      </c>
      <c r="F104">
        <f>B104+C104/1000000+(1000-ROW())/1000000000</f>
        <v>28238.268334426</v>
      </c>
      <c r="H104" t="str">
        <f>Dados!$W$7</f>
        <v>6335</v>
      </c>
    </row>
    <row r="105">
      <c r="A105" t="str">
        <f>Dados!$V$8</f>
        <v>Composto lácteo Merilú 400 g</v>
      </c>
      <c r="B105">
        <f>SUMIFS(Dados!$E$2:$E$1841,Dados!$A$2:$A$1841,$B$1,Dados!$B$2:$B$1841,"&lt;="&amp;$B$4,Dados!$C$2:$C$1841,A105,Dados!$D$2:$D$1841,$B$8)</f>
        <v>23070.99</v>
      </c>
      <c r="C105">
        <f>IF($B$10,SUMIFS(Dados!$E$2:$E$1841,Dados!$A$2:$A$1841,$B$9,Dados!$B$2:$B$1841,"&lt;="&amp;$B$4,Dados!$C$2:$C$1841,A105,Dados!$D$2:$D$1841,$B$8),0)</f>
        <v>18409.68</v>
      </c>
      <c r="D105">
        <f>SUMIFS(Dados!$F$2:$F$1841,Dados!$A$2:$A$1841,$B$1,Dados!$B$2:$B$1841,"&lt;="&amp;$B$4,Dados!$C$2:$C$1841,A105,Dados!$D$2:$D$1841,$B$8)</f>
        <v>1206.66</v>
      </c>
      <c r="E105">
        <f>SUMIFS(Dados!$O$2:$O$7405,Dados!$J$2:$J$7405,"A",Dados!$K$2:$K$7405,$B$1,Dados!$L$2:$L$7405,$B$4,Dados!$M$2:$M$7405,A105,Dados!$N$2:$N$7405,$B$6)</f>
        <v>35</v>
      </c>
      <c r="F105">
        <f>B105+C105/1000000+(1000-ROW())/1000000000</f>
        <v>23071.008410575</v>
      </c>
      <c r="H105" t="str">
        <f>Dados!$W$8</f>
        <v>6336</v>
      </c>
    </row>
    <row r="106">
      <c r="A106" t="str">
        <f>Dados!$V$9</f>
        <v>Parmesão ralado Parmozzana 1 kg</v>
      </c>
      <c r="B106">
        <f>SUMIFS(Dados!$E$2:$E$1841,Dados!$A$2:$A$1841,$B$1,Dados!$B$2:$B$1841,"&lt;="&amp;$B$4,Dados!$C$2:$C$1841,A106,Dados!$D$2:$D$1841,$B$8)</f>
        <v>0</v>
      </c>
      <c r="C106">
        <f>IF($B$10,SUMIFS(Dados!$E$2:$E$1841,Dados!$A$2:$A$1841,$B$9,Dados!$B$2:$B$1841,"&lt;="&amp;$B$4,Dados!$C$2:$C$1841,A106,Dados!$D$2:$D$1841,$B$8),0)</f>
        <v>5777.96</v>
      </c>
      <c r="D106">
        <f>SUMIFS(Dados!$F$2:$F$1841,Dados!$A$2:$A$1841,$B$1,Dados!$B$2:$B$1841,"&lt;="&amp;$B$4,Dados!$C$2:$C$1841,A106,Dados!$D$2:$D$1841,$B$8)</f>
        <v>0</v>
      </c>
      <c r="E106">
        <f>SUMIFS(Dados!$O$2:$O$7405,Dados!$J$2:$J$7405,"A",Dados!$K$2:$K$7405,$B$1,Dados!$L$2:$L$7405,$B$4,Dados!$M$2:$M$7405,A106,Dados!$N$2:$N$7405,$B$6)</f>
        <v>0</v>
      </c>
      <c r="F106">
        <f>B106+C106/1000000+(1000-ROW())/1000000000</f>
        <v>0.005778854</v>
      </c>
      <c r="H106" t="str">
        <f>Dados!$W$9</f>
        <v>7891 · 8283</v>
      </c>
    </row>
    <row r="110">
      <c r="A110" t="str">
        <f>INDEX($A$100:$A$106,MATCH(LARGE($F$100:$F$106,1),$F$100:$F$106,0))</f>
        <v>Muçarela Mozzana 2 kg</v>
      </c>
      <c r="B110" t="str">
        <f>INDEX($H$100:$H$106,MATCH(LARGE($F$100:$F$106,1),$F$100:$F$106,0))</f>
        <v>4657 · 8556</v>
      </c>
      <c r="C110">
        <f>INDEX($B$100:$B$106,MATCH(LARGE($F$100:$F$106,1),$F$100:$F$106,0))</f>
        <v>2106489.47</v>
      </c>
      <c r="D110">
        <f>INDEX($C$100:$C$106,MATCH(LARGE($F$100:$F$106,1),$F$100:$F$106,0))</f>
        <v>1262745.51</v>
      </c>
      <c r="E110">
        <f>INDEX($D$100:$D$106,MATCH(LARGE($F$100:$F$106,1),$F$100:$F$106,0))</f>
        <v>98709.32</v>
      </c>
      <c r="F110">
        <f>INDEX($E$100:$E$106,MATCH(LARGE($F$100:$F$106,1),$F$100:$F$106,0))</f>
        <v>343</v>
      </c>
      <c r="G110">
        <f>IFERROR(C110/$G$100,0)</f>
        <v>0.77637451677171</v>
      </c>
      <c r="H110">
        <f>IF(NOT($B$10),"",IF(D110=0,IF(C110&gt;0,"novo",""),IF(C110=0,"sem venda",C110/D110-1)))</f>
        <v>0.668182110582203</v>
      </c>
      <c r="I110" t="str">
        <f>IF(C110=0,"",REPT("█",MAX(1,ROUND(G110*12/MAX($G$110:$G$116),0))))</f>
        <v>████████████</v>
      </c>
    </row>
    <row r="111">
      <c r="A111" t="str">
        <f>INDEX($A$100:$A$106,MATCH(LARGE($F$100:$F$106,2),$F$100:$F$106,0))</f>
        <v>Muçarela Mozzalet 2 kg</v>
      </c>
      <c r="B111" t="str">
        <f>INDEX($H$100:$H$106,MATCH(LARGE($F$100:$F$106,2),$F$100:$F$106,0))</f>
        <v>4785</v>
      </c>
      <c r="C111">
        <f>INDEX($B$100:$B$106,MATCH(LARGE($F$100:$F$106,2),$F$100:$F$106,0))</f>
        <v>421730.89</v>
      </c>
      <c r="D111">
        <f>INDEX($C$100:$C$106,MATCH(LARGE($F$100:$F$106,2),$F$100:$F$106,0))</f>
        <v>900105.46</v>
      </c>
      <c r="E111">
        <f>INDEX($D$100:$D$106,MATCH(LARGE($F$100:$F$106,2),$F$100:$F$106,0))</f>
        <v>18254</v>
      </c>
      <c r="F111">
        <f>INDEX($E$100:$E$106,MATCH(LARGE($F$100:$F$106,2),$F$100:$F$106,0))</f>
        <v>42</v>
      </c>
      <c r="G111">
        <f>IFERROR(C111/$G$100,0)</f>
        <v>0.155434489749172</v>
      </c>
      <c r="H111">
        <f>IF(NOT($B$10),"",IF(D111=0,IF(C111&gt;0,"novo",""),IF(C111=0,"sem venda",C111/D111-1)))</f>
        <v>-0.531465024109508</v>
      </c>
      <c r="I111" t="str">
        <f>IF(C111=0,"",REPT("█",MAX(1,ROUND(G111*12/MAX($G$110:$G$116),0))))</f>
        <v>██</v>
      </c>
    </row>
    <row r="112">
      <c r="A112" t="str">
        <f>INDEX($A$100:$A$106,MATCH(LARGE($F$100:$F$106,3),$F$100:$F$106,0))</f>
        <v>Chocolate em pó 50% 1 kg</v>
      </c>
      <c r="B112" t="str">
        <f>INDEX($H$100:$H$106,MATCH(LARGE($F$100:$F$106,3),$F$100:$F$106,0))</f>
        <v>4810</v>
      </c>
      <c r="C112">
        <f>INDEX($B$100:$B$106,MATCH(LARGE($F$100:$F$106,3),$F$100:$F$106,0))</f>
        <v>82852.01</v>
      </c>
      <c r="D112">
        <f>INDEX($C$100:$C$106,MATCH(LARGE($F$100:$F$106,3),$F$100:$F$106,0))</f>
        <v>49930.46</v>
      </c>
      <c r="E112">
        <f>INDEX($D$100:$D$106,MATCH(LARGE($F$100:$F$106,3),$F$100:$F$106,0))</f>
        <v>1934.94</v>
      </c>
      <c r="F112">
        <f>INDEX($E$100:$E$106,MATCH(LARGE($F$100:$F$106,3),$F$100:$F$106,0))</f>
        <v>259</v>
      </c>
      <c r="G112">
        <f>IFERROR(C112/$G$100,0)</f>
        <v>0.0305362025983994</v>
      </c>
      <c r="H112">
        <f>IF(NOT($B$10),"",IF(D112=0,IF(C112&gt;0,"novo",""),IF(C112=0,"sem venda",C112/D112-1)))</f>
        <v>0.659348021227924</v>
      </c>
      <c r="I112" t="str">
        <f>IF(C112=0,"",REPT("█",MAX(1,ROUND(G112*12/MAX($G$110:$G$116),0))))</f>
        <v>█</v>
      </c>
    </row>
    <row r="113">
      <c r="A113" t="str">
        <f>INDEX($A$100:$A$106,MATCH(LARGE($F$100:$F$106,4),$F$100:$F$106,0))</f>
        <v>Requeijão Pizzalet 1.8 kg</v>
      </c>
      <c r="B113" t="str">
        <f>INDEX($H$100:$H$106,MATCH(LARGE($F$100:$F$106,4),$F$100:$F$106,0))</f>
        <v>4701</v>
      </c>
      <c r="C113">
        <f>INDEX($B$100:$B$106,MATCH(LARGE($F$100:$F$106,4),$F$100:$F$106,0))</f>
        <v>50857.21</v>
      </c>
      <c r="D113">
        <f>INDEX($C$100:$C$106,MATCH(LARGE($F$100:$F$106,4),$F$100:$F$106,0))</f>
        <v>88530.29</v>
      </c>
      <c r="E113">
        <f>INDEX($D$100:$D$106,MATCH(LARGE($F$100:$F$106,4),$F$100:$F$106,0))</f>
        <v>5646.96</v>
      </c>
      <c r="F113">
        <f>INDEX($E$100:$E$106,MATCH(LARGE($F$100:$F$106,4),$F$100:$F$106,0))</f>
        <v>20</v>
      </c>
      <c r="G113">
        <f>IFERROR(C113/$G$100,0)</f>
        <v>0.0187440964697096</v>
      </c>
      <c r="H113">
        <f>IF(NOT($B$10),"",IF(D113=0,IF(C113&gt;0,"novo",""),IF(C113=0,"sem venda",C113/D113-1)))</f>
        <v>-0.425538874886776</v>
      </c>
      <c r="I113" t="str">
        <f>IF(C113=0,"",REPT("█",MAX(1,ROUND(G113*12/MAX($G$110:$G$116),0))))</f>
        <v>█</v>
      </c>
    </row>
    <row r="114">
      <c r="A114" t="str">
        <f>INDEX($A$100:$A$106,MATCH(LARGE($F$100:$F$106,5),$F$100:$F$106,0))</f>
        <v>Composto lácteo Alibralac 1 kg</v>
      </c>
      <c r="B114" t="str">
        <f>INDEX($H$100:$H$106,MATCH(LARGE($F$100:$F$106,5),$F$100:$F$106,0))</f>
        <v>6335</v>
      </c>
      <c r="C114">
        <f>INDEX($B$100:$B$106,MATCH(LARGE($F$100:$F$106,5),$F$100:$F$106,0))</f>
        <v>28238.24</v>
      </c>
      <c r="D114">
        <f>INDEX($C$100:$C$106,MATCH(LARGE($F$100:$F$106,5),$F$100:$F$106,0))</f>
        <v>28333.53</v>
      </c>
      <c r="E114">
        <f>INDEX($D$100:$D$106,MATCH(LARGE($F$100:$F$106,5),$F$100:$F$106,0))</f>
        <v>1146.48</v>
      </c>
      <c r="F114">
        <f>INDEX($E$100:$E$106,MATCH(LARGE($F$100:$F$106,5),$F$100:$F$106,0))</f>
        <v>29</v>
      </c>
      <c r="G114">
        <f>IFERROR(C114/$G$100,0)</f>
        <v>0.0104075763238843</v>
      </c>
      <c r="H114">
        <f>IF(NOT($B$10),"",IF(D114=0,IF(C114&gt;0,"novo",""),IF(C114=0,"sem venda",C114/D114-1)))</f>
        <v>-0.00336315312634883</v>
      </c>
      <c r="I114" t="str">
        <f>IF(C114=0,"",REPT("█",MAX(1,ROUND(G114*12/MAX($G$110:$G$116),0))))</f>
        <v>█</v>
      </c>
    </row>
    <row r="115">
      <c r="A115" t="str">
        <f>INDEX($A$100:$A$106,MATCH(LARGE($F$100:$F$106,6),$F$100:$F$106,0))</f>
        <v>Composto lácteo Merilú 400 g</v>
      </c>
      <c r="B115" t="str">
        <f>INDEX($H$100:$H$106,MATCH(LARGE($F$100:$F$106,6),$F$100:$F$106,0))</f>
        <v>6336</v>
      </c>
      <c r="C115">
        <f>INDEX($B$100:$B$106,MATCH(LARGE($F$100:$F$106,6),$F$100:$F$106,0))</f>
        <v>23070.99</v>
      </c>
      <c r="D115">
        <f>INDEX($C$100:$C$106,MATCH(LARGE($F$100:$F$106,6),$F$100:$F$106,0))</f>
        <v>18409.68</v>
      </c>
      <c r="E115">
        <f>INDEX($D$100:$D$106,MATCH(LARGE($F$100:$F$106,6),$F$100:$F$106,0))</f>
        <v>1206.66</v>
      </c>
      <c r="F115">
        <f>INDEX($E$100:$E$106,MATCH(LARGE($F$100:$F$106,6),$F$100:$F$106,0))</f>
        <v>35</v>
      </c>
      <c r="G115">
        <f>IFERROR(C115/$G$100,0)</f>
        <v>0.00850311808712481</v>
      </c>
      <c r="H115">
        <f>IF(NOT($B$10),"",IF(D115=0,IF(C115&gt;0,"novo",""),IF(C115=0,"sem venda",C115/D115-1)))</f>
        <v>0.253198860599424</v>
      </c>
      <c r="I115" t="str">
        <f>IF(C115=0,"",REPT("█",MAX(1,ROUND(G115*12/MAX($G$110:$G$116),0))))</f>
        <v>█</v>
      </c>
    </row>
    <row r="116">
      <c r="A116" t="str">
        <f>INDEX($A$100:$A$106,MATCH(LARGE($F$100:$F$106,7),$F$100:$F$106,0))</f>
        <v>Parmesão ralado Parmozzana 1 kg</v>
      </c>
      <c r="B116" t="str">
        <f>INDEX($H$100:$H$106,MATCH(LARGE($F$100:$F$106,7),$F$100:$F$106,0))</f>
        <v>7891 · 8283</v>
      </c>
      <c r="C116">
        <f>INDEX($B$100:$B$106,MATCH(LARGE($F$100:$F$106,7),$F$100:$F$106,0))</f>
        <v>0</v>
      </c>
      <c r="D116">
        <f>INDEX($C$100:$C$106,MATCH(LARGE($F$100:$F$106,7),$F$100:$F$106,0))</f>
        <v>5777.96</v>
      </c>
      <c r="E116">
        <f>INDEX($D$100:$D$106,MATCH(LARGE($F$100:$F$106,7),$F$100:$F$106,0))</f>
        <v>0</v>
      </c>
      <c r="F116">
        <f>INDEX($E$100:$E$106,MATCH(LARGE($F$100:$F$106,7),$F$100:$F$106,0))</f>
        <v>0</v>
      </c>
      <c r="G116">
        <f>IFERROR(C116/$G$100,0)</f>
        <v>0</v>
      </c>
      <c r="H116" t="str">
        <f>IF(NOT($B$10),"",IF(D116=0,IF(C116&gt;0,"novo",""),IF(C116=0,"sem venda",C116/D116-1)))</f>
        <v>sem venda</v>
      </c>
      <c r="I116" t="str">
        <f>IF(C116=0,"",REPT("█",MAX(1,ROUND(G116*12/MAX($G$110:$G$116),0))))</f>
        <v/>
      </c>
    </row>
    <row r="120">
      <c r="B120" t="str">
        <f>IFERROR(IF(C110=0,"",A110&amp;" concentra "&amp;FIXED(G110*100,1)&amp;"% do faturamento"),"")</f>
        <v>Muçarela Mozzana 2 kg concentra 77,6% do faturamento</v>
      </c>
    </row>
    <row r="121">
      <c r="B121" t="str">
        <f>"Vendas da PMG para o food service · "&amp;INDEX(Dados!$T$2:$T$13,1)&amp;"–"&amp;INDEX(Dados!$T$2:$T$13,$B$4)&amp;" "&amp;$B$1&amp;IF($B$10,", comparado com o mesmo período de "&amp;$B$9,"")</f>
        <v>Vendas da PMG para o food service · jan–set 2026, comparado com o mesmo período de 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PMG Atacadista</dc:creator>
  <dc:title xmlns:dc="http://purl.org/dc/elements/1.1/">Dashboard Alibra</dc:title>
  <dcterms:created xmlns:dcterms="http://purl.org/dc/terms/" xmlns:xsi="http://www.w3.org/2001/XMLSchema-instance" xsi:type="dcterms:W3CDTF">2026-10-06T14:59:01Z</dcterms:created>
  <dcterms:modified xmlns:dcterms="http://purl.org/dc/terms/" xmlns:xsi="http://www.w3.org/2001/XMLSchema-instance" xsi:type="dcterms:W3CDTF">2026-10-06T14:59:01Z</dcterms:modified>
</cp:coreProperties>
</file>