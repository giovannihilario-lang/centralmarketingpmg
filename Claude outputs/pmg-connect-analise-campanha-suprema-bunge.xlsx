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Base Períodos" sheetId="2" state="visible" r:id="rId4"/>
    <sheet name="Ranking Premiados" sheetId="3" state="visible" r:id="rId5"/>
    <sheet name="Positivação por Representa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Meta coletiva definida no regulamento da Campanha Suprema (Bunge Profissional). Valor informado pelo usuário / material da campanha.</t>
        </r>
      </text>
    </comment>
    <comment ref="C23" authorId="0">
      <text>
        <r>
          <rPr>
            <sz val="10"/>
            <rFont val="Arial"/>
            <family val="2"/>
          </rPr>
          <t xml:space="preserve">Meta individual definida no regulamento da campanha (mínimo de 4 novas positivações por vendedor). Valor informado pelo usuário / material da campanha.</t>
        </r>
      </text>
    </comment>
  </commentList>
</comments>
</file>

<file path=xl/sharedStrings.xml><?xml version="1.0" encoding="utf-8"?>
<sst xmlns="http://schemas.openxmlformats.org/spreadsheetml/2006/main" count="262" uniqueCount="245">
  <si>
    <t xml:space="preserve">Campanha Suprema — Bunge Profissional</t>
  </si>
  <si>
    <t xml:space="preserve">Análise consolidada de resultados · Período da campanha: 10/08 a 14/09/2026</t>
  </si>
  <si>
    <t xml:space="preserve">Indicador</t>
  </si>
  <si>
    <t xml:space="preserve">Período Anterior</t>
  </si>
  <si>
    <t xml:space="preserve">Período da Campanha</t>
  </si>
  <si>
    <t xml:space="preserve">Variação</t>
  </si>
  <si>
    <t xml:space="preserve">Observação</t>
  </si>
  <si>
    <t xml:space="preserve">Clientes ativos (positivação)</t>
  </si>
  <si>
    <t xml:space="preserve">Meta coletiva: +100 novas positivações</t>
  </si>
  <si>
    <t xml:space="preserve">Faturamento (R$)</t>
  </si>
  <si>
    <t xml:space="preserve">Volume (Kg)</t>
  </si>
  <si>
    <t xml:space="preserve">Ticket médio (R$/cliente)</t>
  </si>
  <si>
    <t xml:space="preserve">Meta Coletiva de Positivação</t>
  </si>
  <si>
    <t xml:space="preserve">Meta definida (novas positivações)</t>
  </si>
  <si>
    <t xml:space="preserve">Novas positivações realizadas</t>
  </si>
  <si>
    <t xml:space="preserve">Faltaram para a meta</t>
  </si>
  <si>
    <t xml:space="preserve">% da meta atingida</t>
  </si>
  <si>
    <t xml:space="preserve">Meta atingida?</t>
  </si>
  <si>
    <t xml:space="preserve">Meta Individual de Vendedores</t>
  </si>
  <si>
    <t xml:space="preserve">Meta individual (novos clientes/vendedor)</t>
  </si>
  <si>
    <t xml:space="preserve">Vendedores com movimentação no período</t>
  </si>
  <si>
    <t xml:space="preserve">Vendedores que bateram a meta individual</t>
  </si>
  <si>
    <t xml:space="preserve">% de vendedores na meta</t>
  </si>
  <si>
    <t xml:space="preserve">Premiação</t>
  </si>
  <si>
    <t xml:space="preserve">Total distribuído (R$)</t>
  </si>
  <si>
    <t xml:space="preserve">Prêmios concedidos (ranking + bônus)</t>
  </si>
  <si>
    <t xml:space="preserve">Fonte: APURAÇÃO - Bunge (planilha original), abas "PERÍODO DA CAMPANHA", "PERÍODO ANTERIOR", "BASE PERÍODO ANTERIOR" e "BASE DO PERÍODO DA CAMPANHA". Escopo de produtos: SKUs 992, 802 e 7696 (linha Bunge Profissional). Nota: 3 vendedores (Karylane Karen, Paulo Barreto e Jamilly Chaves) receberam prêmio tanto no ranking geral quanto no bônus de positivação — por isso "Prêmios concedidos" (11) é maior que o número de vendedores premiados (8).</t>
  </si>
  <si>
    <t xml:space="preserve">Período</t>
  </si>
  <si>
    <t xml:space="preserve">Clientes Distintos</t>
  </si>
  <si>
    <t xml:space="preserve">Fonte: Totais Geral das tabelas dinâmicas das abas "PERÍODO ANTERIOR" e "PERÍODO DA CAMPANHA" da planilha original (valores oficiais, tratados como fonte de verdade em relação às linhas individuais, que contêm quebras de referência do tipo VLOOKUP).</t>
  </si>
  <si>
    <t xml:space="preserve">Posição</t>
  </si>
  <si>
    <t xml:space="preserve">Representante</t>
  </si>
  <si>
    <t xml:space="preserve">Clientes Antes</t>
  </si>
  <si>
    <t xml:space="preserve">Clientes Campanha</t>
  </si>
  <si>
    <t xml:space="preserve">Novas Positivações</t>
  </si>
  <si>
    <t xml:space="preserve">Crescimento Volume</t>
  </si>
  <si>
    <t xml:space="preserve">Pontos Final</t>
  </si>
  <si>
    <t xml:space="preserve">Premiação (R$)</t>
  </si>
  <si>
    <t xml:space="preserve">1°</t>
  </si>
  <si>
    <t xml:space="preserve">NATALIA ALBIERI-988</t>
  </si>
  <si>
    <t xml:space="preserve">2°</t>
  </si>
  <si>
    <t xml:space="preserve">DANIELA SOUSA-4999</t>
  </si>
  <si>
    <t xml:space="preserve">3°</t>
  </si>
  <si>
    <t xml:space="preserve">KARYLANE KAREN</t>
  </si>
  <si>
    <t xml:space="preserve">4°</t>
  </si>
  <si>
    <t xml:space="preserve">PAULO BARRETO-898</t>
  </si>
  <si>
    <t xml:space="preserve">5°</t>
  </si>
  <si>
    <t xml:space="preserve">MARCELO BAGLIONE-5801</t>
  </si>
  <si>
    <t xml:space="preserve">6º</t>
  </si>
  <si>
    <t xml:space="preserve">ELISANGELA SANTOS-4823</t>
  </si>
  <si>
    <t xml:space="preserve">7º</t>
  </si>
  <si>
    <t xml:space="preserve">JAMILLY CHAVES</t>
  </si>
  <si>
    <t xml:space="preserve">8º</t>
  </si>
  <si>
    <t xml:space="preserve">MIRELA MONTEIRO-4101</t>
  </si>
  <si>
    <t xml:space="preserve">Bônus</t>
  </si>
  <si>
    <t xml:space="preserve"> 1º</t>
  </si>
  <si>
    <t xml:space="preserve">2º</t>
  </si>
  <si>
    <t xml:space="preserve">3º</t>
  </si>
  <si>
    <t xml:space="preserve">Total</t>
  </si>
  <si>
    <t xml:space="preserve">Fonte: aba "FINAL" da planilha original (tabela de ranking/premiação, colunas L a V). Inclui o ranking geral (1º a 8º lugar) e o bônus de positivação (1º a 3º lugar), que pode repetir representantes já premiados no ranking geral.</t>
  </si>
  <si>
    <t xml:space="preserve">#</t>
  </si>
  <si>
    <t xml:space="preserve">Bateu Meta Individual (+4)?</t>
  </si>
  <si>
    <t xml:space="preserve">ADRIANA ALVEZ-3596</t>
  </si>
  <si>
    <t xml:space="preserve">ADRIANA APARECIDA-4793</t>
  </si>
  <si>
    <t xml:space="preserve">ADRIANA AZEVEDO-4185</t>
  </si>
  <si>
    <t xml:space="preserve">ADRIANA MACHADO-4363</t>
  </si>
  <si>
    <t xml:space="preserve">ALEX CASAGRANDE-3902</t>
  </si>
  <si>
    <t xml:space="preserve">ALEXANDRE ABADE-2662</t>
  </si>
  <si>
    <t xml:space="preserve">ALEXANDRE PAVAN-928</t>
  </si>
  <si>
    <t xml:space="preserve">ALEXANDRE RIBEIRO-4884</t>
  </si>
  <si>
    <t xml:space="preserve">ANA STELLA-1720</t>
  </si>
  <si>
    <t xml:space="preserve">ANDERSON BIONDI-3779</t>
  </si>
  <si>
    <t xml:space="preserve">ANTONIO AUGUSTO-1526</t>
  </si>
  <si>
    <t xml:space="preserve">ANTONIO ULLER-1716</t>
  </si>
  <si>
    <t xml:space="preserve">ANTUNES CARVALHO-539</t>
  </si>
  <si>
    <t xml:space="preserve">APARECIDO CANDIL-1914</t>
  </si>
  <si>
    <t xml:space="preserve">BEATRIZ PIRES 2 (THIAGO)-4869</t>
  </si>
  <si>
    <t xml:space="preserve">BENEDITO FERREIRA-1771</t>
  </si>
  <si>
    <t xml:space="preserve">BERENICE CARDOSO (TLMK)-4524</t>
  </si>
  <si>
    <t xml:space="preserve">BIA SOUZA-203</t>
  </si>
  <si>
    <t xml:space="preserve">BRENA MELLO-4788</t>
  </si>
  <si>
    <t xml:space="preserve">BRENO VEZZANI-5739</t>
  </si>
  <si>
    <t xml:space="preserve">BRUNA MELLO-5667</t>
  </si>
  <si>
    <t xml:space="preserve">BRUNO IKEGAMI-3256</t>
  </si>
  <si>
    <t xml:space="preserve">BRUNO NADAI-1308</t>
  </si>
  <si>
    <t xml:space="preserve">CAIO SANTOS-4937</t>
  </si>
  <si>
    <t xml:space="preserve">CAMILA GIACOMASSI-4536</t>
  </si>
  <si>
    <t xml:space="preserve">CARLOS LIMA-1494</t>
  </si>
  <si>
    <t xml:space="preserve">CARLOS MARIANO-1995</t>
  </si>
  <si>
    <t xml:space="preserve">CARLOS ROCHA-4837</t>
  </si>
  <si>
    <t xml:space="preserve">CAROLLINE MANDU (TLMK)</t>
  </si>
  <si>
    <t xml:space="preserve">CAYENA10-6229</t>
  </si>
  <si>
    <t xml:space="preserve">CAYENA2-4403</t>
  </si>
  <si>
    <t xml:space="preserve">CAYENA4-5274</t>
  </si>
  <si>
    <t xml:space="preserve">CAYENA6-6225</t>
  </si>
  <si>
    <t xml:space="preserve">CAYENA7-6226</t>
  </si>
  <si>
    <t xml:space="preserve">CAYENA8-6227</t>
  </si>
  <si>
    <t xml:space="preserve">CAYENA9-6228</t>
  </si>
  <si>
    <t xml:space="preserve">CELMO FERREIRA-3851</t>
  </si>
  <si>
    <t xml:space="preserve">CHEILA CRISTINA-4361</t>
  </si>
  <si>
    <t xml:space="preserve">CIBELE SANTOS 2-2938</t>
  </si>
  <si>
    <t xml:space="preserve">CILENE DOMINGUES-817</t>
  </si>
  <si>
    <t xml:space="preserve">CLAUDENICE RODRIGUES-4365</t>
  </si>
  <si>
    <t xml:space="preserve">CLAUDIO INAOKA-3574</t>
  </si>
  <si>
    <t xml:space="preserve">CLAYTON LIMA-5086</t>
  </si>
  <si>
    <t xml:space="preserve">CRISTIANO SANTOS-5761</t>
  </si>
  <si>
    <t xml:space="preserve">CRISTINA SILVA-364</t>
  </si>
  <si>
    <t xml:space="preserve">DAIANE MENDES-4153</t>
  </si>
  <si>
    <t xml:space="preserve">DALILA PASTERNACK-4662</t>
  </si>
  <si>
    <t xml:space="preserve">DANIELA MORENO-1878</t>
  </si>
  <si>
    <t xml:space="preserve">DANIELA PASTERNACK-4621</t>
  </si>
  <si>
    <t xml:space="preserve">DENIS FERNANDES-2022</t>
  </si>
  <si>
    <t xml:space="preserve">DOUGLAS CORREA-2739</t>
  </si>
  <si>
    <t xml:space="preserve">EDSON LOPES-4155</t>
  </si>
  <si>
    <t xml:space="preserve">EDUARDO MORENO-14</t>
  </si>
  <si>
    <t xml:space="preserve">ELIESER SANTOS-3429</t>
  </si>
  <si>
    <t xml:space="preserve">ELISA SANTOS-2325</t>
  </si>
  <si>
    <t xml:space="preserve">ELISABETE PIXE-2717</t>
  </si>
  <si>
    <t xml:space="preserve">ELISANGELA GOMES-3099</t>
  </si>
  <si>
    <t xml:space="preserve">ELKSON ANDRADE-881</t>
  </si>
  <si>
    <t xml:space="preserve">ERIKA VEZZANI-3888</t>
  </si>
  <si>
    <t xml:space="preserve">FABIANA FURQUIM-3631</t>
  </si>
  <si>
    <t xml:space="preserve">FABIO MATOS-4990</t>
  </si>
  <si>
    <t xml:space="preserve">FELIPE MANGINI-897</t>
  </si>
  <si>
    <t xml:space="preserve">FERNANDA COSTA-3833</t>
  </si>
  <si>
    <t xml:space="preserve">FLAVIA CENTURION-5540</t>
  </si>
  <si>
    <t xml:space="preserve">FRANCISLAINE LOURENÇO-5425</t>
  </si>
  <si>
    <t xml:space="preserve">GABRIELA NERY-4630</t>
  </si>
  <si>
    <t xml:space="preserve">GABRIELLY SANTOS-6103</t>
  </si>
  <si>
    <t xml:space="preserve">GEISON SANTOS-3704</t>
  </si>
  <si>
    <t xml:space="preserve">GILLIANO DIAS-3598</t>
  </si>
  <si>
    <t xml:space="preserve">GIOVANNI MUCIO-6085</t>
  </si>
  <si>
    <t xml:space="preserve">GLADYS FERNANDES-2718</t>
  </si>
  <si>
    <t xml:space="preserve">GRAZIELA CIRINO-3541</t>
  </si>
  <si>
    <t xml:space="preserve">GRAZIELE SANTOS-2123</t>
  </si>
  <si>
    <t xml:space="preserve">GUILHERME SALOMAO-5288</t>
  </si>
  <si>
    <t xml:space="preserve">GUSTAVO COIMBRA-590</t>
  </si>
  <si>
    <t xml:space="preserve">IDA GOMES-2157</t>
  </si>
  <si>
    <t xml:space="preserve">IDASITO ALVES-2419</t>
  </si>
  <si>
    <t xml:space="preserve">IGOR MUNIZ-2895</t>
  </si>
  <si>
    <t xml:space="preserve">IVAN CUSTODIO-5734</t>
  </si>
  <si>
    <t xml:space="preserve">IVAN SANTOS-3071</t>
  </si>
  <si>
    <t xml:space="preserve">JANAINA CARVALHO-2149</t>
  </si>
  <si>
    <t xml:space="preserve">JENIFFER ROCHA-4125</t>
  </si>
  <si>
    <t xml:space="preserve">JESSICA APARECIDA-2912</t>
  </si>
  <si>
    <t xml:space="preserve">JHONATAN PACHECO-5787</t>
  </si>
  <si>
    <t xml:space="preserve">JOAO CARVALHO-3994</t>
  </si>
  <si>
    <t xml:space="preserve">JOAO MACEDO-2643</t>
  </si>
  <si>
    <t xml:space="preserve">JOAO PAVAO-3041</t>
  </si>
  <si>
    <t xml:space="preserve">JONAS CARVALHO-3053</t>
  </si>
  <si>
    <t xml:space="preserve">JOSE ROBERTO-284</t>
  </si>
  <si>
    <t xml:space="preserve">JOYCE SANTANA-6146</t>
  </si>
  <si>
    <t xml:space="preserve">JULIA SANCHES-5567</t>
  </si>
  <si>
    <t xml:space="preserve">JULIANA ANTONIO-4821</t>
  </si>
  <si>
    <t xml:space="preserve">JUVENAL FILHO-856</t>
  </si>
  <si>
    <t xml:space="preserve">KAREN MARTINELLI (TLMK)-4525</t>
  </si>
  <si>
    <t xml:space="preserve">KARINA FUJITA-5847</t>
  </si>
  <si>
    <t xml:space="preserve">LARCI LOPES-1433</t>
  </si>
  <si>
    <t xml:space="preserve">LARICE ANDRADE-84</t>
  </si>
  <si>
    <t xml:space="preserve">LARISSA GOMES-4993</t>
  </si>
  <si>
    <t xml:space="preserve">LARISSA SIMI-3885</t>
  </si>
  <si>
    <t xml:space="preserve">LAURICEIA ROSA-2982</t>
  </si>
  <si>
    <t xml:space="preserve">LEANDRO LIMA 2-918</t>
  </si>
  <si>
    <t xml:space="preserve">LEANDRO LIMA-17</t>
  </si>
  <si>
    <t xml:space="preserve">LEANDRO SILVA-3561</t>
  </si>
  <si>
    <t xml:space="preserve">LIGIA SOUZA -4192</t>
  </si>
  <si>
    <t xml:space="preserve">LORIANE LOPES-3507</t>
  </si>
  <si>
    <t xml:space="preserve">LOURIVAL JUNIOR-5184</t>
  </si>
  <si>
    <t xml:space="preserve">LUANA ALMEIDA (TLMK)-5682</t>
  </si>
  <si>
    <t xml:space="preserve">LUCAS GOMES-1857</t>
  </si>
  <si>
    <t xml:space="preserve">LUCIA SANTOS-1205</t>
  </si>
  <si>
    <t xml:space="preserve">LUCIANA DILELLO-593</t>
  </si>
  <si>
    <t xml:space="preserve">LUCIANO CAMPOS-5147</t>
  </si>
  <si>
    <t xml:space="preserve">LUIS PIXE-3360</t>
  </si>
  <si>
    <t xml:space="preserve">LUIZ CARLOS-13</t>
  </si>
  <si>
    <t xml:space="preserve">MARCELO PILAN-3373</t>
  </si>
  <si>
    <t xml:space="preserve">MARCIA VIEIRA-5610</t>
  </si>
  <si>
    <t xml:space="preserve">MARCIO ROBERTO-3586</t>
  </si>
  <si>
    <t xml:space="preserve">MARCOS MARTINS-3753</t>
  </si>
  <si>
    <t xml:space="preserve">MARIA BETANIA-1235</t>
  </si>
  <si>
    <t xml:space="preserve">MARIANA ARAUJO-4627</t>
  </si>
  <si>
    <t xml:space="preserve">MARIANA SOARES-365</t>
  </si>
  <si>
    <t xml:space="preserve">MARISA NASCIMENTO-2425</t>
  </si>
  <si>
    <t xml:space="preserve">MARQUES ANTONIO-3702</t>
  </si>
  <si>
    <t xml:space="preserve">MARTA SOARES-3457</t>
  </si>
  <si>
    <t xml:space="preserve">MICHELE SANTOS-3827</t>
  </si>
  <si>
    <t xml:space="preserve">MIRIAM GLEICE-2196</t>
  </si>
  <si>
    <t xml:space="preserve">MONALISA GOMES-3014</t>
  </si>
  <si>
    <t xml:space="preserve">MONALISA MORTARI 2-3557</t>
  </si>
  <si>
    <t xml:space="preserve">MONALISA MORTARI-2984</t>
  </si>
  <si>
    <t xml:space="preserve">NATHALIA RODRIGUES-5856</t>
  </si>
  <si>
    <t xml:space="preserve">NEIDE PASSOS-3358</t>
  </si>
  <si>
    <t xml:space="preserve">OTAVIO DINI-4118</t>
  </si>
  <si>
    <t xml:space="preserve">PALOMA ZARDO-5729</t>
  </si>
  <si>
    <t xml:space="preserve">PAMELA MACHADO (TLMK)</t>
  </si>
  <si>
    <t xml:space="preserve">PAMELA SANTOS (TLMK)</t>
  </si>
  <si>
    <t xml:space="preserve">PATRICIA BALBUENA-459</t>
  </si>
  <si>
    <t xml:space="preserve">PATRICIA CORTARELLI-1177</t>
  </si>
  <si>
    <t xml:space="preserve">PATRICIA DASSIE-619</t>
  </si>
  <si>
    <t xml:space="preserve">PATRICIA DOMINGUES-4126</t>
  </si>
  <si>
    <t xml:space="preserve">PATRICIA OLIVEIRA-4809</t>
  </si>
  <si>
    <t xml:space="preserve">PATRICIA QUEIROZ-4127</t>
  </si>
  <si>
    <t xml:space="preserve">PATRICIA SANTOS-592</t>
  </si>
  <si>
    <t xml:space="preserve">PAULA DELGADO-1265</t>
  </si>
  <si>
    <t xml:space="preserve">PERLA OLIVEIRA-1317</t>
  </si>
  <si>
    <t xml:space="preserve">PRISCILA ISABEL-4466</t>
  </si>
  <si>
    <t xml:space="preserve">PRISCILA SILVA-4008</t>
  </si>
  <si>
    <t xml:space="preserve">PRISCILA VIDAL-3974</t>
  </si>
  <si>
    <t xml:space="preserve">RAFAEL ALMEIDA-4791</t>
  </si>
  <si>
    <t xml:space="preserve">RAFAEL AMADIO-1490</t>
  </si>
  <si>
    <t xml:space="preserve">RAFAELA VEZZANI-4867</t>
  </si>
  <si>
    <t xml:space="preserve">REGIANE MARTINS-6244</t>
  </si>
  <si>
    <t xml:space="preserve">REGIANE SANTOS-6305</t>
  </si>
  <si>
    <t xml:space="preserve">RENATA BRISOLLA-4277</t>
  </si>
  <si>
    <t xml:space="preserve">RENATA RITA-3078</t>
  </si>
  <si>
    <t xml:space="preserve">RENATO ROCHA-1612</t>
  </si>
  <si>
    <t xml:space="preserve">ROBERTA GOMES-1983</t>
  </si>
  <si>
    <t xml:space="preserve">RODRIGO TEMERARIO-4090</t>
  </si>
  <si>
    <t xml:space="preserve">ROMARIO BORGES-4188</t>
  </si>
  <si>
    <t xml:space="preserve">ROSELI FERNANDES-116</t>
  </si>
  <si>
    <t xml:space="preserve">ROSELI ROCHA-3607</t>
  </si>
  <si>
    <t xml:space="preserve">SILVANA CREVATIN-2000</t>
  </si>
  <si>
    <t xml:space="preserve">SIMONE BARBOSA-470</t>
  </si>
  <si>
    <t xml:space="preserve">SIMONE MIRANDA-1529</t>
  </si>
  <si>
    <t xml:space="preserve">STEPHANIE DANTAS</t>
  </si>
  <si>
    <t xml:space="preserve">SUELEN SANTOS-4154</t>
  </si>
  <si>
    <t xml:space="preserve">SUZI ROCHA-306</t>
  </si>
  <si>
    <t xml:space="preserve">TAMIRIS ANDRADE</t>
  </si>
  <si>
    <t xml:space="preserve">TANIA BAUER-6337</t>
  </si>
  <si>
    <t xml:space="preserve">TANIA TEIXEIRA (JOSUE)-2571</t>
  </si>
  <si>
    <t xml:space="preserve">THAIS IANELLI 2 (JULIA ZELLMER)-5776</t>
  </si>
  <si>
    <t xml:space="preserve">THAISA OLIVEIRA-899</t>
  </si>
  <si>
    <t xml:space="preserve">THIAGO CARVALHO-706</t>
  </si>
  <si>
    <t xml:space="preserve">THIAGO DIAS-5864</t>
  </si>
  <si>
    <t xml:space="preserve">VALMIR DRAGAO-1015</t>
  </si>
  <si>
    <t xml:space="preserve">VANESSA SANTOS-3824</t>
  </si>
  <si>
    <t xml:space="preserve">VANIA DEROBIO-4827</t>
  </si>
  <si>
    <t xml:space="preserve">VICTOR VINICIUS-4352</t>
  </si>
  <si>
    <t xml:space="preserve">VICTORIA GUTIERREZ</t>
  </si>
  <si>
    <t xml:space="preserve">VIVIAN BENATI-6222</t>
  </si>
  <si>
    <t xml:space="preserve">VIVIANE IKEGAMI-3257</t>
  </si>
  <si>
    <t xml:space="preserve">VIVIANE LIMA-4151</t>
  </si>
  <si>
    <t xml:space="preserve">VIVIANE MOURA-3056</t>
  </si>
  <si>
    <t xml:space="preserve">WELLINGTON ANGONESE-3823</t>
  </si>
  <si>
    <t xml:space="preserve">Total de representantes com movimentação (período anterior e/ou campanha): 188 · Fonte: bases transacionais "BASE PERÍODO ANTERIOR" e "BASE DO PERÍODO DA CAMPANHA", contagem de clientes distintos por representante (coluna "Digitador").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</si>
</sst>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+0.0%;\-0.0%"/>
    <numFmt numFmtId="167" formatCode="&quot;R$ &quot;#,##0.00"/>
    <numFmt numFmtId="168" formatCode="#,##0.00&quot; kg&quot;"/>
    <numFmt numFmtId="169" formatCode="0.0%"/>
    <numFmt numFmtId="170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4D2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A4D2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.5"/>
      <color rgb="FF8A999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D2E"/>
        <bgColor rgb="FF333300"/>
      </patternFill>
    </fill>
    <fill>
      <patternFill patternType="solid">
        <fgColor rgb="FFE8F5ED"/>
        <bgColor rgb="FFFDEC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DC2626"/>
      </font>
      <fill>
        <patternFill>
          <bgColor rgb="FFFDECEB"/>
        </patternFill>
      </fill>
    </dxf>
    <dxf>
      <font>
        <name val="Arial"/>
        <charset val="1"/>
        <family val="0"/>
        <b val="1"/>
        <color rgb="FF1A4D2E"/>
      </font>
      <fill>
        <patternFill>
          <bgColor rgb="FFE8F5ED"/>
        </patternFill>
      </fill>
    </dxf>
    <dxf>
      <font>
        <name val="Arial"/>
        <charset val="1"/>
        <family val="0"/>
        <color rgb="FF8A9990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CEB"/>
      <rgbColor rgb="FFE8F5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8A9990"/>
      <rgbColor rgb="FF003366"/>
      <rgbColor rgb="FF339966"/>
      <rgbColor rgb="FF003300"/>
      <rgbColor rgb="FF333300"/>
      <rgbColor rgb="FF993300"/>
      <rgbColor rgb="FF993366"/>
      <rgbColor rgb="FF333399"/>
      <rgbColor rgb="FF1A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A5" s="3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B6" s="4" t="s">
        <v>7</v>
      </c>
      <c r="C6" s="5" t="n">
        <f aca="false">'Base Períodos'!$D$2</f>
        <v>318</v>
      </c>
      <c r="D6" s="5" t="n">
        <f aca="false">'Base Períodos'!$D$3</f>
        <v>397</v>
      </c>
      <c r="E6" s="6" t="n">
        <f aca="false">IFERROR((D6-C6)/C6,"")</f>
        <v>0.248427672955975</v>
      </c>
      <c r="F6" s="7" t="s">
        <v>8</v>
      </c>
    </row>
    <row r="7" customFormat="false" ht="15" hidden="false" customHeight="false" outlineLevel="0" collapsed="false">
      <c r="B7" s="4" t="s">
        <v>9</v>
      </c>
      <c r="C7" s="8" t="n">
        <f aca="false">'Base Períodos'!$B$2</f>
        <v>415591.81</v>
      </c>
      <c r="D7" s="8" t="n">
        <f aca="false">'Base Períodos'!$B$3</f>
        <v>530738.07</v>
      </c>
      <c r="E7" s="6" t="n">
        <f aca="false">IFERROR((D7-C7)/C7,"")</f>
        <v>0.277065758345911</v>
      </c>
      <c r="F7" s="9"/>
    </row>
    <row r="8" customFormat="false" ht="15" hidden="false" customHeight="false" outlineLevel="0" collapsed="false">
      <c r="B8" s="4" t="s">
        <v>10</v>
      </c>
      <c r="C8" s="10" t="n">
        <f aca="false">'Base Períodos'!$C$2</f>
        <v>136636.92</v>
      </c>
      <c r="D8" s="10" t="n">
        <f aca="false">'Base Períodos'!$C$3</f>
        <v>176307.36</v>
      </c>
      <c r="E8" s="6" t="n">
        <f aca="false">IFERROR((D8-C8)/C8,"")</f>
        <v>0.290334706022355</v>
      </c>
      <c r="F8" s="9"/>
    </row>
    <row r="9" customFormat="false" ht="15" hidden="false" customHeight="false" outlineLevel="0" collapsed="false">
      <c r="B9" s="4" t="s">
        <v>11</v>
      </c>
      <c r="C9" s="8" t="n">
        <f aca="false">C7/C6</f>
        <v>1306.89248427673</v>
      </c>
      <c r="D9" s="8" t="n">
        <f aca="false">D7/D6</f>
        <v>1336.87171284635</v>
      </c>
      <c r="E9" s="6" t="n">
        <f aca="false">IFERROR((D9-C9)/C9,"")</f>
        <v>0.0229393228060449</v>
      </c>
      <c r="F9" s="9"/>
    </row>
    <row r="12" customFormat="false" ht="15" hidden="false" customHeight="false" outlineLevel="0" collapsed="false">
      <c r="B12" s="11" t="s">
        <v>12</v>
      </c>
    </row>
    <row r="14" customFormat="false" ht="15" hidden="false" customHeight="false" outlineLevel="0" collapsed="false">
      <c r="B14" s="4" t="s">
        <v>13</v>
      </c>
      <c r="C14" s="12" t="n">
        <v>100</v>
      </c>
    </row>
    <row r="15" customFormat="false" ht="15" hidden="false" customHeight="false" outlineLevel="0" collapsed="false">
      <c r="B15" s="4" t="s">
        <v>14</v>
      </c>
      <c r="C15" s="13" t="n">
        <f aca="false">D6-C6</f>
        <v>79</v>
      </c>
    </row>
    <row r="16" customFormat="false" ht="15" hidden="false" customHeight="false" outlineLevel="0" collapsed="false">
      <c r="B16" s="4" t="s">
        <v>15</v>
      </c>
      <c r="C16" s="13" t="n">
        <f aca="false">MAX(C14-C15,0)</f>
        <v>21</v>
      </c>
    </row>
    <row r="17" customFormat="false" ht="15" hidden="false" customHeight="false" outlineLevel="0" collapsed="false">
      <c r="B17" s="4" t="s">
        <v>16</v>
      </c>
      <c r="C17" s="14" t="n">
        <f aca="false">C15/C14</f>
        <v>0.79</v>
      </c>
    </row>
    <row r="18" customFormat="false" ht="15" hidden="false" customHeight="false" outlineLevel="0" collapsed="false">
      <c r="B18" s="4" t="s">
        <v>17</v>
      </c>
      <c r="C18" s="12" t="str">
        <f aca="false">IF(C15&gt;=C14,"Sim","Não")</f>
        <v>Não</v>
      </c>
    </row>
    <row r="21" customFormat="false" ht="15" hidden="false" customHeight="false" outlineLevel="0" collapsed="false">
      <c r="B21" s="11" t="s">
        <v>18</v>
      </c>
    </row>
    <row r="23" customFormat="false" ht="15" hidden="false" customHeight="false" outlineLevel="0" collapsed="false">
      <c r="B23" s="4" t="s">
        <v>19</v>
      </c>
      <c r="C23" s="12" t="n">
        <v>4</v>
      </c>
    </row>
    <row r="24" customFormat="false" ht="15" hidden="false" customHeight="false" outlineLevel="0" collapsed="false">
      <c r="B24" s="4" t="s">
        <v>20</v>
      </c>
      <c r="C24" s="13" t="n">
        <f aca="false">COUNTA('Positivação por Representante'!B2:B189)</f>
        <v>188</v>
      </c>
    </row>
    <row r="25" customFormat="false" ht="15" hidden="false" customHeight="false" outlineLevel="0" collapsed="false">
      <c r="B25" s="4" t="s">
        <v>21</v>
      </c>
      <c r="C25" s="13" t="n">
        <f aca="false">COUNTIF('Positivação por Representante'!F2:F189,"Sim")</f>
        <v>7</v>
      </c>
    </row>
    <row r="26" customFormat="false" ht="15" hidden="false" customHeight="false" outlineLevel="0" collapsed="false">
      <c r="B26" s="4" t="s">
        <v>22</v>
      </c>
      <c r="C26" s="14" t="n">
        <f aca="false">C25/C24</f>
        <v>0.0372340425531915</v>
      </c>
    </row>
    <row r="29" customFormat="false" ht="15" hidden="false" customHeight="false" outlineLevel="0" collapsed="false">
      <c r="B29" s="11" t="s">
        <v>23</v>
      </c>
    </row>
    <row r="31" customFormat="false" ht="15" hidden="false" customHeight="false" outlineLevel="0" collapsed="false">
      <c r="B31" s="4" t="s">
        <v>24</v>
      </c>
      <c r="C31" s="15" t="n">
        <f aca="false">SUM('Ranking Premiados'!H2:H13)</f>
        <v>9500</v>
      </c>
    </row>
    <row r="32" customFormat="false" ht="15" hidden="false" customHeight="false" outlineLevel="0" collapsed="false">
      <c r="B32" s="4" t="s">
        <v>25</v>
      </c>
      <c r="C32" s="12" t="n">
        <f aca="false">COUNT('Ranking Premiados'!H2:H13)</f>
        <v>11</v>
      </c>
    </row>
    <row r="35" customFormat="false" ht="28.35" hidden="false" customHeight="true" outlineLevel="0" collapsed="false">
      <c r="B35" s="16" t="s">
        <v>26</v>
      </c>
      <c r="C35" s="16"/>
      <c r="D35" s="16"/>
      <c r="E35" s="16"/>
      <c r="F35" s="16"/>
    </row>
  </sheetData>
  <mergeCells count="1">
    <mergeCell ref="B35:F35"/>
  </mergeCells>
  <conditionalFormatting sqref="C18">
    <cfRule type="cellIs" priority="2" operator="equal" aboveAverage="0" equalAverage="0" bottom="0" percent="0" rank="0" text="" dxfId="0">
      <formula>"Não"</formula>
    </cfRule>
    <cfRule type="cellIs" priority="3" operator="equal" aboveAverage="0" equalAverage="0" bottom="0" percent="0" rank="0" text="" dxfId="1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27</v>
      </c>
      <c r="B1" s="3" t="s">
        <v>9</v>
      </c>
      <c r="C1" s="3" t="s">
        <v>10</v>
      </c>
      <c r="D1" s="3" t="s">
        <v>28</v>
      </c>
    </row>
    <row r="2" customFormat="false" ht="15" hidden="false" customHeight="false" outlineLevel="0" collapsed="false">
      <c r="A2" s="17" t="s">
        <v>3</v>
      </c>
      <c r="B2" s="18" t="n">
        <v>415591.81</v>
      </c>
      <c r="C2" s="19" t="n">
        <v>136636.92</v>
      </c>
      <c r="D2" s="20" t="n">
        <v>318</v>
      </c>
    </row>
    <row r="3" customFormat="false" ht="15" hidden="false" customHeight="false" outlineLevel="0" collapsed="false">
      <c r="A3" s="17" t="s">
        <v>4</v>
      </c>
      <c r="B3" s="18" t="n">
        <v>530738.07</v>
      </c>
      <c r="C3" s="19" t="n">
        <v>176307.36</v>
      </c>
      <c r="D3" s="20" t="n">
        <v>397</v>
      </c>
    </row>
    <row r="5" customFormat="false" ht="28.35" hidden="false" customHeight="true" outlineLevel="0" collapsed="false">
      <c r="A5" s="16" t="s">
        <v>29</v>
      </c>
      <c r="B5" s="16"/>
      <c r="C5" s="16"/>
      <c r="D5" s="16"/>
    </row>
  </sheetData>
  <mergeCells count="1"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customFormat="false" ht="15" hidden="false" customHeight="false" outlineLevel="0" collapsed="false">
      <c r="A2" s="4" t="s">
        <v>38</v>
      </c>
      <c r="B2" s="4" t="s">
        <v>39</v>
      </c>
      <c r="C2" s="21" t="n">
        <v>70</v>
      </c>
      <c r="D2" s="21" t="n">
        <v>86</v>
      </c>
      <c r="E2" s="21" t="n">
        <f aca="false">D2-C2</f>
        <v>16</v>
      </c>
      <c r="F2" s="22" t="n">
        <v>1.97076874938705</v>
      </c>
      <c r="G2" s="21" t="n">
        <v>14574.5</v>
      </c>
      <c r="H2" s="23" t="n">
        <v>2000</v>
      </c>
    </row>
    <row r="3" customFormat="false" ht="15" hidden="false" customHeight="false" outlineLevel="0" collapsed="false">
      <c r="A3" s="4" t="s">
        <v>40</v>
      </c>
      <c r="B3" s="4" t="s">
        <v>41</v>
      </c>
      <c r="C3" s="21" t="n">
        <v>26</v>
      </c>
      <c r="D3" s="21" t="n">
        <v>40</v>
      </c>
      <c r="E3" s="21" t="n">
        <f aca="false">D3-C3</f>
        <v>14</v>
      </c>
      <c r="F3" s="22" t="n">
        <v>0.440347689471477</v>
      </c>
      <c r="G3" s="21" t="n">
        <v>4336.3</v>
      </c>
      <c r="H3" s="23" t="n">
        <v>1500</v>
      </c>
    </row>
    <row r="4" customFormat="false" ht="15" hidden="false" customHeight="false" outlineLevel="0" collapsed="false">
      <c r="A4" s="4" t="s">
        <v>42</v>
      </c>
      <c r="B4" s="4" t="s">
        <v>43</v>
      </c>
      <c r="C4" s="21" t="n">
        <v>15</v>
      </c>
      <c r="D4" s="21" t="n">
        <v>36</v>
      </c>
      <c r="E4" s="21" t="n">
        <f aca="false">D4-C4</f>
        <v>21</v>
      </c>
      <c r="F4" s="22" t="n">
        <v>0.108688803016382</v>
      </c>
      <c r="G4" s="21" t="n">
        <v>4224</v>
      </c>
      <c r="H4" s="23" t="n">
        <v>1000</v>
      </c>
    </row>
    <row r="5" customFormat="false" ht="15" hidden="false" customHeight="false" outlineLevel="0" collapsed="false">
      <c r="A5" s="4" t="s">
        <v>44</v>
      </c>
      <c r="B5" s="4" t="s">
        <v>45</v>
      </c>
      <c r="C5" s="21" t="n">
        <v>10</v>
      </c>
      <c r="D5" s="21" t="n">
        <v>30</v>
      </c>
      <c r="E5" s="21" t="n">
        <f aca="false">D5-C5</f>
        <v>20</v>
      </c>
      <c r="F5" s="22" t="n">
        <v>4.16809595304137</v>
      </c>
      <c r="G5" s="21" t="n">
        <v>2772</v>
      </c>
      <c r="H5" s="23" t="n">
        <v>900</v>
      </c>
    </row>
    <row r="6" customFormat="false" ht="15" hidden="false" customHeight="false" outlineLevel="0" collapsed="false">
      <c r="A6" s="4" t="s">
        <v>46</v>
      </c>
      <c r="B6" s="4" t="s">
        <v>47</v>
      </c>
      <c r="C6" s="21" t="n">
        <v>13</v>
      </c>
      <c r="D6" s="21" t="n">
        <v>20</v>
      </c>
      <c r="E6" s="21" t="n">
        <f aca="false">D6-C6</f>
        <v>7</v>
      </c>
      <c r="F6" s="22" t="n">
        <v>0.300957427590775</v>
      </c>
      <c r="G6" s="21" t="n">
        <v>2173.3</v>
      </c>
      <c r="H6" s="23" t="n">
        <v>800</v>
      </c>
    </row>
    <row r="7" customFormat="false" ht="15" hidden="false" customHeight="false" outlineLevel="0" collapsed="false">
      <c r="A7" s="4" t="s">
        <v>48</v>
      </c>
      <c r="B7" s="4" t="s">
        <v>49</v>
      </c>
      <c r="C7" s="21" t="n">
        <v>7</v>
      </c>
      <c r="D7" s="21" t="n">
        <v>12</v>
      </c>
      <c r="E7" s="21" t="n">
        <f aca="false">D7-C7</f>
        <v>5</v>
      </c>
      <c r="F7" s="22" t="n">
        <v>0.403702585497063</v>
      </c>
      <c r="G7" s="21" t="n">
        <v>2132.1</v>
      </c>
      <c r="H7" s="23" t="n">
        <v>700</v>
      </c>
    </row>
    <row r="8" customFormat="false" ht="15" hidden="false" customHeight="false" outlineLevel="0" collapsed="false">
      <c r="A8" s="4" t="s">
        <v>50</v>
      </c>
      <c r="B8" s="4" t="s">
        <v>51</v>
      </c>
      <c r="C8" s="21" t="n">
        <v>12</v>
      </c>
      <c r="D8" s="21" t="n">
        <v>32</v>
      </c>
      <c r="E8" s="21" t="n">
        <f aca="false">D8-C8</f>
        <v>20</v>
      </c>
      <c r="F8" s="22" t="n">
        <v>1.69590479177327</v>
      </c>
      <c r="G8" s="21" t="n">
        <v>1992</v>
      </c>
      <c r="H8" s="23" t="n">
        <v>600</v>
      </c>
    </row>
    <row r="9" customFormat="false" ht="15" hidden="false" customHeight="false" outlineLevel="0" collapsed="false">
      <c r="A9" s="4" t="s">
        <v>52</v>
      </c>
      <c r="B9" s="4" t="s">
        <v>53</v>
      </c>
      <c r="C9" s="21" t="n">
        <v>18</v>
      </c>
      <c r="D9" s="21" t="n">
        <v>26</v>
      </c>
      <c r="E9" s="21" t="n">
        <f aca="false">D9-C9</f>
        <v>8</v>
      </c>
      <c r="F9" s="22" t="n">
        <v>0.318034524833477</v>
      </c>
      <c r="G9" s="21" t="n">
        <v>1792.2</v>
      </c>
      <c r="H9" s="23" t="n">
        <v>500</v>
      </c>
    </row>
    <row r="10" customFormat="false" ht="15" hidden="false" customHeight="false" outlineLevel="0" collapsed="false">
      <c r="A10" s="4"/>
      <c r="B10" s="4" t="s">
        <v>54</v>
      </c>
      <c r="C10" s="21"/>
      <c r="D10" s="21"/>
      <c r="E10" s="21" t="n">
        <f aca="false">D10-C10</f>
        <v>0</v>
      </c>
      <c r="F10" s="22"/>
      <c r="G10" s="21"/>
      <c r="H10" s="23"/>
    </row>
    <row r="11" customFormat="false" ht="15" hidden="false" customHeight="false" outlineLevel="0" collapsed="false">
      <c r="A11" s="4" t="s">
        <v>55</v>
      </c>
      <c r="B11" s="4" t="s">
        <v>43</v>
      </c>
      <c r="C11" s="21" t="n">
        <v>15</v>
      </c>
      <c r="D11" s="21" t="n">
        <v>36</v>
      </c>
      <c r="E11" s="21" t="n">
        <f aca="false">D11-C11</f>
        <v>21</v>
      </c>
      <c r="F11" s="22" t="n">
        <v>0.108688803016382</v>
      </c>
      <c r="G11" s="21" t="n">
        <v>4224</v>
      </c>
      <c r="H11" s="23" t="n">
        <v>500</v>
      </c>
    </row>
    <row r="12" customFormat="false" ht="15" hidden="false" customHeight="false" outlineLevel="0" collapsed="false">
      <c r="A12" s="4" t="s">
        <v>56</v>
      </c>
      <c r="B12" s="4" t="s">
        <v>45</v>
      </c>
      <c r="C12" s="21" t="n">
        <v>10</v>
      </c>
      <c r="D12" s="21" t="n">
        <v>30</v>
      </c>
      <c r="E12" s="21" t="n">
        <f aca="false">D12-C12</f>
        <v>20</v>
      </c>
      <c r="F12" s="22" t="n">
        <v>4.16809595304137</v>
      </c>
      <c r="G12" s="21" t="n">
        <v>2772</v>
      </c>
      <c r="H12" s="23" t="n">
        <v>500</v>
      </c>
    </row>
    <row r="13" customFormat="false" ht="15" hidden="false" customHeight="false" outlineLevel="0" collapsed="false">
      <c r="A13" s="4" t="s">
        <v>57</v>
      </c>
      <c r="B13" s="4" t="s">
        <v>51</v>
      </c>
      <c r="C13" s="21" t="n">
        <v>12</v>
      </c>
      <c r="D13" s="21" t="n">
        <v>32</v>
      </c>
      <c r="E13" s="21" t="n">
        <f aca="false">D13-C13</f>
        <v>20</v>
      </c>
      <c r="F13" s="22" t="n">
        <v>1.69590479177327</v>
      </c>
      <c r="G13" s="21" t="n">
        <v>1992</v>
      </c>
      <c r="H13" s="23" t="n">
        <v>500</v>
      </c>
    </row>
    <row r="14" customFormat="false" ht="15" hidden="false" customHeight="false" outlineLevel="0" collapsed="false">
      <c r="A14" s="24"/>
      <c r="B14" s="25" t="s">
        <v>58</v>
      </c>
      <c r="C14" s="24"/>
      <c r="D14" s="24"/>
      <c r="E14" s="24"/>
      <c r="F14" s="24"/>
      <c r="G14" s="24"/>
      <c r="H14" s="26" t="n">
        <f aca="false">SUM(H2:H13)</f>
        <v>9500</v>
      </c>
    </row>
    <row r="16" customFormat="false" ht="19.4" hidden="false" customHeight="true" outlineLevel="0" collapsed="false">
      <c r="A16" s="16" t="s">
        <v>59</v>
      </c>
      <c r="B16" s="16"/>
      <c r="C16" s="16"/>
      <c r="D16" s="16"/>
      <c r="E16" s="16"/>
      <c r="F16" s="16"/>
      <c r="G16" s="16"/>
      <c r="H16" s="16"/>
    </row>
  </sheetData>
  <mergeCells count="1"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3" t="s">
        <v>60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61</v>
      </c>
    </row>
    <row r="2" customFormat="false" ht="15" hidden="false" customHeight="false" outlineLevel="0" collapsed="false">
      <c r="A2" s="27" t="n">
        <v>1</v>
      </c>
      <c r="B2" s="27" t="s">
        <v>62</v>
      </c>
      <c r="C2" s="28" t="n">
        <v>1</v>
      </c>
      <c r="D2" s="28" t="n">
        <v>1</v>
      </c>
      <c r="E2" s="28" t="n">
        <f aca="false">D2-C2</f>
        <v>0</v>
      </c>
      <c r="F2" s="29" t="str">
        <f aca="false">IF(E2&gt;=Resumo!$C$23,"Sim","Não")</f>
        <v>Não</v>
      </c>
    </row>
    <row r="3" customFormat="false" ht="15" hidden="false" customHeight="false" outlineLevel="0" collapsed="false">
      <c r="A3" s="27" t="n">
        <v>2</v>
      </c>
      <c r="B3" s="27" t="s">
        <v>63</v>
      </c>
      <c r="C3" s="28" t="n">
        <v>3</v>
      </c>
      <c r="D3" s="28" t="n">
        <v>3</v>
      </c>
      <c r="E3" s="28" t="n">
        <f aca="false">D3-C3</f>
        <v>0</v>
      </c>
      <c r="F3" s="29" t="str">
        <f aca="false">IF(E3&gt;=Resumo!$C$23,"Sim","Não")</f>
        <v>Não</v>
      </c>
    </row>
    <row r="4" customFormat="false" ht="15" hidden="false" customHeight="false" outlineLevel="0" collapsed="false">
      <c r="A4" s="27" t="n">
        <v>3</v>
      </c>
      <c r="B4" s="27" t="s">
        <v>64</v>
      </c>
      <c r="C4" s="28" t="n">
        <v>0</v>
      </c>
      <c r="D4" s="28" t="n">
        <v>1</v>
      </c>
      <c r="E4" s="28" t="n">
        <f aca="false">D4-C4</f>
        <v>1</v>
      </c>
      <c r="F4" s="29" t="str">
        <f aca="false">IF(E4&gt;=Resumo!$C$23,"Sim","Não")</f>
        <v>Não</v>
      </c>
    </row>
    <row r="5" customFormat="false" ht="15" hidden="false" customHeight="false" outlineLevel="0" collapsed="false">
      <c r="A5" s="27" t="n">
        <v>4</v>
      </c>
      <c r="B5" s="27" t="s">
        <v>65</v>
      </c>
      <c r="C5" s="28" t="n">
        <v>1</v>
      </c>
      <c r="D5" s="28" t="n">
        <v>1</v>
      </c>
      <c r="E5" s="28" t="n">
        <f aca="false">D5-C5</f>
        <v>0</v>
      </c>
      <c r="F5" s="29" t="str">
        <f aca="false">IF(E5&gt;=Resumo!$C$23,"Sim","Não")</f>
        <v>Não</v>
      </c>
    </row>
    <row r="6" customFormat="false" ht="15" hidden="false" customHeight="false" outlineLevel="0" collapsed="false">
      <c r="A6" s="27" t="n">
        <v>5</v>
      </c>
      <c r="B6" s="27" t="s">
        <v>66</v>
      </c>
      <c r="C6" s="28" t="n">
        <v>1</v>
      </c>
      <c r="D6" s="28" t="n">
        <v>1</v>
      </c>
      <c r="E6" s="28" t="n">
        <f aca="false">D6-C6</f>
        <v>0</v>
      </c>
      <c r="F6" s="29" t="str">
        <f aca="false">IF(E6&gt;=Resumo!$C$23,"Sim","Não")</f>
        <v>Não</v>
      </c>
    </row>
    <row r="7" customFormat="false" ht="15" hidden="false" customHeight="false" outlineLevel="0" collapsed="false">
      <c r="A7" s="27" t="n">
        <v>6</v>
      </c>
      <c r="B7" s="27" t="s">
        <v>67</v>
      </c>
      <c r="C7" s="28" t="n">
        <v>4</v>
      </c>
      <c r="D7" s="28" t="n">
        <v>4</v>
      </c>
      <c r="E7" s="28" t="n">
        <f aca="false">D7-C7</f>
        <v>0</v>
      </c>
      <c r="F7" s="29" t="str">
        <f aca="false">IF(E7&gt;=Resumo!$C$23,"Sim","Não")</f>
        <v>Não</v>
      </c>
    </row>
    <row r="8" customFormat="false" ht="15" hidden="false" customHeight="false" outlineLevel="0" collapsed="false">
      <c r="A8" s="27" t="n">
        <v>7</v>
      </c>
      <c r="B8" s="27" t="s">
        <v>68</v>
      </c>
      <c r="C8" s="28" t="n">
        <v>1</v>
      </c>
      <c r="D8" s="28" t="n">
        <v>1</v>
      </c>
      <c r="E8" s="28" t="n">
        <f aca="false">D8-C8</f>
        <v>0</v>
      </c>
      <c r="F8" s="29" t="str">
        <f aca="false">IF(E8&gt;=Resumo!$C$23,"Sim","Não")</f>
        <v>Não</v>
      </c>
    </row>
    <row r="9" customFormat="false" ht="15" hidden="false" customHeight="false" outlineLevel="0" collapsed="false">
      <c r="A9" s="27" t="n">
        <v>8</v>
      </c>
      <c r="B9" s="27" t="s">
        <v>69</v>
      </c>
      <c r="C9" s="28" t="n">
        <v>1</v>
      </c>
      <c r="D9" s="28" t="n">
        <v>1</v>
      </c>
      <c r="E9" s="28" t="n">
        <f aca="false">D9-C9</f>
        <v>0</v>
      </c>
      <c r="F9" s="29" t="str">
        <f aca="false">IF(E9&gt;=Resumo!$C$23,"Sim","Não")</f>
        <v>Não</v>
      </c>
    </row>
    <row r="10" customFormat="false" ht="15" hidden="false" customHeight="false" outlineLevel="0" collapsed="false">
      <c r="A10" s="27" t="n">
        <v>9</v>
      </c>
      <c r="B10" s="27" t="s">
        <v>70</v>
      </c>
      <c r="C10" s="28" t="n">
        <v>1</v>
      </c>
      <c r="D10" s="28" t="n">
        <v>1</v>
      </c>
      <c r="E10" s="28" t="n">
        <f aca="false">D10-C10</f>
        <v>0</v>
      </c>
      <c r="F10" s="29" t="str">
        <f aca="false">IF(E10&gt;=Resumo!$C$23,"Sim","Não")</f>
        <v>Não</v>
      </c>
    </row>
    <row r="11" customFormat="false" ht="15" hidden="false" customHeight="false" outlineLevel="0" collapsed="false">
      <c r="A11" s="27" t="n">
        <v>10</v>
      </c>
      <c r="B11" s="27" t="s">
        <v>71</v>
      </c>
      <c r="C11" s="28" t="n">
        <v>0</v>
      </c>
      <c r="D11" s="28" t="n">
        <v>1</v>
      </c>
      <c r="E11" s="28" t="n">
        <f aca="false">D11-C11</f>
        <v>1</v>
      </c>
      <c r="F11" s="29" t="str">
        <f aca="false">IF(E11&gt;=Resumo!$C$23,"Sim","Não")</f>
        <v>Não</v>
      </c>
    </row>
    <row r="12" customFormat="false" ht="15" hidden="false" customHeight="false" outlineLevel="0" collapsed="false">
      <c r="A12" s="27" t="n">
        <v>11</v>
      </c>
      <c r="B12" s="27" t="s">
        <v>72</v>
      </c>
      <c r="C12" s="28" t="n">
        <v>2</v>
      </c>
      <c r="D12" s="28" t="n">
        <v>1</v>
      </c>
      <c r="E12" s="28" t="n">
        <f aca="false">D12-C12</f>
        <v>-1</v>
      </c>
      <c r="F12" s="29" t="str">
        <f aca="false">IF(E12&gt;=Resumo!$C$23,"Sim","Não")</f>
        <v>Não</v>
      </c>
    </row>
    <row r="13" customFormat="false" ht="15" hidden="false" customHeight="false" outlineLevel="0" collapsed="false">
      <c r="A13" s="27" t="n">
        <v>12</v>
      </c>
      <c r="B13" s="27" t="s">
        <v>73</v>
      </c>
      <c r="C13" s="28" t="n">
        <v>0</v>
      </c>
      <c r="D13" s="28" t="n">
        <v>1</v>
      </c>
      <c r="E13" s="28" t="n">
        <f aca="false">D13-C13</f>
        <v>1</v>
      </c>
      <c r="F13" s="29" t="str">
        <f aca="false">IF(E13&gt;=Resumo!$C$23,"Sim","Não")</f>
        <v>Não</v>
      </c>
    </row>
    <row r="14" customFormat="false" ht="15" hidden="false" customHeight="false" outlineLevel="0" collapsed="false">
      <c r="A14" s="27" t="n">
        <v>13</v>
      </c>
      <c r="B14" s="27" t="s">
        <v>74</v>
      </c>
      <c r="C14" s="28" t="n">
        <v>8</v>
      </c>
      <c r="D14" s="28" t="n">
        <v>2</v>
      </c>
      <c r="E14" s="28" t="n">
        <f aca="false">D14-C14</f>
        <v>-6</v>
      </c>
      <c r="F14" s="29" t="str">
        <f aca="false">IF(E14&gt;=Resumo!$C$23,"Sim","Não")</f>
        <v>Não</v>
      </c>
    </row>
    <row r="15" customFormat="false" ht="15" hidden="false" customHeight="false" outlineLevel="0" collapsed="false">
      <c r="A15" s="27" t="n">
        <v>14</v>
      </c>
      <c r="B15" s="27" t="s">
        <v>75</v>
      </c>
      <c r="C15" s="28" t="n">
        <v>1</v>
      </c>
      <c r="D15" s="28" t="n">
        <v>1</v>
      </c>
      <c r="E15" s="28" t="n">
        <f aca="false">D15-C15</f>
        <v>0</v>
      </c>
      <c r="F15" s="29" t="str">
        <f aca="false">IF(E15&gt;=Resumo!$C$23,"Sim","Não")</f>
        <v>Não</v>
      </c>
    </row>
    <row r="16" customFormat="false" ht="15" hidden="false" customHeight="false" outlineLevel="0" collapsed="false">
      <c r="A16" s="27" t="n">
        <v>15</v>
      </c>
      <c r="B16" s="27" t="s">
        <v>76</v>
      </c>
      <c r="C16" s="28" t="n">
        <v>1</v>
      </c>
      <c r="D16" s="28" t="n">
        <v>1</v>
      </c>
      <c r="E16" s="28" t="n">
        <f aca="false">D16-C16</f>
        <v>0</v>
      </c>
      <c r="F16" s="29" t="str">
        <f aca="false">IF(E16&gt;=Resumo!$C$23,"Sim","Não")</f>
        <v>Não</v>
      </c>
    </row>
    <row r="17" customFormat="false" ht="15" hidden="false" customHeight="false" outlineLevel="0" collapsed="false">
      <c r="A17" s="27" t="n">
        <v>16</v>
      </c>
      <c r="B17" s="27" t="s">
        <v>77</v>
      </c>
      <c r="C17" s="28" t="n">
        <v>1</v>
      </c>
      <c r="D17" s="28" t="n">
        <v>1</v>
      </c>
      <c r="E17" s="28" t="n">
        <f aca="false">D17-C17</f>
        <v>0</v>
      </c>
      <c r="F17" s="29" t="str">
        <f aca="false">IF(E17&gt;=Resumo!$C$23,"Sim","Não")</f>
        <v>Não</v>
      </c>
    </row>
    <row r="18" customFormat="false" ht="15" hidden="false" customHeight="false" outlineLevel="0" collapsed="false">
      <c r="A18" s="27" t="n">
        <v>17</v>
      </c>
      <c r="B18" s="27" t="s">
        <v>78</v>
      </c>
      <c r="C18" s="28" t="n">
        <v>2</v>
      </c>
      <c r="D18" s="28" t="n">
        <v>2</v>
      </c>
      <c r="E18" s="28" t="n">
        <f aca="false">D18-C18</f>
        <v>0</v>
      </c>
      <c r="F18" s="29" t="str">
        <f aca="false">IF(E18&gt;=Resumo!$C$23,"Sim","Não")</f>
        <v>Não</v>
      </c>
    </row>
    <row r="19" customFormat="false" ht="15" hidden="false" customHeight="false" outlineLevel="0" collapsed="false">
      <c r="A19" s="27" t="n">
        <v>18</v>
      </c>
      <c r="B19" s="27" t="s">
        <v>79</v>
      </c>
      <c r="C19" s="28" t="n">
        <v>0</v>
      </c>
      <c r="D19" s="28" t="n">
        <v>1</v>
      </c>
      <c r="E19" s="28" t="n">
        <f aca="false">D19-C19</f>
        <v>1</v>
      </c>
      <c r="F19" s="29" t="str">
        <f aca="false">IF(E19&gt;=Resumo!$C$23,"Sim","Não")</f>
        <v>Não</v>
      </c>
    </row>
    <row r="20" customFormat="false" ht="15" hidden="false" customHeight="false" outlineLevel="0" collapsed="false">
      <c r="A20" s="27" t="n">
        <v>19</v>
      </c>
      <c r="B20" s="27" t="s">
        <v>80</v>
      </c>
      <c r="C20" s="28" t="n">
        <v>2</v>
      </c>
      <c r="D20" s="28" t="n">
        <v>2</v>
      </c>
      <c r="E20" s="28" t="n">
        <f aca="false">D20-C20</f>
        <v>0</v>
      </c>
      <c r="F20" s="29" t="str">
        <f aca="false">IF(E20&gt;=Resumo!$C$23,"Sim","Não")</f>
        <v>Não</v>
      </c>
    </row>
    <row r="21" customFormat="false" ht="15" hidden="false" customHeight="false" outlineLevel="0" collapsed="false">
      <c r="A21" s="27" t="n">
        <v>20</v>
      </c>
      <c r="B21" s="27" t="s">
        <v>81</v>
      </c>
      <c r="C21" s="28" t="n">
        <v>4</v>
      </c>
      <c r="D21" s="28" t="n">
        <v>2</v>
      </c>
      <c r="E21" s="28" t="n">
        <f aca="false">D21-C21</f>
        <v>-2</v>
      </c>
      <c r="F21" s="29" t="str">
        <f aca="false">IF(E21&gt;=Resumo!$C$23,"Sim","Não")</f>
        <v>Não</v>
      </c>
    </row>
    <row r="22" customFormat="false" ht="15" hidden="false" customHeight="false" outlineLevel="0" collapsed="false">
      <c r="A22" s="27" t="n">
        <v>21</v>
      </c>
      <c r="B22" s="27" t="s">
        <v>82</v>
      </c>
      <c r="C22" s="28" t="n">
        <v>3</v>
      </c>
      <c r="D22" s="28" t="n">
        <v>2</v>
      </c>
      <c r="E22" s="28" t="n">
        <f aca="false">D22-C22</f>
        <v>-1</v>
      </c>
      <c r="F22" s="29" t="str">
        <f aca="false">IF(E22&gt;=Resumo!$C$23,"Sim","Não")</f>
        <v>Não</v>
      </c>
    </row>
    <row r="23" customFormat="false" ht="15" hidden="false" customHeight="false" outlineLevel="0" collapsed="false">
      <c r="A23" s="27" t="n">
        <v>22</v>
      </c>
      <c r="B23" s="27" t="s">
        <v>83</v>
      </c>
      <c r="C23" s="28" t="n">
        <v>2</v>
      </c>
      <c r="D23" s="28" t="n">
        <v>2</v>
      </c>
      <c r="E23" s="28" t="n">
        <f aca="false">D23-C23</f>
        <v>0</v>
      </c>
      <c r="F23" s="29" t="str">
        <f aca="false">IF(E23&gt;=Resumo!$C$23,"Sim","Não")</f>
        <v>Não</v>
      </c>
    </row>
    <row r="24" customFormat="false" ht="15" hidden="false" customHeight="false" outlineLevel="0" collapsed="false">
      <c r="A24" s="27" t="n">
        <v>23</v>
      </c>
      <c r="B24" s="27" t="s">
        <v>84</v>
      </c>
      <c r="C24" s="28" t="n">
        <v>1</v>
      </c>
      <c r="D24" s="28" t="n">
        <v>1</v>
      </c>
      <c r="E24" s="28" t="n">
        <f aca="false">D24-C24</f>
        <v>0</v>
      </c>
      <c r="F24" s="29" t="str">
        <f aca="false">IF(E24&gt;=Resumo!$C$23,"Sim","Não")</f>
        <v>Não</v>
      </c>
    </row>
    <row r="25" customFormat="false" ht="15" hidden="false" customHeight="false" outlineLevel="0" collapsed="false">
      <c r="A25" s="27" t="n">
        <v>24</v>
      </c>
      <c r="B25" s="27" t="s">
        <v>85</v>
      </c>
      <c r="C25" s="28" t="n">
        <v>1</v>
      </c>
      <c r="D25" s="28" t="n">
        <v>1</v>
      </c>
      <c r="E25" s="28" t="n">
        <f aca="false">D25-C25</f>
        <v>0</v>
      </c>
      <c r="F25" s="29" t="str">
        <f aca="false">IF(E25&gt;=Resumo!$C$23,"Sim","Não")</f>
        <v>Não</v>
      </c>
    </row>
    <row r="26" customFormat="false" ht="15" hidden="false" customHeight="false" outlineLevel="0" collapsed="false">
      <c r="A26" s="27" t="n">
        <v>25</v>
      </c>
      <c r="B26" s="27" t="s">
        <v>86</v>
      </c>
      <c r="C26" s="28" t="n">
        <v>1</v>
      </c>
      <c r="D26" s="28" t="n">
        <v>1</v>
      </c>
      <c r="E26" s="28" t="n">
        <f aca="false">D26-C26</f>
        <v>0</v>
      </c>
      <c r="F26" s="29" t="str">
        <f aca="false">IF(E26&gt;=Resumo!$C$23,"Sim","Não")</f>
        <v>Não</v>
      </c>
    </row>
    <row r="27" customFormat="false" ht="15" hidden="false" customHeight="false" outlineLevel="0" collapsed="false">
      <c r="A27" s="27" t="n">
        <v>26</v>
      </c>
      <c r="B27" s="27" t="s">
        <v>87</v>
      </c>
      <c r="C27" s="28" t="n">
        <v>3</v>
      </c>
      <c r="D27" s="28" t="n">
        <v>3</v>
      </c>
      <c r="E27" s="28" t="n">
        <f aca="false">D27-C27</f>
        <v>0</v>
      </c>
      <c r="F27" s="29" t="str">
        <f aca="false">IF(E27&gt;=Resumo!$C$23,"Sim","Não")</f>
        <v>Não</v>
      </c>
    </row>
    <row r="28" customFormat="false" ht="15" hidden="false" customHeight="false" outlineLevel="0" collapsed="false">
      <c r="A28" s="27" t="n">
        <v>27</v>
      </c>
      <c r="B28" s="27" t="s">
        <v>88</v>
      </c>
      <c r="C28" s="28" t="n">
        <v>1</v>
      </c>
      <c r="D28" s="28" t="n">
        <v>1</v>
      </c>
      <c r="E28" s="28" t="n">
        <f aca="false">D28-C28</f>
        <v>0</v>
      </c>
      <c r="F28" s="29" t="str">
        <f aca="false">IF(E28&gt;=Resumo!$C$23,"Sim","Não")</f>
        <v>Não</v>
      </c>
    </row>
    <row r="29" customFormat="false" ht="15" hidden="false" customHeight="false" outlineLevel="0" collapsed="false">
      <c r="A29" s="27" t="n">
        <v>28</v>
      </c>
      <c r="B29" s="27" t="s">
        <v>89</v>
      </c>
      <c r="C29" s="28" t="n">
        <v>0</v>
      </c>
      <c r="D29" s="28" t="n">
        <v>1</v>
      </c>
      <c r="E29" s="28" t="n">
        <f aca="false">D29-C29</f>
        <v>1</v>
      </c>
      <c r="F29" s="29" t="str">
        <f aca="false">IF(E29&gt;=Resumo!$C$23,"Sim","Não")</f>
        <v>Não</v>
      </c>
    </row>
    <row r="30" customFormat="false" ht="15" hidden="false" customHeight="false" outlineLevel="0" collapsed="false">
      <c r="A30" s="27" t="n">
        <v>29</v>
      </c>
      <c r="B30" s="27" t="s">
        <v>90</v>
      </c>
      <c r="C30" s="28" t="n">
        <v>1</v>
      </c>
      <c r="D30" s="28" t="n">
        <v>0</v>
      </c>
      <c r="E30" s="28" t="n">
        <f aca="false">D30-C30</f>
        <v>-1</v>
      </c>
      <c r="F30" s="29" t="str">
        <f aca="false">IF(E30&gt;=Resumo!$C$23,"Sim","Não")</f>
        <v>Não</v>
      </c>
    </row>
    <row r="31" customFormat="false" ht="15" hidden="false" customHeight="false" outlineLevel="0" collapsed="false">
      <c r="A31" s="27" t="n">
        <v>30</v>
      </c>
      <c r="B31" s="27" t="s">
        <v>91</v>
      </c>
      <c r="C31" s="28" t="n">
        <v>1</v>
      </c>
      <c r="D31" s="28" t="n">
        <v>1</v>
      </c>
      <c r="E31" s="28" t="n">
        <f aca="false">D31-C31</f>
        <v>0</v>
      </c>
      <c r="F31" s="29" t="str">
        <f aca="false">IF(E31&gt;=Resumo!$C$23,"Sim","Não")</f>
        <v>Não</v>
      </c>
    </row>
    <row r="32" customFormat="false" ht="15" hidden="false" customHeight="false" outlineLevel="0" collapsed="false">
      <c r="A32" s="27" t="n">
        <v>31</v>
      </c>
      <c r="B32" s="27" t="s">
        <v>92</v>
      </c>
      <c r="C32" s="28" t="n">
        <v>3</v>
      </c>
      <c r="D32" s="28" t="n">
        <v>2</v>
      </c>
      <c r="E32" s="28" t="n">
        <f aca="false">D32-C32</f>
        <v>-1</v>
      </c>
      <c r="F32" s="29" t="str">
        <f aca="false">IF(E32&gt;=Resumo!$C$23,"Sim","Não")</f>
        <v>Não</v>
      </c>
    </row>
    <row r="33" customFormat="false" ht="15" hidden="false" customHeight="false" outlineLevel="0" collapsed="false">
      <c r="A33" s="27" t="n">
        <v>32</v>
      </c>
      <c r="B33" s="27" t="s">
        <v>93</v>
      </c>
      <c r="C33" s="28" t="n">
        <v>3</v>
      </c>
      <c r="D33" s="28" t="n">
        <v>2</v>
      </c>
      <c r="E33" s="28" t="n">
        <f aca="false">D33-C33</f>
        <v>-1</v>
      </c>
      <c r="F33" s="29" t="str">
        <f aca="false">IF(E33&gt;=Resumo!$C$23,"Sim","Não")</f>
        <v>Não</v>
      </c>
    </row>
    <row r="34" customFormat="false" ht="15" hidden="false" customHeight="false" outlineLevel="0" collapsed="false">
      <c r="A34" s="27" t="n">
        <v>33</v>
      </c>
      <c r="B34" s="27" t="s">
        <v>94</v>
      </c>
      <c r="C34" s="28" t="n">
        <v>4</v>
      </c>
      <c r="D34" s="28" t="n">
        <v>7</v>
      </c>
      <c r="E34" s="28" t="n">
        <f aca="false">D34-C34</f>
        <v>3</v>
      </c>
      <c r="F34" s="29" t="str">
        <f aca="false">IF(E34&gt;=Resumo!$C$23,"Sim","Não")</f>
        <v>Não</v>
      </c>
    </row>
    <row r="35" customFormat="false" ht="15" hidden="false" customHeight="false" outlineLevel="0" collapsed="false">
      <c r="A35" s="27" t="n">
        <v>34</v>
      </c>
      <c r="B35" s="27" t="s">
        <v>95</v>
      </c>
      <c r="C35" s="28" t="n">
        <v>3</v>
      </c>
      <c r="D35" s="28" t="n">
        <v>3</v>
      </c>
      <c r="E35" s="28" t="n">
        <f aca="false">D35-C35</f>
        <v>0</v>
      </c>
      <c r="F35" s="29" t="str">
        <f aca="false">IF(E35&gt;=Resumo!$C$23,"Sim","Não")</f>
        <v>Não</v>
      </c>
    </row>
    <row r="36" customFormat="false" ht="15" hidden="false" customHeight="false" outlineLevel="0" collapsed="false">
      <c r="A36" s="27" t="n">
        <v>35</v>
      </c>
      <c r="B36" s="27" t="s">
        <v>96</v>
      </c>
      <c r="C36" s="28" t="n">
        <v>1</v>
      </c>
      <c r="D36" s="28" t="n">
        <v>2</v>
      </c>
      <c r="E36" s="28" t="n">
        <f aca="false">D36-C36</f>
        <v>1</v>
      </c>
      <c r="F36" s="29" t="str">
        <f aca="false">IF(E36&gt;=Resumo!$C$23,"Sim","Não")</f>
        <v>Não</v>
      </c>
    </row>
    <row r="37" customFormat="false" ht="15" hidden="false" customHeight="false" outlineLevel="0" collapsed="false">
      <c r="A37" s="27" t="n">
        <v>36</v>
      </c>
      <c r="B37" s="27" t="s">
        <v>97</v>
      </c>
      <c r="C37" s="28" t="n">
        <v>2</v>
      </c>
      <c r="D37" s="28" t="n">
        <v>0</v>
      </c>
      <c r="E37" s="28" t="n">
        <f aca="false">D37-C37</f>
        <v>-2</v>
      </c>
      <c r="F37" s="29" t="str">
        <f aca="false">IF(E37&gt;=Resumo!$C$23,"Sim","Não")</f>
        <v>Não</v>
      </c>
    </row>
    <row r="38" customFormat="false" ht="15" hidden="false" customHeight="false" outlineLevel="0" collapsed="false">
      <c r="A38" s="27" t="n">
        <v>37</v>
      </c>
      <c r="B38" s="27" t="s">
        <v>98</v>
      </c>
      <c r="C38" s="28" t="n">
        <v>13</v>
      </c>
      <c r="D38" s="28" t="n">
        <v>17</v>
      </c>
      <c r="E38" s="28" t="n">
        <f aca="false">D38-C38</f>
        <v>4</v>
      </c>
      <c r="F38" s="29" t="str">
        <f aca="false">IF(E38&gt;=Resumo!$C$23,"Sim","Não")</f>
        <v>Sim</v>
      </c>
    </row>
    <row r="39" customFormat="false" ht="15" hidden="false" customHeight="false" outlineLevel="0" collapsed="false">
      <c r="A39" s="27" t="n">
        <v>38</v>
      </c>
      <c r="B39" s="27" t="s">
        <v>99</v>
      </c>
      <c r="C39" s="28" t="n">
        <v>4</v>
      </c>
      <c r="D39" s="28" t="n">
        <v>3</v>
      </c>
      <c r="E39" s="28" t="n">
        <f aca="false">D39-C39</f>
        <v>-1</v>
      </c>
      <c r="F39" s="29" t="str">
        <f aca="false">IF(E39&gt;=Resumo!$C$23,"Sim","Não")</f>
        <v>Não</v>
      </c>
    </row>
    <row r="40" customFormat="false" ht="15" hidden="false" customHeight="false" outlineLevel="0" collapsed="false">
      <c r="A40" s="27" t="n">
        <v>39</v>
      </c>
      <c r="B40" s="27" t="s">
        <v>100</v>
      </c>
      <c r="C40" s="28" t="n">
        <v>2</v>
      </c>
      <c r="D40" s="28" t="n">
        <v>2</v>
      </c>
      <c r="E40" s="28" t="n">
        <f aca="false">D40-C40</f>
        <v>0</v>
      </c>
      <c r="F40" s="29" t="str">
        <f aca="false">IF(E40&gt;=Resumo!$C$23,"Sim","Não")</f>
        <v>Não</v>
      </c>
    </row>
    <row r="41" customFormat="false" ht="15" hidden="false" customHeight="false" outlineLevel="0" collapsed="false">
      <c r="A41" s="27" t="n">
        <v>40</v>
      </c>
      <c r="B41" s="27" t="s">
        <v>101</v>
      </c>
      <c r="C41" s="28" t="n">
        <v>0</v>
      </c>
      <c r="D41" s="28" t="n">
        <v>1</v>
      </c>
      <c r="E41" s="28" t="n">
        <f aca="false">D41-C41</f>
        <v>1</v>
      </c>
      <c r="F41" s="29" t="str">
        <f aca="false">IF(E41&gt;=Resumo!$C$23,"Sim","Não")</f>
        <v>Não</v>
      </c>
    </row>
    <row r="42" customFormat="false" ht="15" hidden="false" customHeight="false" outlineLevel="0" collapsed="false">
      <c r="A42" s="27" t="n">
        <v>41</v>
      </c>
      <c r="B42" s="27" t="s">
        <v>102</v>
      </c>
      <c r="C42" s="28" t="n">
        <v>1</v>
      </c>
      <c r="D42" s="28" t="n">
        <v>1</v>
      </c>
      <c r="E42" s="28" t="n">
        <f aca="false">D42-C42</f>
        <v>0</v>
      </c>
      <c r="F42" s="29" t="str">
        <f aca="false">IF(E42&gt;=Resumo!$C$23,"Sim","Não")</f>
        <v>Não</v>
      </c>
    </row>
    <row r="43" customFormat="false" ht="15" hidden="false" customHeight="false" outlineLevel="0" collapsed="false">
      <c r="A43" s="27" t="n">
        <v>42</v>
      </c>
      <c r="B43" s="27" t="s">
        <v>103</v>
      </c>
      <c r="C43" s="28" t="n">
        <v>1</v>
      </c>
      <c r="D43" s="28" t="n">
        <v>0</v>
      </c>
      <c r="E43" s="28" t="n">
        <f aca="false">D43-C43</f>
        <v>-1</v>
      </c>
      <c r="F43" s="29" t="str">
        <f aca="false">IF(E43&gt;=Resumo!$C$23,"Sim","Não")</f>
        <v>Não</v>
      </c>
    </row>
    <row r="44" customFormat="false" ht="15" hidden="false" customHeight="false" outlineLevel="0" collapsed="false">
      <c r="A44" s="27" t="n">
        <v>43</v>
      </c>
      <c r="B44" s="27" t="s">
        <v>104</v>
      </c>
      <c r="C44" s="28" t="n">
        <v>1</v>
      </c>
      <c r="D44" s="28" t="n">
        <v>1</v>
      </c>
      <c r="E44" s="28" t="n">
        <f aca="false">D44-C44</f>
        <v>0</v>
      </c>
      <c r="F44" s="29" t="str">
        <f aca="false">IF(E44&gt;=Resumo!$C$23,"Sim","Não")</f>
        <v>Não</v>
      </c>
    </row>
    <row r="45" customFormat="false" ht="15" hidden="false" customHeight="false" outlineLevel="0" collapsed="false">
      <c r="A45" s="27" t="n">
        <v>44</v>
      </c>
      <c r="B45" s="27" t="s">
        <v>105</v>
      </c>
      <c r="C45" s="28" t="n">
        <v>2</v>
      </c>
      <c r="D45" s="28" t="n">
        <v>1</v>
      </c>
      <c r="E45" s="28" t="n">
        <f aca="false">D45-C45</f>
        <v>-1</v>
      </c>
      <c r="F45" s="29" t="str">
        <f aca="false">IF(E45&gt;=Resumo!$C$23,"Sim","Não")</f>
        <v>Não</v>
      </c>
    </row>
    <row r="46" customFormat="false" ht="15" hidden="false" customHeight="false" outlineLevel="0" collapsed="false">
      <c r="A46" s="27" t="n">
        <v>45</v>
      </c>
      <c r="B46" s="27" t="s">
        <v>106</v>
      </c>
      <c r="C46" s="28" t="n">
        <v>1</v>
      </c>
      <c r="D46" s="28" t="n">
        <v>1</v>
      </c>
      <c r="E46" s="28" t="n">
        <f aca="false">D46-C46</f>
        <v>0</v>
      </c>
      <c r="F46" s="29" t="str">
        <f aca="false">IF(E46&gt;=Resumo!$C$23,"Sim","Não")</f>
        <v>Não</v>
      </c>
    </row>
    <row r="47" customFormat="false" ht="15" hidden="false" customHeight="false" outlineLevel="0" collapsed="false">
      <c r="A47" s="27" t="n">
        <v>46</v>
      </c>
      <c r="B47" s="27" t="s">
        <v>107</v>
      </c>
      <c r="C47" s="28" t="n">
        <v>1</v>
      </c>
      <c r="D47" s="28" t="n">
        <v>1</v>
      </c>
      <c r="E47" s="28" t="n">
        <f aca="false">D47-C47</f>
        <v>0</v>
      </c>
      <c r="F47" s="29" t="str">
        <f aca="false">IF(E47&gt;=Resumo!$C$23,"Sim","Não")</f>
        <v>Não</v>
      </c>
    </row>
    <row r="48" customFormat="false" ht="15" hidden="false" customHeight="false" outlineLevel="0" collapsed="false">
      <c r="A48" s="27" t="n">
        <v>47</v>
      </c>
      <c r="B48" s="27" t="s">
        <v>108</v>
      </c>
      <c r="C48" s="28" t="n">
        <v>1</v>
      </c>
      <c r="D48" s="28" t="n">
        <v>0</v>
      </c>
      <c r="E48" s="28" t="n">
        <f aca="false">D48-C48</f>
        <v>-1</v>
      </c>
      <c r="F48" s="29" t="str">
        <f aca="false">IF(E48&gt;=Resumo!$C$23,"Sim","Não")</f>
        <v>Não</v>
      </c>
    </row>
    <row r="49" customFormat="false" ht="15" hidden="false" customHeight="false" outlineLevel="0" collapsed="false">
      <c r="A49" s="27" t="n">
        <v>48</v>
      </c>
      <c r="B49" s="27" t="s">
        <v>109</v>
      </c>
      <c r="C49" s="28" t="n">
        <v>1</v>
      </c>
      <c r="D49" s="28" t="n">
        <v>1</v>
      </c>
      <c r="E49" s="28" t="n">
        <f aca="false">D49-C49</f>
        <v>0</v>
      </c>
      <c r="F49" s="29" t="str">
        <f aca="false">IF(E49&gt;=Resumo!$C$23,"Sim","Não")</f>
        <v>Não</v>
      </c>
    </row>
    <row r="50" customFormat="false" ht="15" hidden="false" customHeight="false" outlineLevel="0" collapsed="false">
      <c r="A50" s="27" t="n">
        <v>49</v>
      </c>
      <c r="B50" s="27" t="s">
        <v>110</v>
      </c>
      <c r="C50" s="28" t="n">
        <v>2</v>
      </c>
      <c r="D50" s="28" t="n">
        <v>3</v>
      </c>
      <c r="E50" s="28" t="n">
        <f aca="false">D50-C50</f>
        <v>1</v>
      </c>
      <c r="F50" s="29" t="str">
        <f aca="false">IF(E50&gt;=Resumo!$C$23,"Sim","Não")</f>
        <v>Não</v>
      </c>
    </row>
    <row r="51" customFormat="false" ht="15" hidden="false" customHeight="false" outlineLevel="0" collapsed="false">
      <c r="A51" s="27" t="n">
        <v>50</v>
      </c>
      <c r="B51" s="27" t="s">
        <v>41</v>
      </c>
      <c r="C51" s="28" t="n">
        <v>2</v>
      </c>
      <c r="D51" s="28" t="n">
        <v>12</v>
      </c>
      <c r="E51" s="28" t="n">
        <f aca="false">D51-C51</f>
        <v>10</v>
      </c>
      <c r="F51" s="29" t="str">
        <f aca="false">IF(E51&gt;=Resumo!$C$23,"Sim","Não")</f>
        <v>Sim</v>
      </c>
    </row>
    <row r="52" customFormat="false" ht="15" hidden="false" customHeight="false" outlineLevel="0" collapsed="false">
      <c r="A52" s="27" t="n">
        <v>51</v>
      </c>
      <c r="B52" s="27" t="s">
        <v>111</v>
      </c>
      <c r="C52" s="28" t="n">
        <v>2</v>
      </c>
      <c r="D52" s="28" t="n">
        <v>4</v>
      </c>
      <c r="E52" s="28" t="n">
        <f aca="false">D52-C52</f>
        <v>2</v>
      </c>
      <c r="F52" s="29" t="str">
        <f aca="false">IF(E52&gt;=Resumo!$C$23,"Sim","Não")</f>
        <v>Não</v>
      </c>
    </row>
    <row r="53" customFormat="false" ht="15" hidden="false" customHeight="false" outlineLevel="0" collapsed="false">
      <c r="A53" s="27" t="n">
        <v>52</v>
      </c>
      <c r="B53" s="27" t="s">
        <v>112</v>
      </c>
      <c r="C53" s="28" t="n">
        <v>3</v>
      </c>
      <c r="D53" s="28" t="n">
        <v>1</v>
      </c>
      <c r="E53" s="28" t="n">
        <f aca="false">D53-C53</f>
        <v>-2</v>
      </c>
      <c r="F53" s="29" t="str">
        <f aca="false">IF(E53&gt;=Resumo!$C$23,"Sim","Não")</f>
        <v>Não</v>
      </c>
    </row>
    <row r="54" customFormat="false" ht="15" hidden="false" customHeight="false" outlineLevel="0" collapsed="false">
      <c r="A54" s="27" t="n">
        <v>53</v>
      </c>
      <c r="B54" s="27" t="s">
        <v>113</v>
      </c>
      <c r="C54" s="28" t="n">
        <v>1</v>
      </c>
      <c r="D54" s="28" t="n">
        <v>0</v>
      </c>
      <c r="E54" s="28" t="n">
        <f aca="false">D54-C54</f>
        <v>-1</v>
      </c>
      <c r="F54" s="29" t="str">
        <f aca="false">IF(E54&gt;=Resumo!$C$23,"Sim","Não")</f>
        <v>Não</v>
      </c>
    </row>
    <row r="55" customFormat="false" ht="15" hidden="false" customHeight="false" outlineLevel="0" collapsed="false">
      <c r="A55" s="27" t="n">
        <v>54</v>
      </c>
      <c r="B55" s="27" t="s">
        <v>114</v>
      </c>
      <c r="C55" s="28" t="n">
        <v>2</v>
      </c>
      <c r="D55" s="28" t="n">
        <v>1</v>
      </c>
      <c r="E55" s="28" t="n">
        <f aca="false">D55-C55</f>
        <v>-1</v>
      </c>
      <c r="F55" s="29" t="str">
        <f aca="false">IF(E55&gt;=Resumo!$C$23,"Sim","Não")</f>
        <v>Não</v>
      </c>
    </row>
    <row r="56" customFormat="false" ht="15" hidden="false" customHeight="false" outlineLevel="0" collapsed="false">
      <c r="A56" s="27" t="n">
        <v>55</v>
      </c>
      <c r="B56" s="27" t="s">
        <v>115</v>
      </c>
      <c r="C56" s="28" t="n">
        <v>2</v>
      </c>
      <c r="D56" s="28" t="n">
        <v>2</v>
      </c>
      <c r="E56" s="28" t="n">
        <f aca="false">D56-C56</f>
        <v>0</v>
      </c>
      <c r="F56" s="29" t="str">
        <f aca="false">IF(E56&gt;=Resumo!$C$23,"Sim","Não")</f>
        <v>Não</v>
      </c>
    </row>
    <row r="57" customFormat="false" ht="15" hidden="false" customHeight="false" outlineLevel="0" collapsed="false">
      <c r="A57" s="27" t="n">
        <v>56</v>
      </c>
      <c r="B57" s="27" t="s">
        <v>116</v>
      </c>
      <c r="C57" s="28" t="n">
        <v>2</v>
      </c>
      <c r="D57" s="28" t="n">
        <v>3</v>
      </c>
      <c r="E57" s="28" t="n">
        <f aca="false">D57-C57</f>
        <v>1</v>
      </c>
      <c r="F57" s="29" t="str">
        <f aca="false">IF(E57&gt;=Resumo!$C$23,"Sim","Não")</f>
        <v>Não</v>
      </c>
    </row>
    <row r="58" customFormat="false" ht="15" hidden="false" customHeight="false" outlineLevel="0" collapsed="false">
      <c r="A58" s="27" t="n">
        <v>57</v>
      </c>
      <c r="B58" s="27" t="s">
        <v>117</v>
      </c>
      <c r="C58" s="28" t="n">
        <v>0</v>
      </c>
      <c r="D58" s="28" t="n">
        <v>2</v>
      </c>
      <c r="E58" s="28" t="n">
        <f aca="false">D58-C58</f>
        <v>2</v>
      </c>
      <c r="F58" s="29" t="str">
        <f aca="false">IF(E58&gt;=Resumo!$C$23,"Sim","Não")</f>
        <v>Não</v>
      </c>
    </row>
    <row r="59" customFormat="false" ht="15" hidden="false" customHeight="false" outlineLevel="0" collapsed="false">
      <c r="A59" s="27" t="n">
        <v>58</v>
      </c>
      <c r="B59" s="27" t="s">
        <v>118</v>
      </c>
      <c r="C59" s="28" t="n">
        <v>1</v>
      </c>
      <c r="D59" s="28" t="n">
        <v>0</v>
      </c>
      <c r="E59" s="28" t="n">
        <f aca="false">D59-C59</f>
        <v>-1</v>
      </c>
      <c r="F59" s="29" t="str">
        <f aca="false">IF(E59&gt;=Resumo!$C$23,"Sim","Não")</f>
        <v>Não</v>
      </c>
    </row>
    <row r="60" customFormat="false" ht="15" hidden="false" customHeight="false" outlineLevel="0" collapsed="false">
      <c r="A60" s="27" t="n">
        <v>59</v>
      </c>
      <c r="B60" s="27" t="s">
        <v>49</v>
      </c>
      <c r="C60" s="28" t="n">
        <v>1</v>
      </c>
      <c r="D60" s="28" t="n">
        <v>2</v>
      </c>
      <c r="E60" s="28" t="n">
        <f aca="false">D60-C60</f>
        <v>1</v>
      </c>
      <c r="F60" s="29" t="str">
        <f aca="false">IF(E60&gt;=Resumo!$C$23,"Sim","Não")</f>
        <v>Não</v>
      </c>
    </row>
    <row r="61" customFormat="false" ht="15" hidden="false" customHeight="false" outlineLevel="0" collapsed="false">
      <c r="A61" s="27" t="n">
        <v>60</v>
      </c>
      <c r="B61" s="27" t="s">
        <v>119</v>
      </c>
      <c r="C61" s="28" t="n">
        <v>1</v>
      </c>
      <c r="D61" s="28" t="n">
        <v>3</v>
      </c>
      <c r="E61" s="28" t="n">
        <f aca="false">D61-C61</f>
        <v>2</v>
      </c>
      <c r="F61" s="29" t="str">
        <f aca="false">IF(E61&gt;=Resumo!$C$23,"Sim","Não")</f>
        <v>Não</v>
      </c>
    </row>
    <row r="62" customFormat="false" ht="15" hidden="false" customHeight="false" outlineLevel="0" collapsed="false">
      <c r="A62" s="27" t="n">
        <v>61</v>
      </c>
      <c r="B62" s="27" t="s">
        <v>120</v>
      </c>
      <c r="C62" s="28" t="n">
        <v>0</v>
      </c>
      <c r="D62" s="28" t="n">
        <v>1</v>
      </c>
      <c r="E62" s="28" t="n">
        <f aca="false">D62-C62</f>
        <v>1</v>
      </c>
      <c r="F62" s="29" t="str">
        <f aca="false">IF(E62&gt;=Resumo!$C$23,"Sim","Não")</f>
        <v>Não</v>
      </c>
    </row>
    <row r="63" customFormat="false" ht="15" hidden="false" customHeight="false" outlineLevel="0" collapsed="false">
      <c r="A63" s="27" t="n">
        <v>62</v>
      </c>
      <c r="B63" s="27" t="s">
        <v>121</v>
      </c>
      <c r="C63" s="28" t="n">
        <v>1</v>
      </c>
      <c r="D63" s="28" t="n">
        <v>1</v>
      </c>
      <c r="E63" s="28" t="n">
        <f aca="false">D63-C63</f>
        <v>0</v>
      </c>
      <c r="F63" s="29" t="str">
        <f aca="false">IF(E63&gt;=Resumo!$C$23,"Sim","Não")</f>
        <v>Não</v>
      </c>
    </row>
    <row r="64" customFormat="false" ht="15" hidden="false" customHeight="false" outlineLevel="0" collapsed="false">
      <c r="A64" s="27" t="n">
        <v>63</v>
      </c>
      <c r="B64" s="27" t="s">
        <v>122</v>
      </c>
      <c r="C64" s="28" t="n">
        <v>0</v>
      </c>
      <c r="D64" s="28" t="n">
        <v>3</v>
      </c>
      <c r="E64" s="28" t="n">
        <f aca="false">D64-C64</f>
        <v>3</v>
      </c>
      <c r="F64" s="29" t="str">
        <f aca="false">IF(E64&gt;=Resumo!$C$23,"Sim","Não")</f>
        <v>Não</v>
      </c>
    </row>
    <row r="65" customFormat="false" ht="15" hidden="false" customHeight="false" outlineLevel="0" collapsed="false">
      <c r="A65" s="27" t="n">
        <v>64</v>
      </c>
      <c r="B65" s="27" t="s">
        <v>123</v>
      </c>
      <c r="C65" s="28" t="n">
        <v>3</v>
      </c>
      <c r="D65" s="28" t="n">
        <v>3</v>
      </c>
      <c r="E65" s="28" t="n">
        <f aca="false">D65-C65</f>
        <v>0</v>
      </c>
      <c r="F65" s="29" t="str">
        <f aca="false">IF(E65&gt;=Resumo!$C$23,"Sim","Não")</f>
        <v>Não</v>
      </c>
    </row>
    <row r="66" customFormat="false" ht="15" hidden="false" customHeight="false" outlineLevel="0" collapsed="false">
      <c r="A66" s="27" t="n">
        <v>65</v>
      </c>
      <c r="B66" s="27" t="s">
        <v>124</v>
      </c>
      <c r="C66" s="28" t="n">
        <v>2</v>
      </c>
      <c r="D66" s="28" t="n">
        <v>2</v>
      </c>
      <c r="E66" s="28" t="n">
        <f aca="false">D66-C66</f>
        <v>0</v>
      </c>
      <c r="F66" s="29" t="str">
        <f aca="false">IF(E66&gt;=Resumo!$C$23,"Sim","Não")</f>
        <v>Não</v>
      </c>
    </row>
    <row r="67" customFormat="false" ht="15" hidden="false" customHeight="false" outlineLevel="0" collapsed="false">
      <c r="A67" s="27" t="n">
        <v>66</v>
      </c>
      <c r="B67" s="27" t="s">
        <v>125</v>
      </c>
      <c r="C67" s="28" t="n">
        <v>1</v>
      </c>
      <c r="D67" s="28" t="n">
        <v>1</v>
      </c>
      <c r="E67" s="28" t="n">
        <f aca="false">D67-C67</f>
        <v>0</v>
      </c>
      <c r="F67" s="29" t="str">
        <f aca="false">IF(E67&gt;=Resumo!$C$23,"Sim","Não")</f>
        <v>Não</v>
      </c>
    </row>
    <row r="68" customFormat="false" ht="15" hidden="false" customHeight="false" outlineLevel="0" collapsed="false">
      <c r="A68" s="27" t="n">
        <v>67</v>
      </c>
      <c r="B68" s="27" t="s">
        <v>126</v>
      </c>
      <c r="C68" s="28" t="n">
        <v>1</v>
      </c>
      <c r="D68" s="28" t="n">
        <v>1</v>
      </c>
      <c r="E68" s="28" t="n">
        <f aca="false">D68-C68</f>
        <v>0</v>
      </c>
      <c r="F68" s="29" t="str">
        <f aca="false">IF(E68&gt;=Resumo!$C$23,"Sim","Não")</f>
        <v>Não</v>
      </c>
    </row>
    <row r="69" customFormat="false" ht="15" hidden="false" customHeight="false" outlineLevel="0" collapsed="false">
      <c r="A69" s="27" t="n">
        <v>68</v>
      </c>
      <c r="B69" s="27" t="s">
        <v>127</v>
      </c>
      <c r="C69" s="28" t="n">
        <v>0</v>
      </c>
      <c r="D69" s="28" t="n">
        <v>1</v>
      </c>
      <c r="E69" s="28" t="n">
        <f aca="false">D69-C69</f>
        <v>1</v>
      </c>
      <c r="F69" s="29" t="str">
        <f aca="false">IF(E69&gt;=Resumo!$C$23,"Sim","Não")</f>
        <v>Não</v>
      </c>
    </row>
    <row r="70" customFormat="false" ht="15" hidden="false" customHeight="false" outlineLevel="0" collapsed="false">
      <c r="A70" s="27" t="n">
        <v>69</v>
      </c>
      <c r="B70" s="27" t="s">
        <v>128</v>
      </c>
      <c r="C70" s="28" t="n">
        <v>1</v>
      </c>
      <c r="D70" s="28" t="n">
        <v>1</v>
      </c>
      <c r="E70" s="28" t="n">
        <f aca="false">D70-C70</f>
        <v>0</v>
      </c>
      <c r="F70" s="29" t="str">
        <f aca="false">IF(E70&gt;=Resumo!$C$23,"Sim","Não")</f>
        <v>Não</v>
      </c>
    </row>
    <row r="71" customFormat="false" ht="15" hidden="false" customHeight="false" outlineLevel="0" collapsed="false">
      <c r="A71" s="27" t="n">
        <v>70</v>
      </c>
      <c r="B71" s="27" t="s">
        <v>129</v>
      </c>
      <c r="C71" s="28" t="n">
        <v>1</v>
      </c>
      <c r="D71" s="28" t="n">
        <v>1</v>
      </c>
      <c r="E71" s="28" t="n">
        <f aca="false">D71-C71</f>
        <v>0</v>
      </c>
      <c r="F71" s="29" t="str">
        <f aca="false">IF(E71&gt;=Resumo!$C$23,"Sim","Não")</f>
        <v>Não</v>
      </c>
    </row>
    <row r="72" customFormat="false" ht="15" hidden="false" customHeight="false" outlineLevel="0" collapsed="false">
      <c r="A72" s="27" t="n">
        <v>71</v>
      </c>
      <c r="B72" s="27" t="s">
        <v>130</v>
      </c>
      <c r="C72" s="28" t="n">
        <v>2</v>
      </c>
      <c r="D72" s="28" t="n">
        <v>5</v>
      </c>
      <c r="E72" s="28" t="n">
        <f aca="false">D72-C72</f>
        <v>3</v>
      </c>
      <c r="F72" s="29" t="str">
        <f aca="false">IF(E72&gt;=Resumo!$C$23,"Sim","Não")</f>
        <v>Não</v>
      </c>
    </row>
    <row r="73" customFormat="false" ht="15" hidden="false" customHeight="false" outlineLevel="0" collapsed="false">
      <c r="A73" s="27" t="n">
        <v>72</v>
      </c>
      <c r="B73" s="27" t="s">
        <v>131</v>
      </c>
      <c r="C73" s="28" t="n">
        <v>0</v>
      </c>
      <c r="D73" s="28" t="n">
        <v>3</v>
      </c>
      <c r="E73" s="28" t="n">
        <f aca="false">D73-C73</f>
        <v>3</v>
      </c>
      <c r="F73" s="29" t="str">
        <f aca="false">IF(E73&gt;=Resumo!$C$23,"Sim","Não")</f>
        <v>Não</v>
      </c>
    </row>
    <row r="74" customFormat="false" ht="15" hidden="false" customHeight="false" outlineLevel="0" collapsed="false">
      <c r="A74" s="27" t="n">
        <v>73</v>
      </c>
      <c r="B74" s="27" t="s">
        <v>132</v>
      </c>
      <c r="C74" s="28" t="n">
        <v>5</v>
      </c>
      <c r="D74" s="28" t="n">
        <v>6</v>
      </c>
      <c r="E74" s="28" t="n">
        <f aca="false">D74-C74</f>
        <v>1</v>
      </c>
      <c r="F74" s="29" t="str">
        <f aca="false">IF(E74&gt;=Resumo!$C$23,"Sim","Não")</f>
        <v>Não</v>
      </c>
    </row>
    <row r="75" customFormat="false" ht="15" hidden="false" customHeight="false" outlineLevel="0" collapsed="false">
      <c r="A75" s="27" t="n">
        <v>74</v>
      </c>
      <c r="B75" s="27" t="s">
        <v>133</v>
      </c>
      <c r="C75" s="28" t="n">
        <v>0</v>
      </c>
      <c r="D75" s="28" t="n">
        <v>1</v>
      </c>
      <c r="E75" s="28" t="n">
        <f aca="false">D75-C75</f>
        <v>1</v>
      </c>
      <c r="F75" s="29" t="str">
        <f aca="false">IF(E75&gt;=Resumo!$C$23,"Sim","Não")</f>
        <v>Não</v>
      </c>
    </row>
    <row r="76" customFormat="false" ht="15" hidden="false" customHeight="false" outlineLevel="0" collapsed="false">
      <c r="A76" s="27" t="n">
        <v>75</v>
      </c>
      <c r="B76" s="27" t="s">
        <v>134</v>
      </c>
      <c r="C76" s="28" t="n">
        <v>5</v>
      </c>
      <c r="D76" s="28" t="n">
        <v>6</v>
      </c>
      <c r="E76" s="28" t="n">
        <f aca="false">D76-C76</f>
        <v>1</v>
      </c>
      <c r="F76" s="29" t="str">
        <f aca="false">IF(E76&gt;=Resumo!$C$23,"Sim","Não")</f>
        <v>Não</v>
      </c>
    </row>
    <row r="77" customFormat="false" ht="15" hidden="false" customHeight="false" outlineLevel="0" collapsed="false">
      <c r="A77" s="27" t="n">
        <v>76</v>
      </c>
      <c r="B77" s="27" t="s">
        <v>135</v>
      </c>
      <c r="C77" s="28" t="n">
        <v>5</v>
      </c>
      <c r="D77" s="28" t="n">
        <v>4</v>
      </c>
      <c r="E77" s="28" t="n">
        <f aca="false">D77-C77</f>
        <v>-1</v>
      </c>
      <c r="F77" s="29" t="str">
        <f aca="false">IF(E77&gt;=Resumo!$C$23,"Sim","Não")</f>
        <v>Não</v>
      </c>
    </row>
    <row r="78" customFormat="false" ht="15" hidden="false" customHeight="false" outlineLevel="0" collapsed="false">
      <c r="A78" s="27" t="n">
        <v>77</v>
      </c>
      <c r="B78" s="27" t="s">
        <v>136</v>
      </c>
      <c r="C78" s="28" t="n">
        <v>0</v>
      </c>
      <c r="D78" s="28" t="n">
        <v>5</v>
      </c>
      <c r="E78" s="28" t="n">
        <f aca="false">D78-C78</f>
        <v>5</v>
      </c>
      <c r="F78" s="29" t="str">
        <f aca="false">IF(E78&gt;=Resumo!$C$23,"Sim","Não")</f>
        <v>Sim</v>
      </c>
    </row>
    <row r="79" customFormat="false" ht="15" hidden="false" customHeight="false" outlineLevel="0" collapsed="false">
      <c r="A79" s="27" t="n">
        <v>78</v>
      </c>
      <c r="B79" s="27" t="s">
        <v>137</v>
      </c>
      <c r="C79" s="28" t="n">
        <v>2</v>
      </c>
      <c r="D79" s="28" t="n">
        <v>4</v>
      </c>
      <c r="E79" s="28" t="n">
        <f aca="false">D79-C79</f>
        <v>2</v>
      </c>
      <c r="F79" s="29" t="str">
        <f aca="false">IF(E79&gt;=Resumo!$C$23,"Sim","Não")</f>
        <v>Não</v>
      </c>
    </row>
    <row r="80" customFormat="false" ht="15" hidden="false" customHeight="false" outlineLevel="0" collapsed="false">
      <c r="A80" s="27" t="n">
        <v>79</v>
      </c>
      <c r="B80" s="27" t="s">
        <v>138</v>
      </c>
      <c r="C80" s="28" t="n">
        <v>0</v>
      </c>
      <c r="D80" s="28" t="n">
        <v>1</v>
      </c>
      <c r="E80" s="28" t="n">
        <f aca="false">D80-C80</f>
        <v>1</v>
      </c>
      <c r="F80" s="29" t="str">
        <f aca="false">IF(E80&gt;=Resumo!$C$23,"Sim","Não")</f>
        <v>Não</v>
      </c>
    </row>
    <row r="81" customFormat="false" ht="15" hidden="false" customHeight="false" outlineLevel="0" collapsed="false">
      <c r="A81" s="27" t="n">
        <v>80</v>
      </c>
      <c r="B81" s="27" t="s">
        <v>139</v>
      </c>
      <c r="C81" s="28" t="n">
        <v>3</v>
      </c>
      <c r="D81" s="28" t="n">
        <v>3</v>
      </c>
      <c r="E81" s="28" t="n">
        <f aca="false">D81-C81</f>
        <v>0</v>
      </c>
      <c r="F81" s="29" t="str">
        <f aca="false">IF(E81&gt;=Resumo!$C$23,"Sim","Não")</f>
        <v>Não</v>
      </c>
    </row>
    <row r="82" customFormat="false" ht="15" hidden="false" customHeight="false" outlineLevel="0" collapsed="false">
      <c r="A82" s="27" t="n">
        <v>81</v>
      </c>
      <c r="B82" s="27" t="s">
        <v>140</v>
      </c>
      <c r="C82" s="28" t="n">
        <v>0</v>
      </c>
      <c r="D82" s="28" t="n">
        <v>1</v>
      </c>
      <c r="E82" s="28" t="n">
        <f aca="false">D82-C82</f>
        <v>1</v>
      </c>
      <c r="F82" s="29" t="str">
        <f aca="false">IF(E82&gt;=Resumo!$C$23,"Sim","Não")</f>
        <v>Não</v>
      </c>
    </row>
    <row r="83" customFormat="false" ht="15" hidden="false" customHeight="false" outlineLevel="0" collapsed="false">
      <c r="A83" s="27" t="n">
        <v>82</v>
      </c>
      <c r="B83" s="27" t="s">
        <v>141</v>
      </c>
      <c r="C83" s="28" t="n">
        <v>1</v>
      </c>
      <c r="D83" s="28" t="n">
        <v>1</v>
      </c>
      <c r="E83" s="28" t="n">
        <f aca="false">D83-C83</f>
        <v>0</v>
      </c>
      <c r="F83" s="29" t="str">
        <f aca="false">IF(E83&gt;=Resumo!$C$23,"Sim","Não")</f>
        <v>Não</v>
      </c>
    </row>
    <row r="84" customFormat="false" ht="15" hidden="false" customHeight="false" outlineLevel="0" collapsed="false">
      <c r="A84" s="27" t="n">
        <v>83</v>
      </c>
      <c r="B84" s="27" t="s">
        <v>51</v>
      </c>
      <c r="C84" s="28" t="n">
        <v>5</v>
      </c>
      <c r="D84" s="28" t="n">
        <v>4</v>
      </c>
      <c r="E84" s="28" t="n">
        <f aca="false">D84-C84</f>
        <v>-1</v>
      </c>
      <c r="F84" s="29" t="str">
        <f aca="false">IF(E84&gt;=Resumo!$C$23,"Sim","Não")</f>
        <v>Não</v>
      </c>
    </row>
    <row r="85" customFormat="false" ht="15" hidden="false" customHeight="false" outlineLevel="0" collapsed="false">
      <c r="A85" s="27" t="n">
        <v>84</v>
      </c>
      <c r="B85" s="27" t="s">
        <v>142</v>
      </c>
      <c r="C85" s="28" t="n">
        <v>0</v>
      </c>
      <c r="D85" s="28" t="n">
        <v>1</v>
      </c>
      <c r="E85" s="28" t="n">
        <f aca="false">D85-C85</f>
        <v>1</v>
      </c>
      <c r="F85" s="29" t="str">
        <f aca="false">IF(E85&gt;=Resumo!$C$23,"Sim","Não")</f>
        <v>Não</v>
      </c>
    </row>
    <row r="86" customFormat="false" ht="15" hidden="false" customHeight="false" outlineLevel="0" collapsed="false">
      <c r="A86" s="27" t="n">
        <v>85</v>
      </c>
      <c r="B86" s="27" t="s">
        <v>143</v>
      </c>
      <c r="C86" s="28" t="n">
        <v>1</v>
      </c>
      <c r="D86" s="28" t="n">
        <v>0</v>
      </c>
      <c r="E86" s="28" t="n">
        <f aca="false">D86-C86</f>
        <v>-1</v>
      </c>
      <c r="F86" s="29" t="str">
        <f aca="false">IF(E86&gt;=Resumo!$C$23,"Sim","Não")</f>
        <v>Não</v>
      </c>
    </row>
    <row r="87" customFormat="false" ht="15" hidden="false" customHeight="false" outlineLevel="0" collapsed="false">
      <c r="A87" s="27" t="n">
        <v>86</v>
      </c>
      <c r="B87" s="27" t="s">
        <v>144</v>
      </c>
      <c r="C87" s="28" t="n">
        <v>2</v>
      </c>
      <c r="D87" s="28" t="n">
        <v>2</v>
      </c>
      <c r="E87" s="28" t="n">
        <f aca="false">D87-C87</f>
        <v>0</v>
      </c>
      <c r="F87" s="29" t="str">
        <f aca="false">IF(E87&gt;=Resumo!$C$23,"Sim","Não")</f>
        <v>Não</v>
      </c>
    </row>
    <row r="88" customFormat="false" ht="15" hidden="false" customHeight="false" outlineLevel="0" collapsed="false">
      <c r="A88" s="27" t="n">
        <v>87</v>
      </c>
      <c r="B88" s="27" t="s">
        <v>145</v>
      </c>
      <c r="C88" s="28" t="n">
        <v>1</v>
      </c>
      <c r="D88" s="28" t="n">
        <v>3</v>
      </c>
      <c r="E88" s="28" t="n">
        <f aca="false">D88-C88</f>
        <v>2</v>
      </c>
      <c r="F88" s="29" t="str">
        <f aca="false">IF(E88&gt;=Resumo!$C$23,"Sim","Não")</f>
        <v>Não</v>
      </c>
    </row>
    <row r="89" customFormat="false" ht="15" hidden="false" customHeight="false" outlineLevel="0" collapsed="false">
      <c r="A89" s="27" t="n">
        <v>88</v>
      </c>
      <c r="B89" s="27" t="s">
        <v>146</v>
      </c>
      <c r="C89" s="28" t="n">
        <v>1</v>
      </c>
      <c r="D89" s="28" t="n">
        <v>1</v>
      </c>
      <c r="E89" s="28" t="n">
        <f aca="false">D89-C89</f>
        <v>0</v>
      </c>
      <c r="F89" s="29" t="str">
        <f aca="false">IF(E89&gt;=Resumo!$C$23,"Sim","Não")</f>
        <v>Não</v>
      </c>
    </row>
    <row r="90" customFormat="false" ht="15" hidden="false" customHeight="false" outlineLevel="0" collapsed="false">
      <c r="A90" s="27" t="n">
        <v>89</v>
      </c>
      <c r="B90" s="27" t="s">
        <v>147</v>
      </c>
      <c r="C90" s="28" t="n">
        <v>3</v>
      </c>
      <c r="D90" s="28" t="n">
        <v>3</v>
      </c>
      <c r="E90" s="28" t="n">
        <f aca="false">D90-C90</f>
        <v>0</v>
      </c>
      <c r="F90" s="29" t="str">
        <f aca="false">IF(E90&gt;=Resumo!$C$23,"Sim","Não")</f>
        <v>Não</v>
      </c>
    </row>
    <row r="91" customFormat="false" ht="15" hidden="false" customHeight="false" outlineLevel="0" collapsed="false">
      <c r="A91" s="27" t="n">
        <v>90</v>
      </c>
      <c r="B91" s="27" t="s">
        <v>148</v>
      </c>
      <c r="C91" s="28" t="n">
        <v>1</v>
      </c>
      <c r="D91" s="28" t="n">
        <v>1</v>
      </c>
      <c r="E91" s="28" t="n">
        <f aca="false">D91-C91</f>
        <v>0</v>
      </c>
      <c r="F91" s="29" t="str">
        <f aca="false">IF(E91&gt;=Resumo!$C$23,"Sim","Não")</f>
        <v>Não</v>
      </c>
    </row>
    <row r="92" customFormat="false" ht="15" hidden="false" customHeight="false" outlineLevel="0" collapsed="false">
      <c r="A92" s="27" t="n">
        <v>91</v>
      </c>
      <c r="B92" s="27" t="s">
        <v>149</v>
      </c>
      <c r="C92" s="28" t="n">
        <v>1</v>
      </c>
      <c r="D92" s="28" t="n">
        <v>2</v>
      </c>
      <c r="E92" s="28" t="n">
        <f aca="false">D92-C92</f>
        <v>1</v>
      </c>
      <c r="F92" s="29" t="str">
        <f aca="false">IF(E92&gt;=Resumo!$C$23,"Sim","Não")</f>
        <v>Não</v>
      </c>
    </row>
    <row r="93" customFormat="false" ht="15" hidden="false" customHeight="false" outlineLevel="0" collapsed="false">
      <c r="A93" s="27" t="n">
        <v>92</v>
      </c>
      <c r="B93" s="27" t="s">
        <v>150</v>
      </c>
      <c r="C93" s="28" t="n">
        <v>3</v>
      </c>
      <c r="D93" s="28" t="n">
        <v>3</v>
      </c>
      <c r="E93" s="28" t="n">
        <f aca="false">D93-C93</f>
        <v>0</v>
      </c>
      <c r="F93" s="29" t="str">
        <f aca="false">IF(E93&gt;=Resumo!$C$23,"Sim","Não")</f>
        <v>Não</v>
      </c>
    </row>
    <row r="94" customFormat="false" ht="15" hidden="false" customHeight="false" outlineLevel="0" collapsed="false">
      <c r="A94" s="27" t="n">
        <v>93</v>
      </c>
      <c r="B94" s="27" t="s">
        <v>151</v>
      </c>
      <c r="C94" s="28" t="n">
        <v>1</v>
      </c>
      <c r="D94" s="28" t="n">
        <v>2</v>
      </c>
      <c r="E94" s="28" t="n">
        <f aca="false">D94-C94</f>
        <v>1</v>
      </c>
      <c r="F94" s="29" t="str">
        <f aca="false">IF(E94&gt;=Resumo!$C$23,"Sim","Não")</f>
        <v>Não</v>
      </c>
    </row>
    <row r="95" customFormat="false" ht="15" hidden="false" customHeight="false" outlineLevel="0" collapsed="false">
      <c r="A95" s="27" t="n">
        <v>94</v>
      </c>
      <c r="B95" s="27" t="s">
        <v>152</v>
      </c>
      <c r="C95" s="28" t="n">
        <v>0</v>
      </c>
      <c r="D95" s="28" t="n">
        <v>7</v>
      </c>
      <c r="E95" s="28" t="n">
        <f aca="false">D95-C95</f>
        <v>7</v>
      </c>
      <c r="F95" s="29" t="str">
        <f aca="false">IF(E95&gt;=Resumo!$C$23,"Sim","Não")</f>
        <v>Sim</v>
      </c>
    </row>
    <row r="96" customFormat="false" ht="15" hidden="false" customHeight="false" outlineLevel="0" collapsed="false">
      <c r="A96" s="27" t="n">
        <v>95</v>
      </c>
      <c r="B96" s="27" t="s">
        <v>153</v>
      </c>
      <c r="C96" s="28" t="n">
        <v>1</v>
      </c>
      <c r="D96" s="28" t="n">
        <v>4</v>
      </c>
      <c r="E96" s="28" t="n">
        <f aca="false">D96-C96</f>
        <v>3</v>
      </c>
      <c r="F96" s="29" t="str">
        <f aca="false">IF(E96&gt;=Resumo!$C$23,"Sim","Não")</f>
        <v>Não</v>
      </c>
    </row>
    <row r="97" customFormat="false" ht="15" hidden="false" customHeight="false" outlineLevel="0" collapsed="false">
      <c r="A97" s="27" t="n">
        <v>96</v>
      </c>
      <c r="B97" s="27" t="s">
        <v>154</v>
      </c>
      <c r="C97" s="28" t="n">
        <v>2</v>
      </c>
      <c r="D97" s="28" t="n">
        <v>1</v>
      </c>
      <c r="E97" s="28" t="n">
        <f aca="false">D97-C97</f>
        <v>-1</v>
      </c>
      <c r="F97" s="29" t="str">
        <f aca="false">IF(E97&gt;=Resumo!$C$23,"Sim","Não")</f>
        <v>Não</v>
      </c>
    </row>
    <row r="98" customFormat="false" ht="15" hidden="false" customHeight="false" outlineLevel="0" collapsed="false">
      <c r="A98" s="27" t="n">
        <v>97</v>
      </c>
      <c r="B98" s="27" t="s">
        <v>155</v>
      </c>
      <c r="C98" s="28" t="n">
        <v>2</v>
      </c>
      <c r="D98" s="28" t="n">
        <v>2</v>
      </c>
      <c r="E98" s="28" t="n">
        <f aca="false">D98-C98</f>
        <v>0</v>
      </c>
      <c r="F98" s="29" t="str">
        <f aca="false">IF(E98&gt;=Resumo!$C$23,"Sim","Não")</f>
        <v>Não</v>
      </c>
    </row>
    <row r="99" customFormat="false" ht="15" hidden="false" customHeight="false" outlineLevel="0" collapsed="false">
      <c r="A99" s="27" t="n">
        <v>98</v>
      </c>
      <c r="B99" s="27" t="s">
        <v>156</v>
      </c>
      <c r="C99" s="28" t="n">
        <v>2</v>
      </c>
      <c r="D99" s="28" t="n">
        <v>2</v>
      </c>
      <c r="E99" s="28" t="n">
        <f aca="false">D99-C99</f>
        <v>0</v>
      </c>
      <c r="F99" s="29" t="str">
        <f aca="false">IF(E99&gt;=Resumo!$C$23,"Sim","Não")</f>
        <v>Não</v>
      </c>
    </row>
    <row r="100" customFormat="false" ht="15" hidden="false" customHeight="false" outlineLevel="0" collapsed="false">
      <c r="A100" s="27" t="n">
        <v>99</v>
      </c>
      <c r="B100" s="27" t="s">
        <v>43</v>
      </c>
      <c r="C100" s="28" t="n">
        <v>1</v>
      </c>
      <c r="D100" s="28" t="n">
        <v>1</v>
      </c>
      <c r="E100" s="28" t="n">
        <f aca="false">D100-C100</f>
        <v>0</v>
      </c>
      <c r="F100" s="29" t="str">
        <f aca="false">IF(E100&gt;=Resumo!$C$23,"Sim","Não")</f>
        <v>Não</v>
      </c>
    </row>
    <row r="101" customFormat="false" ht="15" hidden="false" customHeight="false" outlineLevel="0" collapsed="false">
      <c r="A101" s="27" t="n">
        <v>100</v>
      </c>
      <c r="B101" s="27" t="s">
        <v>157</v>
      </c>
      <c r="C101" s="28" t="n">
        <v>2</v>
      </c>
      <c r="D101" s="28" t="n">
        <v>2</v>
      </c>
      <c r="E101" s="28" t="n">
        <f aca="false">D101-C101</f>
        <v>0</v>
      </c>
      <c r="F101" s="29" t="str">
        <f aca="false">IF(E101&gt;=Resumo!$C$23,"Sim","Não")</f>
        <v>Não</v>
      </c>
    </row>
    <row r="102" customFormat="false" ht="15" hidden="false" customHeight="false" outlineLevel="0" collapsed="false">
      <c r="A102" s="27" t="n">
        <v>101</v>
      </c>
      <c r="B102" s="27" t="s">
        <v>158</v>
      </c>
      <c r="C102" s="28" t="n">
        <v>9</v>
      </c>
      <c r="D102" s="28" t="n">
        <v>8</v>
      </c>
      <c r="E102" s="28" t="n">
        <f aca="false">D102-C102</f>
        <v>-1</v>
      </c>
      <c r="F102" s="29" t="str">
        <f aca="false">IF(E102&gt;=Resumo!$C$23,"Sim","Não")</f>
        <v>Não</v>
      </c>
    </row>
    <row r="103" customFormat="false" ht="15" hidden="false" customHeight="false" outlineLevel="0" collapsed="false">
      <c r="A103" s="27" t="n">
        <v>102</v>
      </c>
      <c r="B103" s="27" t="s">
        <v>159</v>
      </c>
      <c r="C103" s="28" t="n">
        <v>0</v>
      </c>
      <c r="D103" s="28" t="n">
        <v>1</v>
      </c>
      <c r="E103" s="28" t="n">
        <f aca="false">D103-C103</f>
        <v>1</v>
      </c>
      <c r="F103" s="29" t="str">
        <f aca="false">IF(E103&gt;=Resumo!$C$23,"Sim","Não")</f>
        <v>Não</v>
      </c>
    </row>
    <row r="104" customFormat="false" ht="15" hidden="false" customHeight="false" outlineLevel="0" collapsed="false">
      <c r="A104" s="27" t="n">
        <v>103</v>
      </c>
      <c r="B104" s="27" t="s">
        <v>160</v>
      </c>
      <c r="C104" s="28" t="n">
        <v>1</v>
      </c>
      <c r="D104" s="28" t="n">
        <v>2</v>
      </c>
      <c r="E104" s="28" t="n">
        <f aca="false">D104-C104</f>
        <v>1</v>
      </c>
      <c r="F104" s="29" t="str">
        <f aca="false">IF(E104&gt;=Resumo!$C$23,"Sim","Não")</f>
        <v>Não</v>
      </c>
    </row>
    <row r="105" customFormat="false" ht="15" hidden="false" customHeight="false" outlineLevel="0" collapsed="false">
      <c r="A105" s="27" t="n">
        <v>104</v>
      </c>
      <c r="B105" s="27" t="s">
        <v>161</v>
      </c>
      <c r="C105" s="28" t="n">
        <v>1</v>
      </c>
      <c r="D105" s="28" t="n">
        <v>1</v>
      </c>
      <c r="E105" s="28" t="n">
        <f aca="false">D105-C105</f>
        <v>0</v>
      </c>
      <c r="F105" s="29" t="str">
        <f aca="false">IF(E105&gt;=Resumo!$C$23,"Sim","Não")</f>
        <v>Não</v>
      </c>
    </row>
    <row r="106" customFormat="false" ht="15" hidden="false" customHeight="false" outlineLevel="0" collapsed="false">
      <c r="A106" s="27" t="n">
        <v>105</v>
      </c>
      <c r="B106" s="27" t="s">
        <v>162</v>
      </c>
      <c r="C106" s="28" t="n">
        <v>2</v>
      </c>
      <c r="D106" s="28" t="n">
        <v>4</v>
      </c>
      <c r="E106" s="28" t="n">
        <f aca="false">D106-C106</f>
        <v>2</v>
      </c>
      <c r="F106" s="29" t="str">
        <f aca="false">IF(E106&gt;=Resumo!$C$23,"Sim","Não")</f>
        <v>Não</v>
      </c>
    </row>
    <row r="107" customFormat="false" ht="15" hidden="false" customHeight="false" outlineLevel="0" collapsed="false">
      <c r="A107" s="27" t="n">
        <v>106</v>
      </c>
      <c r="B107" s="27" t="s">
        <v>163</v>
      </c>
      <c r="C107" s="28" t="n">
        <v>12</v>
      </c>
      <c r="D107" s="28" t="n">
        <v>12</v>
      </c>
      <c r="E107" s="28" t="n">
        <f aca="false">D107-C107</f>
        <v>0</v>
      </c>
      <c r="F107" s="29" t="str">
        <f aca="false">IF(E107&gt;=Resumo!$C$23,"Sim","Não")</f>
        <v>Não</v>
      </c>
    </row>
    <row r="108" customFormat="false" ht="15" hidden="false" customHeight="false" outlineLevel="0" collapsed="false">
      <c r="A108" s="27" t="n">
        <v>107</v>
      </c>
      <c r="B108" s="27" t="s">
        <v>164</v>
      </c>
      <c r="C108" s="28" t="n">
        <v>2</v>
      </c>
      <c r="D108" s="28" t="n">
        <v>4</v>
      </c>
      <c r="E108" s="28" t="n">
        <f aca="false">D108-C108</f>
        <v>2</v>
      </c>
      <c r="F108" s="29" t="str">
        <f aca="false">IF(E108&gt;=Resumo!$C$23,"Sim","Não")</f>
        <v>Não</v>
      </c>
    </row>
    <row r="109" customFormat="false" ht="15" hidden="false" customHeight="false" outlineLevel="0" collapsed="false">
      <c r="A109" s="27" t="n">
        <v>108</v>
      </c>
      <c r="B109" s="27" t="s">
        <v>165</v>
      </c>
      <c r="C109" s="28" t="n">
        <v>1</v>
      </c>
      <c r="D109" s="28" t="n">
        <v>1</v>
      </c>
      <c r="E109" s="28" t="n">
        <f aca="false">D109-C109</f>
        <v>0</v>
      </c>
      <c r="F109" s="29" t="str">
        <f aca="false">IF(E109&gt;=Resumo!$C$23,"Sim","Não")</f>
        <v>Não</v>
      </c>
    </row>
    <row r="110" customFormat="false" ht="15" hidden="false" customHeight="false" outlineLevel="0" collapsed="false">
      <c r="A110" s="27" t="n">
        <v>109</v>
      </c>
      <c r="B110" s="27" t="s">
        <v>166</v>
      </c>
      <c r="C110" s="28" t="n">
        <v>1</v>
      </c>
      <c r="D110" s="28" t="n">
        <v>0</v>
      </c>
      <c r="E110" s="28" t="n">
        <f aca="false">D110-C110</f>
        <v>-1</v>
      </c>
      <c r="F110" s="29" t="str">
        <f aca="false">IF(E110&gt;=Resumo!$C$23,"Sim","Não")</f>
        <v>Não</v>
      </c>
    </row>
    <row r="111" customFormat="false" ht="15" hidden="false" customHeight="false" outlineLevel="0" collapsed="false">
      <c r="A111" s="27" t="n">
        <v>110</v>
      </c>
      <c r="B111" s="27" t="s">
        <v>167</v>
      </c>
      <c r="C111" s="28" t="n">
        <v>1</v>
      </c>
      <c r="D111" s="28" t="n">
        <v>2</v>
      </c>
      <c r="E111" s="28" t="n">
        <f aca="false">D111-C111</f>
        <v>1</v>
      </c>
      <c r="F111" s="29" t="str">
        <f aca="false">IF(E111&gt;=Resumo!$C$23,"Sim","Não")</f>
        <v>Não</v>
      </c>
    </row>
    <row r="112" customFormat="false" ht="15" hidden="false" customHeight="false" outlineLevel="0" collapsed="false">
      <c r="A112" s="27" t="n">
        <v>111</v>
      </c>
      <c r="B112" s="27" t="s">
        <v>168</v>
      </c>
      <c r="C112" s="28" t="n">
        <v>2</v>
      </c>
      <c r="D112" s="28" t="n">
        <v>2</v>
      </c>
      <c r="E112" s="28" t="n">
        <f aca="false">D112-C112</f>
        <v>0</v>
      </c>
      <c r="F112" s="29" t="str">
        <f aca="false">IF(E112&gt;=Resumo!$C$23,"Sim","Não")</f>
        <v>Não</v>
      </c>
    </row>
    <row r="113" customFormat="false" ht="15" hidden="false" customHeight="false" outlineLevel="0" collapsed="false">
      <c r="A113" s="27" t="n">
        <v>112</v>
      </c>
      <c r="B113" s="27" t="s">
        <v>169</v>
      </c>
      <c r="C113" s="28" t="n">
        <v>3</v>
      </c>
      <c r="D113" s="28" t="n">
        <v>3</v>
      </c>
      <c r="E113" s="28" t="n">
        <f aca="false">D113-C113</f>
        <v>0</v>
      </c>
      <c r="F113" s="29" t="str">
        <f aca="false">IF(E113&gt;=Resumo!$C$23,"Sim","Não")</f>
        <v>Não</v>
      </c>
    </row>
    <row r="114" customFormat="false" ht="15" hidden="false" customHeight="false" outlineLevel="0" collapsed="false">
      <c r="A114" s="27" t="n">
        <v>113</v>
      </c>
      <c r="B114" s="27" t="s">
        <v>170</v>
      </c>
      <c r="C114" s="28" t="n">
        <v>1</v>
      </c>
      <c r="D114" s="28" t="n">
        <v>2</v>
      </c>
      <c r="E114" s="28" t="n">
        <f aca="false">D114-C114</f>
        <v>1</v>
      </c>
      <c r="F114" s="29" t="str">
        <f aca="false">IF(E114&gt;=Resumo!$C$23,"Sim","Não")</f>
        <v>Não</v>
      </c>
    </row>
    <row r="115" customFormat="false" ht="15" hidden="false" customHeight="false" outlineLevel="0" collapsed="false">
      <c r="A115" s="27" t="n">
        <v>114</v>
      </c>
      <c r="B115" s="27" t="s">
        <v>171</v>
      </c>
      <c r="C115" s="28" t="n">
        <v>2</v>
      </c>
      <c r="D115" s="28" t="n">
        <v>4</v>
      </c>
      <c r="E115" s="28" t="n">
        <f aca="false">D115-C115</f>
        <v>2</v>
      </c>
      <c r="F115" s="29" t="str">
        <f aca="false">IF(E115&gt;=Resumo!$C$23,"Sim","Não")</f>
        <v>Não</v>
      </c>
    </row>
    <row r="116" customFormat="false" ht="15" hidden="false" customHeight="false" outlineLevel="0" collapsed="false">
      <c r="A116" s="27" t="n">
        <v>115</v>
      </c>
      <c r="B116" s="27" t="s">
        <v>172</v>
      </c>
      <c r="C116" s="28" t="n">
        <v>2</v>
      </c>
      <c r="D116" s="28" t="n">
        <v>2</v>
      </c>
      <c r="E116" s="28" t="n">
        <f aca="false">D116-C116</f>
        <v>0</v>
      </c>
      <c r="F116" s="29" t="str">
        <f aca="false">IF(E116&gt;=Resumo!$C$23,"Sim","Não")</f>
        <v>Não</v>
      </c>
    </row>
    <row r="117" customFormat="false" ht="15" hidden="false" customHeight="false" outlineLevel="0" collapsed="false">
      <c r="A117" s="27" t="n">
        <v>116</v>
      </c>
      <c r="B117" s="27" t="s">
        <v>173</v>
      </c>
      <c r="C117" s="28" t="n">
        <v>2</v>
      </c>
      <c r="D117" s="28" t="n">
        <v>2</v>
      </c>
      <c r="E117" s="28" t="n">
        <f aca="false">D117-C117</f>
        <v>0</v>
      </c>
      <c r="F117" s="29" t="str">
        <f aca="false">IF(E117&gt;=Resumo!$C$23,"Sim","Não")</f>
        <v>Não</v>
      </c>
    </row>
    <row r="118" customFormat="false" ht="15" hidden="false" customHeight="false" outlineLevel="0" collapsed="false">
      <c r="A118" s="27" t="n">
        <v>117</v>
      </c>
      <c r="B118" s="27" t="s">
        <v>174</v>
      </c>
      <c r="C118" s="28" t="n">
        <v>1</v>
      </c>
      <c r="D118" s="28" t="n">
        <v>1</v>
      </c>
      <c r="E118" s="28" t="n">
        <f aca="false">D118-C118</f>
        <v>0</v>
      </c>
      <c r="F118" s="29" t="str">
        <f aca="false">IF(E118&gt;=Resumo!$C$23,"Sim","Não")</f>
        <v>Não</v>
      </c>
    </row>
    <row r="119" customFormat="false" ht="15" hidden="false" customHeight="false" outlineLevel="0" collapsed="false">
      <c r="A119" s="27" t="n">
        <v>118</v>
      </c>
      <c r="B119" s="27" t="s">
        <v>175</v>
      </c>
      <c r="C119" s="28" t="n">
        <v>1</v>
      </c>
      <c r="D119" s="28" t="n">
        <v>2</v>
      </c>
      <c r="E119" s="28" t="n">
        <f aca="false">D119-C119</f>
        <v>1</v>
      </c>
      <c r="F119" s="29" t="str">
        <f aca="false">IF(E119&gt;=Resumo!$C$23,"Sim","Não")</f>
        <v>Não</v>
      </c>
    </row>
    <row r="120" customFormat="false" ht="15" hidden="false" customHeight="false" outlineLevel="0" collapsed="false">
      <c r="A120" s="27" t="n">
        <v>119</v>
      </c>
      <c r="B120" s="27" t="s">
        <v>176</v>
      </c>
      <c r="C120" s="28" t="n">
        <v>3</v>
      </c>
      <c r="D120" s="28" t="n">
        <v>1</v>
      </c>
      <c r="E120" s="28" t="n">
        <f aca="false">D120-C120</f>
        <v>-2</v>
      </c>
      <c r="F120" s="29" t="str">
        <f aca="false">IF(E120&gt;=Resumo!$C$23,"Sim","Não")</f>
        <v>Não</v>
      </c>
    </row>
    <row r="121" customFormat="false" ht="15" hidden="false" customHeight="false" outlineLevel="0" collapsed="false">
      <c r="A121" s="27" t="n">
        <v>120</v>
      </c>
      <c r="B121" s="27" t="s">
        <v>177</v>
      </c>
      <c r="C121" s="28" t="n">
        <v>1</v>
      </c>
      <c r="D121" s="28" t="n">
        <v>1</v>
      </c>
      <c r="E121" s="28" t="n">
        <f aca="false">D121-C121</f>
        <v>0</v>
      </c>
      <c r="F121" s="29" t="str">
        <f aca="false">IF(E121&gt;=Resumo!$C$23,"Sim","Não")</f>
        <v>Não</v>
      </c>
    </row>
    <row r="122" customFormat="false" ht="15" hidden="false" customHeight="false" outlineLevel="0" collapsed="false">
      <c r="A122" s="27" t="n">
        <v>121</v>
      </c>
      <c r="B122" s="27" t="s">
        <v>178</v>
      </c>
      <c r="C122" s="28" t="n">
        <v>3</v>
      </c>
      <c r="D122" s="28" t="n">
        <v>3</v>
      </c>
      <c r="E122" s="28" t="n">
        <f aca="false">D122-C122</f>
        <v>0</v>
      </c>
      <c r="F122" s="29" t="str">
        <f aca="false">IF(E122&gt;=Resumo!$C$23,"Sim","Não")</f>
        <v>Não</v>
      </c>
    </row>
    <row r="123" customFormat="false" ht="15" hidden="false" customHeight="false" outlineLevel="0" collapsed="false">
      <c r="A123" s="27" t="n">
        <v>122</v>
      </c>
      <c r="B123" s="27" t="s">
        <v>179</v>
      </c>
      <c r="C123" s="28" t="n">
        <v>3</v>
      </c>
      <c r="D123" s="28" t="n">
        <v>2</v>
      </c>
      <c r="E123" s="28" t="n">
        <f aca="false">D123-C123</f>
        <v>-1</v>
      </c>
      <c r="F123" s="29" t="str">
        <f aca="false">IF(E123&gt;=Resumo!$C$23,"Sim","Não")</f>
        <v>Não</v>
      </c>
    </row>
    <row r="124" customFormat="false" ht="15" hidden="false" customHeight="false" outlineLevel="0" collapsed="false">
      <c r="A124" s="27" t="n">
        <v>123</v>
      </c>
      <c r="B124" s="27" t="s">
        <v>180</v>
      </c>
      <c r="C124" s="28" t="n">
        <v>1</v>
      </c>
      <c r="D124" s="28" t="n">
        <v>2</v>
      </c>
      <c r="E124" s="28" t="n">
        <f aca="false">D124-C124</f>
        <v>1</v>
      </c>
      <c r="F124" s="29" t="str">
        <f aca="false">IF(E124&gt;=Resumo!$C$23,"Sim","Não")</f>
        <v>Não</v>
      </c>
    </row>
    <row r="125" customFormat="false" ht="15" hidden="false" customHeight="false" outlineLevel="0" collapsed="false">
      <c r="A125" s="27" t="n">
        <v>124</v>
      </c>
      <c r="B125" s="27" t="s">
        <v>181</v>
      </c>
      <c r="C125" s="28" t="n">
        <v>2</v>
      </c>
      <c r="D125" s="28" t="n">
        <v>4</v>
      </c>
      <c r="E125" s="28" t="n">
        <f aca="false">D125-C125</f>
        <v>2</v>
      </c>
      <c r="F125" s="29" t="str">
        <f aca="false">IF(E125&gt;=Resumo!$C$23,"Sim","Não")</f>
        <v>Não</v>
      </c>
    </row>
    <row r="126" customFormat="false" ht="15" hidden="false" customHeight="false" outlineLevel="0" collapsed="false">
      <c r="A126" s="27" t="n">
        <v>125</v>
      </c>
      <c r="B126" s="27" t="s">
        <v>182</v>
      </c>
      <c r="C126" s="28" t="n">
        <v>0</v>
      </c>
      <c r="D126" s="28" t="n">
        <v>1</v>
      </c>
      <c r="E126" s="28" t="n">
        <f aca="false">D126-C126</f>
        <v>1</v>
      </c>
      <c r="F126" s="29" t="str">
        <f aca="false">IF(E126&gt;=Resumo!$C$23,"Sim","Não")</f>
        <v>Não</v>
      </c>
    </row>
    <row r="127" customFormat="false" ht="15" hidden="false" customHeight="false" outlineLevel="0" collapsed="false">
      <c r="A127" s="27" t="n">
        <v>126</v>
      </c>
      <c r="B127" s="27" t="s">
        <v>183</v>
      </c>
      <c r="C127" s="28" t="n">
        <v>2</v>
      </c>
      <c r="D127" s="28" t="n">
        <v>0</v>
      </c>
      <c r="E127" s="28" t="n">
        <f aca="false">D127-C127</f>
        <v>-2</v>
      </c>
      <c r="F127" s="29" t="str">
        <f aca="false">IF(E127&gt;=Resumo!$C$23,"Sim","Não")</f>
        <v>Não</v>
      </c>
    </row>
    <row r="128" customFormat="false" ht="15" hidden="false" customHeight="false" outlineLevel="0" collapsed="false">
      <c r="A128" s="27" t="n">
        <v>127</v>
      </c>
      <c r="B128" s="27" t="s">
        <v>184</v>
      </c>
      <c r="C128" s="28" t="n">
        <v>1</v>
      </c>
      <c r="D128" s="28" t="n">
        <v>0</v>
      </c>
      <c r="E128" s="28" t="n">
        <f aca="false">D128-C128</f>
        <v>-1</v>
      </c>
      <c r="F128" s="29" t="str">
        <f aca="false">IF(E128&gt;=Resumo!$C$23,"Sim","Não")</f>
        <v>Não</v>
      </c>
    </row>
    <row r="129" customFormat="false" ht="15" hidden="false" customHeight="false" outlineLevel="0" collapsed="false">
      <c r="A129" s="27" t="n">
        <v>128</v>
      </c>
      <c r="B129" s="27" t="s">
        <v>185</v>
      </c>
      <c r="C129" s="28" t="n">
        <v>2</v>
      </c>
      <c r="D129" s="28" t="n">
        <v>0</v>
      </c>
      <c r="E129" s="28" t="n">
        <f aca="false">D129-C129</f>
        <v>-2</v>
      </c>
      <c r="F129" s="29" t="str">
        <f aca="false">IF(E129&gt;=Resumo!$C$23,"Sim","Não")</f>
        <v>Não</v>
      </c>
    </row>
    <row r="130" customFormat="false" ht="15" hidden="false" customHeight="false" outlineLevel="0" collapsed="false">
      <c r="A130" s="27" t="n">
        <v>129</v>
      </c>
      <c r="B130" s="27" t="s">
        <v>53</v>
      </c>
      <c r="C130" s="28" t="n">
        <v>0</v>
      </c>
      <c r="D130" s="28" t="n">
        <v>1</v>
      </c>
      <c r="E130" s="28" t="n">
        <f aca="false">D130-C130</f>
        <v>1</v>
      </c>
      <c r="F130" s="29" t="str">
        <f aca="false">IF(E130&gt;=Resumo!$C$23,"Sim","Não")</f>
        <v>Não</v>
      </c>
    </row>
    <row r="131" customFormat="false" ht="15" hidden="false" customHeight="false" outlineLevel="0" collapsed="false">
      <c r="A131" s="27" t="n">
        <v>130</v>
      </c>
      <c r="B131" s="27" t="s">
        <v>186</v>
      </c>
      <c r="C131" s="28" t="n">
        <v>0</v>
      </c>
      <c r="D131" s="28" t="n">
        <v>1</v>
      </c>
      <c r="E131" s="28" t="n">
        <f aca="false">D131-C131</f>
        <v>1</v>
      </c>
      <c r="F131" s="29" t="str">
        <f aca="false">IF(E131&gt;=Resumo!$C$23,"Sim","Não")</f>
        <v>Não</v>
      </c>
    </row>
    <row r="132" customFormat="false" ht="15" hidden="false" customHeight="false" outlineLevel="0" collapsed="false">
      <c r="A132" s="27" t="n">
        <v>131</v>
      </c>
      <c r="B132" s="27" t="s">
        <v>187</v>
      </c>
      <c r="C132" s="28" t="n">
        <v>1</v>
      </c>
      <c r="D132" s="28" t="n">
        <v>2</v>
      </c>
      <c r="E132" s="28" t="n">
        <f aca="false">D132-C132</f>
        <v>1</v>
      </c>
      <c r="F132" s="29" t="str">
        <f aca="false">IF(E132&gt;=Resumo!$C$23,"Sim","Não")</f>
        <v>Não</v>
      </c>
    </row>
    <row r="133" customFormat="false" ht="15" hidden="false" customHeight="false" outlineLevel="0" collapsed="false">
      <c r="A133" s="27" t="n">
        <v>132</v>
      </c>
      <c r="B133" s="27" t="s">
        <v>188</v>
      </c>
      <c r="C133" s="28" t="n">
        <v>3</v>
      </c>
      <c r="D133" s="28" t="n">
        <v>3</v>
      </c>
      <c r="E133" s="28" t="n">
        <f aca="false">D133-C133</f>
        <v>0</v>
      </c>
      <c r="F133" s="29" t="str">
        <f aca="false">IF(E133&gt;=Resumo!$C$23,"Sim","Não")</f>
        <v>Não</v>
      </c>
    </row>
    <row r="134" customFormat="false" ht="15" hidden="false" customHeight="false" outlineLevel="0" collapsed="false">
      <c r="A134" s="27" t="n">
        <v>133</v>
      </c>
      <c r="B134" s="27" t="s">
        <v>189</v>
      </c>
      <c r="C134" s="28" t="n">
        <v>5</v>
      </c>
      <c r="D134" s="28" t="n">
        <v>5</v>
      </c>
      <c r="E134" s="28" t="n">
        <f aca="false">D134-C134</f>
        <v>0</v>
      </c>
      <c r="F134" s="29" t="str">
        <f aca="false">IF(E134&gt;=Resumo!$C$23,"Sim","Não")</f>
        <v>Não</v>
      </c>
    </row>
    <row r="135" customFormat="false" ht="15" hidden="false" customHeight="false" outlineLevel="0" collapsed="false">
      <c r="A135" s="27" t="n">
        <v>134</v>
      </c>
      <c r="B135" s="27" t="s">
        <v>39</v>
      </c>
      <c r="C135" s="28" t="n">
        <v>5</v>
      </c>
      <c r="D135" s="28" t="n">
        <v>9</v>
      </c>
      <c r="E135" s="28" t="n">
        <f aca="false">D135-C135</f>
        <v>4</v>
      </c>
      <c r="F135" s="29" t="str">
        <f aca="false">IF(E135&gt;=Resumo!$C$23,"Sim","Não")</f>
        <v>Sim</v>
      </c>
    </row>
    <row r="136" customFormat="false" ht="15" hidden="false" customHeight="false" outlineLevel="0" collapsed="false">
      <c r="A136" s="27" t="n">
        <v>135</v>
      </c>
      <c r="B136" s="27" t="s">
        <v>190</v>
      </c>
      <c r="C136" s="28" t="n">
        <v>1</v>
      </c>
      <c r="D136" s="28" t="n">
        <v>1</v>
      </c>
      <c r="E136" s="28" t="n">
        <f aca="false">D136-C136</f>
        <v>0</v>
      </c>
      <c r="F136" s="29" t="str">
        <f aca="false">IF(E136&gt;=Resumo!$C$23,"Sim","Não")</f>
        <v>Não</v>
      </c>
    </row>
    <row r="137" customFormat="false" ht="15" hidden="false" customHeight="false" outlineLevel="0" collapsed="false">
      <c r="A137" s="27" t="n">
        <v>136</v>
      </c>
      <c r="B137" s="27" t="s">
        <v>191</v>
      </c>
      <c r="C137" s="28" t="n">
        <v>0</v>
      </c>
      <c r="D137" s="28" t="n">
        <v>1</v>
      </c>
      <c r="E137" s="28" t="n">
        <f aca="false">D137-C137</f>
        <v>1</v>
      </c>
      <c r="F137" s="29" t="str">
        <f aca="false">IF(E137&gt;=Resumo!$C$23,"Sim","Não")</f>
        <v>Não</v>
      </c>
    </row>
    <row r="138" customFormat="false" ht="15" hidden="false" customHeight="false" outlineLevel="0" collapsed="false">
      <c r="A138" s="27" t="n">
        <v>137</v>
      </c>
      <c r="B138" s="27" t="s">
        <v>192</v>
      </c>
      <c r="C138" s="28" t="n">
        <v>3</v>
      </c>
      <c r="D138" s="28" t="n">
        <v>3</v>
      </c>
      <c r="E138" s="28" t="n">
        <f aca="false">D138-C138</f>
        <v>0</v>
      </c>
      <c r="F138" s="29" t="str">
        <f aca="false">IF(E138&gt;=Resumo!$C$23,"Sim","Não")</f>
        <v>Não</v>
      </c>
    </row>
    <row r="139" customFormat="false" ht="15" hidden="false" customHeight="false" outlineLevel="0" collapsed="false">
      <c r="A139" s="27" t="n">
        <v>138</v>
      </c>
      <c r="B139" s="27" t="s">
        <v>193</v>
      </c>
      <c r="C139" s="28" t="n">
        <v>3</v>
      </c>
      <c r="D139" s="28" t="n">
        <v>3</v>
      </c>
      <c r="E139" s="28" t="n">
        <f aca="false">D139-C139</f>
        <v>0</v>
      </c>
      <c r="F139" s="29" t="str">
        <f aca="false">IF(E139&gt;=Resumo!$C$23,"Sim","Não")</f>
        <v>Não</v>
      </c>
    </row>
    <row r="140" customFormat="false" ht="15" hidden="false" customHeight="false" outlineLevel="0" collapsed="false">
      <c r="A140" s="27" t="n">
        <v>139</v>
      </c>
      <c r="B140" s="27" t="s">
        <v>194</v>
      </c>
      <c r="C140" s="28" t="n">
        <v>1</v>
      </c>
      <c r="D140" s="28" t="n">
        <v>1</v>
      </c>
      <c r="E140" s="28" t="n">
        <f aca="false">D140-C140</f>
        <v>0</v>
      </c>
      <c r="F140" s="29" t="str">
        <f aca="false">IF(E140&gt;=Resumo!$C$23,"Sim","Não")</f>
        <v>Não</v>
      </c>
    </row>
    <row r="141" customFormat="false" ht="15" hidden="false" customHeight="false" outlineLevel="0" collapsed="false">
      <c r="A141" s="27" t="n">
        <v>140</v>
      </c>
      <c r="B141" s="27" t="s">
        <v>195</v>
      </c>
      <c r="C141" s="28" t="n">
        <v>1</v>
      </c>
      <c r="D141" s="28" t="n">
        <v>3</v>
      </c>
      <c r="E141" s="28" t="n">
        <f aca="false">D141-C141</f>
        <v>2</v>
      </c>
      <c r="F141" s="29" t="str">
        <f aca="false">IF(E141&gt;=Resumo!$C$23,"Sim","Não")</f>
        <v>Não</v>
      </c>
    </row>
    <row r="142" customFormat="false" ht="15" hidden="false" customHeight="false" outlineLevel="0" collapsed="false">
      <c r="A142" s="27" t="n">
        <v>141</v>
      </c>
      <c r="B142" s="27" t="s">
        <v>196</v>
      </c>
      <c r="C142" s="28" t="n">
        <v>1</v>
      </c>
      <c r="D142" s="28" t="n">
        <v>0</v>
      </c>
      <c r="E142" s="28" t="n">
        <f aca="false">D142-C142</f>
        <v>-1</v>
      </c>
      <c r="F142" s="29" t="str">
        <f aca="false">IF(E142&gt;=Resumo!$C$23,"Sim","Não")</f>
        <v>Não</v>
      </c>
    </row>
    <row r="143" customFormat="false" ht="15" hidden="false" customHeight="false" outlineLevel="0" collapsed="false">
      <c r="A143" s="27" t="n">
        <v>142</v>
      </c>
      <c r="B143" s="27" t="s">
        <v>197</v>
      </c>
      <c r="C143" s="28" t="n">
        <v>3</v>
      </c>
      <c r="D143" s="28" t="n">
        <v>3</v>
      </c>
      <c r="E143" s="28" t="n">
        <f aca="false">D143-C143</f>
        <v>0</v>
      </c>
      <c r="F143" s="29" t="str">
        <f aca="false">IF(E143&gt;=Resumo!$C$23,"Sim","Não")</f>
        <v>Não</v>
      </c>
    </row>
    <row r="144" customFormat="false" ht="15" hidden="false" customHeight="false" outlineLevel="0" collapsed="false">
      <c r="A144" s="27" t="n">
        <v>143</v>
      </c>
      <c r="B144" s="27" t="s">
        <v>198</v>
      </c>
      <c r="C144" s="28" t="n">
        <v>1</v>
      </c>
      <c r="D144" s="28" t="n">
        <v>0</v>
      </c>
      <c r="E144" s="28" t="n">
        <f aca="false">D144-C144</f>
        <v>-1</v>
      </c>
      <c r="F144" s="29" t="str">
        <f aca="false">IF(E144&gt;=Resumo!$C$23,"Sim","Não")</f>
        <v>Não</v>
      </c>
    </row>
    <row r="145" customFormat="false" ht="15" hidden="false" customHeight="false" outlineLevel="0" collapsed="false">
      <c r="A145" s="27" t="n">
        <v>144</v>
      </c>
      <c r="B145" s="27" t="s">
        <v>199</v>
      </c>
      <c r="C145" s="28" t="n">
        <v>0</v>
      </c>
      <c r="D145" s="28" t="n">
        <v>1</v>
      </c>
      <c r="E145" s="28" t="n">
        <f aca="false">D145-C145</f>
        <v>1</v>
      </c>
      <c r="F145" s="29" t="str">
        <f aca="false">IF(E145&gt;=Resumo!$C$23,"Sim","Não")</f>
        <v>Não</v>
      </c>
    </row>
    <row r="146" customFormat="false" ht="15" hidden="false" customHeight="false" outlineLevel="0" collapsed="false">
      <c r="A146" s="27" t="n">
        <v>145</v>
      </c>
      <c r="B146" s="27" t="s">
        <v>200</v>
      </c>
      <c r="C146" s="28" t="n">
        <v>1</v>
      </c>
      <c r="D146" s="28" t="n">
        <v>1</v>
      </c>
      <c r="E146" s="28" t="n">
        <f aca="false">D146-C146</f>
        <v>0</v>
      </c>
      <c r="F146" s="29" t="str">
        <f aca="false">IF(E146&gt;=Resumo!$C$23,"Sim","Não")</f>
        <v>Não</v>
      </c>
    </row>
    <row r="147" customFormat="false" ht="15" hidden="false" customHeight="false" outlineLevel="0" collapsed="false">
      <c r="A147" s="27" t="n">
        <v>146</v>
      </c>
      <c r="B147" s="27" t="s">
        <v>201</v>
      </c>
      <c r="C147" s="28" t="n">
        <v>0</v>
      </c>
      <c r="D147" s="28" t="n">
        <v>5</v>
      </c>
      <c r="E147" s="28" t="n">
        <f aca="false">D147-C147</f>
        <v>5</v>
      </c>
      <c r="F147" s="29" t="str">
        <f aca="false">IF(E147&gt;=Resumo!$C$23,"Sim","Não")</f>
        <v>Sim</v>
      </c>
    </row>
    <row r="148" customFormat="false" ht="15" hidden="false" customHeight="false" outlineLevel="0" collapsed="false">
      <c r="A148" s="27" t="n">
        <v>147</v>
      </c>
      <c r="B148" s="27" t="s">
        <v>202</v>
      </c>
      <c r="C148" s="28" t="n">
        <v>2</v>
      </c>
      <c r="D148" s="28" t="n">
        <v>2</v>
      </c>
      <c r="E148" s="28" t="n">
        <f aca="false">D148-C148</f>
        <v>0</v>
      </c>
      <c r="F148" s="29" t="str">
        <f aca="false">IF(E148&gt;=Resumo!$C$23,"Sim","Não")</f>
        <v>Não</v>
      </c>
    </row>
    <row r="149" customFormat="false" ht="15" hidden="false" customHeight="false" outlineLevel="0" collapsed="false">
      <c r="A149" s="27" t="n">
        <v>148</v>
      </c>
      <c r="B149" s="27" t="s">
        <v>203</v>
      </c>
      <c r="C149" s="28" t="n">
        <v>1</v>
      </c>
      <c r="D149" s="28" t="n">
        <v>6</v>
      </c>
      <c r="E149" s="28" t="n">
        <f aca="false">D149-C149</f>
        <v>5</v>
      </c>
      <c r="F149" s="29" t="str">
        <f aca="false">IF(E149&gt;=Resumo!$C$23,"Sim","Não")</f>
        <v>Sim</v>
      </c>
    </row>
    <row r="150" customFormat="false" ht="15" hidden="false" customHeight="false" outlineLevel="0" collapsed="false">
      <c r="A150" s="27" t="n">
        <v>149</v>
      </c>
      <c r="B150" s="27" t="s">
        <v>204</v>
      </c>
      <c r="C150" s="28" t="n">
        <v>1</v>
      </c>
      <c r="D150" s="28" t="n">
        <v>1</v>
      </c>
      <c r="E150" s="28" t="n">
        <f aca="false">D150-C150</f>
        <v>0</v>
      </c>
      <c r="F150" s="29" t="str">
        <f aca="false">IF(E150&gt;=Resumo!$C$23,"Sim","Não")</f>
        <v>Não</v>
      </c>
    </row>
    <row r="151" customFormat="false" ht="15" hidden="false" customHeight="false" outlineLevel="0" collapsed="false">
      <c r="A151" s="27" t="n">
        <v>150</v>
      </c>
      <c r="B151" s="27" t="s">
        <v>205</v>
      </c>
      <c r="C151" s="28" t="n">
        <v>0</v>
      </c>
      <c r="D151" s="28" t="n">
        <v>2</v>
      </c>
      <c r="E151" s="28" t="n">
        <f aca="false">D151-C151</f>
        <v>2</v>
      </c>
      <c r="F151" s="29" t="str">
        <f aca="false">IF(E151&gt;=Resumo!$C$23,"Sim","Não")</f>
        <v>Não</v>
      </c>
    </row>
    <row r="152" customFormat="false" ht="15" hidden="false" customHeight="false" outlineLevel="0" collapsed="false">
      <c r="A152" s="27" t="n">
        <v>151</v>
      </c>
      <c r="B152" s="27" t="s">
        <v>206</v>
      </c>
      <c r="C152" s="28" t="n">
        <v>2</v>
      </c>
      <c r="D152" s="28" t="n">
        <v>2</v>
      </c>
      <c r="E152" s="28" t="n">
        <f aca="false">D152-C152</f>
        <v>0</v>
      </c>
      <c r="F152" s="29" t="str">
        <f aca="false">IF(E152&gt;=Resumo!$C$23,"Sim","Não")</f>
        <v>Não</v>
      </c>
    </row>
    <row r="153" customFormat="false" ht="15" hidden="false" customHeight="false" outlineLevel="0" collapsed="false">
      <c r="A153" s="27" t="n">
        <v>152</v>
      </c>
      <c r="B153" s="27" t="s">
        <v>207</v>
      </c>
      <c r="C153" s="28" t="n">
        <v>1</v>
      </c>
      <c r="D153" s="28" t="n">
        <v>0</v>
      </c>
      <c r="E153" s="28" t="n">
        <f aca="false">D153-C153</f>
        <v>-1</v>
      </c>
      <c r="F153" s="29" t="str">
        <f aca="false">IF(E153&gt;=Resumo!$C$23,"Sim","Não")</f>
        <v>Não</v>
      </c>
    </row>
    <row r="154" customFormat="false" ht="15" hidden="false" customHeight="false" outlineLevel="0" collapsed="false">
      <c r="A154" s="27" t="n">
        <v>153</v>
      </c>
      <c r="B154" s="27" t="s">
        <v>208</v>
      </c>
      <c r="C154" s="28" t="n">
        <v>1</v>
      </c>
      <c r="D154" s="28" t="n">
        <v>1</v>
      </c>
      <c r="E154" s="28" t="n">
        <f aca="false">D154-C154</f>
        <v>0</v>
      </c>
      <c r="F154" s="29" t="str">
        <f aca="false">IF(E154&gt;=Resumo!$C$23,"Sim","Não")</f>
        <v>Não</v>
      </c>
    </row>
    <row r="155" customFormat="false" ht="15" hidden="false" customHeight="false" outlineLevel="0" collapsed="false">
      <c r="A155" s="27" t="n">
        <v>154</v>
      </c>
      <c r="B155" s="27" t="s">
        <v>209</v>
      </c>
      <c r="C155" s="28" t="n">
        <v>2</v>
      </c>
      <c r="D155" s="28" t="n">
        <v>1</v>
      </c>
      <c r="E155" s="28" t="n">
        <f aca="false">D155-C155</f>
        <v>-1</v>
      </c>
      <c r="F155" s="29" t="str">
        <f aca="false">IF(E155&gt;=Resumo!$C$23,"Sim","Não")</f>
        <v>Não</v>
      </c>
    </row>
    <row r="156" customFormat="false" ht="15" hidden="false" customHeight="false" outlineLevel="0" collapsed="false">
      <c r="A156" s="27" t="n">
        <v>155</v>
      </c>
      <c r="B156" s="27" t="s">
        <v>210</v>
      </c>
      <c r="C156" s="28" t="n">
        <v>2</v>
      </c>
      <c r="D156" s="28" t="n">
        <v>5</v>
      </c>
      <c r="E156" s="28" t="n">
        <f aca="false">D156-C156</f>
        <v>3</v>
      </c>
      <c r="F156" s="29" t="str">
        <f aca="false">IF(E156&gt;=Resumo!$C$23,"Sim","Não")</f>
        <v>Não</v>
      </c>
    </row>
    <row r="157" customFormat="false" ht="15" hidden="false" customHeight="false" outlineLevel="0" collapsed="false">
      <c r="A157" s="27" t="n">
        <v>156</v>
      </c>
      <c r="B157" s="27" t="s">
        <v>211</v>
      </c>
      <c r="C157" s="28" t="n">
        <v>0</v>
      </c>
      <c r="D157" s="28" t="n">
        <v>2</v>
      </c>
      <c r="E157" s="28" t="n">
        <f aca="false">D157-C157</f>
        <v>2</v>
      </c>
      <c r="F157" s="29" t="str">
        <f aca="false">IF(E157&gt;=Resumo!$C$23,"Sim","Não")</f>
        <v>Não</v>
      </c>
    </row>
    <row r="158" customFormat="false" ht="15" hidden="false" customHeight="false" outlineLevel="0" collapsed="false">
      <c r="A158" s="27" t="n">
        <v>157</v>
      </c>
      <c r="B158" s="27" t="s">
        <v>212</v>
      </c>
      <c r="C158" s="28" t="n">
        <v>1</v>
      </c>
      <c r="D158" s="28" t="n">
        <v>1</v>
      </c>
      <c r="E158" s="28" t="n">
        <f aca="false">D158-C158</f>
        <v>0</v>
      </c>
      <c r="F158" s="29" t="str">
        <f aca="false">IF(E158&gt;=Resumo!$C$23,"Sim","Não")</f>
        <v>Não</v>
      </c>
    </row>
    <row r="159" customFormat="false" ht="15" hidden="false" customHeight="false" outlineLevel="0" collapsed="false">
      <c r="A159" s="27" t="n">
        <v>158</v>
      </c>
      <c r="B159" s="27" t="s">
        <v>213</v>
      </c>
      <c r="C159" s="28" t="n">
        <v>2</v>
      </c>
      <c r="D159" s="28" t="n">
        <v>0</v>
      </c>
      <c r="E159" s="28" t="n">
        <f aca="false">D159-C159</f>
        <v>-2</v>
      </c>
      <c r="F159" s="29" t="str">
        <f aca="false">IF(E159&gt;=Resumo!$C$23,"Sim","Não")</f>
        <v>Não</v>
      </c>
    </row>
    <row r="160" customFormat="false" ht="15" hidden="false" customHeight="false" outlineLevel="0" collapsed="false">
      <c r="A160" s="27" t="n">
        <v>159</v>
      </c>
      <c r="B160" s="27" t="s">
        <v>214</v>
      </c>
      <c r="C160" s="28" t="n">
        <v>2</v>
      </c>
      <c r="D160" s="28" t="n">
        <v>2</v>
      </c>
      <c r="E160" s="28" t="n">
        <f aca="false">D160-C160</f>
        <v>0</v>
      </c>
      <c r="F160" s="29" t="str">
        <f aca="false">IF(E160&gt;=Resumo!$C$23,"Sim","Não")</f>
        <v>Não</v>
      </c>
    </row>
    <row r="161" customFormat="false" ht="15" hidden="false" customHeight="false" outlineLevel="0" collapsed="false">
      <c r="A161" s="27" t="n">
        <v>160</v>
      </c>
      <c r="B161" s="27" t="s">
        <v>215</v>
      </c>
      <c r="C161" s="28" t="n">
        <v>1</v>
      </c>
      <c r="D161" s="28" t="n">
        <v>1</v>
      </c>
      <c r="E161" s="28" t="n">
        <f aca="false">D161-C161</f>
        <v>0</v>
      </c>
      <c r="F161" s="29" t="str">
        <f aca="false">IF(E161&gt;=Resumo!$C$23,"Sim","Não")</f>
        <v>Não</v>
      </c>
    </row>
    <row r="162" customFormat="false" ht="15" hidden="false" customHeight="false" outlineLevel="0" collapsed="false">
      <c r="A162" s="27" t="n">
        <v>161</v>
      </c>
      <c r="B162" s="27" t="s">
        <v>216</v>
      </c>
      <c r="C162" s="28" t="n">
        <v>0</v>
      </c>
      <c r="D162" s="28" t="n">
        <v>1</v>
      </c>
      <c r="E162" s="28" t="n">
        <f aca="false">D162-C162</f>
        <v>1</v>
      </c>
      <c r="F162" s="29" t="str">
        <f aca="false">IF(E162&gt;=Resumo!$C$23,"Sim","Não")</f>
        <v>Não</v>
      </c>
    </row>
    <row r="163" customFormat="false" ht="15" hidden="false" customHeight="false" outlineLevel="0" collapsed="false">
      <c r="A163" s="27" t="n">
        <v>162</v>
      </c>
      <c r="B163" s="27" t="s">
        <v>217</v>
      </c>
      <c r="C163" s="28" t="n">
        <v>3</v>
      </c>
      <c r="D163" s="28" t="n">
        <v>3</v>
      </c>
      <c r="E163" s="28" t="n">
        <f aca="false">D163-C163</f>
        <v>0</v>
      </c>
      <c r="F163" s="29" t="str">
        <f aca="false">IF(E163&gt;=Resumo!$C$23,"Sim","Não")</f>
        <v>Não</v>
      </c>
    </row>
    <row r="164" customFormat="false" ht="15" hidden="false" customHeight="false" outlineLevel="0" collapsed="false">
      <c r="A164" s="27" t="n">
        <v>163</v>
      </c>
      <c r="B164" s="27" t="s">
        <v>218</v>
      </c>
      <c r="C164" s="28" t="n">
        <v>2</v>
      </c>
      <c r="D164" s="28" t="n">
        <v>2</v>
      </c>
      <c r="E164" s="28" t="n">
        <f aca="false">D164-C164</f>
        <v>0</v>
      </c>
      <c r="F164" s="29" t="str">
        <f aca="false">IF(E164&gt;=Resumo!$C$23,"Sim","Não")</f>
        <v>Não</v>
      </c>
    </row>
    <row r="165" customFormat="false" ht="15" hidden="false" customHeight="false" outlineLevel="0" collapsed="false">
      <c r="A165" s="27" t="n">
        <v>164</v>
      </c>
      <c r="B165" s="27" t="s">
        <v>219</v>
      </c>
      <c r="C165" s="28" t="n">
        <v>2</v>
      </c>
      <c r="D165" s="28" t="n">
        <v>1</v>
      </c>
      <c r="E165" s="28" t="n">
        <f aca="false">D165-C165</f>
        <v>-1</v>
      </c>
      <c r="F165" s="29" t="str">
        <f aca="false">IF(E165&gt;=Resumo!$C$23,"Sim","Não")</f>
        <v>Não</v>
      </c>
    </row>
    <row r="166" customFormat="false" ht="15" hidden="false" customHeight="false" outlineLevel="0" collapsed="false">
      <c r="A166" s="27" t="n">
        <v>165</v>
      </c>
      <c r="B166" s="27" t="s">
        <v>220</v>
      </c>
      <c r="C166" s="28" t="n">
        <v>2</v>
      </c>
      <c r="D166" s="28" t="n">
        <v>2</v>
      </c>
      <c r="E166" s="28" t="n">
        <f aca="false">D166-C166</f>
        <v>0</v>
      </c>
      <c r="F166" s="29" t="str">
        <f aca="false">IF(E166&gt;=Resumo!$C$23,"Sim","Não")</f>
        <v>Não</v>
      </c>
    </row>
    <row r="167" customFormat="false" ht="15" hidden="false" customHeight="false" outlineLevel="0" collapsed="false">
      <c r="A167" s="27" t="n">
        <v>166</v>
      </c>
      <c r="B167" s="27" t="s">
        <v>221</v>
      </c>
      <c r="C167" s="28" t="n">
        <v>1</v>
      </c>
      <c r="D167" s="28" t="n">
        <v>1</v>
      </c>
      <c r="E167" s="28" t="n">
        <f aca="false">D167-C167</f>
        <v>0</v>
      </c>
      <c r="F167" s="29" t="str">
        <f aca="false">IF(E167&gt;=Resumo!$C$23,"Sim","Não")</f>
        <v>Não</v>
      </c>
    </row>
    <row r="168" customFormat="false" ht="15" hidden="false" customHeight="false" outlineLevel="0" collapsed="false">
      <c r="A168" s="27" t="n">
        <v>167</v>
      </c>
      <c r="B168" s="27" t="s">
        <v>222</v>
      </c>
      <c r="C168" s="28" t="n">
        <v>3</v>
      </c>
      <c r="D168" s="28" t="n">
        <v>3</v>
      </c>
      <c r="E168" s="28" t="n">
        <f aca="false">D168-C168</f>
        <v>0</v>
      </c>
      <c r="F168" s="29" t="str">
        <f aca="false">IF(E168&gt;=Resumo!$C$23,"Sim","Não")</f>
        <v>Não</v>
      </c>
    </row>
    <row r="169" customFormat="false" ht="15" hidden="false" customHeight="false" outlineLevel="0" collapsed="false">
      <c r="A169" s="27" t="n">
        <v>168</v>
      </c>
      <c r="B169" s="27" t="s">
        <v>223</v>
      </c>
      <c r="C169" s="28" t="n">
        <v>2</v>
      </c>
      <c r="D169" s="28" t="n">
        <v>1</v>
      </c>
      <c r="E169" s="28" t="n">
        <f aca="false">D169-C169</f>
        <v>-1</v>
      </c>
      <c r="F169" s="29" t="str">
        <f aca="false">IF(E169&gt;=Resumo!$C$23,"Sim","Não")</f>
        <v>Não</v>
      </c>
    </row>
    <row r="170" customFormat="false" ht="15" hidden="false" customHeight="false" outlineLevel="0" collapsed="false">
      <c r="A170" s="27" t="n">
        <v>169</v>
      </c>
      <c r="B170" s="27" t="s">
        <v>224</v>
      </c>
      <c r="C170" s="28" t="n">
        <v>0</v>
      </c>
      <c r="D170" s="28" t="n">
        <v>2</v>
      </c>
      <c r="E170" s="28" t="n">
        <f aca="false">D170-C170</f>
        <v>2</v>
      </c>
      <c r="F170" s="29" t="str">
        <f aca="false">IF(E170&gt;=Resumo!$C$23,"Sim","Não")</f>
        <v>Não</v>
      </c>
    </row>
    <row r="171" customFormat="false" ht="15" hidden="false" customHeight="false" outlineLevel="0" collapsed="false">
      <c r="A171" s="27" t="n">
        <v>170</v>
      </c>
      <c r="B171" s="27" t="s">
        <v>225</v>
      </c>
      <c r="C171" s="28" t="n">
        <v>4</v>
      </c>
      <c r="D171" s="28" t="n">
        <v>5</v>
      </c>
      <c r="E171" s="28" t="n">
        <f aca="false">D171-C171</f>
        <v>1</v>
      </c>
      <c r="F171" s="29" t="str">
        <f aca="false">IF(E171&gt;=Resumo!$C$23,"Sim","Não")</f>
        <v>Não</v>
      </c>
    </row>
    <row r="172" customFormat="false" ht="15" hidden="false" customHeight="false" outlineLevel="0" collapsed="false">
      <c r="A172" s="27" t="n">
        <v>171</v>
      </c>
      <c r="B172" s="27" t="s">
        <v>226</v>
      </c>
      <c r="C172" s="28" t="n">
        <v>0</v>
      </c>
      <c r="D172" s="28" t="n">
        <v>2</v>
      </c>
      <c r="E172" s="28" t="n">
        <f aca="false">D172-C172</f>
        <v>2</v>
      </c>
      <c r="F172" s="29" t="str">
        <f aca="false">IF(E172&gt;=Resumo!$C$23,"Sim","Não")</f>
        <v>Não</v>
      </c>
    </row>
    <row r="173" customFormat="false" ht="15" hidden="false" customHeight="false" outlineLevel="0" collapsed="false">
      <c r="A173" s="27" t="n">
        <v>172</v>
      </c>
      <c r="B173" s="27" t="s">
        <v>227</v>
      </c>
      <c r="C173" s="28" t="n">
        <v>0</v>
      </c>
      <c r="D173" s="28" t="n">
        <v>1</v>
      </c>
      <c r="E173" s="28" t="n">
        <f aca="false">D173-C173</f>
        <v>1</v>
      </c>
      <c r="F173" s="29" t="str">
        <f aca="false">IF(E173&gt;=Resumo!$C$23,"Sim","Não")</f>
        <v>Não</v>
      </c>
    </row>
    <row r="174" customFormat="false" ht="15" hidden="false" customHeight="false" outlineLevel="0" collapsed="false">
      <c r="A174" s="27" t="n">
        <v>173</v>
      </c>
      <c r="B174" s="27" t="s">
        <v>228</v>
      </c>
      <c r="C174" s="28" t="n">
        <v>1</v>
      </c>
      <c r="D174" s="28" t="n">
        <v>1</v>
      </c>
      <c r="E174" s="28" t="n">
        <f aca="false">D174-C174</f>
        <v>0</v>
      </c>
      <c r="F174" s="29" t="str">
        <f aca="false">IF(E174&gt;=Resumo!$C$23,"Sim","Não")</f>
        <v>Não</v>
      </c>
    </row>
    <row r="175" customFormat="false" ht="15" hidden="false" customHeight="false" outlineLevel="0" collapsed="false">
      <c r="A175" s="27" t="n">
        <v>174</v>
      </c>
      <c r="B175" s="27" t="s">
        <v>229</v>
      </c>
      <c r="C175" s="28" t="n">
        <v>1</v>
      </c>
      <c r="D175" s="28" t="n">
        <v>1</v>
      </c>
      <c r="E175" s="28" t="n">
        <f aca="false">D175-C175</f>
        <v>0</v>
      </c>
      <c r="F175" s="29" t="str">
        <f aca="false">IF(E175&gt;=Resumo!$C$23,"Sim","Não")</f>
        <v>Não</v>
      </c>
    </row>
    <row r="176" customFormat="false" ht="15" hidden="false" customHeight="false" outlineLevel="0" collapsed="false">
      <c r="A176" s="27" t="n">
        <v>175</v>
      </c>
      <c r="B176" s="27" t="s">
        <v>230</v>
      </c>
      <c r="C176" s="28" t="n">
        <v>1</v>
      </c>
      <c r="D176" s="28" t="n">
        <v>2</v>
      </c>
      <c r="E176" s="28" t="n">
        <f aca="false">D176-C176</f>
        <v>1</v>
      </c>
      <c r="F176" s="29" t="str">
        <f aca="false">IF(E176&gt;=Resumo!$C$23,"Sim","Não")</f>
        <v>Não</v>
      </c>
    </row>
    <row r="177" customFormat="false" ht="15" hidden="false" customHeight="false" outlineLevel="0" collapsed="false">
      <c r="A177" s="27" t="n">
        <v>176</v>
      </c>
      <c r="B177" s="27" t="s">
        <v>231</v>
      </c>
      <c r="C177" s="28" t="n">
        <v>4</v>
      </c>
      <c r="D177" s="28" t="n">
        <v>7</v>
      </c>
      <c r="E177" s="28" t="n">
        <f aca="false">D177-C177</f>
        <v>3</v>
      </c>
      <c r="F177" s="29" t="str">
        <f aca="false">IF(E177&gt;=Resumo!$C$23,"Sim","Não")</f>
        <v>Não</v>
      </c>
    </row>
    <row r="178" customFormat="false" ht="15" hidden="false" customHeight="false" outlineLevel="0" collapsed="false">
      <c r="A178" s="27" t="n">
        <v>177</v>
      </c>
      <c r="B178" s="27" t="s">
        <v>232</v>
      </c>
      <c r="C178" s="28" t="n">
        <v>4</v>
      </c>
      <c r="D178" s="28" t="n">
        <v>4</v>
      </c>
      <c r="E178" s="28" t="n">
        <f aca="false">D178-C178</f>
        <v>0</v>
      </c>
      <c r="F178" s="29" t="str">
        <f aca="false">IF(E178&gt;=Resumo!$C$23,"Sim","Não")</f>
        <v>Não</v>
      </c>
    </row>
    <row r="179" customFormat="false" ht="15" hidden="false" customHeight="false" outlineLevel="0" collapsed="false">
      <c r="A179" s="27" t="n">
        <v>178</v>
      </c>
      <c r="B179" s="27" t="s">
        <v>233</v>
      </c>
      <c r="C179" s="28" t="n">
        <v>2</v>
      </c>
      <c r="D179" s="28" t="n">
        <v>4</v>
      </c>
      <c r="E179" s="28" t="n">
        <f aca="false">D179-C179</f>
        <v>2</v>
      </c>
      <c r="F179" s="29" t="str">
        <f aca="false">IF(E179&gt;=Resumo!$C$23,"Sim","Não")</f>
        <v>Não</v>
      </c>
    </row>
    <row r="180" customFormat="false" ht="15" hidden="false" customHeight="false" outlineLevel="0" collapsed="false">
      <c r="A180" s="27" t="n">
        <v>179</v>
      </c>
      <c r="B180" s="27" t="s">
        <v>234</v>
      </c>
      <c r="C180" s="28" t="n">
        <v>1</v>
      </c>
      <c r="D180" s="28" t="n">
        <v>0</v>
      </c>
      <c r="E180" s="28" t="n">
        <f aca="false">D180-C180</f>
        <v>-1</v>
      </c>
      <c r="F180" s="29" t="str">
        <f aca="false">IF(E180&gt;=Resumo!$C$23,"Sim","Não")</f>
        <v>Não</v>
      </c>
    </row>
    <row r="181" customFormat="false" ht="15" hidden="false" customHeight="false" outlineLevel="0" collapsed="false">
      <c r="A181" s="27" t="n">
        <v>180</v>
      </c>
      <c r="B181" s="27" t="s">
        <v>235</v>
      </c>
      <c r="C181" s="28" t="n">
        <v>1</v>
      </c>
      <c r="D181" s="28" t="n">
        <v>0</v>
      </c>
      <c r="E181" s="28" t="n">
        <f aca="false">D181-C181</f>
        <v>-1</v>
      </c>
      <c r="F181" s="29" t="str">
        <f aca="false">IF(E181&gt;=Resumo!$C$23,"Sim","Não")</f>
        <v>Não</v>
      </c>
    </row>
    <row r="182" customFormat="false" ht="15" hidden="false" customHeight="false" outlineLevel="0" collapsed="false">
      <c r="A182" s="27" t="n">
        <v>181</v>
      </c>
      <c r="B182" s="27" t="s">
        <v>236</v>
      </c>
      <c r="C182" s="28" t="n">
        <v>2</v>
      </c>
      <c r="D182" s="28" t="n">
        <v>2</v>
      </c>
      <c r="E182" s="28" t="n">
        <f aca="false">D182-C182</f>
        <v>0</v>
      </c>
      <c r="F182" s="29" t="str">
        <f aca="false">IF(E182&gt;=Resumo!$C$23,"Sim","Não")</f>
        <v>Não</v>
      </c>
    </row>
    <row r="183" customFormat="false" ht="15" hidden="false" customHeight="false" outlineLevel="0" collapsed="false">
      <c r="A183" s="27" t="n">
        <v>182</v>
      </c>
      <c r="B183" s="27" t="s">
        <v>237</v>
      </c>
      <c r="C183" s="28" t="n">
        <v>1</v>
      </c>
      <c r="D183" s="28" t="n">
        <v>2</v>
      </c>
      <c r="E183" s="28" t="n">
        <f aca="false">D183-C183</f>
        <v>1</v>
      </c>
      <c r="F183" s="29" t="str">
        <f aca="false">IF(E183&gt;=Resumo!$C$23,"Sim","Não")</f>
        <v>Não</v>
      </c>
    </row>
    <row r="184" customFormat="false" ht="15" hidden="false" customHeight="false" outlineLevel="0" collapsed="false">
      <c r="A184" s="27" t="n">
        <v>183</v>
      </c>
      <c r="B184" s="27" t="s">
        <v>238</v>
      </c>
      <c r="C184" s="28" t="n">
        <v>0</v>
      </c>
      <c r="D184" s="28" t="n">
        <v>2</v>
      </c>
      <c r="E184" s="28" t="n">
        <f aca="false">D184-C184</f>
        <v>2</v>
      </c>
      <c r="F184" s="29" t="str">
        <f aca="false">IF(E184&gt;=Resumo!$C$23,"Sim","Não")</f>
        <v>Não</v>
      </c>
    </row>
    <row r="185" customFormat="false" ht="15" hidden="false" customHeight="false" outlineLevel="0" collapsed="false">
      <c r="A185" s="27" t="n">
        <v>184</v>
      </c>
      <c r="B185" s="27" t="s">
        <v>239</v>
      </c>
      <c r="C185" s="28" t="n">
        <v>1</v>
      </c>
      <c r="D185" s="28" t="n">
        <v>0</v>
      </c>
      <c r="E185" s="28" t="n">
        <f aca="false">D185-C185</f>
        <v>-1</v>
      </c>
      <c r="F185" s="29" t="str">
        <f aca="false">IF(E185&gt;=Resumo!$C$23,"Sim","Não")</f>
        <v>Não</v>
      </c>
    </row>
    <row r="186" customFormat="false" ht="15" hidden="false" customHeight="false" outlineLevel="0" collapsed="false">
      <c r="A186" s="27" t="n">
        <v>185</v>
      </c>
      <c r="B186" s="27" t="s">
        <v>240</v>
      </c>
      <c r="C186" s="28" t="n">
        <v>1</v>
      </c>
      <c r="D186" s="28" t="n">
        <v>1</v>
      </c>
      <c r="E186" s="28" t="n">
        <f aca="false">D186-C186</f>
        <v>0</v>
      </c>
      <c r="F186" s="29" t="str">
        <f aca="false">IF(E186&gt;=Resumo!$C$23,"Sim","Não")</f>
        <v>Não</v>
      </c>
    </row>
    <row r="187" customFormat="false" ht="15" hidden="false" customHeight="false" outlineLevel="0" collapsed="false">
      <c r="A187" s="27" t="n">
        <v>186</v>
      </c>
      <c r="B187" s="27" t="s">
        <v>241</v>
      </c>
      <c r="C187" s="28" t="n">
        <v>1</v>
      </c>
      <c r="D187" s="28" t="n">
        <v>1</v>
      </c>
      <c r="E187" s="28" t="n">
        <f aca="false">D187-C187</f>
        <v>0</v>
      </c>
      <c r="F187" s="29" t="str">
        <f aca="false">IF(E187&gt;=Resumo!$C$23,"Sim","Não")</f>
        <v>Não</v>
      </c>
    </row>
    <row r="188" customFormat="false" ht="15" hidden="false" customHeight="false" outlineLevel="0" collapsed="false">
      <c r="A188" s="27" t="n">
        <v>187</v>
      </c>
      <c r="B188" s="27" t="s">
        <v>242</v>
      </c>
      <c r="C188" s="28" t="n">
        <v>2</v>
      </c>
      <c r="D188" s="28" t="n">
        <v>2</v>
      </c>
      <c r="E188" s="28" t="n">
        <f aca="false">D188-C188</f>
        <v>0</v>
      </c>
      <c r="F188" s="29" t="str">
        <f aca="false">IF(E188&gt;=Resumo!$C$23,"Sim","Não")</f>
        <v>Não</v>
      </c>
    </row>
    <row r="189" customFormat="false" ht="15" hidden="false" customHeight="false" outlineLevel="0" collapsed="false">
      <c r="A189" s="27" t="n">
        <v>188</v>
      </c>
      <c r="B189" s="27" t="s">
        <v>243</v>
      </c>
      <c r="C189" s="28" t="n">
        <v>1</v>
      </c>
      <c r="D189" s="28" t="n">
        <v>0</v>
      </c>
      <c r="E189" s="28" t="n">
        <f aca="false">D189-C189</f>
        <v>-1</v>
      </c>
      <c r="F189" s="29" t="str">
        <f aca="false">IF(E189&gt;=Resumo!$C$23,"Sim","Não")</f>
        <v>Não</v>
      </c>
    </row>
    <row r="191" customFormat="false" ht="19.4" hidden="false" customHeight="true" outlineLevel="0" collapsed="false">
      <c r="A191" s="16" t="s">
        <v>244</v>
      </c>
      <c r="B191" s="16"/>
      <c r="C191" s="16"/>
      <c r="D191" s="16"/>
      <c r="E191" s="16"/>
      <c r="F191" s="16"/>
    </row>
  </sheetData>
  <mergeCells count="1">
    <mergeCell ref="A191:F191"/>
  </mergeCells>
  <conditionalFormatting sqref="F2:F189">
    <cfRule type="cellIs" priority="2" operator="equal" aboveAverage="0" equalAverage="0" bottom="0" percent="0" rank="0" text="" dxfId="1">
      <formula>"Sim"</formula>
    </cfRule>
    <cfRule type="cellIs" priority="3" operator="equal" aboveAverage="0" equalAverage="0" bottom="0" percent="0" rank="0" text="" dxfId="2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2026-09-17T12:34:44Z</dcterms:created>
  <dc:creator>openpyxl</dc:creator>
  <dc:description/>
  <dc:language>en-US</dc:language>
  <cp:lastModifiedBy/>
  <dcterms:modified xsi:type="dcterms:W3CDTF">2026-09-17T12:34:44Z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